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hidePivotFieldList="1" defaultThemeVersion="166925"/>
  <mc:AlternateContent xmlns:mc="http://schemas.openxmlformats.org/markup-compatibility/2006">
    <mc:Choice Requires="x15">
      <x15ac:absPath xmlns:x15ac="http://schemas.microsoft.com/office/spreadsheetml/2010/11/ac" url="C:\Users\Mame NDAO\Downloads\mpox\"/>
    </mc:Choice>
  </mc:AlternateContent>
  <xr:revisionPtr revIDLastSave="0" documentId="13_ncr:1_{4EC42A4C-C7DD-4623-BD1A-4418F66C62FA}" xr6:coauthVersionLast="47" xr6:coauthVersionMax="47" xr10:uidLastSave="{00000000-0000-0000-0000-000000000000}"/>
  <bookViews>
    <workbookView xWindow="-110" yWindow="-110" windowWidth="19420" windowHeight="10300" activeTab="1" xr2:uid="{B073F943-B173-4CC6-96F5-5544665C370F}"/>
  </bookViews>
  <sheets>
    <sheet name="base" sheetId="1" r:id="rId1"/>
    <sheet name="mpox" sheetId="3" r:id="rId2"/>
    <sheet name="liste" sheetId="2" state="hidden" r:id="rId3"/>
  </sheets>
  <definedNames>
    <definedName name="_xlnm._FilterDatabase" localSheetId="0" hidden="1">base!$A$1:$BI$2760</definedName>
    <definedName name="_xlnm._FilterDatabase" localSheetId="2" hidden="1">liste!$A$1:$D$80</definedName>
    <definedName name="_xlnm._FilterDatabase" localSheetId="1" hidden="1">mpox!$A$1:$BI$475</definedName>
    <definedName name="district_region">liste!$A$1:$B$80</definedName>
    <definedName name="Liste_district">liste!$A$2:$A$80</definedName>
    <definedName name="liste_pop">liste!$A$1:$D$80</definedName>
    <definedName name="Liste_region">liste!#REF!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75" i="3" l="1"/>
  <c r="D475" i="3"/>
  <c r="F475" i="3" s="1"/>
  <c r="B475" i="3"/>
  <c r="E474" i="3"/>
  <c r="D474" i="3"/>
  <c r="F474" i="3" s="1"/>
  <c r="B474" i="3"/>
  <c r="E473" i="3"/>
  <c r="D473" i="3"/>
  <c r="F473" i="3" s="1"/>
  <c r="B473" i="3"/>
  <c r="E472" i="3"/>
  <c r="D472" i="3"/>
  <c r="F472" i="3" s="1"/>
  <c r="B472" i="3"/>
  <c r="E471" i="3"/>
  <c r="D471" i="3"/>
  <c r="F471" i="3" s="1"/>
  <c r="B471" i="3"/>
  <c r="E470" i="3"/>
  <c r="D470" i="3"/>
  <c r="F470" i="3" s="1"/>
  <c r="B470" i="3"/>
  <c r="E469" i="3"/>
  <c r="D469" i="3"/>
  <c r="F469" i="3" s="1"/>
  <c r="B469" i="3"/>
  <c r="E468" i="3"/>
  <c r="D468" i="3"/>
  <c r="F468" i="3" s="1"/>
  <c r="B468" i="3"/>
  <c r="E467" i="3"/>
  <c r="D467" i="3"/>
  <c r="F467" i="3" s="1"/>
  <c r="B467" i="3"/>
  <c r="E466" i="3"/>
  <c r="D466" i="3"/>
  <c r="F466" i="3" s="1"/>
  <c r="B466" i="3"/>
  <c r="E465" i="3"/>
  <c r="D465" i="3"/>
  <c r="F465" i="3" s="1"/>
  <c r="B465" i="3"/>
  <c r="E464" i="3"/>
  <c r="D464" i="3"/>
  <c r="F464" i="3" s="1"/>
  <c r="B464" i="3"/>
  <c r="E463" i="3"/>
  <c r="D463" i="3"/>
  <c r="F463" i="3" s="1"/>
  <c r="B463" i="3"/>
  <c r="E462" i="3"/>
  <c r="D462" i="3"/>
  <c r="F462" i="3" s="1"/>
  <c r="B462" i="3"/>
  <c r="E461" i="3"/>
  <c r="D461" i="3"/>
  <c r="F461" i="3" s="1"/>
  <c r="B461" i="3"/>
  <c r="E460" i="3"/>
  <c r="D460" i="3"/>
  <c r="F460" i="3" s="1"/>
  <c r="B460" i="3"/>
  <c r="E459" i="3"/>
  <c r="D459" i="3"/>
  <c r="F459" i="3" s="1"/>
  <c r="B459" i="3"/>
  <c r="E458" i="3"/>
  <c r="D458" i="3"/>
  <c r="F458" i="3" s="1"/>
  <c r="B458" i="3"/>
  <c r="E457" i="3"/>
  <c r="D457" i="3"/>
  <c r="F457" i="3" s="1"/>
  <c r="B457" i="3"/>
  <c r="E456" i="3"/>
  <c r="D456" i="3"/>
  <c r="F456" i="3" s="1"/>
  <c r="B456" i="3"/>
  <c r="E455" i="3"/>
  <c r="D455" i="3"/>
  <c r="F455" i="3" s="1"/>
  <c r="B455" i="3"/>
  <c r="E454" i="3"/>
  <c r="D454" i="3"/>
  <c r="F454" i="3" s="1"/>
  <c r="B454" i="3"/>
  <c r="E453" i="3"/>
  <c r="D453" i="3"/>
  <c r="F453" i="3" s="1"/>
  <c r="B453" i="3"/>
  <c r="E452" i="3"/>
  <c r="D452" i="3"/>
  <c r="F452" i="3" s="1"/>
  <c r="B452" i="3"/>
  <c r="E451" i="3"/>
  <c r="D451" i="3"/>
  <c r="F451" i="3" s="1"/>
  <c r="B451" i="3"/>
  <c r="E450" i="3"/>
  <c r="D450" i="3"/>
  <c r="F450" i="3" s="1"/>
  <c r="B450" i="3"/>
  <c r="E449" i="3"/>
  <c r="D449" i="3"/>
  <c r="F449" i="3" s="1"/>
  <c r="B449" i="3"/>
  <c r="E448" i="3"/>
  <c r="D448" i="3"/>
  <c r="F448" i="3" s="1"/>
  <c r="B448" i="3"/>
  <c r="E447" i="3"/>
  <c r="D447" i="3"/>
  <c r="F447" i="3" s="1"/>
  <c r="B447" i="3"/>
  <c r="E446" i="3"/>
  <c r="D446" i="3"/>
  <c r="F446" i="3" s="1"/>
  <c r="B446" i="3"/>
  <c r="E445" i="3"/>
  <c r="D445" i="3"/>
  <c r="F445" i="3" s="1"/>
  <c r="B445" i="3"/>
  <c r="E444" i="3"/>
  <c r="D444" i="3"/>
  <c r="F444" i="3" s="1"/>
  <c r="B444" i="3"/>
  <c r="E443" i="3"/>
  <c r="D443" i="3"/>
  <c r="F443" i="3" s="1"/>
  <c r="B443" i="3"/>
  <c r="E442" i="3"/>
  <c r="D442" i="3"/>
  <c r="F442" i="3" s="1"/>
  <c r="B442" i="3"/>
  <c r="E441" i="3"/>
  <c r="D441" i="3"/>
  <c r="F441" i="3" s="1"/>
  <c r="B441" i="3"/>
  <c r="E440" i="3"/>
  <c r="D440" i="3"/>
  <c r="F440" i="3" s="1"/>
  <c r="B440" i="3"/>
  <c r="E439" i="3"/>
  <c r="D439" i="3"/>
  <c r="F439" i="3" s="1"/>
  <c r="B439" i="3"/>
  <c r="E438" i="3"/>
  <c r="D438" i="3"/>
  <c r="F438" i="3" s="1"/>
  <c r="B438" i="3"/>
  <c r="E437" i="3"/>
  <c r="D437" i="3"/>
  <c r="F437" i="3" s="1"/>
  <c r="B437" i="3"/>
  <c r="E436" i="3"/>
  <c r="D436" i="3"/>
  <c r="F436" i="3" s="1"/>
  <c r="B436" i="3"/>
  <c r="E435" i="3"/>
  <c r="D435" i="3"/>
  <c r="F435" i="3" s="1"/>
  <c r="B435" i="3"/>
  <c r="E434" i="3"/>
  <c r="D434" i="3"/>
  <c r="F434" i="3" s="1"/>
  <c r="B434" i="3"/>
  <c r="E433" i="3"/>
  <c r="D433" i="3"/>
  <c r="F433" i="3" s="1"/>
  <c r="B433" i="3"/>
  <c r="E432" i="3"/>
  <c r="D432" i="3"/>
  <c r="F432" i="3" s="1"/>
  <c r="B432" i="3"/>
  <c r="E431" i="3"/>
  <c r="D431" i="3"/>
  <c r="F431" i="3" s="1"/>
  <c r="B431" i="3"/>
  <c r="E430" i="3"/>
  <c r="D430" i="3"/>
  <c r="F430" i="3" s="1"/>
  <c r="B430" i="3"/>
  <c r="E429" i="3"/>
  <c r="D429" i="3"/>
  <c r="F429" i="3" s="1"/>
  <c r="B429" i="3"/>
  <c r="E428" i="3"/>
  <c r="D428" i="3"/>
  <c r="F428" i="3" s="1"/>
  <c r="B428" i="3"/>
  <c r="E427" i="3"/>
  <c r="D427" i="3"/>
  <c r="F427" i="3" s="1"/>
  <c r="B427" i="3"/>
  <c r="E426" i="3"/>
  <c r="D426" i="3"/>
  <c r="F426" i="3" s="1"/>
  <c r="B426" i="3"/>
  <c r="E425" i="3"/>
  <c r="D425" i="3"/>
  <c r="F425" i="3" s="1"/>
  <c r="B425" i="3"/>
  <c r="E424" i="3"/>
  <c r="D424" i="3"/>
  <c r="F424" i="3" s="1"/>
  <c r="B424" i="3"/>
  <c r="E423" i="3"/>
  <c r="D423" i="3"/>
  <c r="F423" i="3" s="1"/>
  <c r="B423" i="3"/>
  <c r="E422" i="3"/>
  <c r="D422" i="3"/>
  <c r="F422" i="3" s="1"/>
  <c r="B422" i="3"/>
  <c r="E421" i="3"/>
  <c r="D421" i="3"/>
  <c r="F421" i="3" s="1"/>
  <c r="B421" i="3"/>
  <c r="E420" i="3"/>
  <c r="D420" i="3"/>
  <c r="F420" i="3" s="1"/>
  <c r="B420" i="3"/>
  <c r="E419" i="3"/>
  <c r="D419" i="3"/>
  <c r="F419" i="3" s="1"/>
  <c r="B419" i="3"/>
  <c r="E418" i="3"/>
  <c r="D418" i="3"/>
  <c r="F418" i="3" s="1"/>
  <c r="B418" i="3"/>
  <c r="E417" i="3"/>
  <c r="D417" i="3"/>
  <c r="F417" i="3" s="1"/>
  <c r="B417" i="3"/>
  <c r="E416" i="3"/>
  <c r="D416" i="3"/>
  <c r="F416" i="3" s="1"/>
  <c r="B416" i="3"/>
  <c r="E415" i="3"/>
  <c r="D415" i="3"/>
  <c r="F415" i="3" s="1"/>
  <c r="B415" i="3"/>
  <c r="E414" i="3"/>
  <c r="D414" i="3"/>
  <c r="F414" i="3" s="1"/>
  <c r="B414" i="3"/>
  <c r="E413" i="3"/>
  <c r="D413" i="3"/>
  <c r="F413" i="3" s="1"/>
  <c r="B413" i="3"/>
  <c r="E412" i="3"/>
  <c r="D412" i="3"/>
  <c r="F412" i="3" s="1"/>
  <c r="B412" i="3"/>
  <c r="E411" i="3"/>
  <c r="D411" i="3"/>
  <c r="F411" i="3" s="1"/>
  <c r="B411" i="3"/>
  <c r="E410" i="3"/>
  <c r="D410" i="3"/>
  <c r="F410" i="3" s="1"/>
  <c r="B410" i="3"/>
  <c r="E409" i="3"/>
  <c r="D409" i="3"/>
  <c r="F409" i="3" s="1"/>
  <c r="B409" i="3"/>
  <c r="E408" i="3"/>
  <c r="D408" i="3"/>
  <c r="F408" i="3" s="1"/>
  <c r="B408" i="3"/>
  <c r="E407" i="3"/>
  <c r="D407" i="3"/>
  <c r="F407" i="3" s="1"/>
  <c r="B407" i="3"/>
  <c r="E406" i="3"/>
  <c r="D406" i="3"/>
  <c r="F406" i="3" s="1"/>
  <c r="B406" i="3"/>
  <c r="E405" i="3"/>
  <c r="D405" i="3"/>
  <c r="F405" i="3" s="1"/>
  <c r="B405" i="3"/>
  <c r="E404" i="3"/>
  <c r="D404" i="3"/>
  <c r="F404" i="3" s="1"/>
  <c r="B404" i="3"/>
  <c r="E403" i="3"/>
  <c r="D403" i="3"/>
  <c r="F403" i="3" s="1"/>
  <c r="B403" i="3"/>
  <c r="E402" i="3"/>
  <c r="D402" i="3"/>
  <c r="F402" i="3" s="1"/>
  <c r="B402" i="3"/>
  <c r="E401" i="3"/>
  <c r="D401" i="3"/>
  <c r="F401" i="3" s="1"/>
  <c r="B401" i="3"/>
  <c r="E400" i="3"/>
  <c r="D400" i="3"/>
  <c r="F400" i="3" s="1"/>
  <c r="B400" i="3"/>
  <c r="E399" i="3"/>
  <c r="D399" i="3"/>
  <c r="F399" i="3" s="1"/>
  <c r="B399" i="3"/>
  <c r="E398" i="3"/>
  <c r="D398" i="3"/>
  <c r="F398" i="3" s="1"/>
  <c r="B398" i="3"/>
  <c r="E397" i="3"/>
  <c r="D397" i="3"/>
  <c r="F397" i="3" s="1"/>
  <c r="B397" i="3"/>
  <c r="E396" i="3"/>
  <c r="D396" i="3"/>
  <c r="F396" i="3" s="1"/>
  <c r="B396" i="3"/>
  <c r="E395" i="3"/>
  <c r="D395" i="3"/>
  <c r="F395" i="3" s="1"/>
  <c r="B395" i="3"/>
  <c r="E394" i="3"/>
  <c r="D394" i="3"/>
  <c r="F394" i="3" s="1"/>
  <c r="B394" i="3"/>
  <c r="E393" i="3"/>
  <c r="D393" i="3"/>
  <c r="F393" i="3" s="1"/>
  <c r="B393" i="3"/>
  <c r="E392" i="3"/>
  <c r="D392" i="3"/>
  <c r="F392" i="3" s="1"/>
  <c r="B392" i="3"/>
  <c r="E391" i="3"/>
  <c r="D391" i="3"/>
  <c r="F391" i="3" s="1"/>
  <c r="B391" i="3"/>
  <c r="E390" i="3"/>
  <c r="D390" i="3"/>
  <c r="F390" i="3" s="1"/>
  <c r="B390" i="3"/>
  <c r="E389" i="3"/>
  <c r="D389" i="3"/>
  <c r="F389" i="3" s="1"/>
  <c r="B389" i="3"/>
  <c r="E388" i="3"/>
  <c r="D388" i="3"/>
  <c r="F388" i="3" s="1"/>
  <c r="B388" i="3"/>
  <c r="E387" i="3"/>
  <c r="D387" i="3"/>
  <c r="F387" i="3" s="1"/>
  <c r="B387" i="3"/>
  <c r="E386" i="3"/>
  <c r="D386" i="3"/>
  <c r="F386" i="3" s="1"/>
  <c r="B386" i="3"/>
  <c r="E385" i="3"/>
  <c r="D385" i="3"/>
  <c r="F385" i="3" s="1"/>
  <c r="B385" i="3"/>
  <c r="E384" i="3"/>
  <c r="D384" i="3"/>
  <c r="F384" i="3" s="1"/>
  <c r="B384" i="3"/>
  <c r="E383" i="3"/>
  <c r="D383" i="3"/>
  <c r="F383" i="3" s="1"/>
  <c r="B383" i="3"/>
  <c r="E382" i="3"/>
  <c r="D382" i="3"/>
  <c r="F382" i="3" s="1"/>
  <c r="B382" i="3"/>
  <c r="E381" i="3"/>
  <c r="D381" i="3"/>
  <c r="F381" i="3" s="1"/>
  <c r="B381" i="3"/>
  <c r="E380" i="3"/>
  <c r="D380" i="3"/>
  <c r="F380" i="3" s="1"/>
  <c r="B380" i="3"/>
  <c r="E379" i="3"/>
  <c r="D379" i="3"/>
  <c r="F379" i="3" s="1"/>
  <c r="B379" i="3"/>
  <c r="E378" i="3"/>
  <c r="D378" i="3"/>
  <c r="F378" i="3" s="1"/>
  <c r="B378" i="3"/>
  <c r="E377" i="3"/>
  <c r="D377" i="3"/>
  <c r="F377" i="3" s="1"/>
  <c r="B377" i="3"/>
  <c r="E376" i="3"/>
  <c r="D376" i="3"/>
  <c r="F376" i="3" s="1"/>
  <c r="B376" i="3"/>
  <c r="E375" i="3"/>
  <c r="D375" i="3"/>
  <c r="F375" i="3" s="1"/>
  <c r="B375" i="3"/>
  <c r="E374" i="3"/>
  <c r="D374" i="3"/>
  <c r="F374" i="3" s="1"/>
  <c r="B374" i="3"/>
  <c r="E373" i="3"/>
  <c r="D373" i="3"/>
  <c r="F373" i="3" s="1"/>
  <c r="B373" i="3"/>
  <c r="E372" i="3"/>
  <c r="D372" i="3"/>
  <c r="F372" i="3" s="1"/>
  <c r="B372" i="3"/>
  <c r="E371" i="3"/>
  <c r="D371" i="3"/>
  <c r="F371" i="3" s="1"/>
  <c r="B371" i="3"/>
  <c r="E370" i="3"/>
  <c r="D370" i="3"/>
  <c r="F370" i="3" s="1"/>
  <c r="B370" i="3"/>
  <c r="E369" i="3"/>
  <c r="D369" i="3"/>
  <c r="F369" i="3" s="1"/>
  <c r="B369" i="3"/>
  <c r="E368" i="3"/>
  <c r="D368" i="3"/>
  <c r="F368" i="3" s="1"/>
  <c r="B368" i="3"/>
  <c r="E367" i="3"/>
  <c r="D367" i="3"/>
  <c r="F367" i="3" s="1"/>
  <c r="B367" i="3"/>
  <c r="E366" i="3"/>
  <c r="D366" i="3"/>
  <c r="F366" i="3" s="1"/>
  <c r="B366" i="3"/>
  <c r="E365" i="3"/>
  <c r="D365" i="3"/>
  <c r="F365" i="3" s="1"/>
  <c r="B365" i="3"/>
  <c r="E364" i="3"/>
  <c r="D364" i="3"/>
  <c r="F364" i="3" s="1"/>
  <c r="B364" i="3"/>
  <c r="E363" i="3"/>
  <c r="D363" i="3"/>
  <c r="F363" i="3" s="1"/>
  <c r="B363" i="3"/>
  <c r="E362" i="3"/>
  <c r="D362" i="3"/>
  <c r="F362" i="3" s="1"/>
  <c r="B362" i="3"/>
  <c r="E361" i="3"/>
  <c r="D361" i="3"/>
  <c r="F361" i="3" s="1"/>
  <c r="B361" i="3"/>
  <c r="E360" i="3"/>
  <c r="D360" i="3"/>
  <c r="F360" i="3" s="1"/>
  <c r="B360" i="3"/>
  <c r="E359" i="3"/>
  <c r="D359" i="3"/>
  <c r="F359" i="3" s="1"/>
  <c r="B359" i="3"/>
  <c r="E358" i="3"/>
  <c r="D358" i="3"/>
  <c r="F358" i="3" s="1"/>
  <c r="B358" i="3"/>
  <c r="E357" i="3"/>
  <c r="D357" i="3"/>
  <c r="F357" i="3" s="1"/>
  <c r="B357" i="3"/>
  <c r="E356" i="3"/>
  <c r="D356" i="3"/>
  <c r="F356" i="3" s="1"/>
  <c r="B356" i="3"/>
  <c r="E355" i="3"/>
  <c r="D355" i="3"/>
  <c r="F355" i="3" s="1"/>
  <c r="B355" i="3"/>
  <c r="E354" i="3"/>
  <c r="D354" i="3"/>
  <c r="F354" i="3" s="1"/>
  <c r="B354" i="3"/>
  <c r="E353" i="3"/>
  <c r="D353" i="3"/>
  <c r="F353" i="3" s="1"/>
  <c r="B353" i="3"/>
  <c r="E352" i="3"/>
  <c r="D352" i="3"/>
  <c r="F352" i="3" s="1"/>
  <c r="B352" i="3"/>
  <c r="E351" i="3"/>
  <c r="D351" i="3"/>
  <c r="F351" i="3" s="1"/>
  <c r="B351" i="3"/>
  <c r="E350" i="3"/>
  <c r="D350" i="3"/>
  <c r="F350" i="3" s="1"/>
  <c r="B350" i="3"/>
  <c r="E349" i="3"/>
  <c r="D349" i="3"/>
  <c r="F349" i="3" s="1"/>
  <c r="E348" i="3"/>
  <c r="D348" i="3"/>
  <c r="F348" i="3" s="1"/>
  <c r="F347" i="3"/>
  <c r="E347" i="3"/>
  <c r="D347" i="3"/>
  <c r="B347" i="3"/>
  <c r="F346" i="3"/>
  <c r="E346" i="3"/>
  <c r="D346" i="3"/>
  <c r="B346" i="3"/>
  <c r="F345" i="3"/>
  <c r="E345" i="3"/>
  <c r="D345" i="3"/>
  <c r="B345" i="3"/>
  <c r="F344" i="3"/>
  <c r="E344" i="3"/>
  <c r="D344" i="3"/>
  <c r="B344" i="3"/>
  <c r="F343" i="3"/>
  <c r="E343" i="3"/>
  <c r="D343" i="3"/>
  <c r="B343" i="3"/>
  <c r="F342" i="3"/>
  <c r="E342" i="3"/>
  <c r="D342" i="3"/>
  <c r="B342" i="3"/>
  <c r="F341" i="3"/>
  <c r="E341" i="3"/>
  <c r="D341" i="3"/>
  <c r="B341" i="3"/>
  <c r="F340" i="3"/>
  <c r="E340" i="3"/>
  <c r="D340" i="3"/>
  <c r="B340" i="3"/>
  <c r="F339" i="3"/>
  <c r="E339" i="3"/>
  <c r="D339" i="3"/>
  <c r="B339" i="3"/>
  <c r="F338" i="3"/>
  <c r="E338" i="3"/>
  <c r="D338" i="3"/>
  <c r="B338" i="3"/>
  <c r="F337" i="3"/>
  <c r="E337" i="3"/>
  <c r="D337" i="3"/>
  <c r="B337" i="3"/>
  <c r="F336" i="3"/>
  <c r="E336" i="3"/>
  <c r="D336" i="3"/>
  <c r="B336" i="3"/>
  <c r="F335" i="3"/>
  <c r="E335" i="3"/>
  <c r="D335" i="3"/>
  <c r="B335" i="3"/>
  <c r="F334" i="3"/>
  <c r="E334" i="3"/>
  <c r="D334" i="3"/>
  <c r="B334" i="3"/>
  <c r="F333" i="3"/>
  <c r="E333" i="3"/>
  <c r="D333" i="3"/>
  <c r="B333" i="3"/>
  <c r="F332" i="3"/>
  <c r="E332" i="3"/>
  <c r="D332" i="3"/>
  <c r="B332" i="3"/>
  <c r="F331" i="3"/>
  <c r="E331" i="3"/>
  <c r="D331" i="3"/>
  <c r="B331" i="3"/>
  <c r="F330" i="3"/>
  <c r="E330" i="3"/>
  <c r="D330" i="3"/>
  <c r="B330" i="3"/>
  <c r="F329" i="3"/>
  <c r="E329" i="3"/>
  <c r="D329" i="3"/>
  <c r="B329" i="3"/>
  <c r="F328" i="3"/>
  <c r="E328" i="3"/>
  <c r="D328" i="3"/>
  <c r="B328" i="3"/>
  <c r="F327" i="3"/>
  <c r="E327" i="3"/>
  <c r="D327" i="3"/>
  <c r="B327" i="3"/>
  <c r="F326" i="3"/>
  <c r="E326" i="3"/>
  <c r="D326" i="3"/>
  <c r="B326" i="3"/>
  <c r="F324" i="3"/>
  <c r="E324" i="3"/>
  <c r="D324" i="3"/>
  <c r="B324" i="3"/>
  <c r="F323" i="3"/>
  <c r="E323" i="3"/>
  <c r="D323" i="3"/>
  <c r="B323" i="3"/>
  <c r="F322" i="3"/>
  <c r="E322" i="3"/>
  <c r="D322" i="3"/>
  <c r="F321" i="3"/>
  <c r="E321" i="3"/>
  <c r="D321" i="3"/>
  <c r="A321" i="3"/>
  <c r="B321" i="3" s="1"/>
  <c r="F320" i="3"/>
  <c r="E320" i="3"/>
  <c r="D320" i="3"/>
  <c r="A320" i="3"/>
  <c r="B320" i="3" s="1"/>
  <c r="E319" i="3"/>
  <c r="D319" i="3"/>
  <c r="F319" i="3" s="1"/>
  <c r="B319" i="3"/>
  <c r="A319" i="3"/>
  <c r="E318" i="3"/>
  <c r="D318" i="3"/>
  <c r="F318" i="3" s="1"/>
  <c r="B318" i="3"/>
  <c r="A318" i="3"/>
  <c r="F317" i="3"/>
  <c r="E317" i="3"/>
  <c r="D317" i="3"/>
  <c r="A317" i="3"/>
  <c r="B317" i="3" s="1"/>
  <c r="F316" i="3"/>
  <c r="E316" i="3"/>
  <c r="D316" i="3"/>
  <c r="A316" i="3"/>
  <c r="B316" i="3" s="1"/>
  <c r="F315" i="3"/>
  <c r="E315" i="3"/>
  <c r="D315" i="3"/>
  <c r="B315" i="3"/>
  <c r="A315" i="3"/>
  <c r="E314" i="3"/>
  <c r="D314" i="3"/>
  <c r="F314" i="3" s="1"/>
  <c r="B314" i="3"/>
  <c r="A314" i="3"/>
  <c r="F313" i="3"/>
  <c r="E313" i="3"/>
  <c r="D313" i="3"/>
  <c r="A313" i="3"/>
  <c r="B313" i="3" s="1"/>
  <c r="F312" i="3"/>
  <c r="E312" i="3"/>
  <c r="D312" i="3"/>
  <c r="B312" i="3"/>
  <c r="A312" i="3"/>
  <c r="E311" i="3"/>
  <c r="D311" i="3"/>
  <c r="F311" i="3" s="1"/>
  <c r="B311" i="3"/>
  <c r="A311" i="3"/>
  <c r="E310" i="3"/>
  <c r="D310" i="3"/>
  <c r="F310" i="3" s="1"/>
  <c r="B310" i="3"/>
  <c r="A310" i="3"/>
  <c r="E309" i="3"/>
  <c r="D309" i="3"/>
  <c r="F309" i="3" s="1"/>
  <c r="A309" i="3"/>
  <c r="B309" i="3" s="1"/>
  <c r="F308" i="3"/>
  <c r="E308" i="3"/>
  <c r="D308" i="3"/>
  <c r="B308" i="3"/>
  <c r="A308" i="3"/>
  <c r="F307" i="3"/>
  <c r="E307" i="3"/>
  <c r="D307" i="3"/>
  <c r="B307" i="3"/>
  <c r="A307" i="3"/>
  <c r="E306" i="3"/>
  <c r="D306" i="3"/>
  <c r="F306" i="3" s="1"/>
  <c r="B306" i="3"/>
  <c r="A306" i="3"/>
  <c r="F305" i="3"/>
  <c r="E305" i="3"/>
  <c r="D305" i="3"/>
  <c r="A305" i="3"/>
  <c r="B305" i="3" s="1"/>
  <c r="F304" i="3"/>
  <c r="E304" i="3"/>
  <c r="D304" i="3"/>
  <c r="A304" i="3"/>
  <c r="B304" i="3" s="1"/>
  <c r="E303" i="3"/>
  <c r="D303" i="3"/>
  <c r="F303" i="3" s="1"/>
  <c r="B303" i="3"/>
  <c r="A303" i="3"/>
  <c r="E302" i="3"/>
  <c r="D302" i="3"/>
  <c r="F302" i="3" s="1"/>
  <c r="B302" i="3"/>
  <c r="A302" i="3"/>
  <c r="E301" i="3"/>
  <c r="D301" i="3"/>
  <c r="F301" i="3" s="1"/>
  <c r="A301" i="3"/>
  <c r="B301" i="3" s="1"/>
  <c r="F300" i="3"/>
  <c r="E300" i="3"/>
  <c r="D300" i="3"/>
  <c r="B300" i="3"/>
  <c r="A300" i="3"/>
  <c r="F299" i="3"/>
  <c r="E299" i="3"/>
  <c r="D299" i="3"/>
  <c r="B299" i="3"/>
  <c r="A299" i="3"/>
  <c r="E298" i="3"/>
  <c r="D298" i="3"/>
  <c r="F298" i="3" s="1"/>
  <c r="B298" i="3"/>
  <c r="A298" i="3"/>
  <c r="F297" i="3"/>
  <c r="E297" i="3"/>
  <c r="D297" i="3"/>
  <c r="A297" i="3"/>
  <c r="B297" i="3" s="1"/>
  <c r="F296" i="3"/>
  <c r="E296" i="3"/>
  <c r="D296" i="3"/>
  <c r="A296" i="3"/>
  <c r="B296" i="3" s="1"/>
  <c r="E295" i="3"/>
  <c r="D295" i="3"/>
  <c r="F295" i="3" s="1"/>
  <c r="A295" i="3"/>
  <c r="B295" i="3" s="1"/>
  <c r="E294" i="3"/>
  <c r="D294" i="3"/>
  <c r="F294" i="3" s="1"/>
  <c r="B294" i="3"/>
  <c r="A294" i="3"/>
  <c r="F293" i="3"/>
  <c r="E293" i="3"/>
  <c r="D293" i="3"/>
  <c r="A293" i="3"/>
  <c r="B293" i="3" s="1"/>
  <c r="F292" i="3"/>
  <c r="E292" i="3"/>
  <c r="D292" i="3"/>
  <c r="B292" i="3"/>
  <c r="A292" i="3"/>
  <c r="E291" i="3"/>
  <c r="D291" i="3"/>
  <c r="F291" i="3" s="1"/>
  <c r="B291" i="3"/>
  <c r="A291" i="3"/>
  <c r="E290" i="3"/>
  <c r="D290" i="3"/>
  <c r="F290" i="3" s="1"/>
  <c r="B290" i="3"/>
  <c r="A290" i="3"/>
  <c r="F289" i="3"/>
  <c r="E289" i="3"/>
  <c r="D289" i="3"/>
  <c r="A289" i="3"/>
  <c r="B289" i="3" s="1"/>
  <c r="F288" i="3"/>
  <c r="E288" i="3"/>
  <c r="D288" i="3"/>
  <c r="B288" i="3"/>
  <c r="A288" i="3"/>
  <c r="E287" i="3"/>
  <c r="D287" i="3"/>
  <c r="F287" i="3" s="1"/>
  <c r="A287" i="3"/>
  <c r="B287" i="3" s="1"/>
  <c r="E286" i="3"/>
  <c r="D286" i="3"/>
  <c r="F286" i="3" s="1"/>
  <c r="B286" i="3"/>
  <c r="A286" i="3"/>
  <c r="F285" i="3"/>
  <c r="E285" i="3"/>
  <c r="D285" i="3"/>
  <c r="A285" i="3"/>
  <c r="B285" i="3" s="1"/>
  <c r="F284" i="3"/>
  <c r="E284" i="3"/>
  <c r="D284" i="3"/>
  <c r="A284" i="3"/>
  <c r="B284" i="3" s="1"/>
  <c r="F283" i="3"/>
  <c r="E283" i="3"/>
  <c r="D283" i="3"/>
  <c r="B283" i="3"/>
  <c r="A283" i="3"/>
  <c r="E282" i="3"/>
  <c r="D282" i="3"/>
  <c r="F282" i="3" s="1"/>
  <c r="B282" i="3"/>
  <c r="A282" i="3"/>
  <c r="F281" i="3"/>
  <c r="E281" i="3"/>
  <c r="D281" i="3"/>
  <c r="A281" i="3"/>
  <c r="B281" i="3" s="1"/>
  <c r="F280" i="3"/>
  <c r="E280" i="3"/>
  <c r="D280" i="3"/>
  <c r="B280" i="3"/>
  <c r="A280" i="3"/>
  <c r="E279" i="3"/>
  <c r="D279" i="3"/>
  <c r="F279" i="3" s="1"/>
  <c r="A279" i="3"/>
  <c r="B279" i="3" s="1"/>
  <c r="E278" i="3"/>
  <c r="D278" i="3"/>
  <c r="F278" i="3" s="1"/>
  <c r="B278" i="3"/>
  <c r="A278" i="3"/>
  <c r="F277" i="3"/>
  <c r="E277" i="3"/>
  <c r="D277" i="3"/>
  <c r="A277" i="3"/>
  <c r="B277" i="3" s="1"/>
  <c r="F276" i="3"/>
  <c r="E276" i="3"/>
  <c r="D276" i="3"/>
  <c r="A276" i="3"/>
  <c r="B276" i="3" s="1"/>
  <c r="E275" i="3"/>
  <c r="D275" i="3"/>
  <c r="F275" i="3" s="1"/>
  <c r="B275" i="3"/>
  <c r="A275" i="3"/>
  <c r="E274" i="3"/>
  <c r="D274" i="3"/>
  <c r="F274" i="3" s="1"/>
  <c r="B274" i="3"/>
  <c r="A274" i="3"/>
  <c r="F273" i="3"/>
  <c r="E273" i="3"/>
  <c r="D273" i="3"/>
  <c r="A273" i="3"/>
  <c r="B273" i="3" s="1"/>
  <c r="F272" i="3"/>
  <c r="E272" i="3"/>
  <c r="D272" i="3"/>
  <c r="B272" i="3"/>
  <c r="A272" i="3"/>
  <c r="E271" i="3"/>
  <c r="D271" i="3"/>
  <c r="F271" i="3" s="1"/>
  <c r="A271" i="3"/>
  <c r="B271" i="3" s="1"/>
  <c r="E270" i="3"/>
  <c r="D270" i="3"/>
  <c r="F270" i="3" s="1"/>
  <c r="B270" i="3"/>
  <c r="A270" i="3"/>
  <c r="E269" i="3"/>
  <c r="D269" i="3"/>
  <c r="F269" i="3" s="1"/>
  <c r="A269" i="3"/>
  <c r="B269" i="3" s="1"/>
  <c r="F268" i="3"/>
  <c r="E268" i="3"/>
  <c r="D268" i="3"/>
  <c r="A268" i="3"/>
  <c r="B268" i="3" s="1"/>
  <c r="E267" i="3"/>
  <c r="D267" i="3"/>
  <c r="F267" i="3" s="1"/>
  <c r="B267" i="3"/>
  <c r="A267" i="3"/>
  <c r="E266" i="3"/>
  <c r="D266" i="3"/>
  <c r="F266" i="3" s="1"/>
  <c r="B266" i="3"/>
  <c r="A266" i="3"/>
  <c r="F265" i="3"/>
  <c r="E265" i="3"/>
  <c r="D265" i="3"/>
  <c r="A265" i="3"/>
  <c r="B265" i="3" s="1"/>
  <c r="F264" i="3"/>
  <c r="E264" i="3"/>
  <c r="D264" i="3"/>
  <c r="A264" i="3"/>
  <c r="B264" i="3" s="1"/>
  <c r="E263" i="3"/>
  <c r="D263" i="3"/>
  <c r="F263" i="3" s="1"/>
  <c r="B263" i="3"/>
  <c r="A263" i="3"/>
  <c r="E262" i="3"/>
  <c r="D262" i="3"/>
  <c r="F262" i="3" s="1"/>
  <c r="B262" i="3"/>
  <c r="A262" i="3"/>
  <c r="F261" i="3"/>
  <c r="E261" i="3"/>
  <c r="D261" i="3"/>
  <c r="A261" i="3"/>
  <c r="B261" i="3" s="1"/>
  <c r="F260" i="3"/>
  <c r="E260" i="3"/>
  <c r="D260" i="3"/>
  <c r="A260" i="3"/>
  <c r="B260" i="3" s="1"/>
  <c r="E259" i="3"/>
  <c r="D259" i="3"/>
  <c r="F259" i="3" s="1"/>
  <c r="B259" i="3"/>
  <c r="A259" i="3"/>
  <c r="E258" i="3"/>
  <c r="D258" i="3"/>
  <c r="F258" i="3" s="1"/>
  <c r="B258" i="3"/>
  <c r="A258" i="3"/>
  <c r="F257" i="3"/>
  <c r="E257" i="3"/>
  <c r="D257" i="3"/>
  <c r="A257" i="3"/>
  <c r="B257" i="3" s="1"/>
  <c r="F256" i="3"/>
  <c r="E256" i="3"/>
  <c r="D256" i="3"/>
  <c r="A256" i="3"/>
  <c r="B256" i="3" s="1"/>
  <c r="E255" i="3"/>
  <c r="D255" i="3"/>
  <c r="F255" i="3" s="1"/>
  <c r="B255" i="3"/>
  <c r="A255" i="3"/>
  <c r="E254" i="3"/>
  <c r="D254" i="3"/>
  <c r="F254" i="3" s="1"/>
  <c r="B254" i="3"/>
  <c r="A254" i="3"/>
  <c r="E253" i="3"/>
  <c r="D253" i="3"/>
  <c r="F253" i="3" s="1"/>
  <c r="A253" i="3"/>
  <c r="B253" i="3" s="1"/>
  <c r="F252" i="3"/>
  <c r="E252" i="3"/>
  <c r="D252" i="3"/>
  <c r="B252" i="3"/>
  <c r="A252" i="3"/>
  <c r="F251" i="3"/>
  <c r="E251" i="3"/>
  <c r="D251" i="3"/>
  <c r="A251" i="3"/>
  <c r="B251" i="3" s="1"/>
  <c r="E250" i="3"/>
  <c r="D250" i="3"/>
  <c r="F250" i="3" s="1"/>
  <c r="B250" i="3"/>
  <c r="A250" i="3"/>
  <c r="E249" i="3"/>
  <c r="D249" i="3"/>
  <c r="F249" i="3" s="1"/>
  <c r="A249" i="3"/>
  <c r="B249" i="3" s="1"/>
  <c r="F248" i="3"/>
  <c r="E248" i="3"/>
  <c r="D248" i="3"/>
  <c r="A248" i="3"/>
  <c r="B248" i="3" s="1"/>
  <c r="E247" i="3"/>
  <c r="D247" i="3"/>
  <c r="F247" i="3" s="1"/>
  <c r="A247" i="3"/>
  <c r="B247" i="3" s="1"/>
  <c r="E246" i="3"/>
  <c r="D246" i="3"/>
  <c r="F246" i="3" s="1"/>
  <c r="B246" i="3"/>
  <c r="A246" i="3"/>
  <c r="F245" i="3"/>
  <c r="E245" i="3"/>
  <c r="D245" i="3"/>
  <c r="A245" i="3"/>
  <c r="B245" i="3" s="1"/>
  <c r="F244" i="3"/>
  <c r="E244" i="3"/>
  <c r="D244" i="3"/>
  <c r="A244" i="3"/>
  <c r="B244" i="3" s="1"/>
  <c r="F243" i="3"/>
  <c r="E243" i="3"/>
  <c r="D243" i="3"/>
  <c r="A243" i="3"/>
  <c r="B243" i="3" s="1"/>
  <c r="E242" i="3"/>
  <c r="D242" i="3"/>
  <c r="F242" i="3" s="1"/>
  <c r="B242" i="3"/>
  <c r="A242" i="3"/>
  <c r="E241" i="3"/>
  <c r="D241" i="3"/>
  <c r="F241" i="3" s="1"/>
  <c r="A241" i="3"/>
  <c r="B241" i="3" s="1"/>
  <c r="F240" i="3"/>
  <c r="E240" i="3"/>
  <c r="D240" i="3"/>
  <c r="B240" i="3"/>
  <c r="A240" i="3"/>
  <c r="E239" i="3"/>
  <c r="D239" i="3"/>
  <c r="F239" i="3" s="1"/>
  <c r="A239" i="3"/>
  <c r="B239" i="3" s="1"/>
  <c r="F238" i="3"/>
  <c r="E238" i="3"/>
  <c r="D238" i="3"/>
  <c r="B238" i="3"/>
  <c r="A238" i="3"/>
  <c r="E237" i="3"/>
  <c r="D237" i="3"/>
  <c r="F237" i="3" s="1"/>
  <c r="A237" i="3"/>
  <c r="B237" i="3" s="1"/>
  <c r="F236" i="3"/>
  <c r="E236" i="3"/>
  <c r="D236" i="3"/>
  <c r="A236" i="3"/>
  <c r="B236" i="3" s="1"/>
  <c r="E235" i="3"/>
  <c r="D235" i="3"/>
  <c r="F235" i="3" s="1"/>
  <c r="A235" i="3"/>
  <c r="B235" i="3" s="1"/>
  <c r="E234" i="3"/>
  <c r="D234" i="3"/>
  <c r="F234" i="3" s="1"/>
  <c r="A234" i="3"/>
  <c r="B234" i="3" s="1"/>
  <c r="F233" i="3"/>
  <c r="E233" i="3"/>
  <c r="D233" i="3"/>
  <c r="B233" i="3"/>
  <c r="A233" i="3"/>
  <c r="F232" i="3"/>
  <c r="E232" i="3"/>
  <c r="D232" i="3"/>
  <c r="A232" i="3"/>
  <c r="B232" i="3" s="1"/>
  <c r="E231" i="3"/>
  <c r="D231" i="3"/>
  <c r="F231" i="3" s="1"/>
  <c r="B231" i="3"/>
  <c r="A231" i="3"/>
  <c r="E230" i="3"/>
  <c r="D230" i="3"/>
  <c r="F230" i="3" s="1"/>
  <c r="A230" i="3"/>
  <c r="B230" i="3" s="1"/>
  <c r="E229" i="3"/>
  <c r="D229" i="3"/>
  <c r="F229" i="3" s="1"/>
  <c r="A229" i="3"/>
  <c r="B229" i="3" s="1"/>
  <c r="F228" i="3"/>
  <c r="E228" i="3"/>
  <c r="D228" i="3"/>
  <c r="A228" i="3"/>
  <c r="B228" i="3" s="1"/>
  <c r="E227" i="3"/>
  <c r="D227" i="3"/>
  <c r="F227" i="3" s="1"/>
  <c r="B227" i="3"/>
  <c r="A227" i="3"/>
  <c r="E226" i="3"/>
  <c r="D226" i="3"/>
  <c r="F226" i="3" s="1"/>
  <c r="A226" i="3"/>
  <c r="B226" i="3" s="1"/>
  <c r="F225" i="3"/>
  <c r="E225" i="3"/>
  <c r="D225" i="3"/>
  <c r="B225" i="3"/>
  <c r="A225" i="3"/>
  <c r="E224" i="3"/>
  <c r="D224" i="3"/>
  <c r="F224" i="3" s="1"/>
  <c r="A224" i="3"/>
  <c r="B224" i="3" s="1"/>
  <c r="E223" i="3"/>
  <c r="D223" i="3"/>
  <c r="F223" i="3" s="1"/>
  <c r="B223" i="3"/>
  <c r="A223" i="3"/>
  <c r="E222" i="3"/>
  <c r="D222" i="3"/>
  <c r="F222" i="3" s="1"/>
  <c r="A222" i="3"/>
  <c r="B222" i="3" s="1"/>
  <c r="F221" i="3"/>
  <c r="E221" i="3"/>
  <c r="D221" i="3"/>
  <c r="A221" i="3"/>
  <c r="B221" i="3" s="1"/>
  <c r="F220" i="3"/>
  <c r="E220" i="3"/>
  <c r="D220" i="3"/>
  <c r="B220" i="3"/>
  <c r="A220" i="3"/>
  <c r="E219" i="3"/>
  <c r="D219" i="3"/>
  <c r="F219" i="3" s="1"/>
  <c r="B219" i="3"/>
  <c r="A219" i="3"/>
  <c r="F218" i="3"/>
  <c r="E218" i="3"/>
  <c r="D218" i="3"/>
  <c r="A218" i="3"/>
  <c r="B218" i="3" s="1"/>
  <c r="F217" i="3"/>
  <c r="E217" i="3"/>
  <c r="D217" i="3"/>
  <c r="A217" i="3"/>
  <c r="B217" i="3" s="1"/>
  <c r="F216" i="3"/>
  <c r="E216" i="3"/>
  <c r="D216" i="3"/>
  <c r="A216" i="3"/>
  <c r="B216" i="3" s="1"/>
  <c r="E215" i="3"/>
  <c r="D215" i="3"/>
  <c r="F215" i="3" s="1"/>
  <c r="B215" i="3"/>
  <c r="A215" i="3"/>
  <c r="E214" i="3"/>
  <c r="D214" i="3"/>
  <c r="F214" i="3" s="1"/>
  <c r="A214" i="3"/>
  <c r="B214" i="3" s="1"/>
  <c r="F213" i="3"/>
  <c r="E213" i="3"/>
  <c r="D213" i="3"/>
  <c r="A213" i="3"/>
  <c r="B213" i="3" s="1"/>
  <c r="F212" i="3"/>
  <c r="E212" i="3"/>
  <c r="D212" i="3"/>
  <c r="B212" i="3"/>
  <c r="A212" i="3"/>
  <c r="E211" i="3"/>
  <c r="D211" i="3"/>
  <c r="F211" i="3" s="1"/>
  <c r="B211" i="3"/>
  <c r="A211" i="3"/>
  <c r="F210" i="3"/>
  <c r="E210" i="3"/>
  <c r="D210" i="3"/>
  <c r="A210" i="3"/>
  <c r="B210" i="3" s="1"/>
  <c r="F209" i="3"/>
  <c r="E209" i="3"/>
  <c r="D209" i="3"/>
  <c r="A209" i="3"/>
  <c r="B209" i="3" s="1"/>
  <c r="E208" i="3"/>
  <c r="D208" i="3"/>
  <c r="F208" i="3" s="1"/>
  <c r="A208" i="3"/>
  <c r="B208" i="3" s="1"/>
  <c r="E207" i="3"/>
  <c r="D207" i="3"/>
  <c r="F207" i="3" s="1"/>
  <c r="B207" i="3"/>
  <c r="A207" i="3"/>
  <c r="E206" i="3"/>
  <c r="D206" i="3"/>
  <c r="F206" i="3" s="1"/>
  <c r="A206" i="3"/>
  <c r="B206" i="3" s="1"/>
  <c r="F205" i="3"/>
  <c r="E205" i="3"/>
  <c r="D205" i="3"/>
  <c r="A205" i="3"/>
  <c r="B205" i="3" s="1"/>
  <c r="F204" i="3"/>
  <c r="E204" i="3"/>
  <c r="D204" i="3"/>
  <c r="B204" i="3"/>
  <c r="A204" i="3"/>
  <c r="E203" i="3"/>
  <c r="D203" i="3"/>
  <c r="F203" i="3" s="1"/>
  <c r="B203" i="3"/>
  <c r="A203" i="3"/>
  <c r="F202" i="3"/>
  <c r="E202" i="3"/>
  <c r="D202" i="3"/>
  <c r="A202" i="3"/>
  <c r="B202" i="3" s="1"/>
  <c r="F201" i="3"/>
  <c r="E201" i="3"/>
  <c r="D201" i="3"/>
  <c r="B201" i="3"/>
  <c r="A201" i="3"/>
  <c r="E200" i="3"/>
  <c r="D200" i="3"/>
  <c r="F200" i="3" s="1"/>
  <c r="A200" i="3"/>
  <c r="B200" i="3" s="1"/>
  <c r="E199" i="3"/>
  <c r="D199" i="3"/>
  <c r="F199" i="3" s="1"/>
  <c r="B199" i="3"/>
  <c r="A199" i="3"/>
  <c r="E198" i="3"/>
  <c r="D198" i="3"/>
  <c r="F198" i="3" s="1"/>
  <c r="A198" i="3"/>
  <c r="B198" i="3" s="1"/>
  <c r="F197" i="3"/>
  <c r="E197" i="3"/>
  <c r="D197" i="3"/>
  <c r="A197" i="3"/>
  <c r="B197" i="3" s="1"/>
  <c r="F196" i="3"/>
  <c r="E196" i="3"/>
  <c r="D196" i="3"/>
  <c r="B196" i="3"/>
  <c r="A196" i="3"/>
  <c r="E195" i="3"/>
  <c r="D195" i="3"/>
  <c r="F195" i="3" s="1"/>
  <c r="B195" i="3"/>
  <c r="A195" i="3"/>
  <c r="F194" i="3"/>
  <c r="E194" i="3"/>
  <c r="D194" i="3"/>
  <c r="A194" i="3"/>
  <c r="B194" i="3" s="1"/>
  <c r="F193" i="3"/>
  <c r="E193" i="3"/>
  <c r="D193" i="3"/>
  <c r="B193" i="3"/>
  <c r="A193" i="3"/>
  <c r="E192" i="3"/>
  <c r="D192" i="3"/>
  <c r="F192" i="3" s="1"/>
  <c r="A192" i="3"/>
  <c r="B192" i="3" s="1"/>
  <c r="E191" i="3"/>
  <c r="D191" i="3"/>
  <c r="F191" i="3" s="1"/>
  <c r="B191" i="3"/>
  <c r="A191" i="3"/>
  <c r="E190" i="3"/>
  <c r="D190" i="3"/>
  <c r="F190" i="3" s="1"/>
  <c r="A190" i="3"/>
  <c r="B190" i="3" s="1"/>
  <c r="F189" i="3"/>
  <c r="E189" i="3"/>
  <c r="D189" i="3"/>
  <c r="A189" i="3"/>
  <c r="B189" i="3" s="1"/>
  <c r="F188" i="3"/>
  <c r="E188" i="3"/>
  <c r="D188" i="3"/>
  <c r="B188" i="3"/>
  <c r="A188" i="3"/>
  <c r="E187" i="3"/>
  <c r="D187" i="3"/>
  <c r="F187" i="3" s="1"/>
  <c r="B187" i="3"/>
  <c r="A187" i="3"/>
  <c r="F186" i="3"/>
  <c r="E186" i="3"/>
  <c r="D186" i="3"/>
  <c r="A186" i="3"/>
  <c r="B186" i="3" s="1"/>
  <c r="F185" i="3"/>
  <c r="E185" i="3"/>
  <c r="D185" i="3"/>
  <c r="B185" i="3"/>
  <c r="A185" i="3"/>
  <c r="E184" i="3"/>
  <c r="D184" i="3"/>
  <c r="F184" i="3" s="1"/>
  <c r="A184" i="3"/>
  <c r="B184" i="3" s="1"/>
  <c r="E183" i="3"/>
  <c r="D183" i="3"/>
  <c r="F183" i="3" s="1"/>
  <c r="B183" i="3"/>
  <c r="A183" i="3"/>
  <c r="E182" i="3"/>
  <c r="D182" i="3"/>
  <c r="F182" i="3" s="1"/>
  <c r="A182" i="3"/>
  <c r="B182" i="3" s="1"/>
  <c r="F181" i="3"/>
  <c r="E181" i="3"/>
  <c r="D181" i="3"/>
  <c r="A181" i="3"/>
  <c r="B181" i="3" s="1"/>
  <c r="F180" i="3"/>
  <c r="E180" i="3"/>
  <c r="D180" i="3"/>
  <c r="B180" i="3"/>
  <c r="A180" i="3"/>
  <c r="E179" i="3"/>
  <c r="D179" i="3"/>
  <c r="F179" i="3" s="1"/>
  <c r="B179" i="3"/>
  <c r="A179" i="3"/>
  <c r="F178" i="3"/>
  <c r="E178" i="3"/>
  <c r="D178" i="3"/>
  <c r="A178" i="3"/>
  <c r="B178" i="3" s="1"/>
  <c r="F177" i="3"/>
  <c r="E177" i="3"/>
  <c r="D177" i="3"/>
  <c r="B177" i="3"/>
  <c r="A177" i="3"/>
  <c r="E176" i="3"/>
  <c r="D176" i="3"/>
  <c r="F176" i="3" s="1"/>
  <c r="A176" i="3"/>
  <c r="B176" i="3" s="1"/>
  <c r="E175" i="3"/>
  <c r="D175" i="3"/>
  <c r="F175" i="3" s="1"/>
  <c r="B175" i="3"/>
  <c r="A175" i="3"/>
  <c r="E174" i="3"/>
  <c r="D174" i="3"/>
  <c r="F174" i="3" s="1"/>
  <c r="A174" i="3"/>
  <c r="B174" i="3" s="1"/>
  <c r="F173" i="3"/>
  <c r="E173" i="3"/>
  <c r="D173" i="3"/>
  <c r="A173" i="3"/>
  <c r="B173" i="3" s="1"/>
  <c r="F172" i="3"/>
  <c r="E172" i="3"/>
  <c r="D172" i="3"/>
  <c r="B172" i="3"/>
  <c r="A172" i="3"/>
  <c r="E171" i="3"/>
  <c r="D171" i="3"/>
  <c r="F171" i="3" s="1"/>
  <c r="B171" i="3"/>
  <c r="A171" i="3"/>
  <c r="F170" i="3"/>
  <c r="E170" i="3"/>
  <c r="D170" i="3"/>
  <c r="A170" i="3"/>
  <c r="B170" i="3" s="1"/>
  <c r="F169" i="3"/>
  <c r="E169" i="3"/>
  <c r="D169" i="3"/>
  <c r="B169" i="3"/>
  <c r="A169" i="3"/>
  <c r="F168" i="3"/>
  <c r="E168" i="3"/>
  <c r="D168" i="3"/>
  <c r="A168" i="3"/>
  <c r="B168" i="3" s="1"/>
  <c r="E167" i="3"/>
  <c r="D167" i="3"/>
  <c r="F167" i="3" s="1"/>
  <c r="B167" i="3"/>
  <c r="A167" i="3"/>
  <c r="E166" i="3"/>
  <c r="D166" i="3"/>
  <c r="F166" i="3" s="1"/>
  <c r="A166" i="3"/>
  <c r="B166" i="3" s="1"/>
  <c r="F165" i="3"/>
  <c r="E165" i="3"/>
  <c r="D165" i="3"/>
  <c r="A165" i="3"/>
  <c r="B165" i="3" s="1"/>
  <c r="F164" i="3"/>
  <c r="E164" i="3"/>
  <c r="D164" i="3"/>
  <c r="B164" i="3"/>
  <c r="A164" i="3"/>
  <c r="E163" i="3"/>
  <c r="D163" i="3"/>
  <c r="F163" i="3" s="1"/>
  <c r="B163" i="3"/>
  <c r="A163" i="3"/>
  <c r="F162" i="3"/>
  <c r="E162" i="3"/>
  <c r="D162" i="3"/>
  <c r="A162" i="3"/>
  <c r="B162" i="3" s="1"/>
  <c r="F161" i="3"/>
  <c r="E161" i="3"/>
  <c r="D161" i="3"/>
  <c r="B161" i="3"/>
  <c r="A161" i="3"/>
  <c r="F160" i="3"/>
  <c r="E160" i="3"/>
  <c r="D160" i="3"/>
  <c r="A160" i="3"/>
  <c r="B160" i="3" s="1"/>
  <c r="E159" i="3"/>
  <c r="D159" i="3"/>
  <c r="F159" i="3" s="1"/>
  <c r="B159" i="3"/>
  <c r="A159" i="3"/>
  <c r="E158" i="3"/>
  <c r="D158" i="3"/>
  <c r="F158" i="3" s="1"/>
  <c r="A158" i="3"/>
  <c r="B158" i="3" s="1"/>
  <c r="F157" i="3"/>
  <c r="E157" i="3"/>
  <c r="D157" i="3"/>
  <c r="A157" i="3"/>
  <c r="B157" i="3" s="1"/>
  <c r="F156" i="3"/>
  <c r="E156" i="3"/>
  <c r="D156" i="3"/>
  <c r="B156" i="3"/>
  <c r="A156" i="3"/>
  <c r="E155" i="3"/>
  <c r="D155" i="3"/>
  <c r="F155" i="3" s="1"/>
  <c r="B155" i="3"/>
  <c r="A155" i="3"/>
  <c r="F154" i="3"/>
  <c r="E154" i="3"/>
  <c r="D154" i="3"/>
  <c r="A154" i="3"/>
  <c r="B154" i="3" s="1"/>
  <c r="F153" i="3"/>
  <c r="E153" i="3"/>
  <c r="D153" i="3"/>
  <c r="A153" i="3"/>
  <c r="B153" i="3" s="1"/>
  <c r="F152" i="3"/>
  <c r="E152" i="3"/>
  <c r="D152" i="3"/>
  <c r="A152" i="3"/>
  <c r="B152" i="3" s="1"/>
  <c r="E151" i="3"/>
  <c r="D151" i="3"/>
  <c r="F151" i="3" s="1"/>
  <c r="B151" i="3"/>
  <c r="A151" i="3"/>
  <c r="E150" i="3"/>
  <c r="D150" i="3"/>
  <c r="F150" i="3" s="1"/>
  <c r="A150" i="3"/>
  <c r="B150" i="3" s="1"/>
  <c r="F149" i="3"/>
  <c r="E149" i="3"/>
  <c r="D149" i="3"/>
  <c r="A149" i="3"/>
  <c r="B149" i="3" s="1"/>
  <c r="F148" i="3"/>
  <c r="E148" i="3"/>
  <c r="D148" i="3"/>
  <c r="B148" i="3"/>
  <c r="A148" i="3"/>
  <c r="E147" i="3"/>
  <c r="D147" i="3"/>
  <c r="F147" i="3" s="1"/>
  <c r="B147" i="3"/>
  <c r="A147" i="3"/>
  <c r="F146" i="3"/>
  <c r="E146" i="3"/>
  <c r="D146" i="3"/>
  <c r="B146" i="3"/>
  <c r="A146" i="3"/>
  <c r="F145" i="3"/>
  <c r="E145" i="3"/>
  <c r="D145" i="3"/>
  <c r="A145" i="3"/>
  <c r="B145" i="3" s="1"/>
  <c r="F144" i="3"/>
  <c r="E144" i="3"/>
  <c r="D144" i="3"/>
  <c r="A144" i="3"/>
  <c r="B144" i="3" s="1"/>
  <c r="E143" i="3"/>
  <c r="D143" i="3"/>
  <c r="F143" i="3" s="1"/>
  <c r="B143" i="3"/>
  <c r="A143" i="3"/>
  <c r="E142" i="3"/>
  <c r="D142" i="3"/>
  <c r="F142" i="3" s="1"/>
  <c r="A142" i="3"/>
  <c r="B142" i="3" s="1"/>
  <c r="F141" i="3"/>
  <c r="E141" i="3"/>
  <c r="D141" i="3"/>
  <c r="A141" i="3"/>
  <c r="B141" i="3" s="1"/>
  <c r="F140" i="3"/>
  <c r="E140" i="3"/>
  <c r="D140" i="3"/>
  <c r="B140" i="3"/>
  <c r="A140" i="3"/>
  <c r="E139" i="3"/>
  <c r="D139" i="3"/>
  <c r="F139" i="3" s="1"/>
  <c r="B139" i="3"/>
  <c r="A139" i="3"/>
  <c r="F138" i="3"/>
  <c r="E138" i="3"/>
  <c r="D138" i="3"/>
  <c r="B138" i="3"/>
  <c r="A138" i="3"/>
  <c r="F137" i="3"/>
  <c r="E137" i="3"/>
  <c r="D137" i="3"/>
  <c r="A137" i="3"/>
  <c r="B137" i="3" s="1"/>
  <c r="F136" i="3"/>
  <c r="E136" i="3"/>
  <c r="D136" i="3"/>
  <c r="A136" i="3"/>
  <c r="B136" i="3" s="1"/>
  <c r="E135" i="3"/>
  <c r="D135" i="3"/>
  <c r="F135" i="3" s="1"/>
  <c r="B135" i="3"/>
  <c r="A135" i="3"/>
  <c r="E134" i="3"/>
  <c r="D134" i="3"/>
  <c r="F134" i="3" s="1"/>
  <c r="A134" i="3"/>
  <c r="B134" i="3" s="1"/>
  <c r="F133" i="3"/>
  <c r="E133" i="3"/>
  <c r="D133" i="3"/>
  <c r="A133" i="3"/>
  <c r="B133" i="3" s="1"/>
  <c r="F132" i="3"/>
  <c r="E132" i="3"/>
  <c r="D132" i="3"/>
  <c r="B132" i="3"/>
  <c r="A132" i="3"/>
  <c r="E131" i="3"/>
  <c r="D131" i="3"/>
  <c r="F131" i="3" s="1"/>
  <c r="B131" i="3"/>
  <c r="A131" i="3"/>
  <c r="E130" i="3"/>
  <c r="D130" i="3"/>
  <c r="F130" i="3" s="1"/>
  <c r="B130" i="3"/>
  <c r="A130" i="3"/>
  <c r="F129" i="3"/>
  <c r="E129" i="3"/>
  <c r="D129" i="3"/>
  <c r="A129" i="3"/>
  <c r="B129" i="3" s="1"/>
  <c r="F128" i="3"/>
  <c r="E128" i="3"/>
  <c r="D128" i="3"/>
  <c r="A128" i="3"/>
  <c r="B128" i="3" s="1"/>
  <c r="E127" i="3"/>
  <c r="D127" i="3"/>
  <c r="F127" i="3" s="1"/>
  <c r="B127" i="3"/>
  <c r="A127" i="3"/>
  <c r="E126" i="3"/>
  <c r="D126" i="3"/>
  <c r="F126" i="3" s="1"/>
  <c r="A126" i="3"/>
  <c r="B126" i="3" s="1"/>
  <c r="F125" i="3"/>
  <c r="E125" i="3"/>
  <c r="D125" i="3"/>
  <c r="A125" i="3"/>
  <c r="B125" i="3" s="1"/>
  <c r="F124" i="3"/>
  <c r="E124" i="3"/>
  <c r="D124" i="3"/>
  <c r="B124" i="3"/>
  <c r="A124" i="3"/>
  <c r="E123" i="3"/>
  <c r="D123" i="3"/>
  <c r="F123" i="3" s="1"/>
  <c r="B123" i="3"/>
  <c r="A123" i="3"/>
  <c r="F122" i="3"/>
  <c r="E122" i="3"/>
  <c r="D122" i="3"/>
  <c r="B122" i="3"/>
  <c r="A122" i="3"/>
  <c r="F121" i="3"/>
  <c r="E121" i="3"/>
  <c r="D121" i="3"/>
  <c r="A121" i="3"/>
  <c r="B121" i="3" s="1"/>
  <c r="F120" i="3"/>
  <c r="E120" i="3"/>
  <c r="D120" i="3"/>
  <c r="A120" i="3"/>
  <c r="B120" i="3" s="1"/>
  <c r="E119" i="3"/>
  <c r="D119" i="3"/>
  <c r="F119" i="3" s="1"/>
  <c r="B119" i="3"/>
  <c r="A119" i="3"/>
  <c r="E118" i="3"/>
  <c r="D118" i="3"/>
  <c r="F118" i="3" s="1"/>
  <c r="A118" i="3"/>
  <c r="B118" i="3" s="1"/>
  <c r="F117" i="3"/>
  <c r="E117" i="3"/>
  <c r="D117" i="3"/>
  <c r="A117" i="3"/>
  <c r="B117" i="3" s="1"/>
  <c r="F116" i="3"/>
  <c r="E116" i="3"/>
  <c r="D116" i="3"/>
  <c r="B116" i="3"/>
  <c r="A116" i="3"/>
  <c r="E115" i="3"/>
  <c r="D115" i="3"/>
  <c r="F115" i="3" s="1"/>
  <c r="B115" i="3"/>
  <c r="A115" i="3"/>
  <c r="E114" i="3"/>
  <c r="D114" i="3"/>
  <c r="F114" i="3" s="1"/>
  <c r="B114" i="3"/>
  <c r="A114" i="3"/>
  <c r="F113" i="3"/>
  <c r="E113" i="3"/>
  <c r="D113" i="3"/>
  <c r="A113" i="3"/>
  <c r="B113" i="3" s="1"/>
  <c r="F112" i="3"/>
  <c r="E112" i="3"/>
  <c r="D112" i="3"/>
  <c r="A112" i="3"/>
  <c r="B112" i="3" s="1"/>
  <c r="E111" i="3"/>
  <c r="D111" i="3"/>
  <c r="F111" i="3" s="1"/>
  <c r="B111" i="3"/>
  <c r="A111" i="3"/>
  <c r="E110" i="3"/>
  <c r="D110" i="3"/>
  <c r="F110" i="3" s="1"/>
  <c r="A110" i="3"/>
  <c r="B110" i="3" s="1"/>
  <c r="F109" i="3"/>
  <c r="E109" i="3"/>
  <c r="D109" i="3"/>
  <c r="A109" i="3"/>
  <c r="B109" i="3" s="1"/>
  <c r="F108" i="3"/>
  <c r="E108" i="3"/>
  <c r="D108" i="3"/>
  <c r="B108" i="3"/>
  <c r="A108" i="3"/>
  <c r="E107" i="3"/>
  <c r="D107" i="3"/>
  <c r="F107" i="3" s="1"/>
  <c r="B107" i="3"/>
  <c r="A107" i="3"/>
  <c r="E106" i="3"/>
  <c r="D106" i="3"/>
  <c r="F106" i="3" s="1"/>
  <c r="B106" i="3"/>
  <c r="A106" i="3"/>
  <c r="F105" i="3"/>
  <c r="E105" i="3"/>
  <c r="D105" i="3"/>
  <c r="A105" i="3"/>
  <c r="B105" i="3" s="1"/>
  <c r="F104" i="3"/>
  <c r="E104" i="3"/>
  <c r="D104" i="3"/>
  <c r="A104" i="3"/>
  <c r="B104" i="3" s="1"/>
  <c r="E103" i="3"/>
  <c r="D103" i="3"/>
  <c r="F103" i="3" s="1"/>
  <c r="B103" i="3"/>
  <c r="A103" i="3"/>
  <c r="E102" i="3"/>
  <c r="D102" i="3"/>
  <c r="F102" i="3" s="1"/>
  <c r="A102" i="3"/>
  <c r="B102" i="3" s="1"/>
  <c r="F101" i="3"/>
  <c r="E101" i="3"/>
  <c r="D101" i="3"/>
  <c r="A101" i="3"/>
  <c r="B101" i="3" s="1"/>
  <c r="F100" i="3"/>
  <c r="E100" i="3"/>
  <c r="D100" i="3"/>
  <c r="B100" i="3"/>
  <c r="A100" i="3"/>
  <c r="E99" i="3"/>
  <c r="D99" i="3"/>
  <c r="F99" i="3" s="1"/>
  <c r="B99" i="3"/>
  <c r="A99" i="3"/>
  <c r="E98" i="3"/>
  <c r="D98" i="3"/>
  <c r="F98" i="3" s="1"/>
  <c r="B98" i="3"/>
  <c r="A98" i="3"/>
  <c r="F97" i="3"/>
  <c r="E97" i="3"/>
  <c r="D97" i="3"/>
  <c r="A97" i="3"/>
  <c r="B97" i="3" s="1"/>
  <c r="F96" i="3"/>
  <c r="E96" i="3"/>
  <c r="D96" i="3"/>
  <c r="A96" i="3"/>
  <c r="B96" i="3" s="1"/>
  <c r="E95" i="3"/>
  <c r="D95" i="3"/>
  <c r="F95" i="3" s="1"/>
  <c r="B95" i="3"/>
  <c r="A95" i="3"/>
  <c r="E94" i="3"/>
  <c r="D94" i="3"/>
  <c r="F94" i="3" s="1"/>
  <c r="A94" i="3"/>
  <c r="B94" i="3" s="1"/>
  <c r="F93" i="3"/>
  <c r="E93" i="3"/>
  <c r="D93" i="3"/>
  <c r="A93" i="3"/>
  <c r="B93" i="3" s="1"/>
  <c r="F92" i="3"/>
  <c r="E92" i="3"/>
  <c r="D92" i="3"/>
  <c r="B92" i="3"/>
  <c r="A92" i="3"/>
  <c r="E91" i="3"/>
  <c r="D91" i="3"/>
  <c r="F91" i="3" s="1"/>
  <c r="B91" i="3"/>
  <c r="A91" i="3"/>
  <c r="E90" i="3"/>
  <c r="D90" i="3"/>
  <c r="F90" i="3" s="1"/>
  <c r="B90" i="3"/>
  <c r="A90" i="3"/>
  <c r="F89" i="3"/>
  <c r="E89" i="3"/>
  <c r="D89" i="3"/>
  <c r="A89" i="3"/>
  <c r="B89" i="3" s="1"/>
  <c r="F88" i="3"/>
  <c r="E88" i="3"/>
  <c r="D88" i="3"/>
  <c r="A88" i="3"/>
  <c r="B88" i="3" s="1"/>
  <c r="E87" i="3"/>
  <c r="D87" i="3"/>
  <c r="F87" i="3" s="1"/>
  <c r="B87" i="3"/>
  <c r="A87" i="3"/>
  <c r="E86" i="3"/>
  <c r="D86" i="3"/>
  <c r="F86" i="3" s="1"/>
  <c r="A86" i="3"/>
  <c r="B86" i="3" s="1"/>
  <c r="F85" i="3"/>
  <c r="E85" i="3"/>
  <c r="D85" i="3"/>
  <c r="A85" i="3"/>
  <c r="B85" i="3" s="1"/>
  <c r="F84" i="3"/>
  <c r="E84" i="3"/>
  <c r="D84" i="3"/>
  <c r="B84" i="3"/>
  <c r="A84" i="3"/>
  <c r="E83" i="3"/>
  <c r="D83" i="3"/>
  <c r="F83" i="3" s="1"/>
  <c r="B83" i="3"/>
  <c r="A83" i="3"/>
  <c r="E82" i="3"/>
  <c r="D82" i="3"/>
  <c r="F82" i="3" s="1"/>
  <c r="B82" i="3"/>
  <c r="A82" i="3"/>
  <c r="F81" i="3"/>
  <c r="E81" i="3"/>
  <c r="D81" i="3"/>
  <c r="A81" i="3"/>
  <c r="B81" i="3" s="1"/>
  <c r="F80" i="3"/>
  <c r="E80" i="3"/>
  <c r="D80" i="3"/>
  <c r="A80" i="3"/>
  <c r="B80" i="3" s="1"/>
  <c r="E79" i="3"/>
  <c r="D79" i="3"/>
  <c r="F79" i="3" s="1"/>
  <c r="B79" i="3"/>
  <c r="A79" i="3"/>
  <c r="E78" i="3"/>
  <c r="D78" i="3"/>
  <c r="F78" i="3" s="1"/>
  <c r="A78" i="3"/>
  <c r="B78" i="3" s="1"/>
  <c r="F77" i="3"/>
  <c r="E77" i="3"/>
  <c r="D77" i="3"/>
  <c r="A77" i="3"/>
  <c r="B77" i="3" s="1"/>
  <c r="F76" i="3"/>
  <c r="E76" i="3"/>
  <c r="D76" i="3"/>
  <c r="B76" i="3"/>
  <c r="A76" i="3"/>
  <c r="E75" i="3"/>
  <c r="D75" i="3"/>
  <c r="F75" i="3" s="1"/>
  <c r="B75" i="3"/>
  <c r="A75" i="3"/>
  <c r="E74" i="3"/>
  <c r="D74" i="3"/>
  <c r="F74" i="3" s="1"/>
  <c r="B74" i="3"/>
  <c r="A74" i="3"/>
  <c r="F73" i="3"/>
  <c r="E73" i="3"/>
  <c r="D73" i="3"/>
  <c r="A73" i="3"/>
  <c r="B73" i="3" s="1"/>
  <c r="F72" i="3"/>
  <c r="E72" i="3"/>
  <c r="D72" i="3"/>
  <c r="A72" i="3"/>
  <c r="B72" i="3" s="1"/>
  <c r="E71" i="3"/>
  <c r="D71" i="3"/>
  <c r="F71" i="3" s="1"/>
  <c r="B71" i="3"/>
  <c r="A71" i="3"/>
  <c r="E70" i="3"/>
  <c r="D70" i="3"/>
  <c r="F70" i="3" s="1"/>
  <c r="A70" i="3"/>
  <c r="B70" i="3" s="1"/>
  <c r="F69" i="3"/>
  <c r="E69" i="3"/>
  <c r="D69" i="3"/>
  <c r="A69" i="3"/>
  <c r="B69" i="3" s="1"/>
  <c r="F68" i="3"/>
  <c r="E68" i="3"/>
  <c r="D68" i="3"/>
  <c r="B68" i="3"/>
  <c r="A68" i="3"/>
  <c r="E67" i="3"/>
  <c r="D67" i="3"/>
  <c r="F67" i="3" s="1"/>
  <c r="B67" i="3"/>
  <c r="A67" i="3"/>
  <c r="E66" i="3"/>
  <c r="D66" i="3"/>
  <c r="F66" i="3" s="1"/>
  <c r="B66" i="3"/>
  <c r="A66" i="3"/>
  <c r="F65" i="3"/>
  <c r="E65" i="3"/>
  <c r="D65" i="3"/>
  <c r="A65" i="3"/>
  <c r="B65" i="3" s="1"/>
  <c r="F64" i="3"/>
  <c r="E64" i="3"/>
  <c r="D64" i="3"/>
  <c r="A64" i="3"/>
  <c r="B64" i="3" s="1"/>
  <c r="E63" i="3"/>
  <c r="D63" i="3"/>
  <c r="F63" i="3" s="1"/>
  <c r="B63" i="3"/>
  <c r="A63" i="3"/>
  <c r="E62" i="3"/>
  <c r="D62" i="3"/>
  <c r="F62" i="3" s="1"/>
  <c r="A62" i="3"/>
  <c r="B62" i="3" s="1"/>
  <c r="F61" i="3"/>
  <c r="E61" i="3"/>
  <c r="D61" i="3"/>
  <c r="A61" i="3"/>
  <c r="B61" i="3" s="1"/>
  <c r="F60" i="3"/>
  <c r="E60" i="3"/>
  <c r="D60" i="3"/>
  <c r="B60" i="3"/>
  <c r="A60" i="3"/>
  <c r="E59" i="3"/>
  <c r="D59" i="3"/>
  <c r="F59" i="3" s="1"/>
  <c r="B59" i="3"/>
  <c r="A59" i="3"/>
  <c r="E58" i="3"/>
  <c r="D58" i="3"/>
  <c r="F58" i="3" s="1"/>
  <c r="B58" i="3"/>
  <c r="A58" i="3"/>
  <c r="F57" i="3"/>
  <c r="E57" i="3"/>
  <c r="D57" i="3"/>
  <c r="A57" i="3"/>
  <c r="B57" i="3" s="1"/>
  <c r="F56" i="3"/>
  <c r="E56" i="3"/>
  <c r="D56" i="3"/>
  <c r="A56" i="3"/>
  <c r="B56" i="3" s="1"/>
  <c r="E55" i="3"/>
  <c r="D55" i="3"/>
  <c r="F55" i="3" s="1"/>
  <c r="B55" i="3"/>
  <c r="A55" i="3"/>
  <c r="E54" i="3"/>
  <c r="D54" i="3"/>
  <c r="F54" i="3" s="1"/>
  <c r="A54" i="3"/>
  <c r="B54" i="3" s="1"/>
  <c r="F53" i="3"/>
  <c r="E53" i="3"/>
  <c r="D53" i="3"/>
  <c r="A53" i="3"/>
  <c r="B53" i="3" s="1"/>
  <c r="F52" i="3"/>
  <c r="E52" i="3"/>
  <c r="D52" i="3"/>
  <c r="B52" i="3"/>
  <c r="A52" i="3"/>
  <c r="E51" i="3"/>
  <c r="D51" i="3"/>
  <c r="F51" i="3" s="1"/>
  <c r="B51" i="3"/>
  <c r="A51" i="3"/>
  <c r="E50" i="3"/>
  <c r="D50" i="3"/>
  <c r="F50" i="3" s="1"/>
  <c r="B50" i="3"/>
  <c r="A50" i="3"/>
  <c r="F49" i="3"/>
  <c r="E49" i="3"/>
  <c r="D49" i="3"/>
  <c r="A49" i="3"/>
  <c r="B49" i="3" s="1"/>
  <c r="F48" i="3"/>
  <c r="E48" i="3"/>
  <c r="D48" i="3"/>
  <c r="A48" i="3"/>
  <c r="B48" i="3" s="1"/>
  <c r="E47" i="3"/>
  <c r="D47" i="3"/>
  <c r="F47" i="3" s="1"/>
  <c r="B47" i="3"/>
  <c r="A47" i="3"/>
  <c r="E46" i="3"/>
  <c r="D46" i="3"/>
  <c r="F46" i="3" s="1"/>
  <c r="A46" i="3"/>
  <c r="B46" i="3" s="1"/>
  <c r="F45" i="3"/>
  <c r="E45" i="3"/>
  <c r="D45" i="3"/>
  <c r="A45" i="3"/>
  <c r="B45" i="3" s="1"/>
  <c r="F44" i="3"/>
  <c r="E44" i="3"/>
  <c r="D44" i="3"/>
  <c r="A44" i="3"/>
  <c r="B44" i="3" s="1"/>
  <c r="E43" i="3"/>
  <c r="D43" i="3"/>
  <c r="F43" i="3" s="1"/>
  <c r="B43" i="3"/>
  <c r="A43" i="3"/>
  <c r="E42" i="3"/>
  <c r="D42" i="3"/>
  <c r="F42" i="3" s="1"/>
  <c r="B42" i="3"/>
  <c r="A42" i="3"/>
  <c r="F41" i="3"/>
  <c r="E41" i="3"/>
  <c r="D41" i="3"/>
  <c r="A41" i="3"/>
  <c r="B41" i="3" s="1"/>
  <c r="F40" i="3"/>
  <c r="E40" i="3"/>
  <c r="D40" i="3"/>
  <c r="A40" i="3"/>
  <c r="B40" i="3" s="1"/>
  <c r="E39" i="3"/>
  <c r="D39" i="3"/>
  <c r="F39" i="3" s="1"/>
  <c r="B39" i="3"/>
  <c r="A39" i="3"/>
  <c r="E38" i="3"/>
  <c r="D38" i="3"/>
  <c r="F38" i="3" s="1"/>
  <c r="A38" i="3"/>
  <c r="B38" i="3" s="1"/>
  <c r="F37" i="3"/>
  <c r="E37" i="3"/>
  <c r="D37" i="3"/>
  <c r="A37" i="3"/>
  <c r="B37" i="3" s="1"/>
  <c r="F36" i="3"/>
  <c r="E36" i="3"/>
  <c r="D36" i="3"/>
  <c r="A36" i="3"/>
  <c r="B36" i="3" s="1"/>
  <c r="E35" i="3"/>
  <c r="D35" i="3"/>
  <c r="F35" i="3" s="1"/>
  <c r="B35" i="3"/>
  <c r="A35" i="3"/>
  <c r="E34" i="3"/>
  <c r="D34" i="3"/>
  <c r="F34" i="3" s="1"/>
  <c r="A34" i="3"/>
  <c r="B34" i="3" s="1"/>
  <c r="F33" i="3"/>
  <c r="E33" i="3"/>
  <c r="D33" i="3"/>
  <c r="A33" i="3"/>
  <c r="B33" i="3" s="1"/>
  <c r="F32" i="3"/>
  <c r="E32" i="3"/>
  <c r="D32" i="3"/>
  <c r="A32" i="3"/>
  <c r="B32" i="3" s="1"/>
  <c r="E31" i="3"/>
  <c r="D31" i="3"/>
  <c r="F31" i="3" s="1"/>
  <c r="B31" i="3"/>
  <c r="A31" i="3"/>
  <c r="E30" i="3"/>
  <c r="D30" i="3"/>
  <c r="F30" i="3" s="1"/>
  <c r="A30" i="3"/>
  <c r="B30" i="3" s="1"/>
  <c r="F29" i="3"/>
  <c r="E29" i="3"/>
  <c r="D29" i="3"/>
  <c r="A29" i="3"/>
  <c r="B29" i="3" s="1"/>
  <c r="F28" i="3"/>
  <c r="E28" i="3"/>
  <c r="D28" i="3"/>
  <c r="A28" i="3"/>
  <c r="B28" i="3" s="1"/>
  <c r="E27" i="3"/>
  <c r="D27" i="3"/>
  <c r="F27" i="3" s="1"/>
  <c r="B27" i="3"/>
  <c r="A27" i="3"/>
  <c r="E26" i="3"/>
  <c r="D26" i="3"/>
  <c r="F26" i="3" s="1"/>
  <c r="B26" i="3"/>
  <c r="A26" i="3"/>
  <c r="F25" i="3"/>
  <c r="E25" i="3"/>
  <c r="D25" i="3"/>
  <c r="A25" i="3"/>
  <c r="B25" i="3" s="1"/>
  <c r="F24" i="3"/>
  <c r="E24" i="3"/>
  <c r="D24" i="3"/>
  <c r="A24" i="3"/>
  <c r="B24" i="3" s="1"/>
  <c r="E23" i="3"/>
  <c r="D23" i="3"/>
  <c r="F23" i="3" s="1"/>
  <c r="B23" i="3"/>
  <c r="A23" i="3"/>
  <c r="E22" i="3"/>
  <c r="D22" i="3"/>
  <c r="F22" i="3" s="1"/>
  <c r="A22" i="3"/>
  <c r="B22" i="3" s="1"/>
  <c r="F21" i="3"/>
  <c r="E21" i="3"/>
  <c r="D21" i="3"/>
  <c r="A21" i="3"/>
  <c r="B21" i="3" s="1"/>
  <c r="F20" i="3"/>
  <c r="E20" i="3"/>
  <c r="D20" i="3"/>
  <c r="A20" i="3"/>
  <c r="B20" i="3" s="1"/>
  <c r="E19" i="3"/>
  <c r="D19" i="3"/>
  <c r="F19" i="3" s="1"/>
  <c r="B19" i="3"/>
  <c r="A19" i="3"/>
  <c r="E18" i="3"/>
  <c r="D18" i="3"/>
  <c r="F18" i="3" s="1"/>
  <c r="A18" i="3"/>
  <c r="B18" i="3" s="1"/>
  <c r="F17" i="3"/>
  <c r="E17" i="3"/>
  <c r="D17" i="3"/>
  <c r="A17" i="3"/>
  <c r="B17" i="3" s="1"/>
  <c r="F16" i="3"/>
  <c r="E16" i="3"/>
  <c r="D16" i="3"/>
  <c r="A16" i="3"/>
  <c r="B16" i="3" s="1"/>
  <c r="E15" i="3"/>
  <c r="D15" i="3"/>
  <c r="F15" i="3" s="1"/>
  <c r="B15" i="3"/>
  <c r="A15" i="3"/>
  <c r="E14" i="3"/>
  <c r="D14" i="3"/>
  <c r="F14" i="3" s="1"/>
  <c r="A14" i="3"/>
  <c r="B14" i="3" s="1"/>
  <c r="F13" i="3"/>
  <c r="E13" i="3"/>
  <c r="D13" i="3"/>
  <c r="A13" i="3"/>
  <c r="B13" i="3" s="1"/>
  <c r="F12" i="3"/>
  <c r="E12" i="3"/>
  <c r="D12" i="3"/>
  <c r="A12" i="3"/>
  <c r="B12" i="3" s="1"/>
  <c r="E11" i="3"/>
  <c r="D11" i="3"/>
  <c r="F11" i="3" s="1"/>
  <c r="B11" i="3"/>
  <c r="A11" i="3"/>
  <c r="E10" i="3"/>
  <c r="D10" i="3"/>
  <c r="F10" i="3" s="1"/>
  <c r="A10" i="3"/>
  <c r="B10" i="3" s="1"/>
  <c r="F9" i="3"/>
  <c r="E9" i="3"/>
  <c r="D9" i="3"/>
  <c r="A9" i="3"/>
  <c r="B9" i="3" s="1"/>
  <c r="F8" i="3"/>
  <c r="E8" i="3"/>
  <c r="D8" i="3"/>
  <c r="A8" i="3"/>
  <c r="B8" i="3" s="1"/>
  <c r="E7" i="3"/>
  <c r="D7" i="3"/>
  <c r="F7" i="3" s="1"/>
  <c r="B7" i="3"/>
  <c r="A7" i="3"/>
  <c r="E6" i="3"/>
  <c r="D6" i="3"/>
  <c r="F6" i="3" s="1"/>
  <c r="A6" i="3"/>
  <c r="B6" i="3" s="1"/>
  <c r="F5" i="3"/>
  <c r="E5" i="3"/>
  <c r="D5" i="3"/>
  <c r="A5" i="3"/>
  <c r="B5" i="3" s="1"/>
  <c r="F4" i="3"/>
  <c r="E4" i="3"/>
  <c r="D4" i="3"/>
  <c r="A4" i="3"/>
  <c r="B4" i="3" s="1"/>
  <c r="E3" i="3"/>
  <c r="D3" i="3"/>
  <c r="F3" i="3" s="1"/>
  <c r="B3" i="3"/>
  <c r="A3" i="3"/>
  <c r="E2" i="3"/>
  <c r="D2" i="3"/>
  <c r="F2" i="3" s="1"/>
  <c r="A2" i="3"/>
  <c r="B2" i="3" s="1"/>
  <c r="B465" i="1"/>
  <c r="B429" i="1" l="1"/>
  <c r="B448" i="1"/>
  <c r="B447" i="1"/>
  <c r="B446" i="1"/>
  <c r="B445" i="1"/>
  <c r="B444" i="1"/>
  <c r="B443" i="1"/>
  <c r="B442" i="1"/>
  <c r="B441" i="1"/>
  <c r="B440" i="1"/>
  <c r="B439" i="1"/>
  <c r="B438" i="1"/>
  <c r="B437" i="1"/>
  <c r="B436" i="1"/>
  <c r="B435" i="1"/>
  <c r="B434" i="1"/>
  <c r="B433" i="1"/>
  <c r="B432" i="1"/>
  <c r="B431" i="1"/>
  <c r="B430" i="1"/>
  <c r="B428" i="1"/>
  <c r="B427" i="1"/>
  <c r="B426" i="1"/>
  <c r="B425" i="1"/>
  <c r="E329" i="1"/>
  <c r="D329" i="1"/>
  <c r="F329" i="1" s="1"/>
  <c r="B32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252" i="1"/>
  <c r="A253" i="1"/>
  <c r="A254" i="1"/>
  <c r="A255" i="1"/>
  <c r="A256" i="1"/>
  <c r="A257" i="1"/>
  <c r="A258" i="1"/>
  <c r="A259" i="1"/>
  <c r="A260" i="1"/>
  <c r="A261" i="1"/>
  <c r="A262" i="1"/>
  <c r="A263" i="1"/>
  <c r="A264" i="1"/>
  <c r="A265" i="1"/>
  <c r="B265" i="1" s="1"/>
  <c r="A266" i="1"/>
  <c r="A267" i="1"/>
  <c r="A268" i="1"/>
  <c r="A269" i="1"/>
  <c r="A270" i="1"/>
  <c r="A271" i="1"/>
  <c r="A272" i="1"/>
  <c r="A273" i="1"/>
  <c r="A274" i="1"/>
  <c r="A275" i="1"/>
  <c r="A276" i="1"/>
  <c r="A277" i="1"/>
  <c r="A278" i="1"/>
  <c r="A279" i="1"/>
  <c r="E265" i="1"/>
  <c r="D265" i="1"/>
  <c r="F265" i="1" s="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17" i="1"/>
  <c r="A218" i="1"/>
  <c r="B218" i="1" s="1"/>
  <c r="A219" i="1"/>
  <c r="A220" i="1"/>
  <c r="A221" i="1"/>
  <c r="B221" i="1" s="1"/>
  <c r="E221" i="1"/>
  <c r="D221" i="1"/>
  <c r="F221" i="1" s="1"/>
  <c r="D218" i="1"/>
  <c r="F218" i="1" s="1"/>
  <c r="E218" i="1"/>
  <c r="A212" i="1"/>
  <c r="A213" i="1"/>
  <c r="A214" i="1"/>
  <c r="A215" i="1"/>
  <c r="A216" i="1"/>
  <c r="A203" i="1"/>
  <c r="A204" i="1"/>
  <c r="A205" i="1"/>
  <c r="A206" i="1"/>
  <c r="A207" i="1"/>
  <c r="A208" i="1"/>
  <c r="A209" i="1"/>
  <c r="A210" i="1"/>
  <c r="A211" i="1"/>
  <c r="A200" i="1"/>
  <c r="A201" i="1"/>
  <c r="A202" i="1"/>
  <c r="A195" i="1"/>
  <c r="A196" i="1"/>
  <c r="A197" i="1"/>
  <c r="A198" i="1"/>
  <c r="A199" i="1"/>
  <c r="A194" i="1"/>
  <c r="A193" i="1"/>
  <c r="A192" i="1"/>
  <c r="A191" i="1"/>
  <c r="A190" i="1"/>
  <c r="A189" i="1"/>
  <c r="A188" i="1"/>
  <c r="A187" i="1"/>
  <c r="A186" i="1"/>
  <c r="A185" i="1"/>
  <c r="A184" i="1"/>
  <c r="A183" i="1"/>
  <c r="A182" i="1"/>
  <c r="A181" i="1"/>
  <c r="A180" i="1"/>
  <c r="A179" i="1"/>
  <c r="A178" i="1"/>
  <c r="A177" i="1"/>
  <c r="A175" i="1"/>
  <c r="A176" i="1"/>
  <c r="A165" i="1"/>
  <c r="A166" i="1"/>
  <c r="A167" i="1"/>
  <c r="A168" i="1"/>
  <c r="A169" i="1"/>
  <c r="A170" i="1"/>
  <c r="A171" i="1"/>
  <c r="A172" i="1"/>
  <c r="A173" i="1"/>
  <c r="A17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33" i="1"/>
  <c r="A134" i="1"/>
  <c r="A132" i="1"/>
  <c r="A128" i="1"/>
  <c r="A129" i="1"/>
  <c r="A130" i="1"/>
  <c r="A131" i="1"/>
  <c r="A126" i="1"/>
  <c r="A127" i="1"/>
  <c r="A122" i="1"/>
  <c r="A123" i="1"/>
  <c r="A124" i="1"/>
  <c r="A125" i="1"/>
  <c r="A121" i="1"/>
  <c r="A120" i="1"/>
  <c r="A118" i="1"/>
  <c r="A119" i="1"/>
  <c r="A117" i="1"/>
  <c r="A116" i="1"/>
  <c r="A114" i="1"/>
  <c r="A115" i="1"/>
  <c r="A113" i="1"/>
  <c r="A112" i="1"/>
  <c r="A111" i="1"/>
  <c r="A110" i="1"/>
  <c r="A109" i="1"/>
  <c r="A107" i="1"/>
  <c r="A108" i="1"/>
  <c r="A106" i="1"/>
  <c r="A103" i="1"/>
  <c r="A104" i="1"/>
  <c r="A105" i="1"/>
  <c r="A102" i="1"/>
  <c r="A96" i="1"/>
  <c r="A97" i="1"/>
  <c r="A98" i="1"/>
  <c r="A99" i="1"/>
  <c r="A100" i="1"/>
  <c r="A101" i="1"/>
  <c r="A92" i="1"/>
  <c r="A93" i="1"/>
  <c r="A94" i="1"/>
  <c r="A95" i="1"/>
  <c r="A90" i="1"/>
  <c r="A91" i="1"/>
  <c r="A88" i="1"/>
  <c r="A89" i="1"/>
  <c r="A87" i="1"/>
  <c r="A83" i="1"/>
  <c r="A84" i="1"/>
  <c r="A85" i="1"/>
  <c r="A86" i="1"/>
  <c r="A82" i="1"/>
  <c r="A76" i="1"/>
  <c r="A77" i="1"/>
  <c r="A78" i="1"/>
  <c r="A79" i="1"/>
  <c r="A80" i="1"/>
  <c r="A81" i="1"/>
  <c r="A74" i="1"/>
  <c r="A75" i="1"/>
  <c r="A68" i="1"/>
  <c r="A69" i="1"/>
  <c r="A70" i="1"/>
  <c r="A71" i="1"/>
  <c r="A72" i="1"/>
  <c r="A73" i="1"/>
  <c r="A66" i="1"/>
  <c r="A67" i="1"/>
  <c r="A65" i="1"/>
  <c r="A60" i="1"/>
  <c r="A61" i="1"/>
  <c r="A62" i="1"/>
  <c r="A63" i="1"/>
  <c r="A64" i="1"/>
  <c r="A54" i="1"/>
  <c r="A55" i="1"/>
  <c r="A56" i="1"/>
  <c r="A57" i="1"/>
  <c r="A58" i="1"/>
  <c r="A59" i="1"/>
  <c r="A45" i="1"/>
  <c r="A46" i="1"/>
  <c r="A47" i="1"/>
  <c r="A48" i="1"/>
  <c r="A49" i="1"/>
  <c r="A50" i="1"/>
  <c r="A51" i="1"/>
  <c r="A52" i="1"/>
  <c r="A53" i="1"/>
  <c r="E51" i="1"/>
  <c r="A42" i="1"/>
  <c r="A43" i="1"/>
  <c r="A44" i="1"/>
  <c r="A41" i="1"/>
  <c r="A27" i="1"/>
  <c r="A28" i="1"/>
  <c r="A29" i="1"/>
  <c r="A30" i="1"/>
  <c r="A31" i="1"/>
  <c r="A32" i="1"/>
  <c r="A33" i="1"/>
  <c r="A34" i="1"/>
  <c r="A35" i="1"/>
  <c r="A36" i="1"/>
  <c r="A37" i="1"/>
  <c r="A38" i="1"/>
  <c r="A39" i="1"/>
  <c r="A40" i="1"/>
  <c r="A23" i="1"/>
  <c r="A24" i="1"/>
  <c r="A25" i="1"/>
  <c r="A26" i="1"/>
  <c r="A21" i="1"/>
  <c r="A22" i="1"/>
  <c r="A20" i="1" l="1"/>
  <c r="B20" i="1" s="1"/>
  <c r="A18" i="1"/>
  <c r="B18" i="1" s="1"/>
  <c r="A19" i="1"/>
  <c r="B19" i="1" s="1"/>
  <c r="A5" i="1"/>
  <c r="B5" i="1" s="1"/>
  <c r="A6" i="1"/>
  <c r="B6" i="1" s="1"/>
  <c r="A7" i="1"/>
  <c r="B7" i="1" s="1"/>
  <c r="A8" i="1"/>
  <c r="B8" i="1" s="1"/>
  <c r="A9" i="1"/>
  <c r="B9" i="1" s="1"/>
  <c r="A10" i="1"/>
  <c r="B10" i="1" s="1"/>
  <c r="A11" i="1"/>
  <c r="B11" i="1" s="1"/>
  <c r="A12" i="1"/>
  <c r="B12" i="1" s="1"/>
  <c r="A13" i="1"/>
  <c r="B13" i="1" s="1"/>
  <c r="A14" i="1"/>
  <c r="B14" i="1" s="1"/>
  <c r="A15" i="1"/>
  <c r="B15" i="1" s="1"/>
  <c r="A16" i="1"/>
  <c r="B16" i="1" s="1"/>
  <c r="A17" i="1"/>
  <c r="B17" i="1" s="1"/>
  <c r="E2" i="1"/>
  <c r="D2" i="1"/>
  <c r="F2" i="1" s="1"/>
  <c r="A2" i="1"/>
  <c r="B2" i="1" s="1"/>
  <c r="A3" i="1"/>
  <c r="B3" i="1" s="1"/>
  <c r="D3" i="1"/>
  <c r="F3" i="1" s="1"/>
  <c r="E3" i="1"/>
  <c r="B22" i="1"/>
  <c r="B23" i="1"/>
  <c r="B24" i="1"/>
  <c r="A4" i="1"/>
  <c r="B4" i="1" s="1"/>
  <c r="D4" i="1"/>
  <c r="F4" i="1" s="1"/>
  <c r="E4" i="1"/>
  <c r="B21"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9" i="1"/>
  <c r="B220"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3" i="1"/>
  <c r="B324" i="1"/>
  <c r="B326" i="1"/>
  <c r="B327" i="1"/>
  <c r="B328" i="1"/>
  <c r="B330" i="1"/>
  <c r="B331" i="1"/>
  <c r="B332" i="1"/>
  <c r="B333" i="1"/>
  <c r="B334" i="1"/>
  <c r="B335" i="1"/>
  <c r="B336" i="1"/>
  <c r="B337" i="1"/>
  <c r="B338" i="1"/>
  <c r="B339" i="1"/>
  <c r="B340" i="1"/>
  <c r="B341" i="1"/>
  <c r="B342" i="1"/>
  <c r="B343" i="1"/>
  <c r="B344" i="1"/>
  <c r="B345" i="1"/>
  <c r="B346" i="1"/>
  <c r="B347"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49" i="1"/>
  <c r="B450" i="1"/>
  <c r="B451" i="1"/>
  <c r="B452" i="1"/>
  <c r="B453" i="1"/>
  <c r="B454" i="1"/>
  <c r="B455" i="1"/>
  <c r="B456" i="1"/>
  <c r="B457" i="1"/>
  <c r="B458" i="1"/>
  <c r="B459" i="1"/>
  <c r="B460" i="1"/>
  <c r="B461" i="1"/>
  <c r="B462" i="1"/>
  <c r="B463" i="1"/>
  <c r="B464"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D5" i="1"/>
  <c r="F5" i="1" s="1"/>
  <c r="E5" i="1"/>
  <c r="D6" i="1"/>
  <c r="F6" i="1" s="1"/>
  <c r="E6" i="1"/>
  <c r="D7" i="1"/>
  <c r="F7" i="1" s="1"/>
  <c r="E7" i="1"/>
  <c r="D8" i="1"/>
  <c r="F8" i="1" s="1"/>
  <c r="E8" i="1"/>
  <c r="D9" i="1"/>
  <c r="F9" i="1" s="1"/>
  <c r="E9" i="1"/>
  <c r="D10" i="1"/>
  <c r="F10" i="1" s="1"/>
  <c r="E10" i="1"/>
  <c r="D11" i="1"/>
  <c r="F11" i="1" s="1"/>
  <c r="E11" i="1"/>
  <c r="D12" i="1"/>
  <c r="F12" i="1" s="1"/>
  <c r="E12" i="1"/>
  <c r="D13" i="1"/>
  <c r="F13" i="1" s="1"/>
  <c r="E13" i="1"/>
  <c r="D14" i="1"/>
  <c r="F14" i="1" s="1"/>
  <c r="E14" i="1"/>
  <c r="D15" i="1"/>
  <c r="F15" i="1" s="1"/>
  <c r="E15" i="1"/>
  <c r="D16" i="1"/>
  <c r="F16" i="1" s="1"/>
  <c r="E16" i="1"/>
  <c r="D17" i="1"/>
  <c r="F17" i="1" s="1"/>
  <c r="E17" i="1"/>
  <c r="D18" i="1"/>
  <c r="F18" i="1" s="1"/>
  <c r="E18" i="1"/>
  <c r="D19" i="1"/>
  <c r="F19" i="1" s="1"/>
  <c r="E19" i="1"/>
  <c r="D20" i="1"/>
  <c r="F20" i="1" s="1"/>
  <c r="E20" i="1"/>
  <c r="D21" i="1"/>
  <c r="F21" i="1" s="1"/>
  <c r="E21" i="1"/>
  <c r="D22" i="1"/>
  <c r="F22" i="1" s="1"/>
  <c r="E22" i="1"/>
  <c r="D23" i="1"/>
  <c r="F23" i="1" s="1"/>
  <c r="E23" i="1"/>
  <c r="D24" i="1"/>
  <c r="F24" i="1" s="1"/>
  <c r="E24" i="1"/>
  <c r="D25" i="1"/>
  <c r="F25" i="1" s="1"/>
  <c r="E25" i="1"/>
  <c r="D26" i="1"/>
  <c r="F26" i="1" s="1"/>
  <c r="E26" i="1"/>
  <c r="D27" i="1"/>
  <c r="F27" i="1" s="1"/>
  <c r="E27" i="1"/>
  <c r="D28" i="1"/>
  <c r="F28" i="1" s="1"/>
  <c r="E28" i="1"/>
  <c r="D29" i="1"/>
  <c r="F29" i="1" s="1"/>
  <c r="E29" i="1"/>
  <c r="D30" i="1"/>
  <c r="F30" i="1" s="1"/>
  <c r="E30" i="1"/>
  <c r="D31" i="1"/>
  <c r="F31" i="1" s="1"/>
  <c r="E31" i="1"/>
  <c r="D32" i="1"/>
  <c r="F32" i="1" s="1"/>
  <c r="E32" i="1"/>
  <c r="D33" i="1"/>
  <c r="F33" i="1" s="1"/>
  <c r="E33" i="1"/>
  <c r="D34" i="1"/>
  <c r="F34" i="1" s="1"/>
  <c r="E34" i="1"/>
  <c r="D35" i="1"/>
  <c r="F35" i="1" s="1"/>
  <c r="E35" i="1"/>
  <c r="D36" i="1"/>
  <c r="F36" i="1" s="1"/>
  <c r="E36" i="1"/>
  <c r="D37" i="1"/>
  <c r="F37" i="1" s="1"/>
  <c r="E37" i="1"/>
  <c r="D38" i="1"/>
  <c r="F38" i="1" s="1"/>
  <c r="E38" i="1"/>
  <c r="D39" i="1"/>
  <c r="F39" i="1" s="1"/>
  <c r="E39" i="1"/>
  <c r="D40" i="1"/>
  <c r="F40" i="1" s="1"/>
  <c r="E40" i="1"/>
  <c r="D41" i="1"/>
  <c r="F41" i="1" s="1"/>
  <c r="E41" i="1"/>
  <c r="D42" i="1"/>
  <c r="F42" i="1" s="1"/>
  <c r="E42" i="1"/>
  <c r="D43" i="1"/>
  <c r="F43" i="1" s="1"/>
  <c r="E43" i="1"/>
  <c r="D44" i="1"/>
  <c r="F44" i="1" s="1"/>
  <c r="E44" i="1"/>
  <c r="D45" i="1"/>
  <c r="F45" i="1" s="1"/>
  <c r="E45" i="1"/>
  <c r="D46" i="1"/>
  <c r="F46" i="1" s="1"/>
  <c r="E46" i="1"/>
  <c r="D47" i="1"/>
  <c r="F47" i="1" s="1"/>
  <c r="E47" i="1"/>
  <c r="D48" i="1"/>
  <c r="F48" i="1" s="1"/>
  <c r="E48" i="1"/>
  <c r="D49" i="1"/>
  <c r="F49" i="1" s="1"/>
  <c r="E49" i="1"/>
  <c r="D50" i="1"/>
  <c r="F50" i="1" s="1"/>
  <c r="E50" i="1"/>
  <c r="D51" i="1"/>
  <c r="F51" i="1" s="1"/>
  <c r="D52" i="1"/>
  <c r="F52" i="1" s="1"/>
  <c r="E52" i="1"/>
  <c r="D53" i="1"/>
  <c r="F53" i="1" s="1"/>
  <c r="E53" i="1"/>
  <c r="D54" i="1"/>
  <c r="F54" i="1" s="1"/>
  <c r="E54" i="1"/>
  <c r="D55" i="1"/>
  <c r="F55" i="1" s="1"/>
  <c r="E55" i="1"/>
  <c r="D56" i="1"/>
  <c r="F56" i="1" s="1"/>
  <c r="E56" i="1"/>
  <c r="D57" i="1"/>
  <c r="F57" i="1" s="1"/>
  <c r="E57" i="1"/>
  <c r="D58" i="1"/>
  <c r="F58" i="1" s="1"/>
  <c r="E58" i="1"/>
  <c r="D59" i="1"/>
  <c r="F59" i="1" s="1"/>
  <c r="E59" i="1"/>
  <c r="D60" i="1"/>
  <c r="F60" i="1" s="1"/>
  <c r="E60" i="1"/>
  <c r="D61" i="1"/>
  <c r="F61" i="1" s="1"/>
  <c r="E61" i="1"/>
  <c r="D62" i="1"/>
  <c r="F62" i="1" s="1"/>
  <c r="E62" i="1"/>
  <c r="D63" i="1"/>
  <c r="F63" i="1" s="1"/>
  <c r="E63" i="1"/>
  <c r="D64" i="1"/>
  <c r="F64" i="1" s="1"/>
  <c r="E64" i="1"/>
  <c r="D65" i="1"/>
  <c r="F65" i="1" s="1"/>
  <c r="E65" i="1"/>
  <c r="D66" i="1"/>
  <c r="F66" i="1" s="1"/>
  <c r="E66" i="1"/>
  <c r="D67" i="1"/>
  <c r="F67" i="1" s="1"/>
  <c r="E67" i="1"/>
  <c r="D68" i="1"/>
  <c r="F68" i="1" s="1"/>
  <c r="E68" i="1"/>
  <c r="D69" i="1"/>
  <c r="F69" i="1" s="1"/>
  <c r="E69" i="1"/>
  <c r="D70" i="1"/>
  <c r="F70" i="1" s="1"/>
  <c r="E70" i="1"/>
  <c r="D71" i="1"/>
  <c r="F71" i="1" s="1"/>
  <c r="E71" i="1"/>
  <c r="D72" i="1"/>
  <c r="F72" i="1" s="1"/>
  <c r="E72" i="1"/>
  <c r="D73" i="1"/>
  <c r="F73" i="1" s="1"/>
  <c r="E73" i="1"/>
  <c r="D74" i="1"/>
  <c r="F74" i="1" s="1"/>
  <c r="E74" i="1"/>
  <c r="D75" i="1"/>
  <c r="F75" i="1" s="1"/>
  <c r="E75" i="1"/>
  <c r="D76" i="1"/>
  <c r="F76" i="1" s="1"/>
  <c r="E76" i="1"/>
  <c r="D77" i="1"/>
  <c r="F77" i="1" s="1"/>
  <c r="E77" i="1"/>
  <c r="D78" i="1"/>
  <c r="F78" i="1" s="1"/>
  <c r="E78" i="1"/>
  <c r="D79" i="1"/>
  <c r="F79" i="1" s="1"/>
  <c r="E79" i="1"/>
  <c r="D80" i="1"/>
  <c r="F80" i="1" s="1"/>
  <c r="E80" i="1"/>
  <c r="D81" i="1"/>
  <c r="F81" i="1" s="1"/>
  <c r="E81" i="1"/>
  <c r="D82" i="1"/>
  <c r="F82" i="1" s="1"/>
  <c r="E82" i="1"/>
  <c r="D83" i="1"/>
  <c r="F83" i="1" s="1"/>
  <c r="E83" i="1"/>
  <c r="D84" i="1"/>
  <c r="F84" i="1" s="1"/>
  <c r="E84" i="1"/>
  <c r="D85" i="1"/>
  <c r="F85" i="1" s="1"/>
  <c r="E85" i="1"/>
  <c r="D86" i="1"/>
  <c r="F86" i="1" s="1"/>
  <c r="E86" i="1"/>
  <c r="D87" i="1"/>
  <c r="F87" i="1" s="1"/>
  <c r="E87" i="1"/>
  <c r="D88" i="1"/>
  <c r="F88" i="1" s="1"/>
  <c r="E88" i="1"/>
  <c r="D89" i="1"/>
  <c r="F89" i="1" s="1"/>
  <c r="E89" i="1"/>
  <c r="D90" i="1"/>
  <c r="F90" i="1" s="1"/>
  <c r="E90" i="1"/>
  <c r="D91" i="1"/>
  <c r="F91" i="1" s="1"/>
  <c r="E91" i="1"/>
  <c r="D92" i="1"/>
  <c r="F92" i="1" s="1"/>
  <c r="E92" i="1"/>
  <c r="D93" i="1"/>
  <c r="F93" i="1" s="1"/>
  <c r="E93" i="1"/>
  <c r="D94" i="1"/>
  <c r="F94" i="1" s="1"/>
  <c r="E94" i="1"/>
  <c r="D95" i="1"/>
  <c r="F95" i="1" s="1"/>
  <c r="E95" i="1"/>
  <c r="D96" i="1"/>
  <c r="F96" i="1" s="1"/>
  <c r="E96" i="1"/>
  <c r="D97" i="1"/>
  <c r="F97" i="1" s="1"/>
  <c r="E97" i="1"/>
  <c r="D98" i="1"/>
  <c r="F98" i="1" s="1"/>
  <c r="E98" i="1"/>
  <c r="D99" i="1"/>
  <c r="F99" i="1" s="1"/>
  <c r="E99" i="1"/>
  <c r="D100" i="1"/>
  <c r="F100" i="1" s="1"/>
  <c r="E100" i="1"/>
  <c r="D101" i="1"/>
  <c r="F101" i="1" s="1"/>
  <c r="E101" i="1"/>
  <c r="D102" i="1"/>
  <c r="F102" i="1" s="1"/>
  <c r="E102" i="1"/>
  <c r="D103" i="1"/>
  <c r="F103" i="1" s="1"/>
  <c r="E103" i="1"/>
  <c r="D104" i="1"/>
  <c r="F104" i="1" s="1"/>
  <c r="E104" i="1"/>
  <c r="D105" i="1"/>
  <c r="F105" i="1" s="1"/>
  <c r="E105" i="1"/>
  <c r="D106" i="1"/>
  <c r="F106" i="1" s="1"/>
  <c r="E106" i="1"/>
  <c r="D107" i="1"/>
  <c r="F107" i="1" s="1"/>
  <c r="E107" i="1"/>
  <c r="D108" i="1"/>
  <c r="F108" i="1" s="1"/>
  <c r="E108" i="1"/>
  <c r="D109" i="1"/>
  <c r="F109" i="1" s="1"/>
  <c r="E109" i="1"/>
  <c r="D110" i="1"/>
  <c r="F110" i="1" s="1"/>
  <c r="E110" i="1"/>
  <c r="D111" i="1"/>
  <c r="F111" i="1" s="1"/>
  <c r="E111" i="1"/>
  <c r="D112" i="1"/>
  <c r="F112" i="1" s="1"/>
  <c r="E112" i="1"/>
  <c r="D113" i="1"/>
  <c r="F113" i="1" s="1"/>
  <c r="E113" i="1"/>
  <c r="D114" i="1"/>
  <c r="F114" i="1" s="1"/>
  <c r="E114" i="1"/>
  <c r="D115" i="1"/>
  <c r="F115" i="1" s="1"/>
  <c r="E115" i="1"/>
  <c r="D116" i="1"/>
  <c r="F116" i="1" s="1"/>
  <c r="E116" i="1"/>
  <c r="D117" i="1"/>
  <c r="F117" i="1" s="1"/>
  <c r="E117" i="1"/>
  <c r="D118" i="1"/>
  <c r="F118" i="1" s="1"/>
  <c r="E118" i="1"/>
  <c r="D119" i="1"/>
  <c r="F119" i="1" s="1"/>
  <c r="E119" i="1"/>
  <c r="D120" i="1"/>
  <c r="F120" i="1" s="1"/>
  <c r="E120" i="1"/>
  <c r="D121" i="1"/>
  <c r="F121" i="1" s="1"/>
  <c r="E121" i="1"/>
  <c r="D122" i="1"/>
  <c r="F122" i="1" s="1"/>
  <c r="E122" i="1"/>
  <c r="D123" i="1"/>
  <c r="F123" i="1" s="1"/>
  <c r="E123" i="1"/>
  <c r="D124" i="1"/>
  <c r="F124" i="1" s="1"/>
  <c r="E124" i="1"/>
  <c r="D125" i="1"/>
  <c r="F125" i="1" s="1"/>
  <c r="E125" i="1"/>
  <c r="D126" i="1"/>
  <c r="F126" i="1" s="1"/>
  <c r="E126" i="1"/>
  <c r="D127" i="1"/>
  <c r="F127" i="1" s="1"/>
  <c r="E127" i="1"/>
  <c r="D128" i="1"/>
  <c r="F128" i="1" s="1"/>
  <c r="E128" i="1"/>
  <c r="D129" i="1"/>
  <c r="F129" i="1" s="1"/>
  <c r="E129" i="1"/>
  <c r="D130" i="1"/>
  <c r="F130" i="1" s="1"/>
  <c r="E130" i="1"/>
  <c r="D131" i="1"/>
  <c r="F131" i="1" s="1"/>
  <c r="E131" i="1"/>
  <c r="D132" i="1"/>
  <c r="F132" i="1" s="1"/>
  <c r="E132" i="1"/>
  <c r="D133" i="1"/>
  <c r="F133" i="1" s="1"/>
  <c r="E133" i="1"/>
  <c r="D134" i="1"/>
  <c r="F134" i="1" s="1"/>
  <c r="E134" i="1"/>
  <c r="D135" i="1"/>
  <c r="F135" i="1" s="1"/>
  <c r="E135" i="1"/>
  <c r="D136" i="1"/>
  <c r="F136" i="1" s="1"/>
  <c r="E136" i="1"/>
  <c r="D137" i="1"/>
  <c r="F137" i="1" s="1"/>
  <c r="E137" i="1"/>
  <c r="D138" i="1"/>
  <c r="F138" i="1" s="1"/>
  <c r="E138" i="1"/>
  <c r="D139" i="1"/>
  <c r="F139" i="1" s="1"/>
  <c r="E139" i="1"/>
  <c r="D140" i="1"/>
  <c r="F140" i="1" s="1"/>
  <c r="E140" i="1"/>
  <c r="D141" i="1"/>
  <c r="F141" i="1" s="1"/>
  <c r="E141" i="1"/>
  <c r="D142" i="1"/>
  <c r="F142" i="1" s="1"/>
  <c r="E142" i="1"/>
  <c r="D143" i="1"/>
  <c r="F143" i="1" s="1"/>
  <c r="E143" i="1"/>
  <c r="D144" i="1"/>
  <c r="F144" i="1" s="1"/>
  <c r="E144" i="1"/>
  <c r="D145" i="1"/>
  <c r="F145" i="1" s="1"/>
  <c r="E145" i="1"/>
  <c r="D146" i="1"/>
  <c r="F146" i="1" s="1"/>
  <c r="E146" i="1"/>
  <c r="D147" i="1"/>
  <c r="F147" i="1" s="1"/>
  <c r="E147" i="1"/>
  <c r="D148" i="1"/>
  <c r="F148" i="1" s="1"/>
  <c r="E148" i="1"/>
  <c r="D149" i="1"/>
  <c r="F149" i="1" s="1"/>
  <c r="E149" i="1"/>
  <c r="D150" i="1"/>
  <c r="F150" i="1" s="1"/>
  <c r="E150" i="1"/>
  <c r="D151" i="1"/>
  <c r="F151" i="1" s="1"/>
  <c r="E151" i="1"/>
  <c r="D152" i="1"/>
  <c r="F152" i="1" s="1"/>
  <c r="E152" i="1"/>
  <c r="D153" i="1"/>
  <c r="F153" i="1" s="1"/>
  <c r="E153" i="1"/>
  <c r="D154" i="1"/>
  <c r="F154" i="1" s="1"/>
  <c r="E154" i="1"/>
  <c r="D155" i="1"/>
  <c r="F155" i="1" s="1"/>
  <c r="E155" i="1"/>
  <c r="D156" i="1"/>
  <c r="F156" i="1" s="1"/>
  <c r="E156" i="1"/>
  <c r="D157" i="1"/>
  <c r="F157" i="1" s="1"/>
  <c r="E157" i="1"/>
  <c r="D158" i="1"/>
  <c r="F158" i="1" s="1"/>
  <c r="E158" i="1"/>
  <c r="D159" i="1"/>
  <c r="F159" i="1" s="1"/>
  <c r="E159" i="1"/>
  <c r="D160" i="1"/>
  <c r="F160" i="1" s="1"/>
  <c r="E160" i="1"/>
  <c r="D161" i="1"/>
  <c r="F161" i="1" s="1"/>
  <c r="E161" i="1"/>
  <c r="D162" i="1"/>
  <c r="F162" i="1" s="1"/>
  <c r="E162" i="1"/>
  <c r="D163" i="1"/>
  <c r="F163" i="1" s="1"/>
  <c r="E163" i="1"/>
  <c r="D164" i="1"/>
  <c r="F164" i="1" s="1"/>
  <c r="E164" i="1"/>
  <c r="D165" i="1"/>
  <c r="F165" i="1" s="1"/>
  <c r="E165" i="1"/>
  <c r="D166" i="1"/>
  <c r="F166" i="1" s="1"/>
  <c r="E166" i="1"/>
  <c r="D167" i="1"/>
  <c r="F167" i="1" s="1"/>
  <c r="E167" i="1"/>
  <c r="D168" i="1"/>
  <c r="F168" i="1" s="1"/>
  <c r="E168" i="1"/>
  <c r="D169" i="1"/>
  <c r="F169" i="1" s="1"/>
  <c r="E169" i="1"/>
  <c r="D170" i="1"/>
  <c r="F170" i="1" s="1"/>
  <c r="E170" i="1"/>
  <c r="D171" i="1"/>
  <c r="F171" i="1" s="1"/>
  <c r="E171" i="1"/>
  <c r="D172" i="1"/>
  <c r="F172" i="1" s="1"/>
  <c r="E172" i="1"/>
  <c r="D173" i="1"/>
  <c r="F173" i="1" s="1"/>
  <c r="E173" i="1"/>
  <c r="D174" i="1"/>
  <c r="F174" i="1" s="1"/>
  <c r="E174" i="1"/>
  <c r="D175" i="1"/>
  <c r="F175" i="1" s="1"/>
  <c r="E175" i="1"/>
  <c r="D176" i="1"/>
  <c r="F176" i="1" s="1"/>
  <c r="E176" i="1"/>
  <c r="D177" i="1"/>
  <c r="F177" i="1" s="1"/>
  <c r="E177" i="1"/>
  <c r="D178" i="1"/>
  <c r="F178" i="1" s="1"/>
  <c r="E178" i="1"/>
  <c r="D179" i="1"/>
  <c r="F179" i="1" s="1"/>
  <c r="E179" i="1"/>
  <c r="D180" i="1"/>
  <c r="F180" i="1" s="1"/>
  <c r="E180" i="1"/>
  <c r="D181" i="1"/>
  <c r="F181" i="1" s="1"/>
  <c r="E181" i="1"/>
  <c r="D182" i="1"/>
  <c r="F182" i="1" s="1"/>
  <c r="E182" i="1"/>
  <c r="D183" i="1"/>
  <c r="F183" i="1" s="1"/>
  <c r="E183" i="1"/>
  <c r="D184" i="1"/>
  <c r="F184" i="1" s="1"/>
  <c r="E184" i="1"/>
  <c r="D185" i="1"/>
  <c r="F185" i="1" s="1"/>
  <c r="E185" i="1"/>
  <c r="D186" i="1"/>
  <c r="F186" i="1" s="1"/>
  <c r="E186" i="1"/>
  <c r="D187" i="1"/>
  <c r="F187" i="1" s="1"/>
  <c r="E187" i="1"/>
  <c r="D188" i="1"/>
  <c r="F188" i="1" s="1"/>
  <c r="E188" i="1"/>
  <c r="D189" i="1"/>
  <c r="F189" i="1" s="1"/>
  <c r="E189" i="1"/>
  <c r="D190" i="1"/>
  <c r="F190" i="1" s="1"/>
  <c r="E190" i="1"/>
  <c r="D191" i="1"/>
  <c r="F191" i="1" s="1"/>
  <c r="E191" i="1"/>
  <c r="D192" i="1"/>
  <c r="F192" i="1" s="1"/>
  <c r="E192" i="1"/>
  <c r="D193" i="1"/>
  <c r="F193" i="1" s="1"/>
  <c r="E193" i="1"/>
  <c r="D194" i="1"/>
  <c r="F194" i="1" s="1"/>
  <c r="E194" i="1"/>
  <c r="D195" i="1"/>
  <c r="F195" i="1" s="1"/>
  <c r="E195" i="1"/>
  <c r="D196" i="1"/>
  <c r="F196" i="1" s="1"/>
  <c r="E196" i="1"/>
  <c r="D197" i="1"/>
  <c r="F197" i="1" s="1"/>
  <c r="E197" i="1"/>
  <c r="D198" i="1"/>
  <c r="F198" i="1" s="1"/>
  <c r="E198" i="1"/>
  <c r="D199" i="1"/>
  <c r="F199" i="1" s="1"/>
  <c r="E199" i="1"/>
  <c r="D200" i="1"/>
  <c r="F200" i="1" s="1"/>
  <c r="E200" i="1"/>
  <c r="D201" i="1"/>
  <c r="F201" i="1" s="1"/>
  <c r="E201" i="1"/>
  <c r="D202" i="1"/>
  <c r="F202" i="1" s="1"/>
  <c r="E202" i="1"/>
  <c r="D203" i="1"/>
  <c r="F203" i="1" s="1"/>
  <c r="E203" i="1"/>
  <c r="D204" i="1"/>
  <c r="F204" i="1" s="1"/>
  <c r="E204" i="1"/>
  <c r="D205" i="1"/>
  <c r="F205" i="1" s="1"/>
  <c r="E205" i="1"/>
  <c r="D206" i="1"/>
  <c r="F206" i="1" s="1"/>
  <c r="E206" i="1"/>
  <c r="D207" i="1"/>
  <c r="F207" i="1" s="1"/>
  <c r="E207" i="1"/>
  <c r="D208" i="1"/>
  <c r="F208" i="1" s="1"/>
  <c r="E208" i="1"/>
  <c r="D209" i="1"/>
  <c r="F209" i="1" s="1"/>
  <c r="E209" i="1"/>
  <c r="D210" i="1"/>
  <c r="F210" i="1" s="1"/>
  <c r="E210" i="1"/>
  <c r="D211" i="1"/>
  <c r="F211" i="1" s="1"/>
  <c r="E211" i="1"/>
  <c r="D212" i="1"/>
  <c r="F212" i="1" s="1"/>
  <c r="E212" i="1"/>
  <c r="D213" i="1"/>
  <c r="F213" i="1" s="1"/>
  <c r="E213" i="1"/>
  <c r="D214" i="1"/>
  <c r="F214" i="1" s="1"/>
  <c r="E214" i="1"/>
  <c r="D215" i="1"/>
  <c r="F215" i="1" s="1"/>
  <c r="E215" i="1"/>
  <c r="D216" i="1"/>
  <c r="F216" i="1" s="1"/>
  <c r="E216" i="1"/>
  <c r="D217" i="1"/>
  <c r="F217" i="1" s="1"/>
  <c r="E217" i="1"/>
  <c r="D219" i="1"/>
  <c r="F219" i="1" s="1"/>
  <c r="E219" i="1"/>
  <c r="D220" i="1"/>
  <c r="F220" i="1" s="1"/>
  <c r="E220" i="1"/>
  <c r="D222" i="1"/>
  <c r="F222" i="1" s="1"/>
  <c r="E222" i="1"/>
  <c r="D223" i="1"/>
  <c r="F223" i="1" s="1"/>
  <c r="E223" i="1"/>
  <c r="D224" i="1"/>
  <c r="F224" i="1" s="1"/>
  <c r="E224" i="1"/>
  <c r="D225" i="1"/>
  <c r="F225" i="1" s="1"/>
  <c r="E225" i="1"/>
  <c r="D226" i="1"/>
  <c r="F226" i="1" s="1"/>
  <c r="E226" i="1"/>
  <c r="D227" i="1"/>
  <c r="F227" i="1" s="1"/>
  <c r="E227" i="1"/>
  <c r="D228" i="1"/>
  <c r="F228" i="1" s="1"/>
  <c r="E228" i="1"/>
  <c r="D229" i="1"/>
  <c r="F229" i="1" s="1"/>
  <c r="E229" i="1"/>
  <c r="D230" i="1"/>
  <c r="F230" i="1" s="1"/>
  <c r="E230" i="1"/>
  <c r="D231" i="1"/>
  <c r="F231" i="1" s="1"/>
  <c r="E231" i="1"/>
  <c r="D232" i="1"/>
  <c r="F232" i="1" s="1"/>
  <c r="E232" i="1"/>
  <c r="D233" i="1"/>
  <c r="F233" i="1" s="1"/>
  <c r="E233" i="1"/>
  <c r="D234" i="1"/>
  <c r="F234" i="1" s="1"/>
  <c r="E234" i="1"/>
  <c r="D235" i="1"/>
  <c r="F235" i="1" s="1"/>
  <c r="E235" i="1"/>
  <c r="D236" i="1"/>
  <c r="F236" i="1" s="1"/>
  <c r="E236" i="1"/>
  <c r="D237" i="1"/>
  <c r="F237" i="1" s="1"/>
  <c r="E237" i="1"/>
  <c r="D238" i="1"/>
  <c r="F238" i="1" s="1"/>
  <c r="E238" i="1"/>
  <c r="D239" i="1"/>
  <c r="F239" i="1" s="1"/>
  <c r="E239" i="1"/>
  <c r="D240" i="1"/>
  <c r="F240" i="1" s="1"/>
  <c r="E240" i="1"/>
  <c r="D241" i="1"/>
  <c r="F241" i="1" s="1"/>
  <c r="E241" i="1"/>
  <c r="D242" i="1"/>
  <c r="F242" i="1" s="1"/>
  <c r="E242" i="1"/>
  <c r="D243" i="1"/>
  <c r="F243" i="1" s="1"/>
  <c r="E243" i="1"/>
  <c r="D244" i="1"/>
  <c r="F244" i="1" s="1"/>
  <c r="E244" i="1"/>
  <c r="D245" i="1"/>
  <c r="F245" i="1" s="1"/>
  <c r="E245" i="1"/>
  <c r="D246" i="1"/>
  <c r="F246" i="1" s="1"/>
  <c r="E246" i="1"/>
  <c r="D247" i="1"/>
  <c r="F247" i="1" s="1"/>
  <c r="E247" i="1"/>
  <c r="D248" i="1"/>
  <c r="F248" i="1" s="1"/>
  <c r="E248" i="1"/>
  <c r="D249" i="1"/>
  <c r="F249" i="1" s="1"/>
  <c r="E249" i="1"/>
  <c r="D250" i="1"/>
  <c r="F250" i="1" s="1"/>
  <c r="E250" i="1"/>
  <c r="D251" i="1"/>
  <c r="F251" i="1" s="1"/>
  <c r="E251" i="1"/>
  <c r="D252" i="1"/>
  <c r="F252" i="1" s="1"/>
  <c r="E252" i="1"/>
  <c r="D253" i="1"/>
  <c r="F253" i="1" s="1"/>
  <c r="E253" i="1"/>
  <c r="D254" i="1"/>
  <c r="F254" i="1" s="1"/>
  <c r="E254" i="1"/>
  <c r="D255" i="1"/>
  <c r="F255" i="1" s="1"/>
  <c r="E255" i="1"/>
  <c r="D256" i="1"/>
  <c r="F256" i="1" s="1"/>
  <c r="E256" i="1"/>
  <c r="D257" i="1"/>
  <c r="F257" i="1" s="1"/>
  <c r="E257" i="1"/>
  <c r="D258" i="1"/>
  <c r="F258" i="1" s="1"/>
  <c r="E258" i="1"/>
  <c r="D259" i="1"/>
  <c r="F259" i="1" s="1"/>
  <c r="E259" i="1"/>
  <c r="D260" i="1"/>
  <c r="F260" i="1" s="1"/>
  <c r="E260" i="1"/>
  <c r="D261" i="1"/>
  <c r="F261" i="1" s="1"/>
  <c r="E261" i="1"/>
  <c r="D262" i="1"/>
  <c r="F262" i="1" s="1"/>
  <c r="E262" i="1"/>
  <c r="D263" i="1"/>
  <c r="F263" i="1" s="1"/>
  <c r="E263" i="1"/>
  <c r="D264" i="1"/>
  <c r="F264" i="1" s="1"/>
  <c r="E264" i="1"/>
  <c r="D266" i="1"/>
  <c r="F266" i="1" s="1"/>
  <c r="E266" i="1"/>
  <c r="D267" i="1"/>
  <c r="F267" i="1" s="1"/>
  <c r="E267" i="1"/>
  <c r="D268" i="1"/>
  <c r="F268" i="1" s="1"/>
  <c r="E268" i="1"/>
  <c r="D269" i="1"/>
  <c r="F269" i="1" s="1"/>
  <c r="E269" i="1"/>
  <c r="D270" i="1"/>
  <c r="F270" i="1" s="1"/>
  <c r="E270" i="1"/>
  <c r="D271" i="1"/>
  <c r="F271" i="1" s="1"/>
  <c r="E271" i="1"/>
  <c r="D272" i="1"/>
  <c r="F272" i="1" s="1"/>
  <c r="E272" i="1"/>
  <c r="D273" i="1"/>
  <c r="F273" i="1" s="1"/>
  <c r="E273" i="1"/>
  <c r="D274" i="1"/>
  <c r="F274" i="1" s="1"/>
  <c r="E274" i="1"/>
  <c r="D275" i="1"/>
  <c r="F275" i="1" s="1"/>
  <c r="E275" i="1"/>
  <c r="D276" i="1"/>
  <c r="F276" i="1" s="1"/>
  <c r="E276" i="1"/>
  <c r="D277" i="1"/>
  <c r="F277" i="1" s="1"/>
  <c r="E277" i="1"/>
  <c r="D278" i="1"/>
  <c r="F278" i="1" s="1"/>
  <c r="E278" i="1"/>
  <c r="D279" i="1"/>
  <c r="F279" i="1" s="1"/>
  <c r="E279" i="1"/>
  <c r="D280" i="1"/>
  <c r="F280" i="1" s="1"/>
  <c r="E280" i="1"/>
  <c r="D281" i="1"/>
  <c r="F281" i="1" s="1"/>
  <c r="E281" i="1"/>
  <c r="D282" i="1"/>
  <c r="F282" i="1" s="1"/>
  <c r="E282" i="1"/>
  <c r="D283" i="1"/>
  <c r="F283" i="1" s="1"/>
  <c r="E283" i="1"/>
  <c r="D284" i="1"/>
  <c r="F284" i="1" s="1"/>
  <c r="E284" i="1"/>
  <c r="D285" i="1"/>
  <c r="F285" i="1" s="1"/>
  <c r="E285" i="1"/>
  <c r="D286" i="1"/>
  <c r="F286" i="1" s="1"/>
  <c r="E286" i="1"/>
  <c r="D287" i="1"/>
  <c r="F287" i="1" s="1"/>
  <c r="E287" i="1"/>
  <c r="D288" i="1"/>
  <c r="F288" i="1" s="1"/>
  <c r="E288" i="1"/>
  <c r="D289" i="1"/>
  <c r="F289" i="1" s="1"/>
  <c r="E289" i="1"/>
  <c r="D290" i="1"/>
  <c r="F290" i="1" s="1"/>
  <c r="E290" i="1"/>
  <c r="D291" i="1"/>
  <c r="F291" i="1" s="1"/>
  <c r="E291" i="1"/>
  <c r="D292" i="1"/>
  <c r="F292" i="1" s="1"/>
  <c r="E292" i="1"/>
  <c r="D293" i="1"/>
  <c r="F293" i="1" s="1"/>
  <c r="E293" i="1"/>
  <c r="D294" i="1"/>
  <c r="F294" i="1" s="1"/>
  <c r="E294" i="1"/>
  <c r="D295" i="1"/>
  <c r="F295" i="1" s="1"/>
  <c r="E295" i="1"/>
  <c r="D296" i="1"/>
  <c r="F296" i="1" s="1"/>
  <c r="E296" i="1"/>
  <c r="D297" i="1"/>
  <c r="F297" i="1" s="1"/>
  <c r="E297" i="1"/>
  <c r="D298" i="1"/>
  <c r="F298" i="1" s="1"/>
  <c r="E298" i="1"/>
  <c r="D299" i="1"/>
  <c r="F299" i="1" s="1"/>
  <c r="E299" i="1"/>
  <c r="D300" i="1"/>
  <c r="F300" i="1" s="1"/>
  <c r="E300" i="1"/>
  <c r="D301" i="1"/>
  <c r="F301" i="1" s="1"/>
  <c r="E301" i="1"/>
  <c r="D302" i="1"/>
  <c r="F302" i="1" s="1"/>
  <c r="E302" i="1"/>
  <c r="D303" i="1"/>
  <c r="F303" i="1" s="1"/>
  <c r="E303" i="1"/>
  <c r="D304" i="1"/>
  <c r="F304" i="1" s="1"/>
  <c r="E304" i="1"/>
  <c r="D305" i="1"/>
  <c r="F305" i="1" s="1"/>
  <c r="E305" i="1"/>
  <c r="D306" i="1"/>
  <c r="F306" i="1" s="1"/>
  <c r="E306" i="1"/>
  <c r="D307" i="1"/>
  <c r="F307" i="1" s="1"/>
  <c r="E307" i="1"/>
  <c r="D308" i="1"/>
  <c r="F308" i="1" s="1"/>
  <c r="E308" i="1"/>
  <c r="D309" i="1"/>
  <c r="F309" i="1" s="1"/>
  <c r="E309" i="1"/>
  <c r="D310" i="1"/>
  <c r="F310" i="1" s="1"/>
  <c r="E310" i="1"/>
  <c r="D311" i="1"/>
  <c r="F311" i="1" s="1"/>
  <c r="E311" i="1"/>
  <c r="D312" i="1"/>
  <c r="F312" i="1" s="1"/>
  <c r="E312" i="1"/>
  <c r="D313" i="1"/>
  <c r="F313" i="1" s="1"/>
  <c r="E313" i="1"/>
  <c r="D314" i="1"/>
  <c r="F314" i="1" s="1"/>
  <c r="E314" i="1"/>
  <c r="D315" i="1"/>
  <c r="F315" i="1" s="1"/>
  <c r="E315" i="1"/>
  <c r="D316" i="1"/>
  <c r="F316" i="1" s="1"/>
  <c r="E316" i="1"/>
  <c r="D317" i="1"/>
  <c r="F317" i="1" s="1"/>
  <c r="E317" i="1"/>
  <c r="D318" i="1"/>
  <c r="F318" i="1" s="1"/>
  <c r="E318" i="1"/>
  <c r="D319" i="1"/>
  <c r="F319" i="1" s="1"/>
  <c r="E319" i="1"/>
  <c r="D320" i="1"/>
  <c r="F320" i="1" s="1"/>
  <c r="E320" i="1"/>
  <c r="D321" i="1"/>
  <c r="F321" i="1" s="1"/>
  <c r="E321" i="1"/>
  <c r="D322" i="1"/>
  <c r="F322" i="1" s="1"/>
  <c r="E322" i="1"/>
  <c r="D323" i="1"/>
  <c r="F323" i="1" s="1"/>
  <c r="E323" i="1"/>
  <c r="D324" i="1"/>
  <c r="F324" i="1" s="1"/>
  <c r="E324" i="1"/>
  <c r="D326" i="1"/>
  <c r="F326" i="1" s="1"/>
  <c r="E326" i="1"/>
  <c r="D327" i="1"/>
  <c r="F327" i="1" s="1"/>
  <c r="E327" i="1"/>
  <c r="D328" i="1"/>
  <c r="F328" i="1" s="1"/>
  <c r="E328" i="1"/>
  <c r="D330" i="1"/>
  <c r="F330" i="1" s="1"/>
  <c r="E330" i="1"/>
  <c r="D331" i="1"/>
  <c r="F331" i="1" s="1"/>
  <c r="E331" i="1"/>
  <c r="D332" i="1"/>
  <c r="F332" i="1" s="1"/>
  <c r="E332" i="1"/>
  <c r="D333" i="1"/>
  <c r="F333" i="1" s="1"/>
  <c r="E333" i="1"/>
  <c r="D334" i="1"/>
  <c r="F334" i="1" s="1"/>
  <c r="E334" i="1"/>
  <c r="D335" i="1"/>
  <c r="F335" i="1" s="1"/>
  <c r="E335" i="1"/>
  <c r="D336" i="1"/>
  <c r="F336" i="1" s="1"/>
  <c r="E336" i="1"/>
  <c r="D337" i="1"/>
  <c r="F337" i="1" s="1"/>
  <c r="E337" i="1"/>
  <c r="D338" i="1"/>
  <c r="F338" i="1" s="1"/>
  <c r="E338" i="1"/>
  <c r="D339" i="1"/>
  <c r="F339" i="1" s="1"/>
  <c r="E339" i="1"/>
  <c r="D340" i="1"/>
  <c r="F340" i="1" s="1"/>
  <c r="E340" i="1"/>
  <c r="D341" i="1"/>
  <c r="F341" i="1" s="1"/>
  <c r="E341" i="1"/>
  <c r="D342" i="1"/>
  <c r="F342" i="1" s="1"/>
  <c r="E342" i="1"/>
  <c r="D343" i="1"/>
  <c r="F343" i="1" s="1"/>
  <c r="E343" i="1"/>
  <c r="D344" i="1"/>
  <c r="F344" i="1" s="1"/>
  <c r="E344" i="1"/>
  <c r="D345" i="1"/>
  <c r="F345" i="1" s="1"/>
  <c r="E345" i="1"/>
  <c r="D346" i="1"/>
  <c r="F346" i="1" s="1"/>
  <c r="E346" i="1"/>
  <c r="D347" i="1"/>
  <c r="F347" i="1" s="1"/>
  <c r="E347" i="1"/>
  <c r="D348" i="1"/>
  <c r="F348" i="1" s="1"/>
  <c r="E348" i="1"/>
  <c r="D349" i="1"/>
  <c r="F349" i="1" s="1"/>
  <c r="E349" i="1"/>
  <c r="D350" i="1"/>
  <c r="F350" i="1" s="1"/>
  <c r="E350" i="1"/>
  <c r="D351" i="1"/>
  <c r="F351" i="1" s="1"/>
  <c r="E351" i="1"/>
  <c r="D352" i="1"/>
  <c r="F352" i="1" s="1"/>
  <c r="E352" i="1"/>
  <c r="D353" i="1"/>
  <c r="F353" i="1" s="1"/>
  <c r="E353" i="1"/>
  <c r="D354" i="1"/>
  <c r="F354" i="1" s="1"/>
  <c r="E354" i="1"/>
  <c r="D355" i="1"/>
  <c r="F355" i="1" s="1"/>
  <c r="E355" i="1"/>
  <c r="D356" i="1"/>
  <c r="F356" i="1" s="1"/>
  <c r="E356" i="1"/>
  <c r="D357" i="1"/>
  <c r="F357" i="1" s="1"/>
  <c r="E357" i="1"/>
  <c r="D358" i="1"/>
  <c r="F358" i="1" s="1"/>
  <c r="E358" i="1"/>
  <c r="D359" i="1"/>
  <c r="F359" i="1" s="1"/>
  <c r="E359" i="1"/>
  <c r="D360" i="1"/>
  <c r="F360" i="1" s="1"/>
  <c r="E360" i="1"/>
  <c r="D361" i="1"/>
  <c r="F361" i="1" s="1"/>
  <c r="E361" i="1"/>
  <c r="D362" i="1"/>
  <c r="F362" i="1" s="1"/>
  <c r="E362" i="1"/>
  <c r="D363" i="1"/>
  <c r="F363" i="1" s="1"/>
  <c r="E363" i="1"/>
  <c r="D364" i="1"/>
  <c r="F364" i="1" s="1"/>
  <c r="E364" i="1"/>
  <c r="D365" i="1"/>
  <c r="F365" i="1" s="1"/>
  <c r="E365" i="1"/>
  <c r="D366" i="1"/>
  <c r="F366" i="1" s="1"/>
  <c r="E366" i="1"/>
  <c r="D367" i="1"/>
  <c r="F367" i="1" s="1"/>
  <c r="E367" i="1"/>
  <c r="D368" i="1"/>
  <c r="F368" i="1" s="1"/>
  <c r="E368" i="1"/>
  <c r="D369" i="1"/>
  <c r="F369" i="1" s="1"/>
  <c r="E369" i="1"/>
  <c r="D370" i="1"/>
  <c r="F370" i="1" s="1"/>
  <c r="E370" i="1"/>
  <c r="D371" i="1"/>
  <c r="F371" i="1" s="1"/>
  <c r="E371" i="1"/>
  <c r="D372" i="1"/>
  <c r="F372" i="1" s="1"/>
  <c r="E372" i="1"/>
  <c r="D373" i="1"/>
  <c r="F373" i="1" s="1"/>
  <c r="E373" i="1"/>
  <c r="D374" i="1"/>
  <c r="F374" i="1" s="1"/>
  <c r="E374" i="1"/>
  <c r="D375" i="1"/>
  <c r="F375" i="1" s="1"/>
  <c r="E375" i="1"/>
  <c r="D376" i="1"/>
  <c r="F376" i="1" s="1"/>
  <c r="E376" i="1"/>
  <c r="D377" i="1"/>
  <c r="F377" i="1" s="1"/>
  <c r="E377" i="1"/>
  <c r="D378" i="1"/>
  <c r="F378" i="1" s="1"/>
  <c r="E378" i="1"/>
  <c r="D379" i="1"/>
  <c r="F379" i="1" s="1"/>
  <c r="E379" i="1"/>
  <c r="D380" i="1"/>
  <c r="F380" i="1" s="1"/>
  <c r="E380" i="1"/>
  <c r="D381" i="1"/>
  <c r="F381" i="1" s="1"/>
  <c r="E381" i="1"/>
  <c r="D382" i="1"/>
  <c r="F382" i="1" s="1"/>
  <c r="E382" i="1"/>
  <c r="D383" i="1"/>
  <c r="F383" i="1" s="1"/>
  <c r="E383" i="1"/>
  <c r="D384" i="1"/>
  <c r="F384" i="1" s="1"/>
  <c r="E384" i="1"/>
  <c r="D385" i="1"/>
  <c r="F385" i="1" s="1"/>
  <c r="E385" i="1"/>
  <c r="D386" i="1"/>
  <c r="F386" i="1" s="1"/>
  <c r="E386" i="1"/>
  <c r="D387" i="1"/>
  <c r="F387" i="1" s="1"/>
  <c r="E387" i="1"/>
  <c r="D388" i="1"/>
  <c r="F388" i="1" s="1"/>
  <c r="E388" i="1"/>
  <c r="D389" i="1"/>
  <c r="F389" i="1" s="1"/>
  <c r="E389" i="1"/>
  <c r="D390" i="1"/>
  <c r="F390" i="1" s="1"/>
  <c r="E390" i="1"/>
  <c r="D391" i="1"/>
  <c r="F391" i="1" s="1"/>
  <c r="E391" i="1"/>
  <c r="D392" i="1"/>
  <c r="F392" i="1" s="1"/>
  <c r="E392" i="1"/>
  <c r="D393" i="1"/>
  <c r="F393" i="1" s="1"/>
  <c r="E393" i="1"/>
  <c r="D394" i="1"/>
  <c r="F394" i="1" s="1"/>
  <c r="E394" i="1"/>
  <c r="D395" i="1"/>
  <c r="F395" i="1" s="1"/>
  <c r="E395" i="1"/>
  <c r="D396" i="1"/>
  <c r="F396" i="1" s="1"/>
  <c r="E396" i="1"/>
  <c r="D397" i="1"/>
  <c r="F397" i="1" s="1"/>
  <c r="E397" i="1"/>
  <c r="D398" i="1"/>
  <c r="F398" i="1" s="1"/>
  <c r="E398" i="1"/>
  <c r="D399" i="1"/>
  <c r="F399" i="1" s="1"/>
  <c r="E399" i="1"/>
  <c r="D400" i="1"/>
  <c r="F400" i="1" s="1"/>
  <c r="E400" i="1"/>
  <c r="D401" i="1"/>
  <c r="F401" i="1" s="1"/>
  <c r="E401" i="1"/>
  <c r="D402" i="1"/>
  <c r="F402" i="1" s="1"/>
  <c r="E402" i="1"/>
  <c r="D403" i="1"/>
  <c r="F403" i="1" s="1"/>
  <c r="E403" i="1"/>
  <c r="D404" i="1"/>
  <c r="F404" i="1" s="1"/>
  <c r="E404" i="1"/>
  <c r="D405" i="1"/>
  <c r="F405" i="1" s="1"/>
  <c r="E405" i="1"/>
  <c r="D406" i="1"/>
  <c r="F406" i="1" s="1"/>
  <c r="E406" i="1"/>
  <c r="D407" i="1"/>
  <c r="F407" i="1" s="1"/>
  <c r="E407" i="1"/>
  <c r="D408" i="1"/>
  <c r="F408" i="1" s="1"/>
  <c r="E408" i="1"/>
  <c r="D409" i="1"/>
  <c r="F409" i="1" s="1"/>
  <c r="E409" i="1"/>
  <c r="D410" i="1"/>
  <c r="F410" i="1" s="1"/>
  <c r="E410" i="1"/>
  <c r="D411" i="1"/>
  <c r="F411" i="1" s="1"/>
  <c r="E411" i="1"/>
  <c r="D412" i="1"/>
  <c r="F412" i="1" s="1"/>
  <c r="E412" i="1"/>
  <c r="D413" i="1"/>
  <c r="F413" i="1" s="1"/>
  <c r="E413" i="1"/>
  <c r="D414" i="1"/>
  <c r="F414" i="1" s="1"/>
  <c r="E414" i="1"/>
  <c r="D415" i="1"/>
  <c r="F415" i="1" s="1"/>
  <c r="E415" i="1"/>
  <c r="D416" i="1"/>
  <c r="F416" i="1" s="1"/>
  <c r="E416" i="1"/>
  <c r="D417" i="1"/>
  <c r="F417" i="1" s="1"/>
  <c r="E417" i="1"/>
  <c r="D418" i="1"/>
  <c r="F418" i="1" s="1"/>
  <c r="E418" i="1"/>
  <c r="D419" i="1"/>
  <c r="F419" i="1" s="1"/>
  <c r="E419" i="1"/>
  <c r="D420" i="1"/>
  <c r="F420" i="1" s="1"/>
  <c r="E420" i="1"/>
  <c r="D421" i="1"/>
  <c r="F421" i="1" s="1"/>
  <c r="E421" i="1"/>
  <c r="D422" i="1"/>
  <c r="F422" i="1" s="1"/>
  <c r="E422" i="1"/>
  <c r="D423" i="1"/>
  <c r="F423" i="1" s="1"/>
  <c r="E423" i="1"/>
  <c r="D424" i="1"/>
  <c r="F424" i="1" s="1"/>
  <c r="E424" i="1"/>
  <c r="D425" i="1"/>
  <c r="F425" i="1" s="1"/>
  <c r="E425" i="1"/>
  <c r="D426" i="1"/>
  <c r="F426" i="1" s="1"/>
  <c r="E426" i="1"/>
  <c r="D427" i="1"/>
  <c r="F427" i="1" s="1"/>
  <c r="E427" i="1"/>
  <c r="D428" i="1"/>
  <c r="F428" i="1" s="1"/>
  <c r="E428" i="1"/>
  <c r="D429" i="1"/>
  <c r="F429" i="1" s="1"/>
  <c r="E429" i="1"/>
  <c r="D430" i="1"/>
  <c r="F430" i="1" s="1"/>
  <c r="E430" i="1"/>
  <c r="D431" i="1"/>
  <c r="F431" i="1" s="1"/>
  <c r="E431" i="1"/>
  <c r="D432" i="1"/>
  <c r="F432" i="1" s="1"/>
  <c r="E432" i="1"/>
  <c r="D433" i="1"/>
  <c r="F433" i="1" s="1"/>
  <c r="E433" i="1"/>
  <c r="D434" i="1"/>
  <c r="F434" i="1" s="1"/>
  <c r="E434" i="1"/>
  <c r="D435" i="1"/>
  <c r="F435" i="1" s="1"/>
  <c r="E435" i="1"/>
  <c r="D436" i="1"/>
  <c r="F436" i="1" s="1"/>
  <c r="E436" i="1"/>
  <c r="D437" i="1"/>
  <c r="F437" i="1" s="1"/>
  <c r="E437" i="1"/>
  <c r="D438" i="1"/>
  <c r="F438" i="1" s="1"/>
  <c r="E438" i="1"/>
  <c r="D439" i="1"/>
  <c r="F439" i="1" s="1"/>
  <c r="E439" i="1"/>
  <c r="D440" i="1"/>
  <c r="F440" i="1" s="1"/>
  <c r="E440" i="1"/>
  <c r="D441" i="1"/>
  <c r="F441" i="1" s="1"/>
  <c r="E441" i="1"/>
  <c r="D442" i="1"/>
  <c r="F442" i="1" s="1"/>
  <c r="E442" i="1"/>
  <c r="D443" i="1"/>
  <c r="F443" i="1" s="1"/>
  <c r="E443" i="1"/>
  <c r="D444" i="1"/>
  <c r="F444" i="1" s="1"/>
  <c r="E444" i="1"/>
  <c r="D445" i="1"/>
  <c r="F445" i="1" s="1"/>
  <c r="E445" i="1"/>
  <c r="D446" i="1"/>
  <c r="F446" i="1" s="1"/>
  <c r="E446" i="1"/>
  <c r="D447" i="1"/>
  <c r="F447" i="1" s="1"/>
  <c r="E447" i="1"/>
  <c r="D448" i="1"/>
  <c r="F448" i="1" s="1"/>
  <c r="E448" i="1"/>
  <c r="D449" i="1"/>
  <c r="F449" i="1" s="1"/>
  <c r="E449" i="1"/>
  <c r="D450" i="1"/>
  <c r="F450" i="1" s="1"/>
  <c r="E450" i="1"/>
  <c r="D451" i="1"/>
  <c r="F451" i="1" s="1"/>
  <c r="E451" i="1"/>
  <c r="D452" i="1"/>
  <c r="F452" i="1" s="1"/>
  <c r="E452" i="1"/>
  <c r="D453" i="1"/>
  <c r="F453" i="1" s="1"/>
  <c r="E453" i="1"/>
  <c r="D454" i="1"/>
  <c r="F454" i="1" s="1"/>
  <c r="E454" i="1"/>
  <c r="D455" i="1"/>
  <c r="F455" i="1" s="1"/>
  <c r="E455" i="1"/>
  <c r="D456" i="1"/>
  <c r="F456" i="1" s="1"/>
  <c r="E456" i="1"/>
  <c r="D457" i="1"/>
  <c r="F457" i="1" s="1"/>
  <c r="E457" i="1"/>
  <c r="D458" i="1"/>
  <c r="F458" i="1" s="1"/>
  <c r="E458" i="1"/>
  <c r="D459" i="1"/>
  <c r="F459" i="1" s="1"/>
  <c r="E459" i="1"/>
  <c r="D460" i="1"/>
  <c r="F460" i="1" s="1"/>
  <c r="E460" i="1"/>
  <c r="D461" i="1"/>
  <c r="F461" i="1" s="1"/>
  <c r="E461" i="1"/>
  <c r="D462" i="1"/>
  <c r="F462" i="1" s="1"/>
  <c r="E462" i="1"/>
  <c r="D463" i="1"/>
  <c r="F463" i="1" s="1"/>
  <c r="E463" i="1"/>
  <c r="D464" i="1"/>
  <c r="F464" i="1" s="1"/>
  <c r="E464" i="1"/>
  <c r="D465" i="1"/>
  <c r="F465" i="1" s="1"/>
  <c r="E465" i="1"/>
  <c r="D466" i="1"/>
  <c r="F466" i="1" s="1"/>
  <c r="E466" i="1"/>
  <c r="D467" i="1"/>
  <c r="F467" i="1" s="1"/>
  <c r="E467" i="1"/>
  <c r="D468" i="1"/>
  <c r="F468" i="1" s="1"/>
  <c r="E468" i="1"/>
  <c r="D469" i="1"/>
  <c r="F469" i="1" s="1"/>
  <c r="E469" i="1"/>
  <c r="D470" i="1"/>
  <c r="F470" i="1" s="1"/>
  <c r="E470" i="1"/>
  <c r="D471" i="1"/>
  <c r="F471" i="1" s="1"/>
  <c r="E471" i="1"/>
  <c r="D472" i="1"/>
  <c r="F472" i="1" s="1"/>
  <c r="E472" i="1"/>
  <c r="D473" i="1"/>
  <c r="F473" i="1" s="1"/>
  <c r="E473" i="1"/>
  <c r="D474" i="1"/>
  <c r="F474" i="1" s="1"/>
  <c r="E474" i="1"/>
  <c r="D475" i="1"/>
  <c r="F475" i="1" s="1"/>
  <c r="E475" i="1"/>
  <c r="D476" i="1"/>
  <c r="F476" i="1" s="1"/>
  <c r="E476" i="1"/>
  <c r="D477" i="1"/>
  <c r="F477" i="1" s="1"/>
  <c r="E477" i="1"/>
  <c r="D478" i="1"/>
  <c r="F478" i="1" s="1"/>
  <c r="E478" i="1"/>
  <c r="D479" i="1"/>
  <c r="F479" i="1" s="1"/>
  <c r="E479" i="1"/>
  <c r="D480" i="1"/>
  <c r="F480" i="1" s="1"/>
  <c r="E480" i="1"/>
  <c r="D481" i="1"/>
  <c r="F481" i="1" s="1"/>
  <c r="E481" i="1"/>
  <c r="D482" i="1"/>
  <c r="F482" i="1" s="1"/>
  <c r="E482" i="1"/>
  <c r="D483" i="1"/>
  <c r="F483" i="1" s="1"/>
  <c r="E483" i="1"/>
  <c r="D484" i="1"/>
  <c r="F484" i="1" s="1"/>
  <c r="E484" i="1"/>
  <c r="D485" i="1"/>
  <c r="F485" i="1" s="1"/>
  <c r="E485" i="1"/>
  <c r="D486" i="1"/>
  <c r="F486" i="1" s="1"/>
  <c r="E486" i="1"/>
  <c r="D487" i="1"/>
  <c r="F487" i="1" s="1"/>
  <c r="E487" i="1"/>
  <c r="D488" i="1"/>
  <c r="F488" i="1" s="1"/>
  <c r="E488" i="1"/>
  <c r="D489" i="1"/>
  <c r="F489" i="1" s="1"/>
  <c r="E489" i="1"/>
  <c r="D490" i="1"/>
  <c r="F490" i="1" s="1"/>
  <c r="E490" i="1"/>
  <c r="D491" i="1"/>
  <c r="F491" i="1" s="1"/>
  <c r="E491" i="1"/>
  <c r="D492" i="1"/>
  <c r="F492" i="1" s="1"/>
  <c r="E492" i="1"/>
  <c r="D493" i="1"/>
  <c r="F493" i="1" s="1"/>
  <c r="E493" i="1"/>
  <c r="D494" i="1"/>
  <c r="F494" i="1" s="1"/>
  <c r="E494" i="1"/>
  <c r="D495" i="1"/>
  <c r="F495" i="1" s="1"/>
  <c r="E495" i="1"/>
  <c r="D496" i="1"/>
  <c r="F496" i="1" s="1"/>
  <c r="E496" i="1"/>
  <c r="D497" i="1"/>
  <c r="F497" i="1" s="1"/>
  <c r="E497" i="1"/>
  <c r="D498" i="1"/>
  <c r="F498" i="1" s="1"/>
  <c r="E498" i="1"/>
  <c r="D499" i="1"/>
  <c r="F499" i="1" s="1"/>
  <c r="E499" i="1"/>
  <c r="D500" i="1"/>
  <c r="F500" i="1" s="1"/>
  <c r="E500" i="1"/>
  <c r="D501" i="1"/>
  <c r="F501" i="1" s="1"/>
  <c r="E501" i="1"/>
  <c r="D502" i="1"/>
  <c r="F502" i="1" s="1"/>
  <c r="E502" i="1"/>
  <c r="D503" i="1"/>
  <c r="F503" i="1" s="1"/>
  <c r="E503" i="1"/>
  <c r="D504" i="1"/>
  <c r="F504" i="1" s="1"/>
  <c r="E504" i="1"/>
  <c r="D505" i="1"/>
  <c r="F505" i="1" s="1"/>
  <c r="E505" i="1"/>
  <c r="D506" i="1"/>
  <c r="F506" i="1" s="1"/>
  <c r="E506" i="1"/>
  <c r="D507" i="1"/>
  <c r="F507" i="1" s="1"/>
  <c r="E507" i="1"/>
  <c r="D508" i="1"/>
  <c r="F508" i="1" s="1"/>
  <c r="E508" i="1"/>
  <c r="D509" i="1"/>
  <c r="F509" i="1" s="1"/>
  <c r="E509" i="1"/>
  <c r="D510" i="1"/>
  <c r="F510" i="1" s="1"/>
  <c r="E510" i="1"/>
  <c r="D511" i="1"/>
  <c r="F511" i="1" s="1"/>
  <c r="E511" i="1"/>
  <c r="D512" i="1"/>
  <c r="F512" i="1" s="1"/>
  <c r="E512" i="1"/>
  <c r="D513" i="1"/>
  <c r="F513" i="1" s="1"/>
  <c r="E513" i="1"/>
  <c r="D514" i="1"/>
  <c r="F514" i="1" s="1"/>
  <c r="E514" i="1"/>
  <c r="D515" i="1"/>
  <c r="F515" i="1" s="1"/>
  <c r="E515" i="1"/>
  <c r="D516" i="1"/>
  <c r="F516" i="1" s="1"/>
  <c r="E516" i="1"/>
  <c r="D517" i="1"/>
  <c r="F517" i="1" s="1"/>
  <c r="E517" i="1"/>
  <c r="D518" i="1"/>
  <c r="F518" i="1" s="1"/>
  <c r="E518" i="1"/>
  <c r="D519" i="1"/>
  <c r="F519" i="1" s="1"/>
  <c r="E519" i="1"/>
  <c r="D520" i="1"/>
  <c r="F520" i="1" s="1"/>
  <c r="E520" i="1"/>
  <c r="D521" i="1"/>
  <c r="F521" i="1" s="1"/>
  <c r="E521" i="1"/>
  <c r="D522" i="1"/>
  <c r="F522" i="1" s="1"/>
  <c r="E522" i="1"/>
  <c r="D523" i="1"/>
  <c r="F523" i="1" s="1"/>
  <c r="E523" i="1"/>
  <c r="D524" i="1"/>
  <c r="F524" i="1" s="1"/>
  <c r="E524" i="1"/>
  <c r="D525" i="1"/>
  <c r="F525" i="1" s="1"/>
  <c r="E525" i="1"/>
  <c r="D526" i="1"/>
  <c r="F526" i="1" s="1"/>
  <c r="E526" i="1"/>
  <c r="D527" i="1"/>
  <c r="F527" i="1" s="1"/>
  <c r="E527" i="1"/>
  <c r="D528" i="1"/>
  <c r="F528" i="1" s="1"/>
  <c r="E528" i="1"/>
  <c r="D529" i="1"/>
  <c r="F529" i="1" s="1"/>
  <c r="E529" i="1"/>
  <c r="D530" i="1"/>
  <c r="F530" i="1" s="1"/>
  <c r="E530" i="1"/>
  <c r="D531" i="1"/>
  <c r="F531" i="1" s="1"/>
  <c r="E531" i="1"/>
  <c r="D532" i="1"/>
  <c r="F532" i="1" s="1"/>
  <c r="E532" i="1"/>
  <c r="D533" i="1"/>
  <c r="F533" i="1" s="1"/>
  <c r="E533" i="1"/>
  <c r="D534" i="1"/>
  <c r="F534" i="1" s="1"/>
  <c r="E534" i="1"/>
  <c r="D535" i="1"/>
  <c r="F535" i="1" s="1"/>
  <c r="E535" i="1"/>
  <c r="D536" i="1"/>
  <c r="F536" i="1" s="1"/>
  <c r="E536" i="1"/>
  <c r="D537" i="1"/>
  <c r="F537" i="1" s="1"/>
  <c r="E537" i="1"/>
  <c r="D538" i="1"/>
  <c r="F538" i="1" s="1"/>
  <c r="E538" i="1"/>
  <c r="D539" i="1"/>
  <c r="F539" i="1" s="1"/>
  <c r="E539" i="1"/>
  <c r="D540" i="1"/>
  <c r="F540" i="1" s="1"/>
  <c r="E540" i="1"/>
  <c r="D541" i="1"/>
  <c r="F541" i="1" s="1"/>
  <c r="E541" i="1"/>
  <c r="D542" i="1"/>
  <c r="F542" i="1" s="1"/>
  <c r="E542" i="1"/>
  <c r="D543" i="1"/>
  <c r="F543" i="1" s="1"/>
  <c r="E543" i="1"/>
  <c r="D544" i="1"/>
  <c r="F544" i="1" s="1"/>
  <c r="E544" i="1"/>
  <c r="D545" i="1"/>
  <c r="F545" i="1" s="1"/>
  <c r="E545" i="1"/>
  <c r="D546" i="1"/>
  <c r="F546" i="1" s="1"/>
  <c r="E546" i="1"/>
  <c r="D547" i="1"/>
  <c r="F547" i="1" s="1"/>
  <c r="E547" i="1"/>
  <c r="D548" i="1"/>
  <c r="F548" i="1" s="1"/>
  <c r="E548" i="1"/>
  <c r="D549" i="1"/>
  <c r="F549" i="1" s="1"/>
  <c r="E549" i="1"/>
  <c r="D550" i="1"/>
  <c r="F550" i="1" s="1"/>
  <c r="E550" i="1"/>
  <c r="D551" i="1"/>
  <c r="F551" i="1" s="1"/>
  <c r="E551" i="1"/>
  <c r="D552" i="1"/>
  <c r="F552" i="1" s="1"/>
  <c r="E552" i="1"/>
  <c r="D553" i="1"/>
  <c r="F553" i="1" s="1"/>
  <c r="E553" i="1"/>
  <c r="D554" i="1"/>
  <c r="F554" i="1" s="1"/>
  <c r="E554" i="1"/>
  <c r="D555" i="1"/>
  <c r="F555" i="1" s="1"/>
  <c r="E555" i="1"/>
  <c r="D556" i="1"/>
  <c r="F556" i="1" s="1"/>
  <c r="E556" i="1"/>
  <c r="D557" i="1"/>
  <c r="F557" i="1" s="1"/>
  <c r="E557" i="1"/>
  <c r="D558" i="1"/>
  <c r="F558" i="1" s="1"/>
  <c r="E558" i="1"/>
  <c r="D559" i="1"/>
  <c r="F559" i="1" s="1"/>
  <c r="E559" i="1"/>
  <c r="D560" i="1"/>
  <c r="F560" i="1" s="1"/>
  <c r="E560" i="1"/>
  <c r="D561" i="1"/>
  <c r="F561" i="1" s="1"/>
  <c r="E561" i="1"/>
  <c r="D562" i="1"/>
  <c r="F562" i="1" s="1"/>
  <c r="E562" i="1"/>
  <c r="D563" i="1"/>
  <c r="F563" i="1" s="1"/>
  <c r="E563" i="1"/>
  <c r="D564" i="1"/>
  <c r="F564" i="1" s="1"/>
  <c r="E564" i="1"/>
  <c r="D565" i="1"/>
  <c r="F565" i="1" s="1"/>
  <c r="E565" i="1"/>
  <c r="D566" i="1"/>
  <c r="F566" i="1" s="1"/>
  <c r="E566" i="1"/>
  <c r="D567" i="1"/>
  <c r="F567" i="1" s="1"/>
  <c r="E567" i="1"/>
  <c r="D568" i="1"/>
  <c r="F568" i="1" s="1"/>
  <c r="E568" i="1"/>
  <c r="D569" i="1"/>
  <c r="F569" i="1" s="1"/>
  <c r="E569" i="1"/>
  <c r="D570" i="1"/>
  <c r="F570" i="1" s="1"/>
  <c r="E570" i="1"/>
  <c r="D571" i="1"/>
  <c r="F571" i="1" s="1"/>
  <c r="E571" i="1"/>
  <c r="D572" i="1"/>
  <c r="F572" i="1" s="1"/>
  <c r="E572" i="1"/>
  <c r="D573" i="1"/>
  <c r="F573" i="1" s="1"/>
  <c r="E573" i="1"/>
  <c r="D574" i="1"/>
  <c r="F574" i="1" s="1"/>
  <c r="E574" i="1"/>
  <c r="D575" i="1"/>
  <c r="F575" i="1" s="1"/>
  <c r="E575" i="1"/>
  <c r="D576" i="1"/>
  <c r="F576" i="1" s="1"/>
  <c r="E576" i="1"/>
  <c r="D577" i="1"/>
  <c r="F577" i="1" s="1"/>
  <c r="E577" i="1"/>
  <c r="D578" i="1"/>
  <c r="F578" i="1" s="1"/>
  <c r="E578" i="1"/>
  <c r="D579" i="1"/>
  <c r="F579" i="1" s="1"/>
  <c r="E579" i="1"/>
  <c r="D580" i="1"/>
  <c r="F580" i="1" s="1"/>
  <c r="E580" i="1"/>
  <c r="D581" i="1"/>
  <c r="F581" i="1" s="1"/>
  <c r="E581" i="1"/>
  <c r="D582" i="1"/>
  <c r="F582" i="1" s="1"/>
  <c r="E582" i="1"/>
  <c r="D583" i="1"/>
  <c r="F583" i="1" s="1"/>
  <c r="E583" i="1"/>
  <c r="D584" i="1"/>
  <c r="F584" i="1" s="1"/>
  <c r="E584" i="1"/>
  <c r="D585" i="1"/>
  <c r="F585" i="1" s="1"/>
  <c r="E585" i="1"/>
  <c r="D586" i="1"/>
  <c r="F586" i="1" s="1"/>
  <c r="E586" i="1"/>
  <c r="D587" i="1"/>
  <c r="F587" i="1" s="1"/>
  <c r="E587" i="1"/>
  <c r="D588" i="1"/>
  <c r="F588" i="1" s="1"/>
  <c r="E588" i="1"/>
  <c r="D589" i="1"/>
  <c r="F589" i="1" s="1"/>
  <c r="E589" i="1"/>
  <c r="D590" i="1"/>
  <c r="F590" i="1" s="1"/>
  <c r="E590" i="1"/>
  <c r="D591" i="1"/>
  <c r="F591" i="1" s="1"/>
  <c r="E591" i="1"/>
  <c r="D592" i="1"/>
  <c r="F592" i="1" s="1"/>
  <c r="E592" i="1"/>
  <c r="D593" i="1"/>
  <c r="F593" i="1" s="1"/>
  <c r="E593" i="1"/>
  <c r="D594" i="1"/>
  <c r="F594" i="1" s="1"/>
  <c r="E594" i="1"/>
  <c r="D595" i="1"/>
  <c r="F595" i="1" s="1"/>
  <c r="E595" i="1"/>
  <c r="D596" i="1"/>
  <c r="F596" i="1" s="1"/>
  <c r="E596" i="1"/>
  <c r="D597" i="1"/>
  <c r="F597" i="1" s="1"/>
  <c r="E597" i="1"/>
  <c r="D598" i="1"/>
  <c r="F598" i="1" s="1"/>
  <c r="E598" i="1"/>
  <c r="D599" i="1"/>
  <c r="F599" i="1" s="1"/>
  <c r="E599" i="1"/>
  <c r="D600" i="1"/>
  <c r="F600" i="1" s="1"/>
  <c r="E600" i="1"/>
  <c r="D601" i="1"/>
  <c r="F601" i="1" s="1"/>
  <c r="E601" i="1"/>
  <c r="D602" i="1"/>
  <c r="F602" i="1" s="1"/>
  <c r="E602" i="1"/>
  <c r="D603" i="1"/>
  <c r="F603" i="1" s="1"/>
  <c r="E603" i="1"/>
  <c r="D604" i="1"/>
  <c r="F604" i="1" s="1"/>
  <c r="E604" i="1"/>
  <c r="D605" i="1"/>
  <c r="F605" i="1" s="1"/>
  <c r="E605" i="1"/>
  <c r="D606" i="1"/>
  <c r="F606" i="1" s="1"/>
  <c r="E606" i="1"/>
  <c r="D607" i="1"/>
  <c r="F607" i="1" s="1"/>
  <c r="E607" i="1"/>
  <c r="D608" i="1"/>
  <c r="F608" i="1" s="1"/>
  <c r="E608" i="1"/>
  <c r="D609" i="1"/>
  <c r="F609" i="1" s="1"/>
  <c r="E609" i="1"/>
  <c r="D610" i="1"/>
  <c r="F610" i="1" s="1"/>
  <c r="E610" i="1"/>
  <c r="D611" i="1"/>
  <c r="F611" i="1" s="1"/>
  <c r="E611" i="1"/>
  <c r="D612" i="1"/>
  <c r="F612" i="1" s="1"/>
  <c r="E612" i="1"/>
  <c r="D613" i="1"/>
  <c r="F613" i="1" s="1"/>
  <c r="E613" i="1"/>
  <c r="D614" i="1"/>
  <c r="F614" i="1" s="1"/>
  <c r="E614" i="1"/>
  <c r="D615" i="1"/>
  <c r="F615" i="1" s="1"/>
  <c r="E615" i="1"/>
  <c r="D616" i="1"/>
  <c r="F616" i="1" s="1"/>
  <c r="E616" i="1"/>
  <c r="D617" i="1"/>
  <c r="F617" i="1" s="1"/>
  <c r="E617" i="1"/>
  <c r="D618" i="1"/>
  <c r="F618" i="1" s="1"/>
  <c r="E618" i="1"/>
  <c r="D619" i="1"/>
  <c r="F619" i="1" s="1"/>
  <c r="E619" i="1"/>
  <c r="D620" i="1"/>
  <c r="F620" i="1" s="1"/>
  <c r="E620" i="1"/>
  <c r="D621" i="1"/>
  <c r="F621" i="1" s="1"/>
  <c r="E621" i="1"/>
  <c r="D622" i="1"/>
  <c r="F622" i="1" s="1"/>
  <c r="E622" i="1"/>
  <c r="D623" i="1"/>
  <c r="F623" i="1" s="1"/>
  <c r="E623" i="1"/>
  <c r="D624" i="1"/>
  <c r="F624" i="1" s="1"/>
  <c r="E624" i="1"/>
  <c r="D625" i="1"/>
  <c r="F625" i="1" s="1"/>
  <c r="E625" i="1"/>
  <c r="D626" i="1"/>
  <c r="F626" i="1" s="1"/>
  <c r="E626" i="1"/>
  <c r="D627" i="1"/>
  <c r="F627" i="1" s="1"/>
  <c r="E627" i="1"/>
  <c r="D628" i="1"/>
  <c r="F628" i="1" s="1"/>
  <c r="E628" i="1"/>
  <c r="D629" i="1"/>
  <c r="F629" i="1" s="1"/>
  <c r="E629" i="1"/>
  <c r="D630" i="1"/>
  <c r="F630" i="1" s="1"/>
  <c r="E630" i="1"/>
  <c r="D631" i="1"/>
  <c r="F631" i="1" s="1"/>
  <c r="E631" i="1"/>
  <c r="D632" i="1"/>
  <c r="F632" i="1" s="1"/>
  <c r="E632" i="1"/>
  <c r="D633" i="1"/>
  <c r="F633" i="1" s="1"/>
  <c r="E633" i="1"/>
  <c r="D634" i="1"/>
  <c r="F634" i="1" s="1"/>
  <c r="E634" i="1"/>
  <c r="D635" i="1"/>
  <c r="F635" i="1" s="1"/>
  <c r="E635" i="1"/>
  <c r="D636" i="1"/>
  <c r="F636" i="1" s="1"/>
  <c r="E636" i="1"/>
  <c r="D637" i="1"/>
  <c r="F637" i="1" s="1"/>
  <c r="E637" i="1"/>
  <c r="D638" i="1"/>
  <c r="F638" i="1" s="1"/>
  <c r="E638" i="1"/>
  <c r="D639" i="1"/>
  <c r="F639" i="1" s="1"/>
  <c r="E639" i="1"/>
  <c r="D640" i="1"/>
  <c r="F640" i="1" s="1"/>
  <c r="E640" i="1"/>
  <c r="D641" i="1"/>
  <c r="F641" i="1" s="1"/>
  <c r="E641" i="1"/>
  <c r="D642" i="1"/>
  <c r="F642" i="1" s="1"/>
  <c r="E642" i="1"/>
  <c r="D643" i="1"/>
  <c r="F643" i="1" s="1"/>
  <c r="E643" i="1"/>
  <c r="D644" i="1"/>
  <c r="F644" i="1" s="1"/>
  <c r="E644" i="1"/>
  <c r="D645" i="1"/>
  <c r="F645" i="1" s="1"/>
  <c r="E645" i="1"/>
  <c r="D646" i="1"/>
  <c r="F646" i="1" s="1"/>
  <c r="E646" i="1"/>
  <c r="D647" i="1"/>
  <c r="F647" i="1" s="1"/>
  <c r="E647" i="1"/>
  <c r="D648" i="1"/>
  <c r="F648" i="1" s="1"/>
  <c r="E648" i="1"/>
  <c r="D649" i="1"/>
  <c r="F649" i="1" s="1"/>
  <c r="E649" i="1"/>
  <c r="D650" i="1"/>
  <c r="F650" i="1" s="1"/>
  <c r="E650" i="1"/>
  <c r="D651" i="1"/>
  <c r="F651" i="1" s="1"/>
  <c r="E651" i="1"/>
  <c r="D652" i="1"/>
  <c r="F652" i="1" s="1"/>
  <c r="E652" i="1"/>
  <c r="D653" i="1"/>
  <c r="F653" i="1" s="1"/>
  <c r="E653" i="1"/>
  <c r="D654" i="1"/>
  <c r="F654" i="1" s="1"/>
  <c r="E654" i="1"/>
  <c r="D655" i="1"/>
  <c r="F655" i="1" s="1"/>
  <c r="E655" i="1"/>
  <c r="D656" i="1"/>
  <c r="F656" i="1" s="1"/>
  <c r="E656" i="1"/>
  <c r="D657" i="1"/>
  <c r="F657" i="1" s="1"/>
  <c r="E657" i="1"/>
  <c r="D658" i="1"/>
  <c r="F658" i="1" s="1"/>
  <c r="E658" i="1"/>
  <c r="D659" i="1"/>
  <c r="F659" i="1" s="1"/>
  <c r="E659" i="1"/>
  <c r="D660" i="1"/>
  <c r="F660" i="1" s="1"/>
  <c r="E660" i="1"/>
  <c r="D661" i="1"/>
  <c r="F661" i="1" s="1"/>
  <c r="E661" i="1"/>
  <c r="D662" i="1"/>
  <c r="F662" i="1" s="1"/>
  <c r="E662" i="1"/>
  <c r="D663" i="1"/>
  <c r="F663" i="1" s="1"/>
  <c r="E663" i="1"/>
  <c r="D664" i="1"/>
  <c r="F664" i="1" s="1"/>
  <c r="E664" i="1"/>
  <c r="D665" i="1"/>
  <c r="F665" i="1" s="1"/>
  <c r="E665" i="1"/>
  <c r="D666" i="1"/>
  <c r="F666" i="1" s="1"/>
  <c r="E666" i="1"/>
  <c r="D667" i="1"/>
  <c r="F667" i="1" s="1"/>
  <c r="E667" i="1"/>
  <c r="D668" i="1"/>
  <c r="F668" i="1" s="1"/>
  <c r="E668" i="1"/>
  <c r="D669" i="1"/>
  <c r="F669" i="1" s="1"/>
  <c r="E669" i="1"/>
  <c r="D670" i="1"/>
  <c r="F670" i="1" s="1"/>
  <c r="E670" i="1"/>
  <c r="D671" i="1"/>
  <c r="F671" i="1" s="1"/>
  <c r="E671" i="1"/>
  <c r="D672" i="1"/>
  <c r="F672" i="1" s="1"/>
  <c r="E672" i="1"/>
  <c r="D673" i="1"/>
  <c r="F673" i="1" s="1"/>
  <c r="E673" i="1"/>
  <c r="D674" i="1"/>
  <c r="F674" i="1" s="1"/>
  <c r="E674" i="1"/>
  <c r="D675" i="1"/>
  <c r="F675" i="1" s="1"/>
  <c r="E675" i="1"/>
  <c r="D676" i="1"/>
  <c r="F676" i="1" s="1"/>
  <c r="E676" i="1"/>
  <c r="D677" i="1"/>
  <c r="F677" i="1" s="1"/>
  <c r="E677" i="1"/>
  <c r="D678" i="1"/>
  <c r="F678" i="1" s="1"/>
  <c r="E678" i="1"/>
  <c r="D679" i="1"/>
  <c r="F679" i="1" s="1"/>
  <c r="E679" i="1"/>
  <c r="D680" i="1"/>
  <c r="F680" i="1" s="1"/>
  <c r="E680" i="1"/>
  <c r="D681" i="1"/>
  <c r="F681" i="1" s="1"/>
  <c r="E681" i="1"/>
  <c r="D682" i="1"/>
  <c r="F682" i="1" s="1"/>
  <c r="E682" i="1"/>
  <c r="D683" i="1"/>
  <c r="F683" i="1" s="1"/>
  <c r="E683" i="1"/>
  <c r="D684" i="1"/>
  <c r="F684" i="1" s="1"/>
  <c r="E684" i="1"/>
  <c r="D685" i="1"/>
  <c r="F685" i="1" s="1"/>
  <c r="E685" i="1"/>
  <c r="D686" i="1"/>
  <c r="F686" i="1" s="1"/>
  <c r="E686" i="1"/>
  <c r="D687" i="1"/>
  <c r="F687" i="1" s="1"/>
  <c r="E687" i="1"/>
  <c r="D688" i="1"/>
  <c r="F688" i="1" s="1"/>
  <c r="E688" i="1"/>
  <c r="D689" i="1"/>
  <c r="F689" i="1" s="1"/>
  <c r="E689" i="1"/>
  <c r="D690" i="1"/>
  <c r="F690" i="1" s="1"/>
  <c r="E690" i="1"/>
  <c r="D691" i="1"/>
  <c r="F691" i="1" s="1"/>
  <c r="E691" i="1"/>
  <c r="D692" i="1"/>
  <c r="F692" i="1" s="1"/>
  <c r="E692" i="1"/>
  <c r="D693" i="1"/>
  <c r="F693" i="1" s="1"/>
  <c r="E693" i="1"/>
  <c r="D694" i="1"/>
  <c r="F694" i="1" s="1"/>
  <c r="E694" i="1"/>
  <c r="D695" i="1"/>
  <c r="F695" i="1" s="1"/>
  <c r="E695" i="1"/>
  <c r="D696" i="1"/>
  <c r="F696" i="1" s="1"/>
  <c r="E696" i="1"/>
  <c r="D697" i="1"/>
  <c r="F697" i="1" s="1"/>
  <c r="E697" i="1"/>
  <c r="D698" i="1"/>
  <c r="F698" i="1" s="1"/>
  <c r="E698" i="1"/>
  <c r="D699" i="1"/>
  <c r="F699" i="1" s="1"/>
  <c r="E699" i="1"/>
  <c r="D700" i="1"/>
  <c r="F700" i="1" s="1"/>
  <c r="E700" i="1"/>
  <c r="D701" i="1"/>
  <c r="F701" i="1" s="1"/>
  <c r="E701" i="1"/>
  <c r="D702" i="1"/>
  <c r="F702" i="1" s="1"/>
  <c r="E702" i="1"/>
  <c r="D703" i="1"/>
  <c r="F703" i="1" s="1"/>
  <c r="E703" i="1"/>
  <c r="D704" i="1"/>
  <c r="F704" i="1" s="1"/>
  <c r="E704" i="1"/>
  <c r="D705" i="1"/>
  <c r="F705" i="1" s="1"/>
  <c r="E705" i="1"/>
  <c r="D706" i="1"/>
  <c r="F706" i="1" s="1"/>
  <c r="E706" i="1"/>
  <c r="D707" i="1"/>
  <c r="F707" i="1" s="1"/>
  <c r="E707" i="1"/>
  <c r="D708" i="1"/>
  <c r="F708" i="1" s="1"/>
  <c r="E708" i="1"/>
  <c r="D709" i="1"/>
  <c r="F709" i="1" s="1"/>
  <c r="E709" i="1"/>
  <c r="D710" i="1"/>
  <c r="F710" i="1" s="1"/>
  <c r="E710" i="1"/>
  <c r="D711" i="1"/>
  <c r="F711" i="1" s="1"/>
  <c r="E711" i="1"/>
  <c r="D712" i="1"/>
  <c r="F712" i="1" s="1"/>
  <c r="E712" i="1"/>
  <c r="D713" i="1"/>
  <c r="F713" i="1" s="1"/>
  <c r="E713" i="1"/>
  <c r="D714" i="1"/>
  <c r="F714" i="1" s="1"/>
  <c r="E714" i="1"/>
  <c r="D715" i="1"/>
  <c r="F715" i="1" s="1"/>
  <c r="E715" i="1"/>
  <c r="D716" i="1"/>
  <c r="F716" i="1" s="1"/>
  <c r="E716" i="1"/>
  <c r="D717" i="1"/>
  <c r="F717" i="1" s="1"/>
  <c r="E717" i="1"/>
  <c r="D718" i="1"/>
  <c r="F718" i="1" s="1"/>
  <c r="E718" i="1"/>
  <c r="D719" i="1"/>
  <c r="F719" i="1" s="1"/>
  <c r="E719" i="1"/>
  <c r="D720" i="1"/>
  <c r="F720" i="1" s="1"/>
  <c r="E720" i="1"/>
  <c r="D721" i="1"/>
  <c r="F721" i="1" s="1"/>
  <c r="E721" i="1"/>
  <c r="D722" i="1"/>
  <c r="F722" i="1" s="1"/>
  <c r="E722" i="1"/>
  <c r="D723" i="1"/>
  <c r="F723" i="1" s="1"/>
  <c r="E723" i="1"/>
  <c r="D724" i="1"/>
  <c r="F724" i="1" s="1"/>
  <c r="E724" i="1"/>
  <c r="D725" i="1"/>
  <c r="F725" i="1" s="1"/>
  <c r="E725" i="1"/>
  <c r="D726" i="1"/>
  <c r="F726" i="1" s="1"/>
  <c r="E726" i="1"/>
  <c r="D727" i="1"/>
  <c r="F727" i="1" s="1"/>
  <c r="E727" i="1"/>
  <c r="D728" i="1"/>
  <c r="F728" i="1" s="1"/>
  <c r="E728" i="1"/>
  <c r="D729" i="1"/>
  <c r="F729" i="1" s="1"/>
  <c r="E729" i="1"/>
  <c r="D730" i="1"/>
  <c r="F730" i="1" s="1"/>
  <c r="E730" i="1"/>
  <c r="D731" i="1"/>
  <c r="F731" i="1" s="1"/>
  <c r="E731" i="1"/>
  <c r="D732" i="1"/>
  <c r="F732" i="1" s="1"/>
  <c r="E732" i="1"/>
  <c r="D733" i="1"/>
  <c r="F733" i="1" s="1"/>
  <c r="E733" i="1"/>
  <c r="D734" i="1"/>
  <c r="F734" i="1" s="1"/>
  <c r="E734" i="1"/>
  <c r="D735" i="1"/>
  <c r="F735" i="1" s="1"/>
  <c r="E735" i="1"/>
  <c r="D736" i="1"/>
  <c r="F736" i="1" s="1"/>
  <c r="E736" i="1"/>
  <c r="D737" i="1"/>
  <c r="F737" i="1" s="1"/>
  <c r="E737" i="1"/>
  <c r="D738" i="1"/>
  <c r="F738" i="1" s="1"/>
  <c r="E738" i="1"/>
  <c r="D739" i="1"/>
  <c r="F739" i="1" s="1"/>
  <c r="E739" i="1"/>
  <c r="D740" i="1"/>
  <c r="F740" i="1" s="1"/>
  <c r="E740" i="1"/>
  <c r="D741" i="1"/>
  <c r="F741" i="1" s="1"/>
  <c r="E741" i="1"/>
  <c r="D742" i="1"/>
  <c r="F742" i="1" s="1"/>
  <c r="E742" i="1"/>
  <c r="D743" i="1"/>
  <c r="F743" i="1" s="1"/>
  <c r="E743" i="1"/>
  <c r="D744" i="1"/>
  <c r="F744" i="1" s="1"/>
  <c r="E744" i="1"/>
  <c r="D745" i="1"/>
  <c r="F745" i="1" s="1"/>
  <c r="E745" i="1"/>
  <c r="D746" i="1"/>
  <c r="F746" i="1" s="1"/>
  <c r="E746" i="1"/>
  <c r="D747" i="1"/>
  <c r="F747" i="1" s="1"/>
  <c r="E747" i="1"/>
  <c r="D748" i="1"/>
  <c r="F748" i="1" s="1"/>
  <c r="E748" i="1"/>
  <c r="D749" i="1"/>
  <c r="F749" i="1" s="1"/>
  <c r="E749" i="1"/>
  <c r="D750" i="1"/>
  <c r="F750" i="1" s="1"/>
  <c r="E750" i="1"/>
  <c r="D751" i="1"/>
  <c r="F751" i="1" s="1"/>
  <c r="E751" i="1"/>
  <c r="D752" i="1"/>
  <c r="F752" i="1" s="1"/>
  <c r="E752" i="1"/>
  <c r="D753" i="1"/>
  <c r="F753" i="1" s="1"/>
  <c r="E753" i="1"/>
  <c r="D754" i="1"/>
  <c r="F754" i="1" s="1"/>
  <c r="E754" i="1"/>
  <c r="D755" i="1"/>
  <c r="F755" i="1" s="1"/>
  <c r="E755" i="1"/>
  <c r="D756" i="1"/>
  <c r="F756" i="1" s="1"/>
  <c r="E756" i="1"/>
  <c r="D757" i="1"/>
  <c r="F757" i="1" s="1"/>
  <c r="E757" i="1"/>
  <c r="D758" i="1"/>
  <c r="F758" i="1" s="1"/>
  <c r="E758" i="1"/>
  <c r="D759" i="1"/>
  <c r="F759" i="1" s="1"/>
  <c r="E759" i="1"/>
  <c r="D760" i="1"/>
  <c r="F760" i="1" s="1"/>
  <c r="E760" i="1"/>
  <c r="D761" i="1"/>
  <c r="F761" i="1" s="1"/>
  <c r="E761" i="1"/>
  <c r="D762" i="1"/>
  <c r="F762" i="1" s="1"/>
  <c r="E762" i="1"/>
  <c r="D763" i="1"/>
  <c r="F763" i="1" s="1"/>
  <c r="E763" i="1"/>
  <c r="D764" i="1"/>
  <c r="F764" i="1" s="1"/>
  <c r="E764" i="1"/>
  <c r="D765" i="1"/>
  <c r="F765" i="1" s="1"/>
  <c r="E765" i="1"/>
  <c r="D766" i="1"/>
  <c r="F766" i="1" s="1"/>
  <c r="E766" i="1"/>
  <c r="D767" i="1"/>
  <c r="F767" i="1" s="1"/>
  <c r="E767" i="1"/>
  <c r="D768" i="1"/>
  <c r="F768" i="1" s="1"/>
  <c r="E768" i="1"/>
  <c r="D769" i="1"/>
  <c r="F769" i="1" s="1"/>
  <c r="E769" i="1"/>
  <c r="D770" i="1"/>
  <c r="F770" i="1" s="1"/>
  <c r="E770" i="1"/>
  <c r="D771" i="1"/>
  <c r="F771" i="1" s="1"/>
  <c r="E771" i="1"/>
  <c r="D772" i="1"/>
  <c r="F772" i="1" s="1"/>
  <c r="E772" i="1"/>
  <c r="D773" i="1"/>
  <c r="F773" i="1" s="1"/>
  <c r="E773" i="1"/>
  <c r="D774" i="1"/>
  <c r="F774" i="1" s="1"/>
  <c r="E774" i="1"/>
  <c r="D775" i="1"/>
  <c r="F775" i="1" s="1"/>
  <c r="E775" i="1"/>
  <c r="D776" i="1"/>
  <c r="F776" i="1" s="1"/>
  <c r="E776" i="1"/>
  <c r="D777" i="1"/>
  <c r="F777" i="1" s="1"/>
  <c r="E777" i="1"/>
  <c r="D778" i="1"/>
  <c r="F778" i="1" s="1"/>
  <c r="E778" i="1"/>
  <c r="D779" i="1"/>
  <c r="F779" i="1" s="1"/>
  <c r="E779" i="1"/>
  <c r="D780" i="1"/>
  <c r="F780" i="1" s="1"/>
  <c r="E780" i="1"/>
  <c r="D781" i="1"/>
  <c r="F781" i="1" s="1"/>
  <c r="E781" i="1"/>
  <c r="D782" i="1"/>
  <c r="F782" i="1" s="1"/>
  <c r="E782" i="1"/>
  <c r="D783" i="1"/>
  <c r="F783" i="1" s="1"/>
  <c r="E783" i="1"/>
  <c r="D784" i="1"/>
  <c r="F784" i="1" s="1"/>
  <c r="E784" i="1"/>
  <c r="D785" i="1"/>
  <c r="F785" i="1" s="1"/>
  <c r="E785" i="1"/>
  <c r="D786" i="1"/>
  <c r="F786" i="1" s="1"/>
  <c r="E786" i="1"/>
  <c r="D787" i="1"/>
  <c r="F787" i="1" s="1"/>
  <c r="E787" i="1"/>
  <c r="D788" i="1"/>
  <c r="F788" i="1" s="1"/>
  <c r="E788" i="1"/>
  <c r="D789" i="1"/>
  <c r="F789" i="1" s="1"/>
  <c r="E789" i="1"/>
  <c r="D790" i="1"/>
  <c r="F790" i="1" s="1"/>
  <c r="E790" i="1"/>
  <c r="D791" i="1"/>
  <c r="F791" i="1" s="1"/>
  <c r="E791" i="1"/>
  <c r="D792" i="1"/>
  <c r="F792" i="1" s="1"/>
  <c r="E792" i="1"/>
  <c r="D793" i="1"/>
  <c r="F793" i="1" s="1"/>
  <c r="E793" i="1"/>
  <c r="D794" i="1"/>
  <c r="F794" i="1" s="1"/>
  <c r="E794" i="1"/>
  <c r="D795" i="1"/>
  <c r="F795" i="1" s="1"/>
  <c r="E795" i="1"/>
  <c r="D796" i="1"/>
  <c r="F796" i="1" s="1"/>
  <c r="E796" i="1"/>
  <c r="D797" i="1"/>
  <c r="F797" i="1" s="1"/>
  <c r="E797" i="1"/>
  <c r="D798" i="1"/>
  <c r="F798" i="1" s="1"/>
  <c r="E798" i="1"/>
  <c r="D799" i="1"/>
  <c r="F799" i="1" s="1"/>
  <c r="E799" i="1"/>
  <c r="D800" i="1"/>
  <c r="F800" i="1" s="1"/>
  <c r="E800" i="1"/>
  <c r="D801" i="1"/>
  <c r="F801" i="1" s="1"/>
  <c r="E801" i="1"/>
  <c r="D802" i="1"/>
  <c r="F802" i="1" s="1"/>
  <c r="E802" i="1"/>
  <c r="D803" i="1"/>
  <c r="F803" i="1" s="1"/>
  <c r="E803" i="1"/>
  <c r="D804" i="1"/>
  <c r="F804" i="1" s="1"/>
  <c r="E804" i="1"/>
  <c r="D805" i="1"/>
  <c r="F805" i="1" s="1"/>
  <c r="E805" i="1"/>
  <c r="D806" i="1"/>
  <c r="F806" i="1" s="1"/>
  <c r="E806" i="1"/>
  <c r="D807" i="1"/>
  <c r="F807" i="1" s="1"/>
  <c r="E807" i="1"/>
  <c r="D808" i="1"/>
  <c r="F808" i="1" s="1"/>
  <c r="E808" i="1"/>
  <c r="D809" i="1"/>
  <c r="F809" i="1" s="1"/>
  <c r="E809" i="1"/>
  <c r="D810" i="1"/>
  <c r="F810" i="1" s="1"/>
  <c r="E810" i="1"/>
  <c r="D811" i="1"/>
  <c r="F811" i="1" s="1"/>
  <c r="E811" i="1"/>
  <c r="D812" i="1"/>
  <c r="F812" i="1" s="1"/>
  <c r="E812" i="1"/>
  <c r="D813" i="1"/>
  <c r="F813" i="1" s="1"/>
  <c r="E813" i="1"/>
  <c r="D814" i="1"/>
  <c r="F814" i="1" s="1"/>
  <c r="E814" i="1"/>
  <c r="D815" i="1"/>
  <c r="F815" i="1" s="1"/>
  <c r="E815" i="1"/>
  <c r="D816" i="1"/>
  <c r="F816" i="1" s="1"/>
  <c r="E816" i="1"/>
  <c r="D817" i="1"/>
  <c r="F817" i="1" s="1"/>
  <c r="E817" i="1"/>
  <c r="D818" i="1"/>
  <c r="F818" i="1" s="1"/>
  <c r="E818" i="1"/>
  <c r="D819" i="1"/>
  <c r="F819" i="1" s="1"/>
  <c r="E819" i="1"/>
  <c r="D820" i="1"/>
  <c r="F820" i="1" s="1"/>
  <c r="E820" i="1"/>
  <c r="D821" i="1"/>
  <c r="F821" i="1" s="1"/>
  <c r="E821" i="1"/>
  <c r="D822" i="1"/>
  <c r="F822" i="1" s="1"/>
  <c r="E822" i="1"/>
  <c r="D823" i="1"/>
  <c r="F823" i="1" s="1"/>
  <c r="E823" i="1"/>
  <c r="D824" i="1"/>
  <c r="F824" i="1" s="1"/>
  <c r="E824" i="1"/>
  <c r="D825" i="1"/>
  <c r="F825" i="1" s="1"/>
  <c r="E825" i="1"/>
  <c r="D826" i="1"/>
  <c r="F826" i="1" s="1"/>
  <c r="E826" i="1"/>
  <c r="D827" i="1"/>
  <c r="F827" i="1" s="1"/>
  <c r="E827" i="1"/>
  <c r="D828" i="1"/>
  <c r="F828" i="1" s="1"/>
  <c r="E828" i="1"/>
  <c r="D829" i="1"/>
  <c r="F829" i="1" s="1"/>
  <c r="E829" i="1"/>
  <c r="D830" i="1"/>
  <c r="F830" i="1" s="1"/>
  <c r="E830" i="1"/>
  <c r="D831" i="1"/>
  <c r="F831" i="1" s="1"/>
  <c r="E831" i="1"/>
  <c r="D832" i="1"/>
  <c r="F832" i="1" s="1"/>
  <c r="E832" i="1"/>
  <c r="D833" i="1"/>
  <c r="F833" i="1" s="1"/>
  <c r="E833" i="1"/>
  <c r="D834" i="1"/>
  <c r="F834" i="1" s="1"/>
  <c r="E834" i="1"/>
  <c r="D835" i="1"/>
  <c r="F835" i="1" s="1"/>
  <c r="E835" i="1"/>
  <c r="D836" i="1"/>
  <c r="F836" i="1" s="1"/>
  <c r="E836" i="1"/>
  <c r="D837" i="1"/>
  <c r="F837" i="1" s="1"/>
  <c r="E837" i="1"/>
  <c r="D838" i="1"/>
  <c r="F838" i="1" s="1"/>
  <c r="E838" i="1"/>
  <c r="D839" i="1"/>
  <c r="F839" i="1" s="1"/>
  <c r="E839" i="1"/>
  <c r="D840" i="1"/>
  <c r="F840" i="1" s="1"/>
  <c r="E840" i="1"/>
  <c r="D841" i="1"/>
  <c r="F841" i="1" s="1"/>
  <c r="E841" i="1"/>
  <c r="D842" i="1"/>
  <c r="F842" i="1" s="1"/>
  <c r="E842" i="1"/>
  <c r="D843" i="1"/>
  <c r="F843" i="1" s="1"/>
  <c r="E843" i="1"/>
  <c r="D844" i="1"/>
  <c r="F844" i="1" s="1"/>
  <c r="E844" i="1"/>
  <c r="D845" i="1"/>
  <c r="F845" i="1" s="1"/>
  <c r="E845" i="1"/>
  <c r="D846" i="1"/>
  <c r="F846" i="1" s="1"/>
  <c r="E846" i="1"/>
  <c r="D847" i="1"/>
  <c r="F847" i="1" s="1"/>
  <c r="E847" i="1"/>
  <c r="D848" i="1"/>
  <c r="F848" i="1" s="1"/>
  <c r="E848" i="1"/>
  <c r="D849" i="1"/>
  <c r="F849" i="1" s="1"/>
  <c r="E849" i="1"/>
  <c r="D850" i="1"/>
  <c r="F850" i="1" s="1"/>
  <c r="E850" i="1"/>
  <c r="D851" i="1"/>
  <c r="F851" i="1" s="1"/>
  <c r="E851" i="1"/>
  <c r="D852" i="1"/>
  <c r="F852" i="1" s="1"/>
  <c r="E852" i="1"/>
  <c r="D853" i="1"/>
  <c r="F853" i="1" s="1"/>
  <c r="E853" i="1"/>
  <c r="D854" i="1"/>
  <c r="F854" i="1" s="1"/>
  <c r="E854" i="1"/>
  <c r="D855" i="1"/>
  <c r="F855" i="1" s="1"/>
  <c r="E855" i="1"/>
  <c r="D856" i="1"/>
  <c r="F856" i="1" s="1"/>
  <c r="E856" i="1"/>
  <c r="D857" i="1"/>
  <c r="F857" i="1" s="1"/>
  <c r="E857" i="1"/>
  <c r="D858" i="1"/>
  <c r="F858" i="1" s="1"/>
  <c r="E858" i="1"/>
  <c r="D859" i="1"/>
  <c r="F859" i="1" s="1"/>
  <c r="E859" i="1"/>
  <c r="D860" i="1"/>
  <c r="F860" i="1" s="1"/>
  <c r="E860" i="1"/>
  <c r="D861" i="1"/>
  <c r="F861" i="1" s="1"/>
  <c r="E861" i="1"/>
  <c r="D862" i="1"/>
  <c r="F862" i="1" s="1"/>
  <c r="E862" i="1"/>
  <c r="D863" i="1"/>
  <c r="F863" i="1" s="1"/>
  <c r="E863" i="1"/>
  <c r="D864" i="1"/>
  <c r="F864" i="1" s="1"/>
  <c r="E864" i="1"/>
  <c r="D865" i="1"/>
  <c r="F865" i="1" s="1"/>
  <c r="E865" i="1"/>
  <c r="D866" i="1"/>
  <c r="F866" i="1" s="1"/>
  <c r="E866" i="1"/>
  <c r="D867" i="1"/>
  <c r="F867" i="1" s="1"/>
  <c r="E867" i="1"/>
  <c r="D868" i="1"/>
  <c r="F868" i="1" s="1"/>
  <c r="E868" i="1"/>
  <c r="D869" i="1"/>
  <c r="F869" i="1" s="1"/>
  <c r="E869" i="1"/>
  <c r="D870" i="1"/>
  <c r="F870" i="1" s="1"/>
  <c r="E870" i="1"/>
  <c r="D871" i="1"/>
  <c r="F871" i="1" s="1"/>
  <c r="E871" i="1"/>
  <c r="D872" i="1"/>
  <c r="F872" i="1" s="1"/>
  <c r="E872" i="1"/>
  <c r="D873" i="1"/>
  <c r="F873" i="1" s="1"/>
  <c r="E873" i="1"/>
  <c r="D874" i="1"/>
  <c r="F874" i="1" s="1"/>
  <c r="E874" i="1"/>
  <c r="D875" i="1"/>
  <c r="F875" i="1" s="1"/>
  <c r="E875" i="1"/>
  <c r="D876" i="1"/>
  <c r="F876" i="1" s="1"/>
  <c r="E876" i="1"/>
  <c r="D877" i="1"/>
  <c r="F877" i="1" s="1"/>
  <c r="E877" i="1"/>
  <c r="D878" i="1"/>
  <c r="F878" i="1" s="1"/>
  <c r="E878" i="1"/>
  <c r="D879" i="1"/>
  <c r="F879" i="1" s="1"/>
  <c r="E879" i="1"/>
  <c r="D880" i="1"/>
  <c r="F880" i="1" s="1"/>
  <c r="E880" i="1"/>
  <c r="D881" i="1"/>
  <c r="F881" i="1" s="1"/>
  <c r="E881" i="1"/>
  <c r="D882" i="1"/>
  <c r="F882" i="1" s="1"/>
  <c r="E882" i="1"/>
  <c r="D883" i="1"/>
  <c r="F883" i="1" s="1"/>
  <c r="E883" i="1"/>
  <c r="D884" i="1"/>
  <c r="F884" i="1" s="1"/>
  <c r="E884" i="1"/>
  <c r="D885" i="1"/>
  <c r="F885" i="1" s="1"/>
  <c r="E885" i="1"/>
  <c r="D886" i="1"/>
  <c r="F886" i="1" s="1"/>
  <c r="E886" i="1"/>
  <c r="D887" i="1"/>
  <c r="F887" i="1" s="1"/>
  <c r="E887" i="1"/>
  <c r="D888" i="1"/>
  <c r="F888" i="1" s="1"/>
  <c r="E888" i="1"/>
  <c r="D889" i="1"/>
  <c r="F889" i="1" s="1"/>
  <c r="E889" i="1"/>
  <c r="D890" i="1"/>
  <c r="F890" i="1" s="1"/>
  <c r="E890" i="1"/>
  <c r="D891" i="1"/>
  <c r="F891" i="1" s="1"/>
  <c r="E891" i="1"/>
  <c r="D892" i="1"/>
  <c r="F892" i="1" s="1"/>
  <c r="E892" i="1"/>
  <c r="D893" i="1"/>
  <c r="F893" i="1" s="1"/>
  <c r="E893" i="1"/>
  <c r="D894" i="1"/>
  <c r="F894" i="1" s="1"/>
  <c r="E894" i="1"/>
  <c r="D895" i="1"/>
  <c r="F895" i="1" s="1"/>
  <c r="E895" i="1"/>
  <c r="D896" i="1"/>
  <c r="F896" i="1" s="1"/>
  <c r="E896" i="1"/>
  <c r="D897" i="1"/>
  <c r="F897" i="1" s="1"/>
  <c r="E897" i="1"/>
  <c r="D898" i="1"/>
  <c r="F898" i="1" s="1"/>
  <c r="E898" i="1"/>
  <c r="D899" i="1"/>
  <c r="F899" i="1" s="1"/>
  <c r="E899" i="1"/>
  <c r="D900" i="1"/>
  <c r="F900" i="1" s="1"/>
  <c r="E900" i="1"/>
  <c r="D901" i="1"/>
  <c r="F901" i="1" s="1"/>
  <c r="E901" i="1"/>
  <c r="D902" i="1"/>
  <c r="F902" i="1" s="1"/>
  <c r="E902" i="1"/>
  <c r="D903" i="1"/>
  <c r="F903" i="1" s="1"/>
  <c r="E903" i="1"/>
  <c r="D904" i="1"/>
  <c r="F904" i="1" s="1"/>
  <c r="E904" i="1"/>
  <c r="D905" i="1"/>
  <c r="F905" i="1" s="1"/>
  <c r="E905" i="1"/>
  <c r="D906" i="1"/>
  <c r="F906" i="1" s="1"/>
  <c r="E906" i="1"/>
  <c r="D907" i="1"/>
  <c r="F907" i="1" s="1"/>
  <c r="E907" i="1"/>
  <c r="D908" i="1"/>
  <c r="F908" i="1" s="1"/>
  <c r="E908" i="1"/>
  <c r="D909" i="1"/>
  <c r="F909" i="1" s="1"/>
  <c r="E909" i="1"/>
  <c r="D910" i="1"/>
  <c r="F910" i="1" s="1"/>
  <c r="E910" i="1"/>
  <c r="D911" i="1"/>
  <c r="F911" i="1" s="1"/>
  <c r="E911" i="1"/>
  <c r="D912" i="1"/>
  <c r="F912" i="1" s="1"/>
  <c r="E912" i="1"/>
  <c r="D913" i="1"/>
  <c r="F913" i="1" s="1"/>
  <c r="E913" i="1"/>
  <c r="D914" i="1"/>
  <c r="F914" i="1" s="1"/>
  <c r="E914" i="1"/>
  <c r="D915" i="1"/>
  <c r="F915" i="1" s="1"/>
  <c r="E915" i="1"/>
  <c r="D916" i="1"/>
  <c r="F916" i="1" s="1"/>
  <c r="E916" i="1"/>
  <c r="D917" i="1"/>
  <c r="F917" i="1" s="1"/>
  <c r="E917" i="1"/>
  <c r="D918" i="1"/>
  <c r="F918" i="1" s="1"/>
  <c r="E918" i="1"/>
  <c r="D919" i="1"/>
  <c r="F919" i="1" s="1"/>
  <c r="E919" i="1"/>
  <c r="D920" i="1"/>
  <c r="F920" i="1" s="1"/>
  <c r="E920" i="1"/>
  <c r="D921" i="1"/>
  <c r="F921" i="1" s="1"/>
  <c r="E921" i="1"/>
  <c r="D922" i="1"/>
  <c r="F922" i="1" s="1"/>
  <c r="E922" i="1"/>
  <c r="D923" i="1"/>
  <c r="F923" i="1" s="1"/>
  <c r="E923" i="1"/>
  <c r="D924" i="1"/>
  <c r="F924" i="1" s="1"/>
  <c r="E924" i="1"/>
  <c r="D925" i="1"/>
  <c r="F925" i="1" s="1"/>
  <c r="E925" i="1"/>
  <c r="D926" i="1"/>
  <c r="F926" i="1" s="1"/>
  <c r="E926" i="1"/>
  <c r="D927" i="1"/>
  <c r="F927" i="1" s="1"/>
  <c r="E927" i="1"/>
  <c r="D928" i="1"/>
  <c r="F928" i="1" s="1"/>
  <c r="E928" i="1"/>
  <c r="D929" i="1"/>
  <c r="F929" i="1" s="1"/>
  <c r="E929" i="1"/>
  <c r="D930" i="1"/>
  <c r="F930" i="1" s="1"/>
  <c r="E930" i="1"/>
  <c r="D931" i="1"/>
  <c r="F931" i="1" s="1"/>
  <c r="E931" i="1"/>
  <c r="D932" i="1"/>
  <c r="F932" i="1" s="1"/>
  <c r="E932" i="1"/>
  <c r="D933" i="1"/>
  <c r="F933" i="1" s="1"/>
  <c r="E933" i="1"/>
  <c r="D934" i="1"/>
  <c r="F934" i="1" s="1"/>
  <c r="E934" i="1"/>
  <c r="D935" i="1"/>
  <c r="F935" i="1" s="1"/>
  <c r="E935" i="1"/>
  <c r="D936" i="1"/>
  <c r="F936" i="1" s="1"/>
  <c r="E936" i="1"/>
  <c r="D937" i="1"/>
  <c r="F937" i="1" s="1"/>
  <c r="E937" i="1"/>
  <c r="D938" i="1"/>
  <c r="F938" i="1" s="1"/>
  <c r="E938" i="1"/>
  <c r="D939" i="1"/>
  <c r="F939" i="1" s="1"/>
  <c r="E939" i="1"/>
  <c r="D940" i="1"/>
  <c r="F940" i="1" s="1"/>
  <c r="E940" i="1"/>
  <c r="D941" i="1"/>
  <c r="F941" i="1" s="1"/>
  <c r="E941" i="1"/>
  <c r="D942" i="1"/>
  <c r="F942" i="1" s="1"/>
  <c r="E942" i="1"/>
  <c r="D943" i="1"/>
  <c r="F943" i="1" s="1"/>
  <c r="E943" i="1"/>
  <c r="D944" i="1"/>
  <c r="F944" i="1" s="1"/>
  <c r="E944" i="1"/>
  <c r="D945" i="1"/>
  <c r="F945" i="1" s="1"/>
  <c r="E945" i="1"/>
  <c r="D946" i="1"/>
  <c r="F946" i="1" s="1"/>
  <c r="E946" i="1"/>
  <c r="D947" i="1"/>
  <c r="F947" i="1" s="1"/>
  <c r="E947" i="1"/>
  <c r="D948" i="1"/>
  <c r="F948" i="1" s="1"/>
  <c r="E948" i="1"/>
  <c r="D949" i="1"/>
  <c r="F949" i="1" s="1"/>
  <c r="E949" i="1"/>
  <c r="D950" i="1"/>
  <c r="F950" i="1" s="1"/>
  <c r="E950" i="1"/>
  <c r="D951" i="1"/>
  <c r="F951" i="1" s="1"/>
  <c r="E951" i="1"/>
  <c r="D952" i="1"/>
  <c r="F952" i="1" s="1"/>
  <c r="E952" i="1"/>
  <c r="D953" i="1"/>
  <c r="F953" i="1" s="1"/>
  <c r="E953" i="1"/>
  <c r="D954" i="1"/>
  <c r="F954" i="1" s="1"/>
  <c r="E954" i="1"/>
  <c r="D955" i="1"/>
  <c r="F955" i="1" s="1"/>
  <c r="E955" i="1"/>
  <c r="D956" i="1"/>
  <c r="F956" i="1" s="1"/>
  <c r="E956" i="1"/>
  <c r="D957" i="1"/>
  <c r="F957" i="1" s="1"/>
  <c r="E957" i="1"/>
  <c r="D958" i="1"/>
  <c r="F958" i="1" s="1"/>
  <c r="E958" i="1"/>
  <c r="D959" i="1"/>
  <c r="F959" i="1" s="1"/>
  <c r="E959" i="1"/>
  <c r="D960" i="1"/>
  <c r="F960" i="1" s="1"/>
  <c r="E960" i="1"/>
  <c r="D961" i="1"/>
  <c r="F961" i="1" s="1"/>
  <c r="E961" i="1"/>
  <c r="D962" i="1"/>
  <c r="F962" i="1" s="1"/>
  <c r="E962" i="1"/>
  <c r="D963" i="1"/>
  <c r="F963" i="1" s="1"/>
  <c r="E963" i="1"/>
  <c r="D964" i="1"/>
  <c r="F964" i="1" s="1"/>
  <c r="E964" i="1"/>
  <c r="D965" i="1"/>
  <c r="F965" i="1" s="1"/>
  <c r="E965" i="1"/>
  <c r="D966" i="1"/>
  <c r="F966" i="1" s="1"/>
  <c r="E966" i="1"/>
  <c r="D967" i="1"/>
  <c r="F967" i="1" s="1"/>
  <c r="E967" i="1"/>
  <c r="D968" i="1"/>
  <c r="F968" i="1" s="1"/>
  <c r="E968" i="1"/>
  <c r="D969" i="1"/>
  <c r="F969" i="1" s="1"/>
  <c r="E969" i="1"/>
  <c r="D970" i="1"/>
  <c r="F970" i="1" s="1"/>
  <c r="E970" i="1"/>
  <c r="D971" i="1"/>
  <c r="F971" i="1" s="1"/>
  <c r="E971" i="1"/>
  <c r="D972" i="1"/>
  <c r="F972" i="1" s="1"/>
  <c r="E972" i="1"/>
  <c r="D973" i="1"/>
  <c r="F973" i="1" s="1"/>
  <c r="E973" i="1"/>
  <c r="D974" i="1"/>
  <c r="F974" i="1" s="1"/>
  <c r="E974" i="1"/>
  <c r="D975" i="1"/>
  <c r="F975" i="1" s="1"/>
  <c r="E975" i="1"/>
  <c r="D976" i="1"/>
  <c r="F976" i="1" s="1"/>
  <c r="E976" i="1"/>
  <c r="D977" i="1"/>
  <c r="F977" i="1" s="1"/>
  <c r="E977" i="1"/>
  <c r="D978" i="1"/>
  <c r="F978" i="1" s="1"/>
  <c r="E978" i="1"/>
  <c r="D979" i="1"/>
  <c r="F979" i="1" s="1"/>
  <c r="E979" i="1"/>
  <c r="D980" i="1"/>
  <c r="F980" i="1" s="1"/>
  <c r="E980" i="1"/>
  <c r="D981" i="1"/>
  <c r="F981" i="1" s="1"/>
  <c r="E981" i="1"/>
  <c r="D982" i="1"/>
  <c r="F982" i="1" s="1"/>
  <c r="E982" i="1"/>
  <c r="D983" i="1"/>
  <c r="F983" i="1" s="1"/>
  <c r="E983" i="1"/>
  <c r="D984" i="1"/>
  <c r="F984" i="1" s="1"/>
  <c r="E984" i="1"/>
  <c r="D985" i="1"/>
  <c r="F985" i="1" s="1"/>
  <c r="E985" i="1"/>
  <c r="D986" i="1"/>
  <c r="F986" i="1" s="1"/>
  <c r="E986" i="1"/>
  <c r="D987" i="1"/>
  <c r="F987" i="1" s="1"/>
  <c r="E987" i="1"/>
  <c r="D988" i="1"/>
  <c r="F988" i="1" s="1"/>
  <c r="E988" i="1"/>
  <c r="D989" i="1"/>
  <c r="F989" i="1" s="1"/>
  <c r="E989" i="1"/>
  <c r="D990" i="1"/>
  <c r="F990" i="1" s="1"/>
  <c r="E990" i="1"/>
  <c r="D991" i="1"/>
  <c r="F991" i="1" s="1"/>
  <c r="E991" i="1"/>
  <c r="D992" i="1"/>
  <c r="F992" i="1" s="1"/>
  <c r="E992" i="1"/>
  <c r="D993" i="1"/>
  <c r="F993" i="1" s="1"/>
  <c r="E993" i="1"/>
  <c r="D994" i="1"/>
  <c r="F994" i="1" s="1"/>
  <c r="E994" i="1"/>
  <c r="D995" i="1"/>
  <c r="F995" i="1" s="1"/>
  <c r="E995" i="1"/>
  <c r="D996" i="1"/>
  <c r="F996" i="1" s="1"/>
  <c r="E996" i="1"/>
  <c r="D997" i="1"/>
  <c r="F997" i="1" s="1"/>
  <c r="E997" i="1"/>
  <c r="D998" i="1"/>
  <c r="F998" i="1" s="1"/>
  <c r="E998" i="1"/>
  <c r="D999" i="1"/>
  <c r="F999" i="1" s="1"/>
  <c r="E999" i="1"/>
  <c r="D1000" i="1"/>
  <c r="F1000" i="1" s="1"/>
  <c r="E1000" i="1"/>
  <c r="D1001" i="1"/>
  <c r="F1001" i="1" s="1"/>
  <c r="E1001" i="1"/>
  <c r="D1002" i="1"/>
  <c r="F1002" i="1" s="1"/>
  <c r="E1002" i="1"/>
  <c r="D1003" i="1"/>
  <c r="F1003" i="1" s="1"/>
  <c r="E1003" i="1"/>
  <c r="D1004" i="1"/>
  <c r="F1004" i="1" s="1"/>
  <c r="E1004" i="1"/>
  <c r="D1005" i="1"/>
  <c r="F1005" i="1" s="1"/>
  <c r="E1005" i="1"/>
  <c r="D1006" i="1"/>
  <c r="F1006" i="1" s="1"/>
  <c r="E1006" i="1"/>
  <c r="D1007" i="1"/>
  <c r="F1007" i="1" s="1"/>
  <c r="E1007" i="1"/>
  <c r="D1008" i="1"/>
  <c r="F1008" i="1" s="1"/>
  <c r="E1008" i="1"/>
  <c r="D1009" i="1"/>
  <c r="F1009" i="1" s="1"/>
  <c r="E1009" i="1"/>
  <c r="D1010" i="1"/>
  <c r="F1010" i="1" s="1"/>
  <c r="E1010" i="1"/>
  <c r="D1011" i="1"/>
  <c r="F1011" i="1" s="1"/>
  <c r="E1011" i="1"/>
  <c r="D1012" i="1"/>
  <c r="F1012" i="1" s="1"/>
  <c r="E1012" i="1"/>
  <c r="D1013" i="1"/>
  <c r="F1013" i="1" s="1"/>
  <c r="E1013" i="1"/>
  <c r="D1014" i="1"/>
  <c r="F1014" i="1" s="1"/>
  <c r="E1014" i="1"/>
  <c r="D1015" i="1"/>
  <c r="F1015" i="1" s="1"/>
  <c r="E1015" i="1"/>
  <c r="D1016" i="1"/>
  <c r="F1016" i="1" s="1"/>
  <c r="E1016" i="1"/>
  <c r="D1017" i="1"/>
  <c r="F1017" i="1" s="1"/>
  <c r="E1017" i="1"/>
  <c r="D1018" i="1"/>
  <c r="F1018" i="1" s="1"/>
  <c r="E1018" i="1"/>
  <c r="D1019" i="1"/>
  <c r="F1019" i="1" s="1"/>
  <c r="E1019" i="1"/>
  <c r="D1020" i="1"/>
  <c r="F1020" i="1" s="1"/>
  <c r="E1020" i="1"/>
  <c r="D1021" i="1"/>
  <c r="F1021" i="1" s="1"/>
  <c r="E1021" i="1"/>
  <c r="D1022" i="1"/>
  <c r="F1022" i="1" s="1"/>
  <c r="E1022" i="1"/>
  <c r="D1023" i="1"/>
  <c r="F1023" i="1" s="1"/>
  <c r="E1023" i="1"/>
  <c r="D1024" i="1"/>
  <c r="F1024" i="1" s="1"/>
  <c r="E1024" i="1"/>
  <c r="D1025" i="1"/>
  <c r="F1025" i="1" s="1"/>
  <c r="E1025" i="1"/>
  <c r="D1026" i="1"/>
  <c r="F1026" i="1" s="1"/>
  <c r="E1026" i="1"/>
  <c r="D1027" i="1"/>
  <c r="F1027" i="1" s="1"/>
  <c r="E1027" i="1"/>
  <c r="D1028" i="1"/>
  <c r="F1028" i="1" s="1"/>
  <c r="E1028" i="1"/>
  <c r="D1029" i="1"/>
  <c r="F1029" i="1" s="1"/>
  <c r="E1029" i="1"/>
  <c r="D1030" i="1"/>
  <c r="F1030" i="1" s="1"/>
  <c r="E1030" i="1"/>
  <c r="D1031" i="1"/>
  <c r="F1031" i="1" s="1"/>
  <c r="E1031" i="1"/>
  <c r="D1032" i="1"/>
  <c r="F1032" i="1" s="1"/>
  <c r="E1032" i="1"/>
  <c r="D1033" i="1"/>
  <c r="F1033" i="1" s="1"/>
  <c r="E1033" i="1"/>
  <c r="D1034" i="1"/>
  <c r="F1034" i="1" s="1"/>
  <c r="E1034" i="1"/>
  <c r="D1035" i="1"/>
  <c r="F1035" i="1" s="1"/>
  <c r="E1035" i="1"/>
  <c r="D1036" i="1"/>
  <c r="F1036" i="1" s="1"/>
  <c r="E1036" i="1"/>
  <c r="D1037" i="1"/>
  <c r="F1037" i="1" s="1"/>
  <c r="E1037" i="1"/>
  <c r="D1038" i="1"/>
  <c r="F1038" i="1" s="1"/>
  <c r="E1038" i="1"/>
  <c r="D1039" i="1"/>
  <c r="F1039" i="1" s="1"/>
  <c r="E1039" i="1"/>
  <c r="D1040" i="1"/>
  <c r="F1040" i="1" s="1"/>
  <c r="E1040" i="1"/>
  <c r="D1041" i="1"/>
  <c r="F1041" i="1" s="1"/>
  <c r="E1041" i="1"/>
  <c r="D1042" i="1"/>
  <c r="F1042" i="1" s="1"/>
  <c r="E1042" i="1"/>
  <c r="D1043" i="1"/>
  <c r="F1043" i="1" s="1"/>
  <c r="E1043" i="1"/>
  <c r="D1044" i="1"/>
  <c r="F1044" i="1" s="1"/>
  <c r="E1044" i="1"/>
  <c r="D1045" i="1"/>
  <c r="F1045" i="1" s="1"/>
  <c r="E1045" i="1"/>
  <c r="D1046" i="1"/>
  <c r="F1046" i="1" s="1"/>
  <c r="E1046" i="1"/>
  <c r="D1047" i="1"/>
  <c r="F1047" i="1" s="1"/>
  <c r="E1047" i="1"/>
  <c r="D1048" i="1"/>
  <c r="F1048" i="1" s="1"/>
  <c r="E1048" i="1"/>
  <c r="D1049" i="1"/>
  <c r="F1049" i="1" s="1"/>
  <c r="E1049" i="1"/>
  <c r="D1050" i="1"/>
  <c r="F1050" i="1" s="1"/>
  <c r="E1050" i="1"/>
  <c r="D1051" i="1"/>
  <c r="F1051" i="1" s="1"/>
  <c r="E1051" i="1"/>
  <c r="D1052" i="1"/>
  <c r="F1052" i="1" s="1"/>
  <c r="E1052" i="1"/>
  <c r="D1053" i="1"/>
  <c r="F1053" i="1" s="1"/>
  <c r="E1053" i="1"/>
  <c r="D1054" i="1"/>
  <c r="F1054" i="1" s="1"/>
  <c r="E1054" i="1"/>
  <c r="D1055" i="1"/>
  <c r="F1055" i="1" s="1"/>
  <c r="E1055" i="1"/>
  <c r="D1056" i="1"/>
  <c r="F1056" i="1" s="1"/>
  <c r="E1056" i="1"/>
  <c r="D1057" i="1"/>
  <c r="F1057" i="1" s="1"/>
  <c r="E1057" i="1"/>
  <c r="D1058" i="1"/>
  <c r="F1058" i="1" s="1"/>
  <c r="E1058" i="1"/>
  <c r="D1059" i="1"/>
  <c r="F1059" i="1" s="1"/>
  <c r="E1059" i="1"/>
  <c r="D1060" i="1"/>
  <c r="F1060" i="1" s="1"/>
  <c r="E1060" i="1"/>
  <c r="D1061" i="1"/>
  <c r="F1061" i="1" s="1"/>
  <c r="E1061" i="1"/>
  <c r="D1062" i="1"/>
  <c r="F1062" i="1" s="1"/>
  <c r="E1062" i="1"/>
  <c r="D1063" i="1"/>
  <c r="F1063" i="1" s="1"/>
  <c r="E1063" i="1"/>
  <c r="D1064" i="1"/>
  <c r="F1064" i="1" s="1"/>
  <c r="E1064" i="1"/>
  <c r="D1065" i="1"/>
  <c r="F1065" i="1" s="1"/>
  <c r="E1065" i="1"/>
  <c r="D1066" i="1"/>
  <c r="F1066" i="1" s="1"/>
  <c r="E1066" i="1"/>
  <c r="D1067" i="1"/>
  <c r="F1067" i="1" s="1"/>
  <c r="E1067" i="1"/>
  <c r="D1068" i="1"/>
  <c r="F1068" i="1" s="1"/>
  <c r="E1068" i="1"/>
  <c r="D1069" i="1"/>
  <c r="F1069" i="1" s="1"/>
  <c r="E1069" i="1"/>
  <c r="D1070" i="1"/>
  <c r="F1070" i="1" s="1"/>
  <c r="E1070" i="1"/>
  <c r="D1071" i="1"/>
  <c r="F1071" i="1" s="1"/>
  <c r="E1071" i="1"/>
  <c r="D1072" i="1"/>
  <c r="F1072" i="1" s="1"/>
  <c r="E1072" i="1"/>
  <c r="D1073" i="1"/>
  <c r="F1073" i="1" s="1"/>
  <c r="E1073" i="1"/>
  <c r="D1074" i="1"/>
  <c r="F1074" i="1" s="1"/>
  <c r="E1074" i="1"/>
  <c r="D1075" i="1"/>
  <c r="F1075" i="1" s="1"/>
  <c r="E1075" i="1"/>
  <c r="D1076" i="1"/>
  <c r="F1076" i="1" s="1"/>
  <c r="E1076" i="1"/>
  <c r="D1077" i="1"/>
  <c r="F1077" i="1" s="1"/>
  <c r="E1077" i="1"/>
  <c r="D1078" i="1"/>
  <c r="F1078" i="1" s="1"/>
  <c r="E1078" i="1"/>
  <c r="D1079" i="1"/>
  <c r="F1079" i="1" s="1"/>
  <c r="E1079" i="1"/>
  <c r="D1080" i="1"/>
  <c r="F1080" i="1" s="1"/>
  <c r="E1080" i="1"/>
  <c r="D1081" i="1"/>
  <c r="F1081" i="1" s="1"/>
  <c r="E1081" i="1"/>
  <c r="D1082" i="1"/>
  <c r="F1082" i="1" s="1"/>
  <c r="E1082" i="1"/>
  <c r="D1083" i="1"/>
  <c r="F1083" i="1" s="1"/>
  <c r="E1083" i="1"/>
  <c r="D1084" i="1"/>
  <c r="F1084" i="1" s="1"/>
  <c r="E1084" i="1"/>
  <c r="D1085" i="1"/>
  <c r="F1085" i="1" s="1"/>
  <c r="E1085" i="1"/>
  <c r="D1086" i="1"/>
  <c r="F1086" i="1" s="1"/>
  <c r="E1086" i="1"/>
  <c r="D1087" i="1"/>
  <c r="F1087" i="1" s="1"/>
  <c r="E1087" i="1"/>
  <c r="D1088" i="1"/>
  <c r="F1088" i="1" s="1"/>
  <c r="E1088" i="1"/>
  <c r="D1089" i="1"/>
  <c r="F1089" i="1" s="1"/>
  <c r="E1089" i="1"/>
  <c r="D1090" i="1"/>
  <c r="F1090" i="1" s="1"/>
  <c r="E1090" i="1"/>
  <c r="D1091" i="1"/>
  <c r="F1091" i="1" s="1"/>
  <c r="E1091" i="1"/>
  <c r="D1092" i="1"/>
  <c r="F1092" i="1" s="1"/>
  <c r="E1092" i="1"/>
  <c r="D1093" i="1"/>
  <c r="F1093" i="1" s="1"/>
  <c r="E1093" i="1"/>
  <c r="D1094" i="1"/>
  <c r="F1094" i="1" s="1"/>
  <c r="E1094" i="1"/>
  <c r="D1095" i="1"/>
  <c r="F1095" i="1" s="1"/>
  <c r="E1095" i="1"/>
  <c r="D1096" i="1"/>
  <c r="F1096" i="1" s="1"/>
  <c r="E1096" i="1"/>
  <c r="D1097" i="1"/>
  <c r="F1097" i="1" s="1"/>
  <c r="E1097" i="1"/>
  <c r="D1098" i="1"/>
  <c r="F1098" i="1" s="1"/>
  <c r="E1098" i="1"/>
  <c r="D1099" i="1"/>
  <c r="F1099" i="1" s="1"/>
  <c r="E1099" i="1"/>
  <c r="D1100" i="1"/>
  <c r="F1100" i="1" s="1"/>
  <c r="E1100" i="1"/>
  <c r="D1101" i="1"/>
  <c r="F1101" i="1" s="1"/>
  <c r="E1101" i="1"/>
  <c r="D1102" i="1"/>
  <c r="F1102" i="1" s="1"/>
  <c r="E1102" i="1"/>
  <c r="D1103" i="1"/>
  <c r="F1103" i="1" s="1"/>
  <c r="E1103" i="1"/>
  <c r="D1104" i="1"/>
  <c r="F1104" i="1" s="1"/>
  <c r="E1104" i="1"/>
  <c r="D1105" i="1"/>
  <c r="F1105" i="1" s="1"/>
  <c r="E1105" i="1"/>
  <c r="D1106" i="1"/>
  <c r="F1106" i="1" s="1"/>
  <c r="E1106" i="1"/>
  <c r="D1107" i="1"/>
  <c r="F1107" i="1" s="1"/>
  <c r="E1107" i="1"/>
  <c r="D1108" i="1"/>
  <c r="F1108" i="1" s="1"/>
  <c r="E1108" i="1"/>
  <c r="D1109" i="1"/>
  <c r="F1109" i="1" s="1"/>
  <c r="E1109" i="1"/>
  <c r="D1110" i="1"/>
  <c r="F1110" i="1" s="1"/>
  <c r="E1110" i="1"/>
  <c r="D1111" i="1"/>
  <c r="F1111" i="1" s="1"/>
  <c r="E1111" i="1"/>
  <c r="D1112" i="1"/>
  <c r="F1112" i="1" s="1"/>
  <c r="E1112" i="1"/>
  <c r="D1113" i="1"/>
  <c r="F1113" i="1" s="1"/>
  <c r="E1113" i="1"/>
  <c r="D1114" i="1"/>
  <c r="F1114" i="1" s="1"/>
  <c r="E1114" i="1"/>
  <c r="D1115" i="1"/>
  <c r="F1115" i="1" s="1"/>
  <c r="E1115" i="1"/>
  <c r="D1116" i="1"/>
  <c r="F1116" i="1" s="1"/>
  <c r="E1116" i="1"/>
  <c r="D1117" i="1"/>
  <c r="F1117" i="1" s="1"/>
  <c r="E1117" i="1"/>
  <c r="D1118" i="1"/>
  <c r="F1118" i="1" s="1"/>
  <c r="E1118" i="1"/>
  <c r="D1119" i="1"/>
  <c r="F1119" i="1" s="1"/>
  <c r="E1119" i="1"/>
  <c r="D1120" i="1"/>
  <c r="F1120" i="1" s="1"/>
  <c r="E1120" i="1"/>
  <c r="D1121" i="1"/>
  <c r="F1121" i="1" s="1"/>
  <c r="E1121" i="1"/>
  <c r="D1122" i="1"/>
  <c r="F1122" i="1" s="1"/>
  <c r="E1122" i="1"/>
  <c r="D1123" i="1"/>
  <c r="F1123" i="1" s="1"/>
  <c r="E1123" i="1"/>
  <c r="D1124" i="1"/>
  <c r="F1124" i="1" s="1"/>
  <c r="E1124" i="1"/>
  <c r="D1125" i="1"/>
  <c r="F1125" i="1" s="1"/>
  <c r="E1125" i="1"/>
  <c r="D1126" i="1"/>
  <c r="F1126" i="1" s="1"/>
  <c r="E1126" i="1"/>
  <c r="D1127" i="1"/>
  <c r="F1127" i="1" s="1"/>
  <c r="E1127" i="1"/>
  <c r="D1128" i="1"/>
  <c r="F1128" i="1" s="1"/>
  <c r="E1128" i="1"/>
  <c r="D1129" i="1"/>
  <c r="F1129" i="1" s="1"/>
  <c r="E1129" i="1"/>
  <c r="D1130" i="1"/>
  <c r="F1130" i="1" s="1"/>
  <c r="E1130" i="1"/>
  <c r="D1131" i="1"/>
  <c r="F1131" i="1" s="1"/>
  <c r="E1131" i="1"/>
  <c r="D1132" i="1"/>
  <c r="F1132" i="1" s="1"/>
  <c r="E1132" i="1"/>
  <c r="D1133" i="1"/>
  <c r="F1133" i="1" s="1"/>
  <c r="E1133" i="1"/>
  <c r="D1134" i="1"/>
  <c r="F1134" i="1" s="1"/>
  <c r="E1134" i="1"/>
  <c r="D1135" i="1"/>
  <c r="F1135" i="1" s="1"/>
  <c r="E1135" i="1"/>
  <c r="D1136" i="1"/>
  <c r="F1136" i="1" s="1"/>
  <c r="E1136" i="1"/>
  <c r="D1137" i="1"/>
  <c r="F1137" i="1" s="1"/>
  <c r="E1137" i="1"/>
  <c r="D1138" i="1"/>
  <c r="F1138" i="1" s="1"/>
  <c r="E1138" i="1"/>
  <c r="D1139" i="1"/>
  <c r="F1139" i="1" s="1"/>
  <c r="E1139" i="1"/>
  <c r="D1140" i="1"/>
  <c r="F1140" i="1" s="1"/>
  <c r="E1140" i="1"/>
  <c r="D1141" i="1"/>
  <c r="F1141" i="1" s="1"/>
  <c r="E1141" i="1"/>
  <c r="D1142" i="1"/>
  <c r="F1142" i="1" s="1"/>
  <c r="E1142" i="1"/>
  <c r="D1143" i="1"/>
  <c r="F1143" i="1" s="1"/>
  <c r="E1143" i="1"/>
  <c r="D1144" i="1"/>
  <c r="F1144" i="1" s="1"/>
  <c r="E1144" i="1"/>
  <c r="D1145" i="1"/>
  <c r="F1145" i="1" s="1"/>
  <c r="E1145" i="1"/>
  <c r="D1146" i="1"/>
  <c r="F1146" i="1" s="1"/>
  <c r="E1146" i="1"/>
  <c r="D1147" i="1"/>
  <c r="F1147" i="1" s="1"/>
  <c r="E1147" i="1"/>
  <c r="D1148" i="1"/>
  <c r="F1148" i="1" s="1"/>
  <c r="E1148" i="1"/>
  <c r="D1149" i="1"/>
  <c r="F1149" i="1" s="1"/>
  <c r="E1149" i="1"/>
  <c r="D1150" i="1"/>
  <c r="F1150" i="1" s="1"/>
  <c r="E1150" i="1"/>
  <c r="D1151" i="1"/>
  <c r="F1151" i="1" s="1"/>
  <c r="E1151" i="1"/>
  <c r="D1152" i="1"/>
  <c r="F1152" i="1" s="1"/>
  <c r="E1152" i="1"/>
  <c r="D1153" i="1"/>
  <c r="F1153" i="1" s="1"/>
  <c r="E1153" i="1"/>
  <c r="D1154" i="1"/>
  <c r="F1154" i="1" s="1"/>
  <c r="E1154" i="1"/>
  <c r="D1155" i="1"/>
  <c r="F1155" i="1" s="1"/>
  <c r="E1155" i="1"/>
  <c r="D1156" i="1"/>
  <c r="F1156" i="1" s="1"/>
  <c r="E1156" i="1"/>
  <c r="D1157" i="1"/>
  <c r="F1157" i="1" s="1"/>
  <c r="E1157" i="1"/>
  <c r="D1158" i="1"/>
  <c r="F1158" i="1" s="1"/>
  <c r="E1158" i="1"/>
  <c r="D1159" i="1"/>
  <c r="F1159" i="1" s="1"/>
  <c r="E1159" i="1"/>
  <c r="D1160" i="1"/>
  <c r="F1160" i="1" s="1"/>
  <c r="E1160" i="1"/>
  <c r="D1161" i="1"/>
  <c r="F1161" i="1" s="1"/>
  <c r="E1161" i="1"/>
  <c r="D1162" i="1"/>
  <c r="F1162" i="1" s="1"/>
  <c r="E1162" i="1"/>
  <c r="D1163" i="1"/>
  <c r="F1163" i="1" s="1"/>
  <c r="E1163" i="1"/>
  <c r="D1164" i="1"/>
  <c r="F1164" i="1" s="1"/>
  <c r="E1164" i="1"/>
  <c r="D1165" i="1"/>
  <c r="F1165" i="1" s="1"/>
  <c r="E1165" i="1"/>
  <c r="D1166" i="1"/>
  <c r="F1166" i="1" s="1"/>
  <c r="E1166" i="1"/>
  <c r="D1167" i="1"/>
  <c r="F1167" i="1" s="1"/>
  <c r="E1167" i="1"/>
  <c r="D1168" i="1"/>
  <c r="F1168" i="1" s="1"/>
  <c r="E1168" i="1"/>
  <c r="D1169" i="1"/>
  <c r="F1169" i="1" s="1"/>
  <c r="E1169" i="1"/>
  <c r="D1170" i="1"/>
  <c r="F1170" i="1" s="1"/>
  <c r="E1170" i="1"/>
  <c r="D1171" i="1"/>
  <c r="F1171" i="1" s="1"/>
  <c r="E1171" i="1"/>
  <c r="D1172" i="1"/>
  <c r="F1172" i="1" s="1"/>
  <c r="E1172" i="1"/>
  <c r="D1173" i="1"/>
  <c r="F1173" i="1" s="1"/>
  <c r="E1173" i="1"/>
  <c r="D1174" i="1"/>
  <c r="F1174" i="1" s="1"/>
  <c r="E1174" i="1"/>
  <c r="D1175" i="1"/>
  <c r="F1175" i="1" s="1"/>
  <c r="E1175" i="1"/>
  <c r="D1176" i="1"/>
  <c r="F1176" i="1" s="1"/>
  <c r="E1176" i="1"/>
  <c r="D1177" i="1"/>
  <c r="F1177" i="1" s="1"/>
  <c r="E1177" i="1"/>
  <c r="D1178" i="1"/>
  <c r="F1178" i="1" s="1"/>
  <c r="E1178" i="1"/>
  <c r="D1179" i="1"/>
  <c r="F1179" i="1" s="1"/>
  <c r="E1179" i="1"/>
  <c r="D1180" i="1"/>
  <c r="F1180" i="1" s="1"/>
  <c r="E1180" i="1"/>
  <c r="D1181" i="1"/>
  <c r="F1181" i="1" s="1"/>
  <c r="E1181" i="1"/>
  <c r="D1182" i="1"/>
  <c r="F1182" i="1" s="1"/>
  <c r="E1182" i="1"/>
  <c r="D1183" i="1"/>
  <c r="F1183" i="1" s="1"/>
  <c r="E1183" i="1"/>
  <c r="D1184" i="1"/>
  <c r="F1184" i="1" s="1"/>
  <c r="E1184" i="1"/>
  <c r="D1185" i="1"/>
  <c r="F1185" i="1" s="1"/>
  <c r="E1185" i="1"/>
  <c r="D1186" i="1"/>
  <c r="F1186" i="1" s="1"/>
  <c r="E1186" i="1"/>
  <c r="D1187" i="1"/>
  <c r="F1187" i="1" s="1"/>
  <c r="E1187" i="1"/>
  <c r="D1188" i="1"/>
  <c r="F1188" i="1" s="1"/>
  <c r="E1188" i="1"/>
  <c r="D1189" i="1"/>
  <c r="F1189" i="1" s="1"/>
  <c r="E1189" i="1"/>
  <c r="D1190" i="1"/>
  <c r="F1190" i="1" s="1"/>
  <c r="E1190" i="1"/>
  <c r="D1191" i="1"/>
  <c r="F1191" i="1" s="1"/>
  <c r="E1191" i="1"/>
  <c r="D1192" i="1"/>
  <c r="F1192" i="1" s="1"/>
  <c r="E1192" i="1"/>
  <c r="D1193" i="1"/>
  <c r="F1193" i="1" s="1"/>
  <c r="E1193" i="1"/>
  <c r="D1194" i="1"/>
  <c r="F1194" i="1" s="1"/>
  <c r="E1194" i="1"/>
  <c r="D1195" i="1"/>
  <c r="F1195" i="1" s="1"/>
  <c r="E1195" i="1"/>
  <c r="D1196" i="1"/>
  <c r="F1196" i="1" s="1"/>
  <c r="E1196" i="1"/>
  <c r="D1197" i="1"/>
  <c r="F1197" i="1" s="1"/>
  <c r="E1197" i="1"/>
  <c r="D1198" i="1"/>
  <c r="F1198" i="1" s="1"/>
  <c r="E1198" i="1"/>
  <c r="D1199" i="1"/>
  <c r="F1199" i="1" s="1"/>
  <c r="E1199" i="1"/>
  <c r="D1200" i="1"/>
  <c r="F1200" i="1" s="1"/>
  <c r="E1200" i="1"/>
  <c r="D1201" i="1"/>
  <c r="F1201" i="1" s="1"/>
  <c r="E1201" i="1"/>
  <c r="D1202" i="1"/>
  <c r="F1202" i="1" s="1"/>
  <c r="E1202" i="1"/>
  <c r="D1203" i="1"/>
  <c r="F1203" i="1" s="1"/>
  <c r="E1203" i="1"/>
  <c r="D1204" i="1"/>
  <c r="F1204" i="1" s="1"/>
  <c r="E1204" i="1"/>
  <c r="D1205" i="1"/>
  <c r="F1205" i="1" s="1"/>
  <c r="E1205" i="1"/>
  <c r="D1206" i="1"/>
  <c r="F1206" i="1" s="1"/>
  <c r="E1206" i="1"/>
  <c r="D1207" i="1"/>
  <c r="F1207" i="1" s="1"/>
  <c r="E1207" i="1"/>
  <c r="D1208" i="1"/>
  <c r="F1208" i="1" s="1"/>
  <c r="E1208" i="1"/>
  <c r="D1209" i="1"/>
  <c r="F1209" i="1" s="1"/>
  <c r="E1209" i="1"/>
  <c r="D1210" i="1"/>
  <c r="F1210" i="1" s="1"/>
  <c r="E1210" i="1"/>
  <c r="D1211" i="1"/>
  <c r="F1211" i="1" s="1"/>
  <c r="E1211" i="1"/>
  <c r="D1212" i="1"/>
  <c r="F1212" i="1" s="1"/>
  <c r="E1212" i="1"/>
  <c r="D1213" i="1"/>
  <c r="F1213" i="1" s="1"/>
  <c r="E1213" i="1"/>
  <c r="D1214" i="1"/>
  <c r="F1214" i="1" s="1"/>
  <c r="E1214" i="1"/>
  <c r="D1215" i="1"/>
  <c r="F1215" i="1" s="1"/>
  <c r="E1215" i="1"/>
  <c r="D1216" i="1"/>
  <c r="F1216" i="1" s="1"/>
  <c r="E1216" i="1"/>
  <c r="D1217" i="1"/>
  <c r="F1217" i="1" s="1"/>
  <c r="E1217" i="1"/>
  <c r="D1218" i="1"/>
  <c r="F1218" i="1" s="1"/>
  <c r="E1218" i="1"/>
  <c r="D1219" i="1"/>
  <c r="F1219" i="1" s="1"/>
  <c r="E1219" i="1"/>
  <c r="D1220" i="1"/>
  <c r="F1220" i="1" s="1"/>
  <c r="E1220" i="1"/>
  <c r="D1221" i="1"/>
  <c r="F1221" i="1" s="1"/>
  <c r="E1221" i="1"/>
  <c r="D1222" i="1"/>
  <c r="F1222" i="1" s="1"/>
  <c r="E1222" i="1"/>
  <c r="D1223" i="1"/>
  <c r="F1223" i="1" s="1"/>
  <c r="E1223" i="1"/>
  <c r="D1224" i="1"/>
  <c r="F1224" i="1" s="1"/>
  <c r="E1224" i="1"/>
  <c r="D1225" i="1"/>
  <c r="F1225" i="1" s="1"/>
  <c r="E1225" i="1"/>
  <c r="D1226" i="1"/>
  <c r="F1226" i="1" s="1"/>
  <c r="E1226" i="1"/>
  <c r="D1227" i="1"/>
  <c r="F1227" i="1" s="1"/>
  <c r="E1227" i="1"/>
  <c r="D1228" i="1"/>
  <c r="F1228" i="1" s="1"/>
  <c r="E1228" i="1"/>
  <c r="D1229" i="1"/>
  <c r="F1229" i="1" s="1"/>
  <c r="E1229" i="1"/>
  <c r="D1230" i="1"/>
  <c r="F1230" i="1" s="1"/>
  <c r="E1230" i="1"/>
  <c r="D1231" i="1"/>
  <c r="F1231" i="1" s="1"/>
  <c r="E1231" i="1"/>
  <c r="D1232" i="1"/>
  <c r="F1232" i="1" s="1"/>
  <c r="E1232" i="1"/>
  <c r="D1233" i="1"/>
  <c r="F1233" i="1" s="1"/>
  <c r="E1233" i="1"/>
  <c r="D1234" i="1"/>
  <c r="F1234" i="1" s="1"/>
  <c r="E1234" i="1"/>
  <c r="D1235" i="1"/>
  <c r="F1235" i="1" s="1"/>
  <c r="E1235" i="1"/>
  <c r="D1236" i="1"/>
  <c r="F1236" i="1" s="1"/>
  <c r="E1236" i="1"/>
  <c r="D1237" i="1"/>
  <c r="F1237" i="1" s="1"/>
  <c r="E1237" i="1"/>
  <c r="D1238" i="1"/>
  <c r="F1238" i="1" s="1"/>
  <c r="E1238" i="1"/>
  <c r="D1239" i="1"/>
  <c r="F1239" i="1" s="1"/>
  <c r="E1239" i="1"/>
  <c r="D1240" i="1"/>
  <c r="F1240" i="1" s="1"/>
  <c r="E1240" i="1"/>
  <c r="D1241" i="1"/>
  <c r="F1241" i="1" s="1"/>
  <c r="E1241" i="1"/>
  <c r="D1242" i="1"/>
  <c r="F1242" i="1" s="1"/>
  <c r="E1242" i="1"/>
  <c r="D1243" i="1"/>
  <c r="F1243" i="1" s="1"/>
  <c r="E1243" i="1"/>
  <c r="D1244" i="1"/>
  <c r="F1244" i="1" s="1"/>
  <c r="E1244" i="1"/>
  <c r="D1245" i="1"/>
  <c r="F1245" i="1" s="1"/>
  <c r="E1245" i="1"/>
  <c r="D1246" i="1"/>
  <c r="F1246" i="1" s="1"/>
  <c r="E1246" i="1"/>
  <c r="D1247" i="1"/>
  <c r="F1247" i="1" s="1"/>
  <c r="E1247" i="1"/>
  <c r="D1248" i="1"/>
  <c r="F1248" i="1" s="1"/>
  <c r="E1248" i="1"/>
  <c r="D1249" i="1"/>
  <c r="F1249" i="1" s="1"/>
  <c r="E1249" i="1"/>
  <c r="D1250" i="1"/>
  <c r="F1250" i="1" s="1"/>
  <c r="E1250" i="1"/>
  <c r="D1251" i="1"/>
  <c r="F1251" i="1" s="1"/>
  <c r="E1251" i="1"/>
  <c r="D1252" i="1"/>
  <c r="F1252" i="1" s="1"/>
  <c r="E1252" i="1"/>
  <c r="D1253" i="1"/>
  <c r="F1253" i="1" s="1"/>
  <c r="E1253" i="1"/>
  <c r="D1254" i="1"/>
  <c r="F1254" i="1" s="1"/>
  <c r="E1254" i="1"/>
  <c r="D1255" i="1"/>
  <c r="F1255" i="1" s="1"/>
  <c r="E1255" i="1"/>
  <c r="D1256" i="1"/>
  <c r="F1256" i="1" s="1"/>
  <c r="E1256" i="1"/>
  <c r="D1257" i="1"/>
  <c r="F1257" i="1" s="1"/>
  <c r="E1257" i="1"/>
  <c r="D1258" i="1"/>
  <c r="F1258" i="1" s="1"/>
  <c r="E1258" i="1"/>
  <c r="D1259" i="1"/>
  <c r="F1259" i="1" s="1"/>
  <c r="E1259" i="1"/>
  <c r="D1260" i="1"/>
  <c r="F1260" i="1" s="1"/>
  <c r="E1260" i="1"/>
  <c r="D1261" i="1"/>
  <c r="F1261" i="1" s="1"/>
  <c r="E1261" i="1"/>
  <c r="D1262" i="1"/>
  <c r="F1262" i="1" s="1"/>
  <c r="E1262" i="1"/>
  <c r="D1263" i="1"/>
  <c r="F1263" i="1" s="1"/>
  <c r="E1263" i="1"/>
  <c r="D1264" i="1"/>
  <c r="F1264" i="1" s="1"/>
  <c r="E1264" i="1"/>
  <c r="D1265" i="1"/>
  <c r="F1265" i="1" s="1"/>
  <c r="E1265" i="1"/>
  <c r="D1266" i="1"/>
  <c r="F1266" i="1" s="1"/>
  <c r="E1266" i="1"/>
  <c r="D1267" i="1"/>
  <c r="F1267" i="1" s="1"/>
  <c r="E1267" i="1"/>
  <c r="D1268" i="1"/>
  <c r="F1268" i="1" s="1"/>
  <c r="E1268" i="1"/>
  <c r="D1269" i="1"/>
  <c r="F1269" i="1" s="1"/>
  <c r="E1269" i="1"/>
  <c r="D1270" i="1"/>
  <c r="F1270" i="1" s="1"/>
  <c r="E1270" i="1"/>
  <c r="D1271" i="1"/>
  <c r="F1271" i="1" s="1"/>
  <c r="E1271" i="1"/>
  <c r="D1272" i="1"/>
  <c r="F1272" i="1" s="1"/>
  <c r="E1272" i="1"/>
  <c r="D1273" i="1"/>
  <c r="F1273" i="1" s="1"/>
  <c r="E1273" i="1"/>
  <c r="D1274" i="1"/>
  <c r="F1274" i="1" s="1"/>
  <c r="E1274" i="1"/>
  <c r="D1275" i="1"/>
  <c r="F1275" i="1" s="1"/>
  <c r="E1275" i="1"/>
  <c r="D1276" i="1"/>
  <c r="F1276" i="1" s="1"/>
  <c r="E1276" i="1"/>
  <c r="D1277" i="1"/>
  <c r="F1277" i="1" s="1"/>
  <c r="E1277" i="1"/>
  <c r="D1278" i="1"/>
  <c r="F1278" i="1" s="1"/>
  <c r="E1278" i="1"/>
  <c r="D1279" i="1"/>
  <c r="F1279" i="1" s="1"/>
  <c r="E1279" i="1"/>
  <c r="D1280" i="1"/>
  <c r="F1280" i="1" s="1"/>
  <c r="E1280" i="1"/>
  <c r="D1281" i="1"/>
  <c r="F1281" i="1" s="1"/>
  <c r="E1281" i="1"/>
  <c r="D1282" i="1"/>
  <c r="F1282" i="1" s="1"/>
  <c r="E1282" i="1"/>
  <c r="D1283" i="1"/>
  <c r="F1283" i="1" s="1"/>
  <c r="E1283" i="1"/>
  <c r="D1284" i="1"/>
  <c r="F1284" i="1" s="1"/>
  <c r="E1284" i="1"/>
  <c r="D1285" i="1"/>
  <c r="F1285" i="1" s="1"/>
  <c r="E1285" i="1"/>
  <c r="D1286" i="1"/>
  <c r="F1286" i="1" s="1"/>
  <c r="E1286" i="1"/>
  <c r="D1287" i="1"/>
  <c r="F1287" i="1" s="1"/>
  <c r="E1287" i="1"/>
  <c r="D1288" i="1"/>
  <c r="F1288" i="1" s="1"/>
  <c r="E1288" i="1"/>
  <c r="D1289" i="1"/>
  <c r="F1289" i="1" s="1"/>
  <c r="E1289" i="1"/>
  <c r="D1290" i="1"/>
  <c r="F1290" i="1" s="1"/>
  <c r="E1290" i="1"/>
  <c r="D1291" i="1"/>
  <c r="F1291" i="1" s="1"/>
  <c r="E1291" i="1"/>
  <c r="D1292" i="1"/>
  <c r="F1292" i="1" s="1"/>
  <c r="E1292" i="1"/>
  <c r="D1293" i="1"/>
  <c r="F1293" i="1" s="1"/>
  <c r="E1293" i="1"/>
  <c r="D1294" i="1"/>
  <c r="F1294" i="1" s="1"/>
  <c r="E1294" i="1"/>
  <c r="D1295" i="1"/>
  <c r="F1295" i="1" s="1"/>
  <c r="E1295" i="1"/>
  <c r="D1296" i="1"/>
  <c r="F1296" i="1" s="1"/>
  <c r="E1296" i="1"/>
  <c r="D1297" i="1"/>
  <c r="F1297" i="1" s="1"/>
  <c r="E1297" i="1"/>
  <c r="D1298" i="1"/>
  <c r="F1298" i="1" s="1"/>
  <c r="E1298" i="1"/>
  <c r="D1299" i="1"/>
  <c r="F1299" i="1" s="1"/>
  <c r="E1299" i="1"/>
  <c r="D1300" i="1"/>
  <c r="F1300" i="1" s="1"/>
  <c r="E1300" i="1"/>
  <c r="D1301" i="1"/>
  <c r="F1301" i="1" s="1"/>
  <c r="E1301" i="1"/>
  <c r="D1302" i="1"/>
  <c r="F1302" i="1" s="1"/>
  <c r="E1302" i="1"/>
  <c r="D1303" i="1"/>
  <c r="F1303" i="1" s="1"/>
  <c r="E1303" i="1"/>
  <c r="D1304" i="1"/>
  <c r="F1304" i="1" s="1"/>
  <c r="E1304" i="1"/>
  <c r="D1305" i="1"/>
  <c r="F1305" i="1" s="1"/>
  <c r="E1305" i="1"/>
  <c r="D1306" i="1"/>
  <c r="F1306" i="1" s="1"/>
  <c r="E1306" i="1"/>
  <c r="D1307" i="1"/>
  <c r="F1307" i="1" s="1"/>
  <c r="E1307" i="1"/>
  <c r="D1308" i="1"/>
  <c r="F1308" i="1" s="1"/>
  <c r="E1308" i="1"/>
  <c r="D1309" i="1"/>
  <c r="F1309" i="1" s="1"/>
  <c r="E1309" i="1"/>
  <c r="D1310" i="1"/>
  <c r="F1310" i="1" s="1"/>
  <c r="E1310" i="1"/>
  <c r="D1311" i="1"/>
  <c r="F1311" i="1" s="1"/>
  <c r="E1311" i="1"/>
  <c r="D1312" i="1"/>
  <c r="F1312" i="1" s="1"/>
  <c r="E1312" i="1"/>
  <c r="D1313" i="1"/>
  <c r="F1313" i="1" s="1"/>
  <c r="E1313" i="1"/>
  <c r="D1314" i="1"/>
  <c r="F1314" i="1" s="1"/>
  <c r="E1314" i="1"/>
  <c r="D1315" i="1"/>
  <c r="F1315" i="1" s="1"/>
  <c r="E1315" i="1"/>
  <c r="D1316" i="1"/>
  <c r="F1316" i="1" s="1"/>
  <c r="E1316" i="1"/>
  <c r="D1317" i="1"/>
  <c r="F1317" i="1" s="1"/>
  <c r="E1317" i="1"/>
  <c r="D1318" i="1"/>
  <c r="F1318" i="1" s="1"/>
  <c r="E1318" i="1"/>
  <c r="D1319" i="1"/>
  <c r="F1319" i="1" s="1"/>
  <c r="E1319" i="1"/>
  <c r="D1320" i="1"/>
  <c r="F1320" i="1" s="1"/>
  <c r="E1320" i="1"/>
  <c r="D1321" i="1"/>
  <c r="F1321" i="1" s="1"/>
  <c r="E1321" i="1"/>
  <c r="D1322" i="1"/>
  <c r="F1322" i="1" s="1"/>
  <c r="E1322" i="1"/>
  <c r="D1323" i="1"/>
  <c r="F1323" i="1" s="1"/>
  <c r="E1323" i="1"/>
  <c r="D1324" i="1"/>
  <c r="F1324" i="1" s="1"/>
  <c r="E1324" i="1"/>
  <c r="D1325" i="1"/>
  <c r="F1325" i="1" s="1"/>
  <c r="E1325" i="1"/>
  <c r="D1326" i="1"/>
  <c r="F1326" i="1" s="1"/>
  <c r="E1326" i="1"/>
  <c r="D1327" i="1"/>
  <c r="F1327" i="1" s="1"/>
  <c r="E1327" i="1"/>
  <c r="D1328" i="1"/>
  <c r="F1328" i="1" s="1"/>
  <c r="E1328" i="1"/>
  <c r="D1329" i="1"/>
  <c r="F1329" i="1" s="1"/>
  <c r="E1329" i="1"/>
  <c r="D1330" i="1"/>
  <c r="F1330" i="1" s="1"/>
  <c r="E1330" i="1"/>
  <c r="D1331" i="1"/>
  <c r="F1331" i="1" s="1"/>
  <c r="E1331" i="1"/>
  <c r="D1332" i="1"/>
  <c r="F1332" i="1" s="1"/>
  <c r="E1332" i="1"/>
  <c r="D1333" i="1"/>
  <c r="F1333" i="1" s="1"/>
  <c r="E1333" i="1"/>
  <c r="D1334" i="1"/>
  <c r="F1334" i="1" s="1"/>
  <c r="E1334" i="1"/>
  <c r="D1335" i="1"/>
  <c r="F1335" i="1" s="1"/>
  <c r="E1335" i="1"/>
  <c r="D1336" i="1"/>
  <c r="F1336" i="1" s="1"/>
  <c r="E1336" i="1"/>
  <c r="D1337" i="1"/>
  <c r="F1337" i="1" s="1"/>
  <c r="E1337" i="1"/>
  <c r="D1338" i="1"/>
  <c r="F1338" i="1" s="1"/>
  <c r="E1338" i="1"/>
  <c r="D1339" i="1"/>
  <c r="F1339" i="1" s="1"/>
  <c r="E1339" i="1"/>
  <c r="D1340" i="1"/>
  <c r="F1340" i="1" s="1"/>
  <c r="E1340" i="1"/>
  <c r="D1341" i="1"/>
  <c r="F1341" i="1" s="1"/>
  <c r="E1341" i="1"/>
  <c r="D1342" i="1"/>
  <c r="F1342" i="1" s="1"/>
  <c r="E1342" i="1"/>
  <c r="D1343" i="1"/>
  <c r="F1343" i="1" s="1"/>
  <c r="E1343" i="1"/>
  <c r="D1344" i="1"/>
  <c r="F1344" i="1" s="1"/>
  <c r="E1344" i="1"/>
  <c r="D1345" i="1"/>
  <c r="F1345" i="1" s="1"/>
  <c r="E1345" i="1"/>
  <c r="D1346" i="1"/>
  <c r="F1346" i="1" s="1"/>
  <c r="E1346" i="1"/>
  <c r="D1347" i="1"/>
  <c r="F1347" i="1" s="1"/>
  <c r="E1347" i="1"/>
  <c r="D1348" i="1"/>
  <c r="F1348" i="1" s="1"/>
  <c r="E1348" i="1"/>
  <c r="D1349" i="1"/>
  <c r="F1349" i="1" s="1"/>
  <c r="E1349" i="1"/>
  <c r="D1350" i="1"/>
  <c r="F1350" i="1" s="1"/>
  <c r="E1350" i="1"/>
  <c r="D1351" i="1"/>
  <c r="F1351" i="1" s="1"/>
  <c r="E1351" i="1"/>
  <c r="D1352" i="1"/>
  <c r="F1352" i="1" s="1"/>
  <c r="E1352" i="1"/>
  <c r="D1353" i="1"/>
  <c r="F1353" i="1" s="1"/>
  <c r="E1353" i="1"/>
  <c r="D1354" i="1"/>
  <c r="F1354" i="1" s="1"/>
  <c r="E1354" i="1"/>
  <c r="D1355" i="1"/>
  <c r="F1355" i="1" s="1"/>
  <c r="E1355" i="1"/>
  <c r="D1356" i="1"/>
  <c r="F1356" i="1" s="1"/>
  <c r="E1356" i="1"/>
  <c r="D1357" i="1"/>
  <c r="F1357" i="1" s="1"/>
  <c r="E1357" i="1"/>
  <c r="D1358" i="1"/>
  <c r="F1358" i="1" s="1"/>
  <c r="E1358" i="1"/>
  <c r="D1359" i="1"/>
  <c r="F1359" i="1" s="1"/>
  <c r="E1359" i="1"/>
  <c r="D1360" i="1"/>
  <c r="F1360" i="1" s="1"/>
  <c r="E1360" i="1"/>
  <c r="D1361" i="1"/>
  <c r="F1361" i="1" s="1"/>
  <c r="E1361" i="1"/>
  <c r="D1362" i="1"/>
  <c r="F1362" i="1" s="1"/>
  <c r="E1362" i="1"/>
  <c r="D1363" i="1"/>
  <c r="F1363" i="1" s="1"/>
  <c r="E1363" i="1"/>
  <c r="D1364" i="1"/>
  <c r="F1364" i="1" s="1"/>
  <c r="E1364" i="1"/>
  <c r="D1365" i="1"/>
  <c r="F1365" i="1" s="1"/>
  <c r="E1365" i="1"/>
  <c r="D1366" i="1"/>
  <c r="F1366" i="1" s="1"/>
  <c r="E1366" i="1"/>
  <c r="D1367" i="1"/>
  <c r="F1367" i="1" s="1"/>
  <c r="E1367" i="1"/>
  <c r="D1368" i="1"/>
  <c r="F1368" i="1" s="1"/>
  <c r="E1368" i="1"/>
  <c r="D1369" i="1"/>
  <c r="F1369" i="1" s="1"/>
  <c r="E1369" i="1"/>
  <c r="D1370" i="1"/>
  <c r="F1370" i="1" s="1"/>
  <c r="E1370" i="1"/>
  <c r="D1371" i="1"/>
  <c r="F1371" i="1" s="1"/>
  <c r="E1371" i="1"/>
  <c r="D1372" i="1"/>
  <c r="F1372" i="1" s="1"/>
  <c r="E1372" i="1"/>
  <c r="D1373" i="1"/>
  <c r="F1373" i="1" s="1"/>
  <c r="E1373" i="1"/>
  <c r="D1374" i="1"/>
  <c r="F1374" i="1" s="1"/>
  <c r="E1374" i="1"/>
  <c r="D1375" i="1"/>
  <c r="F1375" i="1" s="1"/>
  <c r="E1375" i="1"/>
  <c r="D1376" i="1"/>
  <c r="F1376" i="1" s="1"/>
  <c r="E1376" i="1"/>
  <c r="D1377" i="1"/>
  <c r="F1377" i="1" s="1"/>
  <c r="E1377" i="1"/>
  <c r="D1378" i="1"/>
  <c r="F1378" i="1" s="1"/>
  <c r="E1378" i="1"/>
  <c r="D1379" i="1"/>
  <c r="F1379" i="1" s="1"/>
  <c r="E1379" i="1"/>
  <c r="D1380" i="1"/>
  <c r="F1380" i="1" s="1"/>
  <c r="E1380" i="1"/>
  <c r="D1381" i="1"/>
  <c r="F1381" i="1" s="1"/>
  <c r="E1381" i="1"/>
  <c r="D1382" i="1"/>
  <c r="F1382" i="1" s="1"/>
  <c r="E1382" i="1"/>
  <c r="D1383" i="1"/>
  <c r="F1383" i="1" s="1"/>
  <c r="E1383" i="1"/>
  <c r="D1384" i="1"/>
  <c r="F1384" i="1" s="1"/>
  <c r="E1384" i="1"/>
  <c r="D1385" i="1"/>
  <c r="F1385" i="1" s="1"/>
  <c r="E1385" i="1"/>
  <c r="D1386" i="1"/>
  <c r="F1386" i="1" s="1"/>
  <c r="E1386" i="1"/>
  <c r="D1387" i="1"/>
  <c r="F1387" i="1" s="1"/>
  <c r="E1387" i="1"/>
  <c r="D1388" i="1"/>
  <c r="F1388" i="1" s="1"/>
  <c r="E1388" i="1"/>
  <c r="D1389" i="1"/>
  <c r="F1389" i="1" s="1"/>
  <c r="E1389" i="1"/>
  <c r="D1390" i="1"/>
  <c r="F1390" i="1" s="1"/>
  <c r="E1390" i="1"/>
  <c r="D1391" i="1"/>
  <c r="F1391" i="1" s="1"/>
  <c r="E1391" i="1"/>
  <c r="D1392" i="1"/>
  <c r="F1392" i="1" s="1"/>
  <c r="E1392" i="1"/>
  <c r="D1393" i="1"/>
  <c r="F1393" i="1" s="1"/>
  <c r="E1393" i="1"/>
  <c r="D1394" i="1"/>
  <c r="F1394" i="1" s="1"/>
  <c r="E1394" i="1"/>
  <c r="D1395" i="1"/>
  <c r="F1395" i="1" s="1"/>
  <c r="E1395" i="1"/>
  <c r="D1396" i="1"/>
  <c r="F1396" i="1" s="1"/>
  <c r="E1396" i="1"/>
  <c r="D1397" i="1"/>
  <c r="F1397" i="1" s="1"/>
  <c r="E1397" i="1"/>
  <c r="D1398" i="1"/>
  <c r="F1398" i="1" s="1"/>
  <c r="E1398" i="1"/>
  <c r="D1399" i="1"/>
  <c r="F1399" i="1" s="1"/>
  <c r="E1399" i="1"/>
  <c r="D1400" i="1"/>
  <c r="F1400" i="1" s="1"/>
  <c r="E1400" i="1"/>
  <c r="D1401" i="1"/>
  <c r="F1401" i="1" s="1"/>
  <c r="E1401" i="1"/>
  <c r="D1402" i="1"/>
  <c r="F1402" i="1" s="1"/>
  <c r="E1402" i="1"/>
  <c r="D1403" i="1"/>
  <c r="F1403" i="1" s="1"/>
  <c r="E1403" i="1"/>
  <c r="D1404" i="1"/>
  <c r="F1404" i="1" s="1"/>
  <c r="E1404" i="1"/>
  <c r="D1405" i="1"/>
  <c r="F1405" i="1" s="1"/>
  <c r="E1405" i="1"/>
  <c r="D1406" i="1"/>
  <c r="F1406" i="1" s="1"/>
  <c r="E1406" i="1"/>
  <c r="D1407" i="1"/>
  <c r="F1407" i="1" s="1"/>
  <c r="E1407" i="1"/>
  <c r="D1408" i="1"/>
  <c r="F1408" i="1" s="1"/>
  <c r="E1408" i="1"/>
  <c r="D1409" i="1"/>
  <c r="F1409" i="1" s="1"/>
  <c r="E1409" i="1"/>
  <c r="D1410" i="1"/>
  <c r="F1410" i="1" s="1"/>
  <c r="E1410" i="1"/>
  <c r="D1411" i="1"/>
  <c r="F1411" i="1" s="1"/>
  <c r="E1411" i="1"/>
  <c r="D1412" i="1"/>
  <c r="F1412" i="1" s="1"/>
  <c r="E1412" i="1"/>
  <c r="D1413" i="1"/>
  <c r="F1413" i="1" s="1"/>
  <c r="E1413" i="1"/>
  <c r="D1414" i="1"/>
  <c r="F1414" i="1" s="1"/>
  <c r="E1414" i="1"/>
  <c r="D1415" i="1"/>
  <c r="F1415" i="1" s="1"/>
  <c r="E1415" i="1"/>
  <c r="D1416" i="1"/>
  <c r="F1416" i="1" s="1"/>
  <c r="E1416" i="1"/>
  <c r="D1417" i="1"/>
  <c r="F1417" i="1" s="1"/>
  <c r="E1417" i="1"/>
  <c r="D1418" i="1"/>
  <c r="F1418" i="1" s="1"/>
  <c r="E1418" i="1"/>
  <c r="D1419" i="1"/>
  <c r="F1419" i="1" s="1"/>
  <c r="E1419" i="1"/>
  <c r="D1420" i="1"/>
  <c r="F1420" i="1" s="1"/>
  <c r="E1420" i="1"/>
  <c r="D1421" i="1"/>
  <c r="F1421" i="1" s="1"/>
  <c r="E1421" i="1"/>
  <c r="D1422" i="1"/>
  <c r="F1422" i="1" s="1"/>
  <c r="E1422" i="1"/>
  <c r="D1423" i="1"/>
  <c r="F1423" i="1" s="1"/>
  <c r="E1423" i="1"/>
  <c r="D1424" i="1"/>
  <c r="F1424" i="1" s="1"/>
  <c r="E1424" i="1"/>
  <c r="D1425" i="1"/>
  <c r="F1425" i="1" s="1"/>
  <c r="E1425" i="1"/>
  <c r="D1426" i="1"/>
  <c r="F1426" i="1" s="1"/>
  <c r="E1426" i="1"/>
  <c r="D1427" i="1"/>
  <c r="F1427" i="1" s="1"/>
  <c r="E1427" i="1"/>
  <c r="D1428" i="1"/>
  <c r="F1428" i="1" s="1"/>
  <c r="E1428" i="1"/>
  <c r="D1429" i="1"/>
  <c r="F1429" i="1" s="1"/>
  <c r="E1429" i="1"/>
  <c r="D1430" i="1"/>
  <c r="F1430" i="1" s="1"/>
  <c r="E1430" i="1"/>
  <c r="D1431" i="1"/>
  <c r="F1431" i="1" s="1"/>
  <c r="E1431" i="1"/>
  <c r="D1432" i="1"/>
  <c r="F1432" i="1" s="1"/>
  <c r="E1432" i="1"/>
  <c r="D1433" i="1"/>
  <c r="F1433" i="1" s="1"/>
  <c r="E1433" i="1"/>
  <c r="D1434" i="1"/>
  <c r="F1434" i="1" s="1"/>
  <c r="E1434" i="1"/>
  <c r="D1435" i="1"/>
  <c r="F1435" i="1" s="1"/>
  <c r="E1435" i="1"/>
  <c r="D1436" i="1"/>
  <c r="F1436" i="1" s="1"/>
  <c r="E1436" i="1"/>
  <c r="D1437" i="1"/>
  <c r="F1437" i="1" s="1"/>
  <c r="E1437" i="1"/>
  <c r="D1438" i="1"/>
  <c r="F1438" i="1" s="1"/>
  <c r="E1438" i="1"/>
  <c r="D1439" i="1"/>
  <c r="F1439" i="1" s="1"/>
  <c r="E1439" i="1"/>
  <c r="D1440" i="1"/>
  <c r="F1440" i="1" s="1"/>
  <c r="E1440" i="1"/>
  <c r="D1441" i="1"/>
  <c r="F1441" i="1" s="1"/>
  <c r="E1441" i="1"/>
  <c r="D1442" i="1"/>
  <c r="F1442" i="1" s="1"/>
  <c r="E1442" i="1"/>
  <c r="D1443" i="1"/>
  <c r="F1443" i="1" s="1"/>
  <c r="E1443" i="1"/>
  <c r="D1444" i="1"/>
  <c r="F1444" i="1" s="1"/>
  <c r="E1444" i="1"/>
  <c r="D1445" i="1"/>
  <c r="F1445" i="1" s="1"/>
  <c r="E1445" i="1"/>
  <c r="D1446" i="1"/>
  <c r="F1446" i="1" s="1"/>
  <c r="E1446" i="1"/>
  <c r="D1447" i="1"/>
  <c r="F1447" i="1" s="1"/>
  <c r="E1447" i="1"/>
  <c r="D1448" i="1"/>
  <c r="F1448" i="1" s="1"/>
  <c r="E1448" i="1"/>
  <c r="D1449" i="1"/>
  <c r="F1449" i="1" s="1"/>
  <c r="E1449" i="1"/>
  <c r="D1450" i="1"/>
  <c r="F1450" i="1" s="1"/>
  <c r="E1450" i="1"/>
  <c r="D1451" i="1"/>
  <c r="F1451" i="1" s="1"/>
  <c r="E1451" i="1"/>
  <c r="D1452" i="1"/>
  <c r="F1452" i="1" s="1"/>
  <c r="E1452" i="1"/>
  <c r="D1453" i="1"/>
  <c r="F1453" i="1" s="1"/>
  <c r="E1453" i="1"/>
  <c r="D1454" i="1"/>
  <c r="F1454" i="1" s="1"/>
  <c r="E1454" i="1"/>
  <c r="D1455" i="1"/>
  <c r="F1455" i="1" s="1"/>
  <c r="E1455" i="1"/>
  <c r="D1456" i="1"/>
  <c r="F1456" i="1" s="1"/>
  <c r="E1456" i="1"/>
  <c r="D1457" i="1"/>
  <c r="F1457" i="1" s="1"/>
  <c r="E1457" i="1"/>
  <c r="D1458" i="1"/>
  <c r="F1458" i="1" s="1"/>
  <c r="E1458" i="1"/>
  <c r="D1459" i="1"/>
  <c r="F1459" i="1" s="1"/>
  <c r="E1459" i="1"/>
  <c r="D1460" i="1"/>
  <c r="F1460" i="1" s="1"/>
  <c r="E1460" i="1"/>
  <c r="D1461" i="1"/>
  <c r="F1461" i="1" s="1"/>
  <c r="E1461" i="1"/>
  <c r="D1462" i="1"/>
  <c r="F1462" i="1" s="1"/>
  <c r="E1462" i="1"/>
  <c r="D1463" i="1"/>
  <c r="F1463" i="1" s="1"/>
  <c r="E1463" i="1"/>
  <c r="D1464" i="1"/>
  <c r="F1464" i="1" s="1"/>
  <c r="E1464" i="1"/>
  <c r="D1465" i="1"/>
  <c r="F1465" i="1" s="1"/>
  <c r="E1465" i="1"/>
  <c r="D1466" i="1"/>
  <c r="F1466" i="1" s="1"/>
  <c r="E1466" i="1"/>
  <c r="D1467" i="1"/>
  <c r="F1467" i="1" s="1"/>
  <c r="E1467" i="1"/>
  <c r="D1468" i="1"/>
  <c r="F1468" i="1" s="1"/>
  <c r="E1468" i="1"/>
  <c r="D1469" i="1"/>
  <c r="F1469" i="1" s="1"/>
  <c r="E1469" i="1"/>
  <c r="D1470" i="1"/>
  <c r="F1470" i="1" s="1"/>
  <c r="E1470" i="1"/>
  <c r="D1471" i="1"/>
  <c r="F1471" i="1" s="1"/>
  <c r="E1471" i="1"/>
  <c r="D1472" i="1"/>
  <c r="F1472" i="1" s="1"/>
  <c r="E1472" i="1"/>
  <c r="D1473" i="1"/>
  <c r="F1473" i="1" s="1"/>
  <c r="E1473" i="1"/>
  <c r="D1474" i="1"/>
  <c r="F1474" i="1" s="1"/>
  <c r="E1474" i="1"/>
  <c r="D1475" i="1"/>
  <c r="F1475" i="1" s="1"/>
  <c r="E1475" i="1"/>
  <c r="D1476" i="1"/>
  <c r="F1476" i="1" s="1"/>
  <c r="E1476" i="1"/>
  <c r="D1477" i="1"/>
  <c r="F1477" i="1" s="1"/>
  <c r="E1477" i="1"/>
  <c r="D1478" i="1"/>
  <c r="F1478" i="1" s="1"/>
  <c r="E1478" i="1"/>
  <c r="D1479" i="1"/>
  <c r="F1479" i="1" s="1"/>
  <c r="E1479" i="1"/>
  <c r="D1480" i="1"/>
  <c r="F1480" i="1" s="1"/>
  <c r="E1480" i="1"/>
  <c r="D1481" i="1"/>
  <c r="F1481" i="1" s="1"/>
  <c r="E1481" i="1"/>
  <c r="D1482" i="1"/>
  <c r="F1482" i="1" s="1"/>
  <c r="E1482" i="1"/>
  <c r="D1483" i="1"/>
  <c r="F1483" i="1" s="1"/>
  <c r="E1483" i="1"/>
  <c r="D1484" i="1"/>
  <c r="F1484" i="1" s="1"/>
  <c r="E1484" i="1"/>
  <c r="D1485" i="1"/>
  <c r="F1485" i="1" s="1"/>
  <c r="E1485" i="1"/>
  <c r="D1486" i="1"/>
  <c r="F1486" i="1" s="1"/>
  <c r="E1486" i="1"/>
  <c r="D1487" i="1"/>
  <c r="F1487" i="1" s="1"/>
  <c r="E1487" i="1"/>
  <c r="D1488" i="1"/>
  <c r="F1488" i="1" s="1"/>
  <c r="E1488" i="1"/>
  <c r="D1489" i="1"/>
  <c r="F1489" i="1" s="1"/>
  <c r="E1489" i="1"/>
  <c r="D1490" i="1"/>
  <c r="F1490" i="1" s="1"/>
  <c r="E1490" i="1"/>
  <c r="D1491" i="1"/>
  <c r="F1491" i="1" s="1"/>
  <c r="E1491" i="1"/>
  <c r="D1492" i="1"/>
  <c r="F1492" i="1" s="1"/>
  <c r="E1492" i="1"/>
  <c r="D1493" i="1"/>
  <c r="F1493" i="1" s="1"/>
  <c r="E1493" i="1"/>
  <c r="D1494" i="1"/>
  <c r="F1494" i="1" s="1"/>
  <c r="E1494" i="1"/>
  <c r="D1495" i="1"/>
  <c r="F1495" i="1" s="1"/>
  <c r="E1495" i="1"/>
  <c r="D1496" i="1"/>
  <c r="F1496" i="1" s="1"/>
  <c r="E1496" i="1"/>
  <c r="D1497" i="1"/>
  <c r="F1497" i="1" s="1"/>
  <c r="E1497" i="1"/>
  <c r="D1498" i="1"/>
  <c r="F1498" i="1" s="1"/>
  <c r="E1498" i="1"/>
  <c r="D1499" i="1"/>
  <c r="F1499" i="1" s="1"/>
  <c r="E1499" i="1"/>
  <c r="D1500" i="1"/>
  <c r="F1500" i="1" s="1"/>
  <c r="E1500" i="1"/>
  <c r="D1501" i="1"/>
  <c r="F1501" i="1" s="1"/>
  <c r="E1501" i="1"/>
  <c r="D1502" i="1"/>
  <c r="F1502" i="1" s="1"/>
  <c r="E1502" i="1"/>
  <c r="D1503" i="1"/>
  <c r="F1503" i="1" s="1"/>
  <c r="E1503" i="1"/>
  <c r="D1504" i="1"/>
  <c r="F1504" i="1" s="1"/>
  <c r="E1504" i="1"/>
  <c r="D1505" i="1"/>
  <c r="F1505" i="1" s="1"/>
  <c r="E1505" i="1"/>
  <c r="D1506" i="1"/>
  <c r="F1506" i="1" s="1"/>
  <c r="E1506" i="1"/>
  <c r="D1507" i="1"/>
  <c r="F1507" i="1" s="1"/>
  <c r="E1507" i="1"/>
  <c r="D1508" i="1"/>
  <c r="F1508" i="1" s="1"/>
  <c r="E1508" i="1"/>
  <c r="D1509" i="1"/>
  <c r="F1509" i="1" s="1"/>
  <c r="E1509" i="1"/>
  <c r="D1510" i="1"/>
  <c r="F1510" i="1" s="1"/>
  <c r="E1510" i="1"/>
  <c r="D1511" i="1"/>
  <c r="F1511" i="1" s="1"/>
  <c r="E1511" i="1"/>
  <c r="D1512" i="1"/>
  <c r="F1512" i="1" s="1"/>
  <c r="E1512" i="1"/>
  <c r="D1513" i="1"/>
  <c r="F1513" i="1" s="1"/>
  <c r="E1513" i="1"/>
  <c r="D1514" i="1"/>
  <c r="F1514" i="1" s="1"/>
  <c r="E1514" i="1"/>
  <c r="D1515" i="1"/>
  <c r="F1515" i="1" s="1"/>
  <c r="E1515" i="1"/>
  <c r="D1516" i="1"/>
  <c r="F1516" i="1" s="1"/>
  <c r="E1516" i="1"/>
  <c r="D1517" i="1"/>
  <c r="F1517" i="1" s="1"/>
  <c r="E1517" i="1"/>
  <c r="D1518" i="1"/>
  <c r="F1518" i="1" s="1"/>
  <c r="E1518" i="1"/>
  <c r="D1519" i="1"/>
  <c r="F1519" i="1" s="1"/>
  <c r="E1519" i="1"/>
  <c r="D1520" i="1"/>
  <c r="F1520" i="1" s="1"/>
  <c r="E1520" i="1"/>
  <c r="D1521" i="1"/>
  <c r="F1521" i="1" s="1"/>
  <c r="E1521" i="1"/>
  <c r="D1522" i="1"/>
  <c r="F1522" i="1" s="1"/>
  <c r="E1522" i="1"/>
  <c r="D1523" i="1"/>
  <c r="F1523" i="1" s="1"/>
  <c r="E1523" i="1"/>
  <c r="D1524" i="1"/>
  <c r="F1524" i="1" s="1"/>
  <c r="E1524" i="1"/>
  <c r="D1525" i="1"/>
  <c r="F1525" i="1" s="1"/>
  <c r="E1525" i="1"/>
  <c r="D1526" i="1"/>
  <c r="F1526" i="1" s="1"/>
  <c r="E1526" i="1"/>
  <c r="D1527" i="1"/>
  <c r="F1527" i="1" s="1"/>
  <c r="E1527" i="1"/>
  <c r="D1528" i="1"/>
  <c r="F1528" i="1" s="1"/>
  <c r="E1528" i="1"/>
  <c r="D1529" i="1"/>
  <c r="F1529" i="1" s="1"/>
  <c r="E1529" i="1"/>
  <c r="D1530" i="1"/>
  <c r="F1530" i="1" s="1"/>
  <c r="E1530" i="1"/>
  <c r="D1531" i="1"/>
  <c r="F1531" i="1" s="1"/>
  <c r="E1531" i="1"/>
  <c r="D1532" i="1"/>
  <c r="F1532" i="1" s="1"/>
  <c r="E1532" i="1"/>
  <c r="D1533" i="1"/>
  <c r="F1533" i="1" s="1"/>
  <c r="E1533" i="1"/>
  <c r="D1534" i="1"/>
  <c r="F1534" i="1" s="1"/>
  <c r="E1534" i="1"/>
  <c r="D1535" i="1"/>
  <c r="F1535" i="1" s="1"/>
  <c r="E1535" i="1"/>
  <c r="D1536" i="1"/>
  <c r="F1536" i="1" s="1"/>
  <c r="E1536" i="1"/>
  <c r="D1537" i="1"/>
  <c r="F1537" i="1" s="1"/>
  <c r="E1537" i="1"/>
  <c r="D1538" i="1"/>
  <c r="F1538" i="1" s="1"/>
  <c r="E1538" i="1"/>
  <c r="D1539" i="1"/>
  <c r="F1539" i="1" s="1"/>
  <c r="E1539" i="1"/>
  <c r="D1540" i="1"/>
  <c r="F1540" i="1" s="1"/>
  <c r="E1540" i="1"/>
  <c r="D1541" i="1"/>
  <c r="F1541" i="1" s="1"/>
  <c r="E1541" i="1"/>
  <c r="D1542" i="1"/>
  <c r="F1542" i="1" s="1"/>
  <c r="E1542" i="1"/>
  <c r="D1543" i="1"/>
  <c r="F1543" i="1" s="1"/>
  <c r="E1543" i="1"/>
  <c r="D1544" i="1"/>
  <c r="F1544" i="1" s="1"/>
  <c r="E1544" i="1"/>
  <c r="D1545" i="1"/>
  <c r="F1545" i="1" s="1"/>
  <c r="E1545" i="1"/>
  <c r="D1546" i="1"/>
  <c r="F1546" i="1" s="1"/>
  <c r="E1546" i="1"/>
  <c r="D1547" i="1"/>
  <c r="F1547" i="1" s="1"/>
  <c r="E1547" i="1"/>
  <c r="D1548" i="1"/>
  <c r="F1548" i="1" s="1"/>
  <c r="E1548" i="1"/>
  <c r="D1549" i="1"/>
  <c r="F1549" i="1" s="1"/>
  <c r="E1549" i="1"/>
  <c r="D1550" i="1"/>
  <c r="F1550" i="1" s="1"/>
  <c r="E1550" i="1"/>
  <c r="D1551" i="1"/>
  <c r="F1551" i="1" s="1"/>
  <c r="E1551" i="1"/>
  <c r="D1552" i="1"/>
  <c r="F1552" i="1" s="1"/>
  <c r="E1552" i="1"/>
  <c r="D1553" i="1"/>
  <c r="F1553" i="1" s="1"/>
  <c r="E1553" i="1"/>
  <c r="D1554" i="1"/>
  <c r="F1554" i="1" s="1"/>
  <c r="E1554" i="1"/>
  <c r="D1555" i="1"/>
  <c r="F1555" i="1" s="1"/>
  <c r="E1555" i="1"/>
  <c r="D1556" i="1"/>
  <c r="F1556" i="1" s="1"/>
  <c r="E1556" i="1"/>
  <c r="D1557" i="1"/>
  <c r="F1557" i="1" s="1"/>
  <c r="E1557" i="1"/>
  <c r="D1558" i="1"/>
  <c r="F1558" i="1" s="1"/>
  <c r="E1558" i="1"/>
  <c r="D1559" i="1"/>
  <c r="F1559" i="1" s="1"/>
  <c r="E1559" i="1"/>
  <c r="D1560" i="1"/>
  <c r="F1560" i="1" s="1"/>
  <c r="E1560" i="1"/>
  <c r="D1561" i="1"/>
  <c r="F1561" i="1" s="1"/>
  <c r="E1561" i="1"/>
  <c r="D1562" i="1"/>
  <c r="F1562" i="1" s="1"/>
  <c r="E1562" i="1"/>
  <c r="D1563" i="1"/>
  <c r="F1563" i="1" s="1"/>
  <c r="E1563" i="1"/>
  <c r="D1564" i="1"/>
  <c r="F1564" i="1" s="1"/>
  <c r="E1564" i="1"/>
  <c r="D1565" i="1"/>
  <c r="F1565" i="1" s="1"/>
  <c r="E1565" i="1"/>
  <c r="D1566" i="1"/>
  <c r="F1566" i="1" s="1"/>
  <c r="E1566" i="1"/>
  <c r="D1567" i="1"/>
  <c r="F1567" i="1" s="1"/>
  <c r="E1567" i="1"/>
  <c r="D1568" i="1"/>
  <c r="F1568" i="1" s="1"/>
  <c r="E1568" i="1"/>
  <c r="D1569" i="1"/>
  <c r="F1569" i="1" s="1"/>
  <c r="E1569" i="1"/>
  <c r="D1570" i="1"/>
  <c r="F1570" i="1" s="1"/>
  <c r="E1570" i="1"/>
  <c r="D1571" i="1"/>
  <c r="F1571" i="1" s="1"/>
  <c r="E1571" i="1"/>
  <c r="D1572" i="1"/>
  <c r="F1572" i="1" s="1"/>
  <c r="E1572" i="1"/>
  <c r="D1573" i="1"/>
  <c r="F1573" i="1" s="1"/>
  <c r="E1573" i="1"/>
  <c r="D1574" i="1"/>
  <c r="F1574" i="1" s="1"/>
  <c r="E1574" i="1"/>
  <c r="D1575" i="1"/>
  <c r="F1575" i="1" s="1"/>
  <c r="E1575" i="1"/>
  <c r="D1576" i="1"/>
  <c r="F1576" i="1" s="1"/>
  <c r="E1576" i="1"/>
  <c r="D1577" i="1"/>
  <c r="F1577" i="1" s="1"/>
  <c r="E1577" i="1"/>
  <c r="D1578" i="1"/>
  <c r="F1578" i="1" s="1"/>
  <c r="E1578" i="1"/>
  <c r="D1579" i="1"/>
  <c r="F1579" i="1" s="1"/>
  <c r="E1579" i="1"/>
  <c r="D1580" i="1"/>
  <c r="F1580" i="1" s="1"/>
  <c r="E1580" i="1"/>
  <c r="D1581" i="1"/>
  <c r="F1581" i="1" s="1"/>
  <c r="E1581" i="1"/>
  <c r="D1582" i="1"/>
  <c r="F1582" i="1" s="1"/>
  <c r="E1582" i="1"/>
  <c r="D1583" i="1"/>
  <c r="F1583" i="1" s="1"/>
  <c r="E1583" i="1"/>
  <c r="D1584" i="1"/>
  <c r="F1584" i="1" s="1"/>
  <c r="E1584" i="1"/>
  <c r="D1585" i="1"/>
  <c r="F1585" i="1" s="1"/>
  <c r="E1585" i="1"/>
  <c r="D1586" i="1"/>
  <c r="F1586" i="1" s="1"/>
  <c r="E1586" i="1"/>
  <c r="D1587" i="1"/>
  <c r="F1587" i="1" s="1"/>
  <c r="E1587" i="1"/>
  <c r="D1588" i="1"/>
  <c r="F1588" i="1" s="1"/>
  <c r="E1588" i="1"/>
  <c r="D1589" i="1"/>
  <c r="F1589" i="1" s="1"/>
  <c r="E1589" i="1"/>
  <c r="D1590" i="1"/>
  <c r="F1590" i="1" s="1"/>
  <c r="E1590" i="1"/>
  <c r="D1591" i="1"/>
  <c r="F1591" i="1" s="1"/>
  <c r="E1591" i="1"/>
  <c r="D1592" i="1"/>
  <c r="F1592" i="1" s="1"/>
  <c r="E1592" i="1"/>
  <c r="D1593" i="1"/>
  <c r="F1593" i="1" s="1"/>
  <c r="E1593" i="1"/>
  <c r="D1594" i="1"/>
  <c r="F1594" i="1" s="1"/>
  <c r="E1594" i="1"/>
  <c r="D1595" i="1"/>
  <c r="F1595" i="1" s="1"/>
  <c r="E1595" i="1"/>
  <c r="D1596" i="1"/>
  <c r="F1596" i="1" s="1"/>
  <c r="E1596" i="1"/>
  <c r="D1597" i="1"/>
  <c r="F1597" i="1" s="1"/>
  <c r="E1597" i="1"/>
  <c r="D1598" i="1"/>
  <c r="F1598" i="1" s="1"/>
  <c r="E1598" i="1"/>
  <c r="D1599" i="1"/>
  <c r="F1599" i="1" s="1"/>
  <c r="E1599" i="1"/>
  <c r="D1600" i="1"/>
  <c r="F1600" i="1" s="1"/>
  <c r="E1600" i="1"/>
  <c r="D1601" i="1"/>
  <c r="F1601" i="1" s="1"/>
  <c r="E1601" i="1"/>
  <c r="D1602" i="1"/>
  <c r="F1602" i="1" s="1"/>
  <c r="E1602" i="1"/>
  <c r="D1603" i="1"/>
  <c r="F1603" i="1" s="1"/>
  <c r="E1603" i="1"/>
  <c r="D1604" i="1"/>
  <c r="F1604" i="1" s="1"/>
  <c r="E1604" i="1"/>
  <c r="D1605" i="1"/>
  <c r="F1605" i="1" s="1"/>
  <c r="E1605" i="1"/>
  <c r="D1606" i="1"/>
  <c r="F1606" i="1" s="1"/>
  <c r="E1606" i="1"/>
  <c r="D1607" i="1"/>
  <c r="F1607" i="1" s="1"/>
  <c r="E1607" i="1"/>
  <c r="D1608" i="1"/>
  <c r="F1608" i="1" s="1"/>
  <c r="E1608" i="1"/>
  <c r="D1609" i="1"/>
  <c r="F1609" i="1" s="1"/>
  <c r="E1609" i="1"/>
  <c r="D1610" i="1"/>
  <c r="F1610" i="1" s="1"/>
  <c r="E1610" i="1"/>
  <c r="D1611" i="1"/>
  <c r="F1611" i="1" s="1"/>
  <c r="E1611" i="1"/>
  <c r="D1612" i="1"/>
  <c r="F1612" i="1" s="1"/>
  <c r="E1612" i="1"/>
  <c r="D1613" i="1"/>
  <c r="F1613" i="1" s="1"/>
  <c r="E1613" i="1"/>
  <c r="D1614" i="1"/>
  <c r="F1614" i="1" s="1"/>
  <c r="E1614" i="1"/>
  <c r="D1615" i="1"/>
  <c r="F1615" i="1" s="1"/>
  <c r="E1615" i="1"/>
  <c r="D1616" i="1"/>
  <c r="F1616" i="1" s="1"/>
  <c r="E1616" i="1"/>
  <c r="D1617" i="1"/>
  <c r="F1617" i="1" s="1"/>
  <c r="E1617" i="1"/>
  <c r="D1618" i="1"/>
  <c r="F1618" i="1" s="1"/>
  <c r="E1618" i="1"/>
  <c r="D1619" i="1"/>
  <c r="F1619" i="1" s="1"/>
  <c r="E1619" i="1"/>
  <c r="D1620" i="1"/>
  <c r="F1620" i="1" s="1"/>
  <c r="E1620" i="1"/>
  <c r="D1621" i="1"/>
  <c r="F1621" i="1" s="1"/>
  <c r="E1621" i="1"/>
  <c r="D1622" i="1"/>
  <c r="F1622" i="1" s="1"/>
  <c r="E1622" i="1"/>
  <c r="D1623" i="1"/>
  <c r="F1623" i="1" s="1"/>
  <c r="E1623" i="1"/>
  <c r="D1624" i="1"/>
  <c r="F1624" i="1" s="1"/>
  <c r="E1624" i="1"/>
  <c r="D1625" i="1"/>
  <c r="F1625" i="1" s="1"/>
  <c r="E1625" i="1"/>
  <c r="D1626" i="1"/>
  <c r="F1626" i="1" s="1"/>
  <c r="E1626" i="1"/>
  <c r="D1627" i="1"/>
  <c r="F1627" i="1" s="1"/>
  <c r="E1627" i="1"/>
  <c r="D1628" i="1"/>
  <c r="F1628" i="1" s="1"/>
  <c r="E1628" i="1"/>
  <c r="D1629" i="1"/>
  <c r="F1629" i="1" s="1"/>
  <c r="E1629" i="1"/>
  <c r="D1630" i="1"/>
  <c r="F1630" i="1" s="1"/>
  <c r="E1630" i="1"/>
  <c r="D1631" i="1"/>
  <c r="F1631" i="1" s="1"/>
  <c r="E1631" i="1"/>
  <c r="D1632" i="1"/>
  <c r="F1632" i="1" s="1"/>
  <c r="E1632" i="1"/>
  <c r="D1633" i="1"/>
  <c r="F1633" i="1" s="1"/>
  <c r="E1633" i="1"/>
  <c r="D1634" i="1"/>
  <c r="F1634" i="1" s="1"/>
  <c r="E1634" i="1"/>
  <c r="D1635" i="1"/>
  <c r="F1635" i="1" s="1"/>
  <c r="E1635" i="1"/>
  <c r="D1636" i="1"/>
  <c r="F1636" i="1" s="1"/>
  <c r="E1636" i="1"/>
  <c r="D1637" i="1"/>
  <c r="F1637" i="1" s="1"/>
  <c r="E1637" i="1"/>
  <c r="D1638" i="1"/>
  <c r="F1638" i="1" s="1"/>
  <c r="E1638" i="1"/>
  <c r="D1639" i="1"/>
  <c r="F1639" i="1" s="1"/>
  <c r="E1639" i="1"/>
  <c r="D1640" i="1"/>
  <c r="F1640" i="1" s="1"/>
  <c r="E1640" i="1"/>
  <c r="D1641" i="1"/>
  <c r="F1641" i="1" s="1"/>
  <c r="E1641" i="1"/>
  <c r="D1642" i="1"/>
  <c r="F1642" i="1" s="1"/>
  <c r="E1642" i="1"/>
  <c r="D1643" i="1"/>
  <c r="F1643" i="1" s="1"/>
  <c r="E1643" i="1"/>
  <c r="D1644" i="1"/>
  <c r="F1644" i="1" s="1"/>
  <c r="E1644" i="1"/>
  <c r="D1645" i="1"/>
  <c r="F1645" i="1" s="1"/>
  <c r="E1645" i="1"/>
  <c r="D1646" i="1"/>
  <c r="F1646" i="1" s="1"/>
  <c r="E1646" i="1"/>
  <c r="D1647" i="1"/>
  <c r="F1647" i="1" s="1"/>
  <c r="E1647" i="1"/>
  <c r="D1648" i="1"/>
  <c r="F1648" i="1" s="1"/>
  <c r="E1648" i="1"/>
  <c r="D1649" i="1"/>
  <c r="F1649" i="1" s="1"/>
  <c r="E1649" i="1"/>
  <c r="D1650" i="1"/>
  <c r="F1650" i="1" s="1"/>
  <c r="E1650" i="1"/>
  <c r="D1651" i="1"/>
  <c r="F1651" i="1" s="1"/>
  <c r="E1651" i="1"/>
  <c r="D1652" i="1"/>
  <c r="F1652" i="1" s="1"/>
  <c r="E1652" i="1"/>
  <c r="D1653" i="1"/>
  <c r="F1653" i="1" s="1"/>
  <c r="E1653" i="1"/>
  <c r="D1654" i="1"/>
  <c r="F1654" i="1" s="1"/>
  <c r="E1654" i="1"/>
  <c r="D1655" i="1"/>
  <c r="F1655" i="1" s="1"/>
  <c r="E1655" i="1"/>
  <c r="D1656" i="1"/>
  <c r="F1656" i="1" s="1"/>
  <c r="E1656" i="1"/>
  <c r="D1657" i="1"/>
  <c r="F1657" i="1" s="1"/>
  <c r="E1657" i="1"/>
  <c r="D1658" i="1"/>
  <c r="F1658" i="1" s="1"/>
  <c r="E1658" i="1"/>
  <c r="D1659" i="1"/>
  <c r="F1659" i="1" s="1"/>
  <c r="E1659" i="1"/>
  <c r="D1660" i="1"/>
  <c r="F1660" i="1" s="1"/>
  <c r="E1660" i="1"/>
  <c r="D1661" i="1"/>
  <c r="F1661" i="1" s="1"/>
  <c r="E1661" i="1"/>
  <c r="D1662" i="1"/>
  <c r="F1662" i="1" s="1"/>
  <c r="E1662" i="1"/>
  <c r="D1663" i="1"/>
  <c r="F1663" i="1" s="1"/>
  <c r="E1663" i="1"/>
  <c r="D1664" i="1"/>
  <c r="F1664" i="1" s="1"/>
  <c r="E1664" i="1"/>
  <c r="D1665" i="1"/>
  <c r="F1665" i="1" s="1"/>
  <c r="E1665" i="1"/>
  <c r="D1666" i="1"/>
  <c r="F1666" i="1" s="1"/>
  <c r="E1666" i="1"/>
  <c r="D1667" i="1"/>
  <c r="F1667" i="1" s="1"/>
  <c r="E1667" i="1"/>
  <c r="D1668" i="1"/>
  <c r="F1668" i="1" s="1"/>
  <c r="E1668" i="1"/>
  <c r="D1669" i="1"/>
  <c r="F1669" i="1" s="1"/>
  <c r="E1669" i="1"/>
  <c r="D1670" i="1"/>
  <c r="F1670" i="1" s="1"/>
  <c r="E1670" i="1"/>
  <c r="D1671" i="1"/>
  <c r="F1671" i="1" s="1"/>
  <c r="E1671" i="1"/>
  <c r="D1672" i="1"/>
  <c r="F1672" i="1" s="1"/>
  <c r="E1672" i="1"/>
  <c r="D1673" i="1"/>
  <c r="F1673" i="1" s="1"/>
  <c r="E1673" i="1"/>
  <c r="D1674" i="1"/>
  <c r="F1674" i="1" s="1"/>
  <c r="E1674" i="1"/>
  <c r="D1675" i="1"/>
  <c r="F1675" i="1" s="1"/>
  <c r="E1675" i="1"/>
  <c r="D1676" i="1"/>
  <c r="F1676" i="1" s="1"/>
  <c r="E1676" i="1"/>
  <c r="D1677" i="1"/>
  <c r="F1677" i="1" s="1"/>
  <c r="E1677" i="1"/>
  <c r="D1678" i="1"/>
  <c r="F1678" i="1" s="1"/>
  <c r="E1678" i="1"/>
  <c r="D1679" i="1"/>
  <c r="F1679" i="1" s="1"/>
  <c r="E1679" i="1"/>
  <c r="D1680" i="1"/>
  <c r="F1680" i="1" s="1"/>
  <c r="E1680" i="1"/>
  <c r="D1681" i="1"/>
  <c r="F1681" i="1" s="1"/>
  <c r="E1681" i="1"/>
  <c r="D1682" i="1"/>
  <c r="F1682" i="1" s="1"/>
  <c r="E1682" i="1"/>
  <c r="D1683" i="1"/>
  <c r="F1683" i="1" s="1"/>
  <c r="E1683" i="1"/>
  <c r="D1684" i="1"/>
  <c r="F1684" i="1" s="1"/>
  <c r="E1684" i="1"/>
  <c r="D1685" i="1"/>
  <c r="F1685" i="1" s="1"/>
  <c r="E1685" i="1"/>
  <c r="D1686" i="1"/>
  <c r="F1686" i="1" s="1"/>
  <c r="E1686" i="1"/>
  <c r="D1687" i="1"/>
  <c r="F1687" i="1" s="1"/>
  <c r="E1687" i="1"/>
  <c r="D1688" i="1"/>
  <c r="F1688" i="1" s="1"/>
  <c r="E1688" i="1"/>
  <c r="D1689" i="1"/>
  <c r="F1689" i="1" s="1"/>
  <c r="E1689" i="1"/>
  <c r="D1690" i="1"/>
  <c r="F1690" i="1" s="1"/>
  <c r="E1690" i="1"/>
  <c r="D1691" i="1"/>
  <c r="F1691" i="1" s="1"/>
  <c r="E1691" i="1"/>
  <c r="D1692" i="1"/>
  <c r="F1692" i="1" s="1"/>
  <c r="E1692" i="1"/>
  <c r="D1693" i="1"/>
  <c r="F1693" i="1" s="1"/>
  <c r="E1693" i="1"/>
  <c r="D1694" i="1"/>
  <c r="F1694" i="1" s="1"/>
  <c r="E1694" i="1"/>
  <c r="D1695" i="1"/>
  <c r="F1695" i="1" s="1"/>
  <c r="E1695" i="1"/>
  <c r="D1696" i="1"/>
  <c r="F1696" i="1" s="1"/>
  <c r="E1696" i="1"/>
  <c r="D1697" i="1"/>
  <c r="F1697" i="1" s="1"/>
  <c r="E1697" i="1"/>
  <c r="D1698" i="1"/>
  <c r="F1698" i="1" s="1"/>
  <c r="E1698" i="1"/>
  <c r="D1699" i="1"/>
  <c r="F1699" i="1" s="1"/>
  <c r="E1699" i="1"/>
  <c r="D1700" i="1"/>
  <c r="F1700" i="1" s="1"/>
  <c r="E1700" i="1"/>
  <c r="D1701" i="1"/>
  <c r="F1701" i="1" s="1"/>
  <c r="E1701" i="1"/>
  <c r="D1702" i="1"/>
  <c r="F1702" i="1" s="1"/>
  <c r="E1702" i="1"/>
  <c r="D1703" i="1"/>
  <c r="F1703" i="1" s="1"/>
  <c r="E1703" i="1"/>
  <c r="D1704" i="1"/>
  <c r="F1704" i="1" s="1"/>
  <c r="E1704" i="1"/>
  <c r="D1705" i="1"/>
  <c r="F1705" i="1" s="1"/>
  <c r="E1705" i="1"/>
  <c r="D1706" i="1"/>
  <c r="F1706" i="1" s="1"/>
  <c r="E1706" i="1"/>
  <c r="D1707" i="1"/>
  <c r="F1707" i="1" s="1"/>
  <c r="E1707" i="1"/>
  <c r="D1708" i="1"/>
  <c r="F1708" i="1" s="1"/>
  <c r="E1708" i="1"/>
  <c r="D1709" i="1"/>
  <c r="F1709" i="1" s="1"/>
  <c r="E1709" i="1"/>
  <c r="D1710" i="1"/>
  <c r="F1710" i="1" s="1"/>
  <c r="E1710" i="1"/>
  <c r="D1711" i="1"/>
  <c r="F1711" i="1" s="1"/>
  <c r="E1711" i="1"/>
  <c r="D1712" i="1"/>
  <c r="F1712" i="1" s="1"/>
  <c r="E1712" i="1"/>
  <c r="D1713" i="1"/>
  <c r="F1713" i="1" s="1"/>
  <c r="E1713" i="1"/>
  <c r="D1714" i="1"/>
  <c r="F1714" i="1" s="1"/>
  <c r="E1714" i="1"/>
  <c r="D1715" i="1"/>
  <c r="F1715" i="1" s="1"/>
  <c r="E1715" i="1"/>
  <c r="D1716" i="1"/>
  <c r="F1716" i="1" s="1"/>
  <c r="E1716" i="1"/>
  <c r="D1717" i="1"/>
  <c r="F1717" i="1" s="1"/>
  <c r="E1717" i="1"/>
  <c r="D1718" i="1"/>
  <c r="F1718" i="1" s="1"/>
  <c r="E1718" i="1"/>
  <c r="D1719" i="1"/>
  <c r="F1719" i="1" s="1"/>
  <c r="E1719" i="1"/>
  <c r="D1720" i="1"/>
  <c r="F1720" i="1" s="1"/>
  <c r="E1720" i="1"/>
  <c r="D1721" i="1"/>
  <c r="F1721" i="1" s="1"/>
  <c r="E1721" i="1"/>
  <c r="D1722" i="1"/>
  <c r="F1722" i="1" s="1"/>
  <c r="E1722" i="1"/>
  <c r="D1723" i="1"/>
  <c r="F1723" i="1" s="1"/>
  <c r="E1723" i="1"/>
  <c r="D1724" i="1"/>
  <c r="F1724" i="1" s="1"/>
  <c r="E1724" i="1"/>
  <c r="D1725" i="1"/>
  <c r="F1725" i="1" s="1"/>
  <c r="E1725" i="1"/>
  <c r="D1726" i="1"/>
  <c r="F1726" i="1" s="1"/>
  <c r="E1726" i="1"/>
  <c r="D1727" i="1"/>
  <c r="F1727" i="1" s="1"/>
  <c r="E1727" i="1"/>
  <c r="D1728" i="1"/>
  <c r="F1728" i="1" s="1"/>
  <c r="E1728" i="1"/>
  <c r="D1729" i="1"/>
  <c r="F1729" i="1" s="1"/>
  <c r="E1729" i="1"/>
  <c r="D1730" i="1"/>
  <c r="F1730" i="1" s="1"/>
  <c r="E1730" i="1"/>
  <c r="D1731" i="1"/>
  <c r="F1731" i="1" s="1"/>
  <c r="E1731" i="1"/>
  <c r="D1732" i="1"/>
  <c r="F1732" i="1" s="1"/>
  <c r="E1732" i="1"/>
  <c r="D1733" i="1"/>
  <c r="F1733" i="1" s="1"/>
  <c r="E1733" i="1"/>
  <c r="D1734" i="1"/>
  <c r="F1734" i="1" s="1"/>
  <c r="E1734" i="1"/>
  <c r="D1735" i="1"/>
  <c r="F1735" i="1" s="1"/>
  <c r="E1735" i="1"/>
  <c r="D1736" i="1"/>
  <c r="F1736" i="1" s="1"/>
  <c r="E1736" i="1"/>
  <c r="D1737" i="1"/>
  <c r="F1737" i="1" s="1"/>
  <c r="E1737" i="1"/>
  <c r="D1738" i="1"/>
  <c r="F1738" i="1" s="1"/>
  <c r="E1738" i="1"/>
  <c r="D1739" i="1"/>
  <c r="F1739" i="1" s="1"/>
  <c r="E1739" i="1"/>
  <c r="D1740" i="1"/>
  <c r="F1740" i="1" s="1"/>
  <c r="E1740" i="1"/>
  <c r="D1741" i="1"/>
  <c r="F1741" i="1" s="1"/>
  <c r="E1741" i="1"/>
  <c r="D1742" i="1"/>
  <c r="F1742" i="1" s="1"/>
  <c r="E1742" i="1"/>
  <c r="D1743" i="1"/>
  <c r="F1743" i="1" s="1"/>
  <c r="E1743" i="1"/>
  <c r="D1744" i="1"/>
  <c r="F1744" i="1" s="1"/>
  <c r="E1744" i="1"/>
  <c r="D1745" i="1"/>
  <c r="F1745" i="1" s="1"/>
  <c r="E1745" i="1"/>
  <c r="D1746" i="1"/>
  <c r="F1746" i="1" s="1"/>
  <c r="E1746" i="1"/>
  <c r="D1747" i="1"/>
  <c r="F1747" i="1" s="1"/>
  <c r="E1747" i="1"/>
  <c r="D1748" i="1"/>
  <c r="F1748" i="1" s="1"/>
  <c r="E1748" i="1"/>
  <c r="D1749" i="1"/>
  <c r="F1749" i="1" s="1"/>
  <c r="E1749" i="1"/>
  <c r="D1750" i="1"/>
  <c r="F1750" i="1" s="1"/>
  <c r="E1750" i="1"/>
  <c r="D1751" i="1"/>
  <c r="F1751" i="1" s="1"/>
  <c r="E1751" i="1"/>
  <c r="D1752" i="1"/>
  <c r="F1752" i="1" s="1"/>
  <c r="E1752" i="1"/>
  <c r="D1753" i="1"/>
  <c r="F1753" i="1" s="1"/>
  <c r="E1753" i="1"/>
  <c r="D1754" i="1"/>
  <c r="F1754" i="1" s="1"/>
  <c r="E1754" i="1"/>
  <c r="D1755" i="1"/>
  <c r="F1755" i="1" s="1"/>
  <c r="E1755" i="1"/>
  <c r="D1756" i="1"/>
  <c r="F1756" i="1" s="1"/>
  <c r="E1756" i="1"/>
  <c r="D1757" i="1"/>
  <c r="F1757" i="1" s="1"/>
  <c r="E1757" i="1"/>
  <c r="D1758" i="1"/>
  <c r="F1758" i="1" s="1"/>
  <c r="E1758" i="1"/>
  <c r="D1759" i="1"/>
  <c r="F1759" i="1" s="1"/>
  <c r="E1759" i="1"/>
  <c r="D1760" i="1"/>
  <c r="F1760" i="1" s="1"/>
  <c r="E1760" i="1"/>
  <c r="D1761" i="1"/>
  <c r="F1761" i="1" s="1"/>
  <c r="E1761" i="1"/>
  <c r="D1762" i="1"/>
  <c r="F1762" i="1" s="1"/>
  <c r="E1762" i="1"/>
  <c r="D1763" i="1"/>
  <c r="F1763" i="1" s="1"/>
  <c r="E1763" i="1"/>
  <c r="D1764" i="1"/>
  <c r="F1764" i="1" s="1"/>
  <c r="E1764" i="1"/>
  <c r="D1765" i="1"/>
  <c r="F1765" i="1" s="1"/>
  <c r="E1765" i="1"/>
  <c r="D1766" i="1"/>
  <c r="F1766" i="1" s="1"/>
  <c r="E1766" i="1"/>
  <c r="D1767" i="1"/>
  <c r="F1767" i="1" s="1"/>
  <c r="E1767" i="1"/>
  <c r="D1768" i="1"/>
  <c r="F1768" i="1" s="1"/>
  <c r="E1768" i="1"/>
  <c r="D1769" i="1"/>
  <c r="F1769" i="1" s="1"/>
  <c r="E1769" i="1"/>
  <c r="D1770" i="1"/>
  <c r="F1770" i="1" s="1"/>
  <c r="E1770" i="1"/>
  <c r="D1771" i="1"/>
  <c r="F1771" i="1" s="1"/>
  <c r="E1771" i="1"/>
  <c r="D1772" i="1"/>
  <c r="F1772" i="1" s="1"/>
  <c r="E1772" i="1"/>
  <c r="D1773" i="1"/>
  <c r="F1773" i="1" s="1"/>
  <c r="E1773" i="1"/>
  <c r="D1774" i="1"/>
  <c r="F1774" i="1" s="1"/>
  <c r="E1774" i="1"/>
  <c r="D1775" i="1"/>
  <c r="F1775" i="1" s="1"/>
  <c r="E1775" i="1"/>
  <c r="D1776" i="1"/>
  <c r="F1776" i="1" s="1"/>
  <c r="E1776" i="1"/>
  <c r="D1777" i="1"/>
  <c r="F1777" i="1" s="1"/>
  <c r="E1777" i="1"/>
  <c r="D1778" i="1"/>
  <c r="F1778" i="1" s="1"/>
  <c r="E1778" i="1"/>
  <c r="D1779" i="1"/>
  <c r="F1779" i="1" s="1"/>
  <c r="E1779" i="1"/>
  <c r="D1780" i="1"/>
  <c r="F1780" i="1" s="1"/>
  <c r="E1780" i="1"/>
  <c r="D1781" i="1"/>
  <c r="F1781" i="1" s="1"/>
  <c r="E1781" i="1"/>
  <c r="D1782" i="1"/>
  <c r="F1782" i="1" s="1"/>
  <c r="E1782" i="1"/>
  <c r="D1783" i="1"/>
  <c r="F1783" i="1" s="1"/>
  <c r="E1783" i="1"/>
  <c r="D1784" i="1"/>
  <c r="F1784" i="1" s="1"/>
  <c r="E1784" i="1"/>
  <c r="D1785" i="1"/>
  <c r="F1785" i="1" s="1"/>
  <c r="E1785" i="1"/>
  <c r="D1786" i="1"/>
  <c r="F1786" i="1" s="1"/>
  <c r="E1786" i="1"/>
  <c r="D1787" i="1"/>
  <c r="F1787" i="1" s="1"/>
  <c r="E1787" i="1"/>
  <c r="D1788" i="1"/>
  <c r="F1788" i="1" s="1"/>
  <c r="E1788" i="1"/>
  <c r="D1789" i="1"/>
  <c r="F1789" i="1" s="1"/>
  <c r="E1789" i="1"/>
  <c r="D1790" i="1"/>
  <c r="F1790" i="1" s="1"/>
  <c r="E1790" i="1"/>
  <c r="D1791" i="1"/>
  <c r="F1791" i="1" s="1"/>
  <c r="E1791" i="1"/>
  <c r="D1792" i="1"/>
  <c r="F1792" i="1" s="1"/>
  <c r="E1792" i="1"/>
  <c r="D1793" i="1"/>
  <c r="F1793" i="1" s="1"/>
  <c r="E1793" i="1"/>
  <c r="D1794" i="1"/>
  <c r="F1794" i="1" s="1"/>
  <c r="E1794" i="1"/>
  <c r="D1795" i="1"/>
  <c r="F1795" i="1" s="1"/>
  <c r="E1795" i="1"/>
  <c r="D1796" i="1"/>
  <c r="F1796" i="1" s="1"/>
  <c r="E1796" i="1"/>
  <c r="D1797" i="1"/>
  <c r="F1797" i="1" s="1"/>
  <c r="E1797" i="1"/>
  <c r="D1798" i="1"/>
  <c r="F1798" i="1" s="1"/>
  <c r="E1798" i="1"/>
  <c r="D1799" i="1"/>
  <c r="F1799" i="1" s="1"/>
  <c r="E1799" i="1"/>
  <c r="D1800" i="1"/>
  <c r="F1800" i="1" s="1"/>
  <c r="E1800" i="1"/>
  <c r="D1801" i="1"/>
  <c r="F1801" i="1" s="1"/>
  <c r="E1801" i="1"/>
  <c r="D1802" i="1"/>
  <c r="F1802" i="1" s="1"/>
  <c r="E1802" i="1"/>
  <c r="D1803" i="1"/>
  <c r="F1803" i="1" s="1"/>
  <c r="E1803" i="1"/>
  <c r="D1804" i="1"/>
  <c r="F1804" i="1" s="1"/>
  <c r="E1804" i="1"/>
  <c r="D1805" i="1"/>
  <c r="F1805" i="1" s="1"/>
  <c r="E1805" i="1"/>
  <c r="D1806" i="1"/>
  <c r="F1806" i="1" s="1"/>
  <c r="E1806" i="1"/>
  <c r="D1807" i="1"/>
  <c r="F1807" i="1" s="1"/>
  <c r="E1807" i="1"/>
  <c r="D1808" i="1"/>
  <c r="F1808" i="1" s="1"/>
  <c r="E1808" i="1"/>
  <c r="D1809" i="1"/>
  <c r="F1809" i="1" s="1"/>
  <c r="E1809" i="1"/>
  <c r="D1810" i="1"/>
  <c r="F1810" i="1" s="1"/>
  <c r="E1810" i="1"/>
  <c r="D1811" i="1"/>
  <c r="F1811" i="1" s="1"/>
  <c r="E1811" i="1"/>
  <c r="D1812" i="1"/>
  <c r="F1812" i="1" s="1"/>
  <c r="E1812" i="1"/>
  <c r="D1813" i="1"/>
  <c r="F1813" i="1" s="1"/>
  <c r="E1813" i="1"/>
  <c r="D1814" i="1"/>
  <c r="F1814" i="1" s="1"/>
  <c r="E1814" i="1"/>
  <c r="D1815" i="1"/>
  <c r="F1815" i="1" s="1"/>
  <c r="E1815" i="1"/>
  <c r="D1816" i="1"/>
  <c r="F1816" i="1" s="1"/>
  <c r="E1816" i="1"/>
  <c r="D1817" i="1"/>
  <c r="F1817" i="1" s="1"/>
  <c r="E1817" i="1"/>
  <c r="D1818" i="1"/>
  <c r="F1818" i="1" s="1"/>
  <c r="E1818" i="1"/>
  <c r="D1819" i="1"/>
  <c r="F1819" i="1" s="1"/>
  <c r="E1819" i="1"/>
  <c r="D1820" i="1"/>
  <c r="F1820" i="1" s="1"/>
  <c r="E1820" i="1"/>
  <c r="D1821" i="1"/>
  <c r="F1821" i="1" s="1"/>
  <c r="E1821" i="1"/>
  <c r="D1822" i="1"/>
  <c r="F1822" i="1" s="1"/>
  <c r="E1822" i="1"/>
  <c r="D1823" i="1"/>
  <c r="F1823" i="1" s="1"/>
  <c r="E1823" i="1"/>
  <c r="D1824" i="1"/>
  <c r="F1824" i="1" s="1"/>
  <c r="E1824" i="1"/>
  <c r="D1825" i="1"/>
  <c r="F1825" i="1" s="1"/>
  <c r="E1825" i="1"/>
  <c r="D1826" i="1"/>
  <c r="F1826" i="1" s="1"/>
  <c r="E1826" i="1"/>
  <c r="D1827" i="1"/>
  <c r="F1827" i="1" s="1"/>
  <c r="E1827" i="1"/>
  <c r="D1828" i="1"/>
  <c r="F1828" i="1" s="1"/>
  <c r="E1828" i="1"/>
  <c r="D1829" i="1"/>
  <c r="F1829" i="1" s="1"/>
  <c r="E1829" i="1"/>
  <c r="D1830" i="1"/>
  <c r="F1830" i="1" s="1"/>
  <c r="E1830" i="1"/>
  <c r="D1831" i="1"/>
  <c r="F1831" i="1" s="1"/>
  <c r="E1831" i="1"/>
  <c r="D1832" i="1"/>
  <c r="F1832" i="1" s="1"/>
  <c r="E1832" i="1"/>
  <c r="D1833" i="1"/>
  <c r="F1833" i="1" s="1"/>
  <c r="E1833" i="1"/>
  <c r="D1834" i="1"/>
  <c r="F1834" i="1" s="1"/>
  <c r="E1834" i="1"/>
  <c r="D1835" i="1"/>
  <c r="F1835" i="1" s="1"/>
  <c r="E1835" i="1"/>
  <c r="D1836" i="1"/>
  <c r="F1836" i="1" s="1"/>
  <c r="E1836" i="1"/>
  <c r="D1837" i="1"/>
  <c r="F1837" i="1" s="1"/>
  <c r="E1837" i="1"/>
  <c r="D1838" i="1"/>
  <c r="F1838" i="1" s="1"/>
  <c r="E1838" i="1"/>
  <c r="D1839" i="1"/>
  <c r="F1839" i="1" s="1"/>
  <c r="E1839" i="1"/>
  <c r="D1840" i="1"/>
  <c r="F1840" i="1" s="1"/>
  <c r="E1840" i="1"/>
  <c r="D1841" i="1"/>
  <c r="F1841" i="1" s="1"/>
  <c r="E1841" i="1"/>
  <c r="D1842" i="1"/>
  <c r="F1842" i="1" s="1"/>
  <c r="E1842" i="1"/>
  <c r="D1843" i="1"/>
  <c r="F1843" i="1" s="1"/>
  <c r="E1843" i="1"/>
  <c r="D1844" i="1"/>
  <c r="F1844" i="1" s="1"/>
  <c r="E1844" i="1"/>
  <c r="D1845" i="1"/>
  <c r="F1845" i="1" s="1"/>
  <c r="E1845" i="1"/>
  <c r="D1846" i="1"/>
  <c r="F1846" i="1" s="1"/>
  <c r="E1846" i="1"/>
  <c r="D1847" i="1"/>
  <c r="F1847" i="1" s="1"/>
  <c r="E1847" i="1"/>
  <c r="D1848" i="1"/>
  <c r="F1848" i="1" s="1"/>
  <c r="E1848" i="1"/>
  <c r="D1849" i="1"/>
  <c r="F1849" i="1" s="1"/>
  <c r="E1849" i="1"/>
  <c r="D1850" i="1"/>
  <c r="F1850" i="1" s="1"/>
  <c r="E1850" i="1"/>
  <c r="D1851" i="1"/>
  <c r="F1851" i="1" s="1"/>
  <c r="E1851" i="1"/>
  <c r="D1852" i="1"/>
  <c r="F1852" i="1" s="1"/>
  <c r="E1852" i="1"/>
  <c r="D1853" i="1"/>
  <c r="F1853" i="1" s="1"/>
  <c r="E1853" i="1"/>
  <c r="D1854" i="1"/>
  <c r="F1854" i="1" s="1"/>
  <c r="E1854" i="1"/>
  <c r="D1855" i="1"/>
  <c r="F1855" i="1" s="1"/>
  <c r="E1855" i="1"/>
  <c r="D1856" i="1"/>
  <c r="F1856" i="1" s="1"/>
  <c r="E1856" i="1"/>
  <c r="D1857" i="1"/>
  <c r="F1857" i="1" s="1"/>
  <c r="E1857" i="1"/>
  <c r="D1858" i="1"/>
  <c r="F1858" i="1" s="1"/>
  <c r="E1858" i="1"/>
  <c r="D1859" i="1"/>
  <c r="F1859" i="1" s="1"/>
  <c r="E1859" i="1"/>
  <c r="D1860" i="1"/>
  <c r="F1860" i="1" s="1"/>
  <c r="E1860" i="1"/>
  <c r="D1861" i="1"/>
  <c r="F1861" i="1" s="1"/>
  <c r="E1861" i="1"/>
  <c r="D1862" i="1"/>
  <c r="F1862" i="1" s="1"/>
  <c r="E1862" i="1"/>
  <c r="D1863" i="1"/>
  <c r="F1863" i="1" s="1"/>
  <c r="E1863" i="1"/>
  <c r="D1864" i="1"/>
  <c r="F1864" i="1" s="1"/>
  <c r="E1864" i="1"/>
  <c r="D1865" i="1"/>
  <c r="F1865" i="1" s="1"/>
  <c r="E1865" i="1"/>
  <c r="D1866" i="1"/>
  <c r="F1866" i="1" s="1"/>
  <c r="E1866" i="1"/>
  <c r="D1867" i="1"/>
  <c r="F1867" i="1" s="1"/>
  <c r="E1867" i="1"/>
  <c r="D1868" i="1"/>
  <c r="F1868" i="1" s="1"/>
  <c r="E1868" i="1"/>
  <c r="D1869" i="1"/>
  <c r="F1869" i="1" s="1"/>
  <c r="E1869" i="1"/>
  <c r="D1870" i="1"/>
  <c r="F1870" i="1" s="1"/>
  <c r="E1870" i="1"/>
  <c r="D1871" i="1"/>
  <c r="F1871" i="1" s="1"/>
  <c r="E1871" i="1"/>
  <c r="D1872" i="1"/>
  <c r="F1872" i="1" s="1"/>
  <c r="E1872" i="1"/>
  <c r="D1873" i="1"/>
  <c r="F1873" i="1" s="1"/>
  <c r="E1873" i="1"/>
  <c r="D1874" i="1"/>
  <c r="F1874" i="1" s="1"/>
  <c r="E1874" i="1"/>
  <c r="D1875" i="1"/>
  <c r="F1875" i="1" s="1"/>
  <c r="E1875" i="1"/>
  <c r="D1876" i="1"/>
  <c r="F1876" i="1" s="1"/>
  <c r="E1876" i="1"/>
  <c r="D1877" i="1"/>
  <c r="F1877" i="1" s="1"/>
  <c r="E1877" i="1"/>
  <c r="D1878" i="1"/>
  <c r="F1878" i="1" s="1"/>
  <c r="E1878" i="1"/>
  <c r="D1879" i="1"/>
  <c r="F1879" i="1" s="1"/>
  <c r="E1879" i="1"/>
  <c r="D1880" i="1"/>
  <c r="F1880" i="1" s="1"/>
  <c r="E1880" i="1"/>
  <c r="D1881" i="1"/>
  <c r="F1881" i="1" s="1"/>
  <c r="E1881" i="1"/>
  <c r="D1882" i="1"/>
  <c r="F1882" i="1" s="1"/>
  <c r="E1882" i="1"/>
  <c r="D1883" i="1"/>
  <c r="F1883" i="1" s="1"/>
  <c r="E1883" i="1"/>
  <c r="D1884" i="1"/>
  <c r="F1884" i="1" s="1"/>
  <c r="E1884" i="1"/>
  <c r="D1885" i="1"/>
  <c r="F1885" i="1" s="1"/>
  <c r="E1885" i="1"/>
  <c r="D1886" i="1"/>
  <c r="F1886" i="1" s="1"/>
  <c r="E1886" i="1"/>
  <c r="D1887" i="1"/>
  <c r="F1887" i="1" s="1"/>
  <c r="E1887" i="1"/>
  <c r="D1888" i="1"/>
  <c r="F1888" i="1" s="1"/>
  <c r="E1888" i="1"/>
  <c r="D1889" i="1"/>
  <c r="F1889" i="1" s="1"/>
  <c r="E1889" i="1"/>
  <c r="D1890" i="1"/>
  <c r="F1890" i="1" s="1"/>
  <c r="E1890" i="1"/>
  <c r="D1891" i="1"/>
  <c r="F1891" i="1" s="1"/>
  <c r="E1891" i="1"/>
  <c r="D1892" i="1"/>
  <c r="F1892" i="1" s="1"/>
  <c r="E1892" i="1"/>
  <c r="D1893" i="1"/>
  <c r="F1893" i="1" s="1"/>
  <c r="E1893" i="1"/>
  <c r="D1894" i="1"/>
  <c r="F1894" i="1" s="1"/>
  <c r="E1894" i="1"/>
  <c r="D1895" i="1"/>
  <c r="F1895" i="1" s="1"/>
  <c r="E1895" i="1"/>
  <c r="D1896" i="1"/>
  <c r="F1896" i="1" s="1"/>
  <c r="E1896" i="1"/>
  <c r="D1897" i="1"/>
  <c r="F1897" i="1" s="1"/>
  <c r="E1897" i="1"/>
  <c r="D1898" i="1"/>
  <c r="F1898" i="1" s="1"/>
  <c r="E1898" i="1"/>
  <c r="D1899" i="1"/>
  <c r="F1899" i="1" s="1"/>
  <c r="E1899" i="1"/>
  <c r="D1900" i="1"/>
  <c r="F1900" i="1" s="1"/>
  <c r="E1900" i="1"/>
  <c r="D1901" i="1"/>
  <c r="F1901" i="1" s="1"/>
  <c r="E1901" i="1"/>
  <c r="D1902" i="1"/>
  <c r="F1902" i="1" s="1"/>
  <c r="E1902" i="1"/>
  <c r="D1903" i="1"/>
  <c r="F1903" i="1" s="1"/>
  <c r="E1903" i="1"/>
  <c r="D1904" i="1"/>
  <c r="F1904" i="1" s="1"/>
  <c r="E1904" i="1"/>
  <c r="D1905" i="1"/>
  <c r="F1905" i="1" s="1"/>
  <c r="E1905" i="1"/>
  <c r="D1906" i="1"/>
  <c r="F1906" i="1" s="1"/>
  <c r="E1906" i="1"/>
  <c r="D1907" i="1"/>
  <c r="F1907" i="1" s="1"/>
  <c r="E1907" i="1"/>
  <c r="D1908" i="1"/>
  <c r="F1908" i="1" s="1"/>
  <c r="E1908" i="1"/>
  <c r="D1909" i="1"/>
  <c r="F1909" i="1" s="1"/>
  <c r="E1909" i="1"/>
  <c r="D1910" i="1"/>
  <c r="F1910" i="1" s="1"/>
  <c r="E1910" i="1"/>
  <c r="D1911" i="1"/>
  <c r="F1911" i="1" s="1"/>
  <c r="E1911" i="1"/>
  <c r="D1912" i="1"/>
  <c r="F1912" i="1" s="1"/>
  <c r="E1912" i="1"/>
  <c r="D1913" i="1"/>
  <c r="F1913" i="1" s="1"/>
  <c r="E1913" i="1"/>
  <c r="D1914" i="1"/>
  <c r="F1914" i="1" s="1"/>
  <c r="E1914" i="1"/>
  <c r="D1915" i="1"/>
  <c r="F1915" i="1" s="1"/>
  <c r="E1915" i="1"/>
  <c r="D1916" i="1"/>
  <c r="F1916" i="1" s="1"/>
  <c r="E1916" i="1"/>
  <c r="D1917" i="1"/>
  <c r="F1917" i="1" s="1"/>
  <c r="E1917" i="1"/>
  <c r="D1918" i="1"/>
  <c r="F1918" i="1" s="1"/>
  <c r="E1918" i="1"/>
  <c r="D1919" i="1"/>
  <c r="F1919" i="1" s="1"/>
  <c r="E1919" i="1"/>
  <c r="D1920" i="1"/>
  <c r="F1920" i="1" s="1"/>
  <c r="E1920" i="1"/>
  <c r="D1921" i="1"/>
  <c r="F1921" i="1" s="1"/>
  <c r="E1921" i="1"/>
  <c r="D1922" i="1"/>
  <c r="F1922" i="1" s="1"/>
  <c r="E1922" i="1"/>
  <c r="D1923" i="1"/>
  <c r="F1923" i="1" s="1"/>
  <c r="E1923" i="1"/>
  <c r="D1924" i="1"/>
  <c r="F1924" i="1" s="1"/>
  <c r="E1924" i="1"/>
  <c r="D1925" i="1"/>
  <c r="F1925" i="1" s="1"/>
  <c r="E1925" i="1"/>
  <c r="D1926" i="1"/>
  <c r="F1926" i="1" s="1"/>
  <c r="E1926" i="1"/>
  <c r="D1927" i="1"/>
  <c r="F1927" i="1" s="1"/>
  <c r="E1927" i="1"/>
  <c r="D1928" i="1"/>
  <c r="F1928" i="1" s="1"/>
  <c r="E1928" i="1"/>
  <c r="D1929" i="1"/>
  <c r="F1929" i="1" s="1"/>
  <c r="E1929" i="1"/>
  <c r="D1930" i="1"/>
  <c r="F1930" i="1" s="1"/>
  <c r="E1930" i="1"/>
  <c r="D1931" i="1"/>
  <c r="F1931" i="1" s="1"/>
  <c r="E1931" i="1"/>
  <c r="D1932" i="1"/>
  <c r="F1932" i="1" s="1"/>
  <c r="E1932" i="1"/>
  <c r="D1933" i="1"/>
  <c r="F1933" i="1" s="1"/>
  <c r="E1933" i="1"/>
  <c r="D1934" i="1"/>
  <c r="F1934" i="1" s="1"/>
  <c r="E1934" i="1"/>
  <c r="D1935" i="1"/>
  <c r="F1935" i="1" s="1"/>
  <c r="E1935" i="1"/>
  <c r="D1936" i="1"/>
  <c r="F1936" i="1" s="1"/>
  <c r="E1936" i="1"/>
  <c r="D1937" i="1"/>
  <c r="F1937" i="1" s="1"/>
  <c r="E1937" i="1"/>
  <c r="D1938" i="1"/>
  <c r="F1938" i="1" s="1"/>
  <c r="E1938" i="1"/>
  <c r="D1939" i="1"/>
  <c r="F1939" i="1" s="1"/>
  <c r="E1939" i="1"/>
  <c r="D1940" i="1"/>
  <c r="F1940" i="1" s="1"/>
  <c r="E1940" i="1"/>
  <c r="D1941" i="1"/>
  <c r="F1941" i="1" s="1"/>
  <c r="E1941" i="1"/>
  <c r="D1942" i="1"/>
  <c r="F1942" i="1" s="1"/>
  <c r="E1942" i="1"/>
  <c r="D1943" i="1"/>
  <c r="F1943" i="1" s="1"/>
  <c r="E1943" i="1"/>
  <c r="D1944" i="1"/>
  <c r="F1944" i="1" s="1"/>
  <c r="E1944" i="1"/>
  <c r="D1945" i="1"/>
  <c r="F1945" i="1" s="1"/>
  <c r="E1945" i="1"/>
  <c r="D1946" i="1"/>
  <c r="F1946" i="1" s="1"/>
  <c r="E1946" i="1"/>
  <c r="D1947" i="1"/>
  <c r="F1947" i="1" s="1"/>
  <c r="E1947" i="1"/>
  <c r="D1948" i="1"/>
  <c r="F1948" i="1" s="1"/>
  <c r="E1948" i="1"/>
  <c r="D1949" i="1"/>
  <c r="F1949" i="1" s="1"/>
  <c r="E1949" i="1"/>
  <c r="D1950" i="1"/>
  <c r="F1950" i="1" s="1"/>
  <c r="E1950" i="1"/>
  <c r="D1951" i="1"/>
  <c r="F1951" i="1" s="1"/>
  <c r="E1951" i="1"/>
  <c r="D1952" i="1"/>
  <c r="F1952" i="1" s="1"/>
  <c r="E1952" i="1"/>
  <c r="D1953" i="1"/>
  <c r="F1953" i="1" s="1"/>
  <c r="E1953" i="1"/>
  <c r="D1954" i="1"/>
  <c r="F1954" i="1" s="1"/>
  <c r="E1954" i="1"/>
  <c r="D1955" i="1"/>
  <c r="F1955" i="1" s="1"/>
  <c r="E1955" i="1"/>
  <c r="D1956" i="1"/>
  <c r="F1956" i="1" s="1"/>
  <c r="E1956" i="1"/>
  <c r="D1957" i="1"/>
  <c r="F1957" i="1" s="1"/>
  <c r="E1957" i="1"/>
  <c r="D1958" i="1"/>
  <c r="F1958" i="1" s="1"/>
  <c r="E1958" i="1"/>
  <c r="D1959" i="1"/>
  <c r="F1959" i="1" s="1"/>
  <c r="E1959" i="1"/>
  <c r="D1960" i="1"/>
  <c r="F1960" i="1" s="1"/>
  <c r="E1960" i="1"/>
  <c r="D1961" i="1"/>
  <c r="F1961" i="1" s="1"/>
  <c r="E1961" i="1"/>
  <c r="D1962" i="1"/>
  <c r="F1962" i="1" s="1"/>
  <c r="E1962" i="1"/>
  <c r="D1963" i="1"/>
  <c r="F1963" i="1" s="1"/>
  <c r="E1963" i="1"/>
  <c r="D1964" i="1"/>
  <c r="F1964" i="1" s="1"/>
  <c r="E1964" i="1"/>
  <c r="D1965" i="1"/>
  <c r="F1965" i="1" s="1"/>
  <c r="E1965" i="1"/>
  <c r="D1966" i="1"/>
  <c r="F1966" i="1" s="1"/>
  <c r="E1966" i="1"/>
  <c r="D1967" i="1"/>
  <c r="F1967" i="1" s="1"/>
  <c r="E1967" i="1"/>
  <c r="D1968" i="1"/>
  <c r="F1968" i="1" s="1"/>
  <c r="E1968" i="1"/>
  <c r="D1969" i="1"/>
  <c r="F1969" i="1" s="1"/>
  <c r="E1969" i="1"/>
  <c r="D1970" i="1"/>
  <c r="F1970" i="1" s="1"/>
  <c r="E1970" i="1"/>
  <c r="D1971" i="1"/>
  <c r="F1971" i="1" s="1"/>
  <c r="E1971" i="1"/>
  <c r="D1972" i="1"/>
  <c r="F1972" i="1" s="1"/>
  <c r="E1972" i="1"/>
  <c r="D1973" i="1"/>
  <c r="F1973" i="1" s="1"/>
  <c r="E1973" i="1"/>
  <c r="D1974" i="1"/>
  <c r="F1974" i="1" s="1"/>
  <c r="E1974" i="1"/>
  <c r="D1975" i="1"/>
  <c r="F1975" i="1" s="1"/>
  <c r="E1975" i="1"/>
  <c r="D1976" i="1"/>
  <c r="F1976" i="1" s="1"/>
  <c r="E1976" i="1"/>
  <c r="D1977" i="1"/>
  <c r="F1977" i="1" s="1"/>
  <c r="E1977" i="1"/>
  <c r="D1978" i="1"/>
  <c r="F1978" i="1" s="1"/>
  <c r="E1978" i="1"/>
  <c r="D1979" i="1"/>
  <c r="F1979" i="1" s="1"/>
  <c r="E1979" i="1"/>
  <c r="D1980" i="1"/>
  <c r="F1980" i="1" s="1"/>
  <c r="E1980" i="1"/>
  <c r="D1981" i="1"/>
  <c r="F1981" i="1" s="1"/>
  <c r="E1981" i="1"/>
  <c r="D1982" i="1"/>
  <c r="F1982" i="1" s="1"/>
  <c r="E1982" i="1"/>
  <c r="D1983" i="1"/>
  <c r="F1983" i="1" s="1"/>
  <c r="E1983" i="1"/>
  <c r="D1984" i="1"/>
  <c r="F1984" i="1" s="1"/>
  <c r="E1984" i="1"/>
  <c r="D1985" i="1"/>
  <c r="F1985" i="1" s="1"/>
  <c r="E1985" i="1"/>
  <c r="D1986" i="1"/>
  <c r="F1986" i="1" s="1"/>
  <c r="E1986" i="1"/>
  <c r="D1987" i="1"/>
  <c r="F1987" i="1" s="1"/>
  <c r="E1987" i="1"/>
  <c r="D1988" i="1"/>
  <c r="F1988" i="1" s="1"/>
  <c r="E1988" i="1"/>
  <c r="D1989" i="1"/>
  <c r="F1989" i="1" s="1"/>
  <c r="E1989" i="1"/>
  <c r="D1990" i="1"/>
  <c r="F1990" i="1" s="1"/>
  <c r="E1990" i="1"/>
  <c r="D1991" i="1"/>
  <c r="F1991" i="1" s="1"/>
  <c r="E1991" i="1"/>
  <c r="D1992" i="1"/>
  <c r="F1992" i="1" s="1"/>
  <c r="E1992" i="1"/>
  <c r="D1993" i="1"/>
  <c r="F1993" i="1" s="1"/>
  <c r="E1993" i="1"/>
  <c r="D1994" i="1"/>
  <c r="F1994" i="1" s="1"/>
  <c r="E1994" i="1"/>
  <c r="D1995" i="1"/>
  <c r="F1995" i="1" s="1"/>
  <c r="E1995" i="1"/>
  <c r="D1996" i="1"/>
  <c r="F1996" i="1" s="1"/>
  <c r="E1996" i="1"/>
  <c r="D1997" i="1"/>
  <c r="F1997" i="1" s="1"/>
  <c r="E1997" i="1"/>
  <c r="D1998" i="1"/>
  <c r="F1998" i="1" s="1"/>
  <c r="E1998" i="1"/>
  <c r="D1999" i="1"/>
  <c r="F1999" i="1" s="1"/>
  <c r="E1999" i="1"/>
  <c r="D2000" i="1"/>
  <c r="F2000" i="1" s="1"/>
  <c r="E2000" i="1"/>
  <c r="D2001" i="1"/>
  <c r="F2001" i="1" s="1"/>
  <c r="E2001" i="1"/>
  <c r="D2002" i="1"/>
  <c r="F2002" i="1" s="1"/>
  <c r="E2002" i="1"/>
  <c r="D2003" i="1"/>
  <c r="F2003" i="1" s="1"/>
  <c r="E2003" i="1"/>
  <c r="D2004" i="1"/>
  <c r="F2004" i="1" s="1"/>
  <c r="E2004" i="1"/>
  <c r="D2005" i="1"/>
  <c r="F2005" i="1" s="1"/>
  <c r="E2005" i="1"/>
  <c r="D2006" i="1"/>
  <c r="F2006" i="1" s="1"/>
  <c r="E2006" i="1"/>
  <c r="D2007" i="1"/>
  <c r="F2007" i="1" s="1"/>
  <c r="E2007" i="1"/>
  <c r="D2008" i="1"/>
  <c r="F2008" i="1" s="1"/>
  <c r="E2008" i="1"/>
  <c r="D2009" i="1"/>
  <c r="F2009" i="1" s="1"/>
  <c r="E2009" i="1"/>
  <c r="D2010" i="1"/>
  <c r="F2010" i="1" s="1"/>
  <c r="E2010" i="1"/>
  <c r="D2011" i="1"/>
  <c r="F2011" i="1" s="1"/>
  <c r="E2011" i="1"/>
  <c r="D2012" i="1"/>
  <c r="F2012" i="1" s="1"/>
  <c r="E2012" i="1"/>
  <c r="D2013" i="1"/>
  <c r="F2013" i="1" s="1"/>
  <c r="E2013" i="1"/>
  <c r="D2014" i="1"/>
  <c r="F2014" i="1" s="1"/>
  <c r="E2014" i="1"/>
  <c r="D2015" i="1"/>
  <c r="F2015" i="1" s="1"/>
  <c r="E2015" i="1"/>
  <c r="D2016" i="1"/>
  <c r="F2016" i="1" s="1"/>
  <c r="E2016" i="1"/>
  <c r="D2017" i="1"/>
  <c r="F2017" i="1" s="1"/>
  <c r="E2017" i="1"/>
  <c r="D2018" i="1"/>
  <c r="F2018" i="1" s="1"/>
  <c r="E2018" i="1"/>
  <c r="D2019" i="1"/>
  <c r="F2019" i="1" s="1"/>
  <c r="E2019" i="1"/>
  <c r="D2020" i="1"/>
  <c r="F2020" i="1" s="1"/>
  <c r="E2020" i="1"/>
  <c r="D2021" i="1"/>
  <c r="F2021" i="1" s="1"/>
  <c r="E2021" i="1"/>
  <c r="D2022" i="1"/>
  <c r="F2022" i="1" s="1"/>
  <c r="E2022" i="1"/>
  <c r="D2023" i="1"/>
  <c r="F2023" i="1" s="1"/>
  <c r="E2023" i="1"/>
  <c r="D2024" i="1"/>
  <c r="F2024" i="1" s="1"/>
  <c r="E2024" i="1"/>
  <c r="D2025" i="1"/>
  <c r="F2025" i="1" s="1"/>
  <c r="E2025" i="1"/>
  <c r="D2026" i="1"/>
  <c r="F2026" i="1" s="1"/>
  <c r="E2026" i="1"/>
  <c r="D2027" i="1"/>
  <c r="F2027" i="1" s="1"/>
  <c r="E2027" i="1"/>
  <c r="D2028" i="1"/>
  <c r="F2028" i="1" s="1"/>
  <c r="E2028" i="1"/>
  <c r="D2029" i="1"/>
  <c r="F2029" i="1" s="1"/>
  <c r="E2029" i="1"/>
  <c r="D2030" i="1"/>
  <c r="F2030" i="1" s="1"/>
  <c r="E2030" i="1"/>
  <c r="D2031" i="1"/>
  <c r="F2031" i="1" s="1"/>
  <c r="E2031" i="1"/>
  <c r="D2032" i="1"/>
  <c r="F2032" i="1" s="1"/>
  <c r="E2032" i="1"/>
  <c r="D2033" i="1"/>
  <c r="F2033" i="1" s="1"/>
  <c r="E2033" i="1"/>
  <c r="D2034" i="1"/>
  <c r="F2034" i="1" s="1"/>
  <c r="E2034" i="1"/>
  <c r="D2035" i="1"/>
  <c r="F2035" i="1" s="1"/>
  <c r="E2035" i="1"/>
  <c r="D2036" i="1"/>
  <c r="F2036" i="1" s="1"/>
  <c r="E2036" i="1"/>
  <c r="D2037" i="1"/>
  <c r="F2037" i="1" s="1"/>
  <c r="E2037" i="1"/>
  <c r="D2038" i="1"/>
  <c r="F2038" i="1" s="1"/>
  <c r="E2038" i="1"/>
  <c r="D2039" i="1"/>
  <c r="F2039" i="1" s="1"/>
  <c r="E2039" i="1"/>
  <c r="D2040" i="1"/>
  <c r="F2040" i="1" s="1"/>
  <c r="E2040" i="1"/>
  <c r="D2041" i="1"/>
  <c r="F2041" i="1" s="1"/>
  <c r="E2041" i="1"/>
  <c r="D2042" i="1"/>
  <c r="F2042" i="1" s="1"/>
  <c r="E2042" i="1"/>
  <c r="D2043" i="1"/>
  <c r="F2043" i="1" s="1"/>
  <c r="E2043" i="1"/>
  <c r="D2044" i="1"/>
  <c r="F2044" i="1" s="1"/>
  <c r="E2044" i="1"/>
  <c r="D2045" i="1"/>
  <c r="F2045" i="1" s="1"/>
  <c r="E2045" i="1"/>
  <c r="D2046" i="1"/>
  <c r="F2046" i="1" s="1"/>
  <c r="E2046" i="1"/>
  <c r="D2047" i="1"/>
  <c r="F2047" i="1" s="1"/>
  <c r="E2047" i="1"/>
  <c r="D2048" i="1"/>
  <c r="F2048" i="1" s="1"/>
  <c r="E2048" i="1"/>
  <c r="D2049" i="1"/>
  <c r="F2049" i="1" s="1"/>
  <c r="E2049" i="1"/>
  <c r="D2050" i="1"/>
  <c r="F2050" i="1" s="1"/>
  <c r="E2050" i="1"/>
  <c r="D2051" i="1"/>
  <c r="F2051" i="1" s="1"/>
  <c r="E2051" i="1"/>
  <c r="D2052" i="1"/>
  <c r="F2052" i="1" s="1"/>
  <c r="E2052" i="1"/>
  <c r="D2053" i="1"/>
  <c r="F2053" i="1" s="1"/>
  <c r="E2053" i="1"/>
  <c r="D2054" i="1"/>
  <c r="F2054" i="1" s="1"/>
  <c r="E2054" i="1"/>
  <c r="D2055" i="1"/>
  <c r="F2055" i="1" s="1"/>
  <c r="E2055" i="1"/>
  <c r="D2056" i="1"/>
  <c r="F2056" i="1" s="1"/>
  <c r="E2056" i="1"/>
  <c r="D2057" i="1"/>
  <c r="F2057" i="1" s="1"/>
  <c r="E2057" i="1"/>
  <c r="D2058" i="1"/>
  <c r="F2058" i="1" s="1"/>
  <c r="E2058" i="1"/>
  <c r="D2059" i="1"/>
  <c r="F2059" i="1" s="1"/>
  <c r="E2059" i="1"/>
  <c r="D2060" i="1"/>
  <c r="F2060" i="1" s="1"/>
  <c r="E2060" i="1"/>
  <c r="D2061" i="1"/>
  <c r="F2061" i="1" s="1"/>
  <c r="E2061" i="1"/>
  <c r="D2062" i="1"/>
  <c r="F2062" i="1" s="1"/>
  <c r="E2062" i="1"/>
  <c r="D2063" i="1"/>
  <c r="F2063" i="1" s="1"/>
  <c r="E2063" i="1"/>
  <c r="D2064" i="1"/>
  <c r="F2064" i="1" s="1"/>
  <c r="E2064" i="1"/>
  <c r="D2065" i="1"/>
  <c r="F2065" i="1" s="1"/>
  <c r="E2065" i="1"/>
  <c r="D2066" i="1"/>
  <c r="F2066" i="1" s="1"/>
  <c r="E2066" i="1"/>
  <c r="D2067" i="1"/>
  <c r="F2067" i="1" s="1"/>
  <c r="E2067" i="1"/>
  <c r="D2068" i="1"/>
  <c r="F2068" i="1" s="1"/>
  <c r="E2068" i="1"/>
  <c r="D2069" i="1"/>
  <c r="F2069" i="1" s="1"/>
  <c r="E2069" i="1"/>
  <c r="D2070" i="1"/>
  <c r="F2070" i="1" s="1"/>
  <c r="E2070" i="1"/>
  <c r="D2071" i="1"/>
  <c r="F2071" i="1" s="1"/>
  <c r="E2071" i="1"/>
  <c r="D2072" i="1"/>
  <c r="F2072" i="1" s="1"/>
  <c r="E2072" i="1"/>
  <c r="D2073" i="1"/>
  <c r="F2073" i="1" s="1"/>
  <c r="E2073" i="1"/>
  <c r="D2074" i="1"/>
  <c r="F2074" i="1" s="1"/>
  <c r="E2074" i="1"/>
  <c r="D2075" i="1"/>
  <c r="F2075" i="1" s="1"/>
  <c r="E2075" i="1"/>
  <c r="D2076" i="1"/>
  <c r="F2076" i="1" s="1"/>
  <c r="E2076" i="1"/>
  <c r="D2077" i="1"/>
  <c r="F2077" i="1" s="1"/>
  <c r="E2077" i="1"/>
  <c r="D2078" i="1"/>
  <c r="F2078" i="1" s="1"/>
  <c r="E2078" i="1"/>
  <c r="D2079" i="1"/>
  <c r="F2079" i="1" s="1"/>
  <c r="E2079" i="1"/>
  <c r="D2080" i="1"/>
  <c r="F2080" i="1" s="1"/>
  <c r="E2080" i="1"/>
  <c r="D2081" i="1"/>
  <c r="F2081" i="1" s="1"/>
  <c r="E2081" i="1"/>
  <c r="D2082" i="1"/>
  <c r="F2082" i="1" s="1"/>
  <c r="E2082" i="1"/>
  <c r="D2083" i="1"/>
  <c r="F2083" i="1" s="1"/>
  <c r="E2083" i="1"/>
  <c r="D2084" i="1"/>
  <c r="F2084" i="1" s="1"/>
  <c r="E2084" i="1"/>
  <c r="D2085" i="1"/>
  <c r="F2085" i="1" s="1"/>
  <c r="E2085" i="1"/>
  <c r="D2086" i="1"/>
  <c r="F2086" i="1" s="1"/>
  <c r="E2086" i="1"/>
  <c r="D2087" i="1"/>
  <c r="F2087" i="1" s="1"/>
  <c r="E2087" i="1"/>
  <c r="D2088" i="1"/>
  <c r="F2088" i="1" s="1"/>
  <c r="E2088" i="1"/>
  <c r="D2089" i="1"/>
  <c r="F2089" i="1" s="1"/>
  <c r="E2089" i="1"/>
  <c r="D2090" i="1"/>
  <c r="F2090" i="1" s="1"/>
  <c r="E2090" i="1"/>
  <c r="D2091" i="1"/>
  <c r="F2091" i="1" s="1"/>
  <c r="E2091" i="1"/>
  <c r="D2092" i="1"/>
  <c r="F2092" i="1" s="1"/>
  <c r="E2092" i="1"/>
  <c r="D2093" i="1"/>
  <c r="F2093" i="1" s="1"/>
  <c r="E2093" i="1"/>
  <c r="D2094" i="1"/>
  <c r="F2094" i="1" s="1"/>
  <c r="E2094" i="1"/>
  <c r="D2095" i="1"/>
  <c r="F2095" i="1" s="1"/>
  <c r="E2095" i="1"/>
  <c r="D2096" i="1"/>
  <c r="F2096" i="1" s="1"/>
  <c r="E2096" i="1"/>
  <c r="D2097" i="1"/>
  <c r="F2097" i="1" s="1"/>
  <c r="E2097" i="1"/>
  <c r="D2098" i="1"/>
  <c r="F2098" i="1" s="1"/>
  <c r="E2098" i="1"/>
  <c r="D2099" i="1"/>
  <c r="F2099" i="1" s="1"/>
  <c r="E2099" i="1"/>
  <c r="D2100" i="1"/>
  <c r="F2100" i="1" s="1"/>
  <c r="E2100" i="1"/>
  <c r="D2101" i="1"/>
  <c r="F2101" i="1" s="1"/>
  <c r="E2101" i="1"/>
  <c r="D2102" i="1"/>
  <c r="F2102" i="1" s="1"/>
  <c r="E2102" i="1"/>
  <c r="D2103" i="1"/>
  <c r="F2103" i="1" s="1"/>
  <c r="E2103" i="1"/>
  <c r="D2104" i="1"/>
  <c r="F2104" i="1" s="1"/>
  <c r="E2104" i="1"/>
  <c r="D2105" i="1"/>
  <c r="F2105" i="1" s="1"/>
  <c r="E2105" i="1"/>
  <c r="D2106" i="1"/>
  <c r="F2106" i="1" s="1"/>
  <c r="E2106" i="1"/>
  <c r="D2107" i="1"/>
  <c r="F2107" i="1" s="1"/>
  <c r="E2107" i="1"/>
  <c r="D2108" i="1"/>
  <c r="F2108" i="1" s="1"/>
  <c r="E2108" i="1"/>
  <c r="D2109" i="1"/>
  <c r="F2109" i="1" s="1"/>
  <c r="E2109" i="1"/>
  <c r="D2110" i="1"/>
  <c r="F2110" i="1" s="1"/>
  <c r="E2110" i="1"/>
  <c r="D2111" i="1"/>
  <c r="F2111" i="1" s="1"/>
  <c r="E2111" i="1"/>
  <c r="D2112" i="1"/>
  <c r="F2112" i="1" s="1"/>
  <c r="E2112" i="1"/>
  <c r="D2113" i="1"/>
  <c r="F2113" i="1" s="1"/>
  <c r="E2113" i="1"/>
  <c r="D2114" i="1"/>
  <c r="F2114" i="1" s="1"/>
  <c r="E2114" i="1"/>
  <c r="D2115" i="1"/>
  <c r="F2115" i="1" s="1"/>
  <c r="E2115" i="1"/>
  <c r="D2116" i="1"/>
  <c r="F2116" i="1" s="1"/>
  <c r="E2116" i="1"/>
  <c r="D2117" i="1"/>
  <c r="F2117" i="1" s="1"/>
  <c r="E2117" i="1"/>
  <c r="D2118" i="1"/>
  <c r="F2118" i="1" s="1"/>
  <c r="E2118" i="1"/>
  <c r="D2119" i="1"/>
  <c r="F2119" i="1" s="1"/>
  <c r="E2119" i="1"/>
  <c r="D2120" i="1"/>
  <c r="F2120" i="1" s="1"/>
  <c r="E2120" i="1"/>
  <c r="D2121" i="1"/>
  <c r="F2121" i="1" s="1"/>
  <c r="E2121" i="1"/>
  <c r="D2122" i="1"/>
  <c r="F2122" i="1" s="1"/>
  <c r="E2122" i="1"/>
  <c r="D2123" i="1"/>
  <c r="F2123" i="1" s="1"/>
  <c r="E2123" i="1"/>
  <c r="D2124" i="1"/>
  <c r="F2124" i="1" s="1"/>
  <c r="E2124" i="1"/>
  <c r="D2125" i="1"/>
  <c r="F2125" i="1" s="1"/>
  <c r="E2125" i="1"/>
  <c r="D2126" i="1"/>
  <c r="F2126" i="1" s="1"/>
  <c r="E2126" i="1"/>
  <c r="D2127" i="1"/>
  <c r="F2127" i="1" s="1"/>
  <c r="E2127" i="1"/>
  <c r="D2128" i="1"/>
  <c r="F2128" i="1" s="1"/>
  <c r="E2128" i="1"/>
  <c r="D2129" i="1"/>
  <c r="F2129" i="1" s="1"/>
  <c r="E2129" i="1"/>
  <c r="D2130" i="1"/>
  <c r="F2130" i="1" s="1"/>
  <c r="E2130" i="1"/>
  <c r="D2131" i="1"/>
  <c r="F2131" i="1" s="1"/>
  <c r="E2131" i="1"/>
  <c r="D2132" i="1"/>
  <c r="F2132" i="1" s="1"/>
  <c r="E2132" i="1"/>
  <c r="D2133" i="1"/>
  <c r="F2133" i="1" s="1"/>
  <c r="E2133" i="1"/>
  <c r="D2134" i="1"/>
  <c r="F2134" i="1" s="1"/>
  <c r="E2134" i="1"/>
  <c r="D2135" i="1"/>
  <c r="F2135" i="1" s="1"/>
  <c r="E2135" i="1"/>
  <c r="D2136" i="1"/>
  <c r="F2136" i="1" s="1"/>
  <c r="E2136" i="1"/>
  <c r="D2137" i="1"/>
  <c r="F2137" i="1" s="1"/>
  <c r="E2137" i="1"/>
  <c r="D2138" i="1"/>
  <c r="F2138" i="1" s="1"/>
  <c r="E2138" i="1"/>
  <c r="D2139" i="1"/>
  <c r="F2139" i="1" s="1"/>
  <c r="E2139" i="1"/>
  <c r="D2140" i="1"/>
  <c r="F2140" i="1" s="1"/>
  <c r="E2140" i="1"/>
  <c r="D2141" i="1"/>
  <c r="F2141" i="1" s="1"/>
  <c r="E2141" i="1"/>
  <c r="D2142" i="1"/>
  <c r="F2142" i="1" s="1"/>
  <c r="E2142" i="1"/>
  <c r="D2143" i="1"/>
  <c r="F2143" i="1" s="1"/>
  <c r="E2143" i="1"/>
  <c r="D2144" i="1"/>
  <c r="F2144" i="1" s="1"/>
  <c r="E2144" i="1"/>
  <c r="D2145" i="1"/>
  <c r="F2145" i="1" s="1"/>
  <c r="E2145" i="1"/>
  <c r="D2146" i="1"/>
  <c r="F2146" i="1" s="1"/>
  <c r="E2146" i="1"/>
  <c r="D2147" i="1"/>
  <c r="F2147" i="1" s="1"/>
  <c r="E2147" i="1"/>
  <c r="D2148" i="1"/>
  <c r="F2148" i="1" s="1"/>
  <c r="E2148" i="1"/>
  <c r="D2149" i="1"/>
  <c r="F2149" i="1" s="1"/>
  <c r="E2149" i="1"/>
  <c r="D2150" i="1"/>
  <c r="F2150" i="1" s="1"/>
  <c r="E2150" i="1"/>
  <c r="D2151" i="1"/>
  <c r="F2151" i="1" s="1"/>
  <c r="E2151" i="1"/>
  <c r="D2152" i="1"/>
  <c r="F2152" i="1" s="1"/>
  <c r="E2152" i="1"/>
  <c r="D2153" i="1"/>
  <c r="F2153" i="1" s="1"/>
  <c r="E2153" i="1"/>
  <c r="D2154" i="1"/>
  <c r="F2154" i="1" s="1"/>
  <c r="E2154" i="1"/>
  <c r="D2155" i="1"/>
  <c r="F2155" i="1" s="1"/>
  <c r="E2155" i="1"/>
  <c r="D2156" i="1"/>
  <c r="F2156" i="1" s="1"/>
  <c r="E2156" i="1"/>
  <c r="D2157" i="1"/>
  <c r="F2157" i="1" s="1"/>
  <c r="E2157" i="1"/>
  <c r="D2158" i="1"/>
  <c r="F2158" i="1" s="1"/>
  <c r="E2158" i="1"/>
  <c r="D2159" i="1"/>
  <c r="F2159" i="1" s="1"/>
  <c r="E2159" i="1"/>
  <c r="D2160" i="1"/>
  <c r="F2160" i="1" s="1"/>
  <c r="E2160" i="1"/>
  <c r="D2161" i="1"/>
  <c r="F2161" i="1" s="1"/>
  <c r="E2161" i="1"/>
  <c r="D2162" i="1"/>
  <c r="F2162" i="1" s="1"/>
  <c r="E2162" i="1"/>
  <c r="D2163" i="1"/>
  <c r="F2163" i="1" s="1"/>
  <c r="E2163" i="1"/>
  <c r="D2164" i="1"/>
  <c r="F2164" i="1" s="1"/>
  <c r="E2164" i="1"/>
  <c r="D2165" i="1"/>
  <c r="F2165" i="1" s="1"/>
  <c r="E2165" i="1"/>
  <c r="D2166" i="1"/>
  <c r="F2166" i="1" s="1"/>
  <c r="E2166" i="1"/>
  <c r="D2167" i="1"/>
  <c r="F2167" i="1" s="1"/>
  <c r="E2167" i="1"/>
  <c r="D2168" i="1"/>
  <c r="F2168" i="1" s="1"/>
  <c r="E2168" i="1"/>
  <c r="D2169" i="1"/>
  <c r="F2169" i="1" s="1"/>
  <c r="E2169" i="1"/>
  <c r="D2170" i="1"/>
  <c r="F2170" i="1" s="1"/>
  <c r="E2170" i="1"/>
  <c r="D2171" i="1"/>
  <c r="F2171" i="1" s="1"/>
  <c r="E2171" i="1"/>
  <c r="D2172" i="1"/>
  <c r="F2172" i="1" s="1"/>
  <c r="E2172" i="1"/>
  <c r="D2173" i="1"/>
  <c r="F2173" i="1" s="1"/>
  <c r="E2173" i="1"/>
  <c r="D2174" i="1"/>
  <c r="F2174" i="1" s="1"/>
  <c r="E2174" i="1"/>
  <c r="D2175" i="1"/>
  <c r="F2175" i="1" s="1"/>
  <c r="E2175" i="1"/>
  <c r="D2176" i="1"/>
  <c r="F2176" i="1" s="1"/>
  <c r="E2176" i="1"/>
  <c r="D2177" i="1"/>
  <c r="F2177" i="1" s="1"/>
  <c r="E2177" i="1"/>
  <c r="D2178" i="1"/>
  <c r="F2178" i="1" s="1"/>
  <c r="E2178" i="1"/>
  <c r="D2179" i="1"/>
  <c r="F2179" i="1" s="1"/>
  <c r="E2179" i="1"/>
  <c r="D2180" i="1"/>
  <c r="F2180" i="1" s="1"/>
  <c r="E2180" i="1"/>
  <c r="D2181" i="1"/>
  <c r="F2181" i="1" s="1"/>
  <c r="E2181" i="1"/>
  <c r="D2182" i="1"/>
  <c r="F2182" i="1" s="1"/>
  <c r="E2182" i="1"/>
  <c r="D2183" i="1"/>
  <c r="F2183" i="1" s="1"/>
  <c r="E2183" i="1"/>
  <c r="D2184" i="1"/>
  <c r="F2184" i="1" s="1"/>
  <c r="E2184" i="1"/>
  <c r="D2185" i="1"/>
  <c r="F2185" i="1" s="1"/>
  <c r="E2185" i="1"/>
  <c r="D2186" i="1"/>
  <c r="F2186" i="1" s="1"/>
  <c r="E2186" i="1"/>
  <c r="D2187" i="1"/>
  <c r="F2187" i="1" s="1"/>
  <c r="E2187" i="1"/>
  <c r="D2188" i="1"/>
  <c r="F2188" i="1" s="1"/>
  <c r="E2188" i="1"/>
  <c r="D2189" i="1"/>
  <c r="F2189" i="1" s="1"/>
  <c r="E2189" i="1"/>
  <c r="D2190" i="1"/>
  <c r="F2190" i="1" s="1"/>
  <c r="E2190" i="1"/>
  <c r="D2191" i="1"/>
  <c r="F2191" i="1" s="1"/>
  <c r="E2191" i="1"/>
  <c r="D2192" i="1"/>
  <c r="F2192" i="1" s="1"/>
  <c r="E2192" i="1"/>
  <c r="D2193" i="1"/>
  <c r="F2193" i="1" s="1"/>
  <c r="E2193" i="1"/>
  <c r="D2194" i="1"/>
  <c r="F2194" i="1" s="1"/>
  <c r="E2194" i="1"/>
  <c r="D2195" i="1"/>
  <c r="F2195" i="1" s="1"/>
  <c r="E2195" i="1"/>
  <c r="D2196" i="1"/>
  <c r="F2196" i="1" s="1"/>
  <c r="E2196" i="1"/>
  <c r="D2197" i="1"/>
  <c r="F2197" i="1" s="1"/>
  <c r="E2197" i="1"/>
  <c r="D2198" i="1"/>
  <c r="F2198" i="1" s="1"/>
  <c r="E2198" i="1"/>
  <c r="D2199" i="1"/>
  <c r="F2199" i="1" s="1"/>
  <c r="E2199" i="1"/>
  <c r="D2200" i="1"/>
  <c r="F2200" i="1" s="1"/>
  <c r="E2200" i="1"/>
  <c r="D2201" i="1"/>
  <c r="F2201" i="1" s="1"/>
  <c r="E2201" i="1"/>
  <c r="D2202" i="1"/>
  <c r="F2202" i="1" s="1"/>
  <c r="E2202" i="1"/>
  <c r="D2203" i="1"/>
  <c r="F2203" i="1" s="1"/>
  <c r="E2203" i="1"/>
  <c r="D2204" i="1"/>
  <c r="F2204" i="1" s="1"/>
  <c r="E2204" i="1"/>
  <c r="D2205" i="1"/>
  <c r="F2205" i="1" s="1"/>
  <c r="E2205" i="1"/>
  <c r="D2206" i="1"/>
  <c r="F2206" i="1" s="1"/>
  <c r="E2206" i="1"/>
  <c r="D2207" i="1"/>
  <c r="F2207" i="1" s="1"/>
  <c r="E2207" i="1"/>
  <c r="D2208" i="1"/>
  <c r="F2208" i="1" s="1"/>
  <c r="E2208" i="1"/>
  <c r="D2209" i="1"/>
  <c r="F2209" i="1" s="1"/>
  <c r="E2209" i="1"/>
  <c r="D2210" i="1"/>
  <c r="F2210" i="1" s="1"/>
  <c r="E2210" i="1"/>
  <c r="D2211" i="1"/>
  <c r="F2211" i="1" s="1"/>
  <c r="E2211" i="1"/>
  <c r="D2212" i="1"/>
  <c r="F2212" i="1" s="1"/>
  <c r="E2212" i="1"/>
  <c r="D2213" i="1"/>
  <c r="F2213" i="1" s="1"/>
  <c r="E2213" i="1"/>
  <c r="D2214" i="1"/>
  <c r="F2214" i="1" s="1"/>
  <c r="E2214" i="1"/>
  <c r="D2215" i="1"/>
  <c r="F2215" i="1" s="1"/>
  <c r="E2215" i="1"/>
  <c r="D2216" i="1"/>
  <c r="F2216" i="1" s="1"/>
  <c r="E2216" i="1"/>
  <c r="D2217" i="1"/>
  <c r="F2217" i="1" s="1"/>
  <c r="E2217" i="1"/>
  <c r="D2218" i="1"/>
  <c r="F2218" i="1" s="1"/>
  <c r="E2218" i="1"/>
  <c r="D2219" i="1"/>
  <c r="F2219" i="1" s="1"/>
  <c r="E2219" i="1"/>
  <c r="D2220" i="1"/>
  <c r="F2220" i="1" s="1"/>
  <c r="E2220" i="1"/>
  <c r="D2221" i="1"/>
  <c r="F2221" i="1" s="1"/>
  <c r="E2221" i="1"/>
  <c r="D2222" i="1"/>
  <c r="F2222" i="1" s="1"/>
  <c r="E2222" i="1"/>
  <c r="D2223" i="1"/>
  <c r="F2223" i="1" s="1"/>
  <c r="E2223" i="1"/>
  <c r="D2224" i="1"/>
  <c r="F2224" i="1" s="1"/>
  <c r="E2224" i="1"/>
  <c r="D2225" i="1"/>
  <c r="F2225" i="1" s="1"/>
  <c r="E2225" i="1"/>
  <c r="D2226" i="1"/>
  <c r="F2226" i="1" s="1"/>
  <c r="E2226" i="1"/>
  <c r="D2227" i="1"/>
  <c r="F2227" i="1" s="1"/>
  <c r="E2227" i="1"/>
  <c r="D2228" i="1"/>
  <c r="F2228" i="1" s="1"/>
  <c r="E2228" i="1"/>
  <c r="D2229" i="1"/>
  <c r="F2229" i="1" s="1"/>
  <c r="E2229" i="1"/>
  <c r="D2230" i="1"/>
  <c r="F2230" i="1" s="1"/>
  <c r="E2230" i="1"/>
  <c r="D2231" i="1"/>
  <c r="F2231" i="1" s="1"/>
  <c r="E2231" i="1"/>
  <c r="D2232" i="1"/>
  <c r="F2232" i="1" s="1"/>
  <c r="E2232" i="1"/>
  <c r="D2233" i="1"/>
  <c r="F2233" i="1" s="1"/>
  <c r="E2233" i="1"/>
  <c r="D2234" i="1"/>
  <c r="F2234" i="1" s="1"/>
  <c r="E2234" i="1"/>
  <c r="D2235" i="1"/>
  <c r="F2235" i="1" s="1"/>
  <c r="E2235" i="1"/>
  <c r="D2236" i="1"/>
  <c r="F2236" i="1" s="1"/>
  <c r="E2236" i="1"/>
  <c r="D2237" i="1"/>
  <c r="F2237" i="1" s="1"/>
  <c r="E2237" i="1"/>
  <c r="D2238" i="1"/>
  <c r="F2238" i="1" s="1"/>
  <c r="E2238" i="1"/>
  <c r="D2239" i="1"/>
  <c r="F2239" i="1" s="1"/>
  <c r="E2239" i="1"/>
  <c r="D2240" i="1"/>
  <c r="F2240" i="1" s="1"/>
  <c r="E2240" i="1"/>
  <c r="D2241" i="1"/>
  <c r="F2241" i="1" s="1"/>
  <c r="E2241" i="1"/>
  <c r="D2242" i="1"/>
  <c r="F2242" i="1" s="1"/>
  <c r="E2242" i="1"/>
  <c r="D2243" i="1"/>
  <c r="F2243" i="1" s="1"/>
  <c r="E2243" i="1"/>
  <c r="D2244" i="1"/>
  <c r="F2244" i="1" s="1"/>
  <c r="E2244" i="1"/>
  <c r="D2245" i="1"/>
  <c r="F2245" i="1" s="1"/>
  <c r="E2245" i="1"/>
  <c r="D2246" i="1"/>
  <c r="F2246" i="1" s="1"/>
  <c r="E2246" i="1"/>
  <c r="D2247" i="1"/>
  <c r="F2247" i="1" s="1"/>
  <c r="E2247" i="1"/>
  <c r="D2248" i="1"/>
  <c r="F2248" i="1" s="1"/>
  <c r="E2248" i="1"/>
  <c r="D2249" i="1"/>
  <c r="F2249" i="1" s="1"/>
  <c r="E2249" i="1"/>
  <c r="D2250" i="1"/>
  <c r="F2250" i="1" s="1"/>
  <c r="E2250" i="1"/>
  <c r="D2251" i="1"/>
  <c r="F2251" i="1" s="1"/>
  <c r="E2251" i="1"/>
  <c r="D2252" i="1"/>
  <c r="F2252" i="1" s="1"/>
  <c r="E2252" i="1"/>
  <c r="D2253" i="1"/>
  <c r="F2253" i="1" s="1"/>
  <c r="E2253" i="1"/>
  <c r="D2254" i="1"/>
  <c r="F2254" i="1" s="1"/>
  <c r="E2254" i="1"/>
  <c r="D2255" i="1"/>
  <c r="F2255" i="1" s="1"/>
  <c r="E2255" i="1"/>
  <c r="D2256" i="1"/>
  <c r="F2256" i="1" s="1"/>
  <c r="E2256" i="1"/>
  <c r="D2257" i="1"/>
  <c r="F2257" i="1" s="1"/>
  <c r="E2257" i="1"/>
  <c r="D2258" i="1"/>
  <c r="F2258" i="1" s="1"/>
  <c r="E2258" i="1"/>
  <c r="D2259" i="1"/>
  <c r="F2259" i="1" s="1"/>
  <c r="E2259" i="1"/>
  <c r="D2260" i="1"/>
  <c r="F2260" i="1" s="1"/>
  <c r="E2260" i="1"/>
  <c r="D2261" i="1"/>
  <c r="F2261" i="1" s="1"/>
  <c r="E2261" i="1"/>
  <c r="D2262" i="1"/>
  <c r="F2262" i="1" s="1"/>
  <c r="E2262" i="1"/>
  <c r="D2263" i="1"/>
  <c r="F2263" i="1" s="1"/>
  <c r="E2263" i="1"/>
  <c r="D2264" i="1"/>
  <c r="F2264" i="1" s="1"/>
  <c r="E2264" i="1"/>
  <c r="D2265" i="1"/>
  <c r="F2265" i="1" s="1"/>
  <c r="E2265" i="1"/>
  <c r="D2266" i="1"/>
  <c r="F2266" i="1" s="1"/>
  <c r="E2266" i="1"/>
  <c r="D2267" i="1"/>
  <c r="F2267" i="1" s="1"/>
  <c r="E2267" i="1"/>
  <c r="D2268" i="1"/>
  <c r="F2268" i="1" s="1"/>
  <c r="E2268" i="1"/>
  <c r="D2269" i="1"/>
  <c r="F2269" i="1" s="1"/>
  <c r="E2269" i="1"/>
  <c r="D2270" i="1"/>
  <c r="F2270" i="1" s="1"/>
  <c r="E2270" i="1"/>
  <c r="D2271" i="1"/>
  <c r="F2271" i="1" s="1"/>
  <c r="E2271" i="1"/>
  <c r="D2272" i="1"/>
  <c r="F2272" i="1" s="1"/>
  <c r="E2272" i="1"/>
  <c r="D2273" i="1"/>
  <c r="F2273" i="1" s="1"/>
  <c r="E2273" i="1"/>
  <c r="D2274" i="1"/>
  <c r="F2274" i="1" s="1"/>
  <c r="E2274" i="1"/>
  <c r="D2275" i="1"/>
  <c r="F2275" i="1" s="1"/>
  <c r="E2275" i="1"/>
  <c r="D2276" i="1"/>
  <c r="F2276" i="1" s="1"/>
  <c r="E2276" i="1"/>
  <c r="D2277" i="1"/>
  <c r="F2277" i="1" s="1"/>
  <c r="E2277" i="1"/>
  <c r="D2278" i="1"/>
  <c r="F2278" i="1" s="1"/>
  <c r="E2278" i="1"/>
  <c r="D2279" i="1"/>
  <c r="F2279" i="1" s="1"/>
  <c r="E2279" i="1"/>
  <c r="D2280" i="1"/>
  <c r="F2280" i="1" s="1"/>
  <c r="E2280" i="1"/>
  <c r="D2281" i="1"/>
  <c r="F2281" i="1" s="1"/>
  <c r="E2281" i="1"/>
  <c r="D2282" i="1"/>
  <c r="F2282" i="1" s="1"/>
  <c r="E2282" i="1"/>
  <c r="D2283" i="1"/>
  <c r="F2283" i="1" s="1"/>
  <c r="E2283" i="1"/>
  <c r="D2284" i="1"/>
  <c r="F2284" i="1" s="1"/>
  <c r="E2284" i="1"/>
  <c r="D2285" i="1"/>
  <c r="F2285" i="1" s="1"/>
  <c r="E2285" i="1"/>
  <c r="D2286" i="1"/>
  <c r="F2286" i="1" s="1"/>
  <c r="E2286" i="1"/>
  <c r="D2287" i="1"/>
  <c r="F2287" i="1" s="1"/>
  <c r="E2287" i="1"/>
  <c r="D2288" i="1"/>
  <c r="F2288" i="1" s="1"/>
  <c r="E2288" i="1"/>
  <c r="D2289" i="1"/>
  <c r="F2289" i="1" s="1"/>
  <c r="E2289" i="1"/>
  <c r="D2290" i="1"/>
  <c r="F2290" i="1" s="1"/>
  <c r="E2290" i="1"/>
  <c r="D2291" i="1"/>
  <c r="F2291" i="1" s="1"/>
  <c r="E2291" i="1"/>
  <c r="D2292" i="1"/>
  <c r="F2292" i="1" s="1"/>
  <c r="E2292" i="1"/>
  <c r="D2293" i="1"/>
  <c r="F2293" i="1" s="1"/>
  <c r="E2293" i="1"/>
  <c r="D2294" i="1"/>
  <c r="F2294" i="1" s="1"/>
  <c r="E2294" i="1"/>
  <c r="D2295" i="1"/>
  <c r="F2295" i="1" s="1"/>
  <c r="E2295" i="1"/>
  <c r="D2296" i="1"/>
  <c r="F2296" i="1" s="1"/>
  <c r="E2296" i="1"/>
  <c r="D2297" i="1"/>
  <c r="F2297" i="1" s="1"/>
  <c r="E2297" i="1"/>
  <c r="D2298" i="1"/>
  <c r="F2298" i="1" s="1"/>
  <c r="E2298" i="1"/>
  <c r="D2299" i="1"/>
  <c r="F2299" i="1" s="1"/>
  <c r="E2299" i="1"/>
  <c r="D2300" i="1"/>
  <c r="F2300" i="1" s="1"/>
  <c r="E2300" i="1"/>
  <c r="D2301" i="1"/>
  <c r="F2301" i="1" s="1"/>
  <c r="E2301" i="1"/>
  <c r="D2302" i="1"/>
  <c r="F2302" i="1" s="1"/>
  <c r="E2302" i="1"/>
  <c r="D2303" i="1"/>
  <c r="F2303" i="1" s="1"/>
  <c r="E2303" i="1"/>
  <c r="D2304" i="1"/>
  <c r="F2304" i="1" s="1"/>
  <c r="E2304" i="1"/>
  <c r="D2305" i="1"/>
  <c r="F2305" i="1" s="1"/>
  <c r="E2305" i="1"/>
  <c r="D2306" i="1"/>
  <c r="F2306" i="1" s="1"/>
  <c r="E2306" i="1"/>
  <c r="D2307" i="1"/>
  <c r="F2307" i="1" s="1"/>
  <c r="E2307" i="1"/>
  <c r="D2308" i="1"/>
  <c r="F2308" i="1" s="1"/>
  <c r="E2308" i="1"/>
  <c r="D2309" i="1"/>
  <c r="F2309" i="1" s="1"/>
  <c r="E2309" i="1"/>
  <c r="D2310" i="1"/>
  <c r="F2310" i="1" s="1"/>
  <c r="E2310" i="1"/>
  <c r="D2311" i="1"/>
  <c r="F2311" i="1" s="1"/>
  <c r="E2311" i="1"/>
  <c r="D2312" i="1"/>
  <c r="F2312" i="1" s="1"/>
  <c r="E2312" i="1"/>
  <c r="D2313" i="1"/>
  <c r="F2313" i="1" s="1"/>
  <c r="E2313" i="1"/>
  <c r="D2314" i="1"/>
  <c r="F2314" i="1" s="1"/>
  <c r="E2314" i="1"/>
  <c r="D2315" i="1"/>
  <c r="F2315" i="1" s="1"/>
  <c r="E2315" i="1"/>
  <c r="D2316" i="1"/>
  <c r="F2316" i="1" s="1"/>
  <c r="E2316" i="1"/>
  <c r="D2317" i="1"/>
  <c r="F2317" i="1" s="1"/>
  <c r="E2317" i="1"/>
  <c r="D2318" i="1"/>
  <c r="F2318" i="1" s="1"/>
  <c r="E2318" i="1"/>
  <c r="D2319" i="1"/>
  <c r="F2319" i="1" s="1"/>
  <c r="E2319" i="1"/>
  <c r="D2320" i="1"/>
  <c r="F2320" i="1" s="1"/>
  <c r="E2320" i="1"/>
  <c r="D2321" i="1"/>
  <c r="F2321" i="1" s="1"/>
  <c r="E2321" i="1"/>
  <c r="D2322" i="1"/>
  <c r="F2322" i="1" s="1"/>
  <c r="E2322" i="1"/>
  <c r="D2323" i="1"/>
  <c r="F2323" i="1" s="1"/>
  <c r="E2323" i="1"/>
  <c r="D2324" i="1"/>
  <c r="F2324" i="1" s="1"/>
  <c r="E2324" i="1"/>
  <c r="D2325" i="1"/>
  <c r="F2325" i="1" s="1"/>
  <c r="E2325" i="1"/>
  <c r="D2326" i="1"/>
  <c r="F2326" i="1" s="1"/>
  <c r="E2326" i="1"/>
  <c r="D2327" i="1"/>
  <c r="F2327" i="1" s="1"/>
  <c r="E2327" i="1"/>
  <c r="D2328" i="1"/>
  <c r="F2328" i="1" s="1"/>
  <c r="E2328" i="1"/>
  <c r="D2329" i="1"/>
  <c r="F2329" i="1" s="1"/>
  <c r="E2329" i="1"/>
  <c r="D2330" i="1"/>
  <c r="F2330" i="1" s="1"/>
  <c r="E2330" i="1"/>
  <c r="D2331" i="1"/>
  <c r="F2331" i="1" s="1"/>
  <c r="E2331" i="1"/>
  <c r="D2332" i="1"/>
  <c r="F2332" i="1" s="1"/>
  <c r="E2332" i="1"/>
  <c r="D2333" i="1"/>
  <c r="F2333" i="1" s="1"/>
  <c r="E2333" i="1"/>
  <c r="D2334" i="1"/>
  <c r="F2334" i="1" s="1"/>
  <c r="E2334" i="1"/>
  <c r="D2335" i="1"/>
  <c r="F2335" i="1" s="1"/>
  <c r="E2335" i="1"/>
  <c r="D2336" i="1"/>
  <c r="F2336" i="1" s="1"/>
  <c r="E2336" i="1"/>
  <c r="D2337" i="1"/>
  <c r="F2337" i="1" s="1"/>
  <c r="E2337" i="1"/>
  <c r="D2338" i="1"/>
  <c r="F2338" i="1" s="1"/>
  <c r="E2338" i="1"/>
  <c r="D2339" i="1"/>
  <c r="F2339" i="1" s="1"/>
  <c r="E2339" i="1"/>
  <c r="D2340" i="1"/>
  <c r="F2340" i="1" s="1"/>
  <c r="E2340" i="1"/>
  <c r="D2341" i="1"/>
  <c r="F2341" i="1" s="1"/>
  <c r="E2341" i="1"/>
  <c r="D2342" i="1"/>
  <c r="F2342" i="1" s="1"/>
  <c r="E2342" i="1"/>
  <c r="D2343" i="1"/>
  <c r="F2343" i="1" s="1"/>
  <c r="E2343" i="1"/>
  <c r="D2344" i="1"/>
  <c r="F2344" i="1" s="1"/>
  <c r="E2344" i="1"/>
  <c r="D2345" i="1"/>
  <c r="F2345" i="1" s="1"/>
  <c r="E2345" i="1"/>
  <c r="D2346" i="1"/>
  <c r="F2346" i="1" s="1"/>
  <c r="E2346" i="1"/>
  <c r="D2347" i="1"/>
  <c r="F2347" i="1" s="1"/>
  <c r="E2347" i="1"/>
  <c r="D2348" i="1"/>
  <c r="F2348" i="1" s="1"/>
  <c r="E2348" i="1"/>
  <c r="D2349" i="1"/>
  <c r="F2349" i="1" s="1"/>
  <c r="E2349" i="1"/>
  <c r="D2350" i="1"/>
  <c r="F2350" i="1" s="1"/>
  <c r="E2350" i="1"/>
  <c r="D2351" i="1"/>
  <c r="F2351" i="1" s="1"/>
  <c r="E2351" i="1"/>
  <c r="D2352" i="1"/>
  <c r="F2352" i="1" s="1"/>
  <c r="E2352" i="1"/>
  <c r="D2353" i="1"/>
  <c r="F2353" i="1" s="1"/>
  <c r="E2353" i="1"/>
  <c r="D2354" i="1"/>
  <c r="F2354" i="1" s="1"/>
  <c r="E2354" i="1"/>
  <c r="D2355" i="1"/>
  <c r="F2355" i="1" s="1"/>
  <c r="E2355" i="1"/>
  <c r="D2356" i="1"/>
  <c r="F2356" i="1" s="1"/>
  <c r="E2356" i="1"/>
  <c r="D2357" i="1"/>
  <c r="F2357" i="1" s="1"/>
  <c r="E2357" i="1"/>
  <c r="D2358" i="1"/>
  <c r="F2358" i="1" s="1"/>
  <c r="E2358" i="1"/>
  <c r="D2359" i="1"/>
  <c r="F2359" i="1" s="1"/>
  <c r="E2359" i="1"/>
  <c r="D2360" i="1"/>
  <c r="F2360" i="1" s="1"/>
  <c r="E2360" i="1"/>
  <c r="D2361" i="1"/>
  <c r="F2361" i="1" s="1"/>
  <c r="E2361" i="1"/>
  <c r="D2362" i="1"/>
  <c r="F2362" i="1" s="1"/>
  <c r="E2362" i="1"/>
  <c r="D2363" i="1"/>
  <c r="F2363" i="1" s="1"/>
  <c r="E2363" i="1"/>
  <c r="D2364" i="1"/>
  <c r="F2364" i="1" s="1"/>
  <c r="E2364" i="1"/>
  <c r="D2365" i="1"/>
  <c r="F2365" i="1" s="1"/>
  <c r="E2365" i="1"/>
  <c r="D2366" i="1"/>
  <c r="F2366" i="1" s="1"/>
  <c r="E2366" i="1"/>
  <c r="D2367" i="1"/>
  <c r="F2367" i="1" s="1"/>
  <c r="E2367" i="1"/>
  <c r="D2368" i="1"/>
  <c r="F2368" i="1" s="1"/>
  <c r="E2368" i="1"/>
  <c r="D2369" i="1"/>
  <c r="F2369" i="1" s="1"/>
  <c r="E2369" i="1"/>
  <c r="D2370" i="1"/>
  <c r="F2370" i="1" s="1"/>
  <c r="E2370" i="1"/>
  <c r="D2371" i="1"/>
  <c r="F2371" i="1" s="1"/>
  <c r="E2371" i="1"/>
  <c r="D2372" i="1"/>
  <c r="F2372" i="1" s="1"/>
  <c r="E2372" i="1"/>
  <c r="D2373" i="1"/>
  <c r="F2373" i="1" s="1"/>
  <c r="E2373" i="1"/>
  <c r="D2374" i="1"/>
  <c r="F2374" i="1" s="1"/>
  <c r="E2374" i="1"/>
  <c r="D2375" i="1"/>
  <c r="F2375" i="1" s="1"/>
  <c r="E2375" i="1"/>
  <c r="D2376" i="1"/>
  <c r="F2376" i="1" s="1"/>
  <c r="E2376" i="1"/>
  <c r="D2377" i="1"/>
  <c r="F2377" i="1" s="1"/>
  <c r="E2377" i="1"/>
  <c r="D2378" i="1"/>
  <c r="F2378" i="1" s="1"/>
  <c r="E2378" i="1"/>
  <c r="D2379" i="1"/>
  <c r="F2379" i="1" s="1"/>
  <c r="E2379" i="1"/>
  <c r="D2380" i="1"/>
  <c r="F2380" i="1" s="1"/>
  <c r="E2380" i="1"/>
  <c r="D2381" i="1"/>
  <c r="F2381" i="1" s="1"/>
  <c r="E2381" i="1"/>
  <c r="D2382" i="1"/>
  <c r="F2382" i="1" s="1"/>
  <c r="E2382" i="1"/>
  <c r="D2383" i="1"/>
  <c r="F2383" i="1" s="1"/>
  <c r="E2383" i="1"/>
  <c r="D2384" i="1"/>
  <c r="F2384" i="1" s="1"/>
  <c r="E2384" i="1"/>
  <c r="D2385" i="1"/>
  <c r="F2385" i="1" s="1"/>
  <c r="E2385" i="1"/>
  <c r="D2386" i="1"/>
  <c r="F2386" i="1" s="1"/>
  <c r="E2386" i="1"/>
  <c r="D2387" i="1"/>
  <c r="F2387" i="1" s="1"/>
  <c r="E2387" i="1"/>
  <c r="D2388" i="1"/>
  <c r="F2388" i="1" s="1"/>
  <c r="E2388" i="1"/>
  <c r="D2389" i="1"/>
  <c r="F2389" i="1" s="1"/>
  <c r="E2389" i="1"/>
  <c r="D2390" i="1"/>
  <c r="F2390" i="1" s="1"/>
  <c r="E2390" i="1"/>
  <c r="D2391" i="1"/>
  <c r="F2391" i="1" s="1"/>
  <c r="E2391" i="1"/>
  <c r="D2392" i="1"/>
  <c r="F2392" i="1" s="1"/>
  <c r="E2392" i="1"/>
  <c r="D2393" i="1"/>
  <c r="F2393" i="1" s="1"/>
  <c r="E2393" i="1"/>
  <c r="D2394" i="1"/>
  <c r="F2394" i="1" s="1"/>
  <c r="E2394" i="1"/>
  <c r="D2395" i="1"/>
  <c r="F2395" i="1" s="1"/>
  <c r="E2395" i="1"/>
  <c r="D2396" i="1"/>
  <c r="F2396" i="1" s="1"/>
  <c r="E2396" i="1"/>
  <c r="D2397" i="1"/>
  <c r="F2397" i="1" s="1"/>
  <c r="E2397" i="1"/>
  <c r="D2398" i="1"/>
  <c r="F2398" i="1" s="1"/>
  <c r="E2398" i="1"/>
  <c r="D2399" i="1"/>
  <c r="F2399" i="1" s="1"/>
  <c r="E2399" i="1"/>
  <c r="D2400" i="1"/>
  <c r="F2400" i="1" s="1"/>
  <c r="E2400" i="1"/>
  <c r="D2401" i="1"/>
  <c r="F2401" i="1" s="1"/>
  <c r="E2401" i="1"/>
  <c r="D2402" i="1"/>
  <c r="F2402" i="1" s="1"/>
  <c r="E2402" i="1"/>
  <c r="D2403" i="1"/>
  <c r="F2403" i="1" s="1"/>
  <c r="E2403" i="1"/>
  <c r="D2404" i="1"/>
  <c r="F2404" i="1" s="1"/>
  <c r="E2404" i="1"/>
  <c r="D2405" i="1"/>
  <c r="F2405" i="1" s="1"/>
  <c r="E2405" i="1"/>
  <c r="D2406" i="1"/>
  <c r="F2406" i="1" s="1"/>
  <c r="E2406" i="1"/>
  <c r="D2407" i="1"/>
  <c r="F2407" i="1" s="1"/>
  <c r="E2407" i="1"/>
  <c r="D2408" i="1"/>
  <c r="F2408" i="1" s="1"/>
  <c r="E2408" i="1"/>
  <c r="D2409" i="1"/>
  <c r="F2409" i="1" s="1"/>
  <c r="E2409" i="1"/>
  <c r="D2410" i="1"/>
  <c r="F2410" i="1" s="1"/>
  <c r="E2410" i="1"/>
  <c r="D2411" i="1"/>
  <c r="F2411" i="1" s="1"/>
  <c r="E2411" i="1"/>
  <c r="D2412" i="1"/>
  <c r="F2412" i="1" s="1"/>
  <c r="E2412" i="1"/>
  <c r="D2413" i="1"/>
  <c r="F2413" i="1" s="1"/>
  <c r="E2413" i="1"/>
  <c r="D2414" i="1"/>
  <c r="F2414" i="1" s="1"/>
  <c r="E2414" i="1"/>
  <c r="D2415" i="1"/>
  <c r="F2415" i="1" s="1"/>
  <c r="E2415" i="1"/>
  <c r="D2416" i="1"/>
  <c r="F2416" i="1" s="1"/>
  <c r="E2416" i="1"/>
  <c r="D2417" i="1"/>
  <c r="F2417" i="1" s="1"/>
  <c r="E2417" i="1"/>
  <c r="D2418" i="1"/>
  <c r="F2418" i="1" s="1"/>
  <c r="E2418" i="1"/>
  <c r="D2419" i="1"/>
  <c r="F2419" i="1" s="1"/>
  <c r="E2419" i="1"/>
  <c r="D2420" i="1"/>
  <c r="F2420" i="1" s="1"/>
  <c r="E2420" i="1"/>
  <c r="D2421" i="1"/>
  <c r="F2421" i="1" s="1"/>
  <c r="E2421" i="1"/>
  <c r="D2422" i="1"/>
  <c r="F2422" i="1" s="1"/>
  <c r="E2422" i="1"/>
  <c r="D2423" i="1"/>
  <c r="F2423" i="1" s="1"/>
  <c r="E2423" i="1"/>
  <c r="D2424" i="1"/>
  <c r="F2424" i="1" s="1"/>
  <c r="E2424" i="1"/>
  <c r="D2425" i="1"/>
  <c r="F2425" i="1" s="1"/>
  <c r="E2425" i="1"/>
  <c r="D2426" i="1"/>
  <c r="F2426" i="1" s="1"/>
  <c r="E2426" i="1"/>
  <c r="D2427" i="1"/>
  <c r="F2427" i="1" s="1"/>
  <c r="E2427" i="1"/>
  <c r="D2428" i="1"/>
  <c r="F2428" i="1" s="1"/>
  <c r="E2428" i="1"/>
  <c r="D2429" i="1"/>
  <c r="F2429" i="1" s="1"/>
  <c r="E2429" i="1"/>
  <c r="D2430" i="1"/>
  <c r="F2430" i="1" s="1"/>
  <c r="E2430" i="1"/>
  <c r="D2431" i="1"/>
  <c r="F2431" i="1" s="1"/>
  <c r="E2431" i="1"/>
  <c r="D2432" i="1"/>
  <c r="F2432" i="1" s="1"/>
  <c r="E2432" i="1"/>
  <c r="D2433" i="1"/>
  <c r="F2433" i="1" s="1"/>
  <c r="E2433" i="1"/>
  <c r="D2434" i="1"/>
  <c r="F2434" i="1" s="1"/>
  <c r="E2434" i="1"/>
  <c r="D2435" i="1"/>
  <c r="F2435" i="1" s="1"/>
  <c r="E2435" i="1"/>
  <c r="D2436" i="1"/>
  <c r="F2436" i="1" s="1"/>
  <c r="E2436" i="1"/>
  <c r="D2437" i="1"/>
  <c r="F2437" i="1" s="1"/>
  <c r="E2437" i="1"/>
  <c r="D2438" i="1"/>
  <c r="F2438" i="1" s="1"/>
  <c r="E2438" i="1"/>
  <c r="D2439" i="1"/>
  <c r="F2439" i="1" s="1"/>
  <c r="E2439" i="1"/>
  <c r="D2440" i="1"/>
  <c r="F2440" i="1" s="1"/>
  <c r="E2440" i="1"/>
  <c r="D2441" i="1"/>
  <c r="F2441" i="1" s="1"/>
  <c r="E2441" i="1"/>
  <c r="D2442" i="1"/>
  <c r="F2442" i="1" s="1"/>
  <c r="E2442" i="1"/>
  <c r="D2443" i="1"/>
  <c r="F2443" i="1" s="1"/>
  <c r="E2443" i="1"/>
  <c r="D2444" i="1"/>
  <c r="F2444" i="1" s="1"/>
  <c r="E2444" i="1"/>
  <c r="D2445" i="1"/>
  <c r="F2445" i="1" s="1"/>
  <c r="E2445" i="1"/>
  <c r="D2446" i="1"/>
  <c r="F2446" i="1" s="1"/>
  <c r="E2446" i="1"/>
  <c r="D2447" i="1"/>
  <c r="F2447" i="1" s="1"/>
  <c r="E2447" i="1"/>
  <c r="D2448" i="1"/>
  <c r="F2448" i="1" s="1"/>
  <c r="E2448" i="1"/>
  <c r="D2449" i="1"/>
  <c r="F2449" i="1" s="1"/>
  <c r="E2449" i="1"/>
  <c r="D2450" i="1"/>
  <c r="F2450" i="1" s="1"/>
  <c r="E2450" i="1"/>
  <c r="D2451" i="1"/>
  <c r="F2451" i="1" s="1"/>
  <c r="E2451" i="1"/>
  <c r="D2452" i="1"/>
  <c r="F2452" i="1" s="1"/>
  <c r="E2452" i="1"/>
  <c r="D2453" i="1"/>
  <c r="F2453" i="1" s="1"/>
  <c r="E2453" i="1"/>
  <c r="D2454" i="1"/>
  <c r="F2454" i="1" s="1"/>
  <c r="E2454" i="1"/>
  <c r="D2455" i="1"/>
  <c r="F2455" i="1" s="1"/>
  <c r="E2455" i="1"/>
  <c r="D2456" i="1"/>
  <c r="F2456" i="1" s="1"/>
  <c r="E2456" i="1"/>
  <c r="D2457" i="1"/>
  <c r="F2457" i="1" s="1"/>
  <c r="E2457" i="1"/>
  <c r="D2458" i="1"/>
  <c r="F2458" i="1" s="1"/>
  <c r="E2458" i="1"/>
  <c r="D2459" i="1"/>
  <c r="F2459" i="1" s="1"/>
  <c r="E2459" i="1"/>
  <c r="D2460" i="1"/>
  <c r="F2460" i="1" s="1"/>
  <c r="E2460" i="1"/>
  <c r="D2461" i="1"/>
  <c r="F2461" i="1" s="1"/>
  <c r="E2461" i="1"/>
  <c r="D2462" i="1"/>
  <c r="F2462" i="1" s="1"/>
  <c r="E2462" i="1"/>
  <c r="D2463" i="1"/>
  <c r="F2463" i="1" s="1"/>
  <c r="E2463" i="1"/>
  <c r="D2464" i="1"/>
  <c r="F2464" i="1" s="1"/>
  <c r="E2464" i="1"/>
  <c r="D2465" i="1"/>
  <c r="F2465" i="1" s="1"/>
  <c r="E2465" i="1"/>
  <c r="D2466" i="1"/>
  <c r="F2466" i="1" s="1"/>
  <c r="E2466" i="1"/>
  <c r="D2467" i="1"/>
  <c r="F2467" i="1" s="1"/>
  <c r="E2467" i="1"/>
  <c r="D2468" i="1"/>
  <c r="F2468" i="1" s="1"/>
  <c r="E2468" i="1"/>
  <c r="D2469" i="1"/>
  <c r="F2469" i="1" s="1"/>
  <c r="E2469" i="1"/>
  <c r="D2470" i="1"/>
  <c r="F2470" i="1" s="1"/>
  <c r="E2470" i="1"/>
  <c r="D2471" i="1"/>
  <c r="F2471" i="1" s="1"/>
  <c r="E2471" i="1"/>
  <c r="D2472" i="1"/>
  <c r="F2472" i="1" s="1"/>
  <c r="E2472" i="1"/>
  <c r="D2473" i="1"/>
  <c r="F2473" i="1" s="1"/>
  <c r="E2473" i="1"/>
  <c r="D2474" i="1"/>
  <c r="F2474" i="1" s="1"/>
  <c r="E2474" i="1"/>
  <c r="D2475" i="1"/>
  <c r="F2475" i="1" s="1"/>
  <c r="E2475" i="1"/>
  <c r="D2476" i="1"/>
  <c r="F2476" i="1" s="1"/>
  <c r="E2476" i="1"/>
  <c r="D2477" i="1"/>
  <c r="F2477" i="1" s="1"/>
  <c r="E2477" i="1"/>
  <c r="D2478" i="1"/>
  <c r="F2478" i="1" s="1"/>
  <c r="E2478" i="1"/>
  <c r="D2479" i="1"/>
  <c r="F2479" i="1" s="1"/>
  <c r="E2479" i="1"/>
  <c r="D2480" i="1"/>
  <c r="F2480" i="1" s="1"/>
  <c r="E2480" i="1"/>
  <c r="D2481" i="1"/>
  <c r="F2481" i="1" s="1"/>
  <c r="E2481" i="1"/>
  <c r="D2482" i="1"/>
  <c r="F2482" i="1" s="1"/>
  <c r="E2482" i="1"/>
  <c r="D2483" i="1"/>
  <c r="F2483" i="1" s="1"/>
  <c r="E2483" i="1"/>
  <c r="D2484" i="1"/>
  <c r="F2484" i="1" s="1"/>
  <c r="E2484" i="1"/>
  <c r="D2485" i="1"/>
  <c r="F2485" i="1" s="1"/>
  <c r="E2485" i="1"/>
  <c r="D2486" i="1"/>
  <c r="F2486" i="1" s="1"/>
  <c r="E2486" i="1"/>
  <c r="D2487" i="1"/>
  <c r="F2487" i="1" s="1"/>
  <c r="E2487" i="1"/>
  <c r="D2488" i="1"/>
  <c r="F2488" i="1" s="1"/>
  <c r="E2488" i="1"/>
  <c r="D2489" i="1"/>
  <c r="F2489" i="1" s="1"/>
  <c r="E2489" i="1"/>
  <c r="D2490" i="1"/>
  <c r="F2490" i="1" s="1"/>
  <c r="E2490" i="1"/>
  <c r="D2491" i="1"/>
  <c r="F2491" i="1" s="1"/>
  <c r="E2491" i="1"/>
  <c r="D2492" i="1"/>
  <c r="F2492" i="1" s="1"/>
  <c r="E2492" i="1"/>
  <c r="D2493" i="1"/>
  <c r="F2493" i="1" s="1"/>
  <c r="E2493" i="1"/>
  <c r="D2494" i="1"/>
  <c r="F2494" i="1" s="1"/>
  <c r="E2494" i="1"/>
  <c r="D2495" i="1"/>
  <c r="F2495" i="1" s="1"/>
  <c r="E2495" i="1"/>
  <c r="D2496" i="1"/>
  <c r="F2496" i="1" s="1"/>
  <c r="E2496" i="1"/>
  <c r="D2497" i="1"/>
  <c r="F2497" i="1" s="1"/>
  <c r="E2497" i="1"/>
  <c r="D2498" i="1"/>
  <c r="F2498" i="1" s="1"/>
  <c r="E2498" i="1"/>
  <c r="D2499" i="1"/>
  <c r="F2499" i="1" s="1"/>
  <c r="E2499" i="1"/>
  <c r="D2500" i="1"/>
  <c r="F2500" i="1" s="1"/>
  <c r="E2500" i="1"/>
  <c r="D2501" i="1"/>
  <c r="F2501" i="1" s="1"/>
  <c r="E2501" i="1"/>
  <c r="D2502" i="1"/>
  <c r="F2502" i="1" s="1"/>
  <c r="E2502" i="1"/>
  <c r="D2503" i="1"/>
  <c r="F2503" i="1" s="1"/>
  <c r="E2503" i="1"/>
  <c r="D2504" i="1"/>
  <c r="F2504" i="1" s="1"/>
  <c r="E2504" i="1"/>
  <c r="D2505" i="1"/>
  <c r="F2505" i="1" s="1"/>
  <c r="E2505" i="1"/>
  <c r="D2506" i="1"/>
  <c r="F2506" i="1" s="1"/>
  <c r="E2506" i="1"/>
  <c r="D2507" i="1"/>
  <c r="F2507" i="1" s="1"/>
  <c r="E2507" i="1"/>
  <c r="D2508" i="1"/>
  <c r="F2508" i="1" s="1"/>
  <c r="E2508" i="1"/>
  <c r="D2509" i="1"/>
  <c r="F2509" i="1" s="1"/>
  <c r="E2509" i="1"/>
  <c r="D2510" i="1"/>
  <c r="F2510" i="1" s="1"/>
  <c r="E2510" i="1"/>
  <c r="D2511" i="1"/>
  <c r="F2511" i="1" s="1"/>
  <c r="E2511" i="1"/>
  <c r="D2512" i="1"/>
  <c r="F2512" i="1" s="1"/>
  <c r="E2512" i="1"/>
  <c r="D2513" i="1"/>
  <c r="F2513" i="1" s="1"/>
  <c r="E2513" i="1"/>
  <c r="D2514" i="1"/>
  <c r="F2514" i="1" s="1"/>
  <c r="E2514" i="1"/>
  <c r="D2515" i="1"/>
  <c r="F2515" i="1" s="1"/>
  <c r="E2515" i="1"/>
  <c r="D2516" i="1"/>
  <c r="F2516" i="1" s="1"/>
  <c r="E2516" i="1"/>
  <c r="D2517" i="1"/>
  <c r="F2517" i="1" s="1"/>
  <c r="E2517" i="1"/>
  <c r="D2518" i="1"/>
  <c r="F2518" i="1" s="1"/>
  <c r="E2518" i="1"/>
  <c r="D2519" i="1"/>
  <c r="F2519" i="1" s="1"/>
  <c r="E2519" i="1"/>
  <c r="D2520" i="1"/>
  <c r="F2520" i="1" s="1"/>
  <c r="E2520" i="1"/>
  <c r="D2521" i="1"/>
  <c r="F2521" i="1" s="1"/>
  <c r="E2521" i="1"/>
  <c r="D2522" i="1"/>
  <c r="F2522" i="1" s="1"/>
  <c r="E2522" i="1"/>
  <c r="D2523" i="1"/>
  <c r="F2523" i="1" s="1"/>
  <c r="E2523" i="1"/>
  <c r="D2524" i="1"/>
  <c r="F2524" i="1" s="1"/>
  <c r="E2524" i="1"/>
  <c r="D2525" i="1"/>
  <c r="F2525" i="1" s="1"/>
  <c r="E2525" i="1"/>
  <c r="D2526" i="1"/>
  <c r="F2526" i="1" s="1"/>
  <c r="E2526" i="1"/>
  <c r="D2527" i="1"/>
  <c r="F2527" i="1" s="1"/>
  <c r="E2527" i="1"/>
  <c r="D2528" i="1"/>
  <c r="F2528" i="1" s="1"/>
  <c r="E2528" i="1"/>
  <c r="D2529" i="1"/>
  <c r="F2529" i="1" s="1"/>
  <c r="E2529" i="1"/>
  <c r="D2530" i="1"/>
  <c r="F2530" i="1" s="1"/>
  <c r="E2530" i="1"/>
  <c r="D2531" i="1"/>
  <c r="F2531" i="1" s="1"/>
  <c r="E2531" i="1"/>
  <c r="D2532" i="1"/>
  <c r="F2532" i="1" s="1"/>
  <c r="E2532" i="1"/>
  <c r="D2533" i="1"/>
  <c r="F2533" i="1" s="1"/>
  <c r="E2533" i="1"/>
  <c r="D2534" i="1"/>
  <c r="F2534" i="1" s="1"/>
  <c r="E2534" i="1"/>
  <c r="D2535" i="1"/>
  <c r="F2535" i="1" s="1"/>
  <c r="E2535" i="1"/>
  <c r="D2536" i="1"/>
  <c r="F2536" i="1" s="1"/>
  <c r="E2536" i="1"/>
  <c r="D2537" i="1"/>
  <c r="F2537" i="1" s="1"/>
  <c r="E2537" i="1"/>
  <c r="D2538" i="1"/>
  <c r="F2538" i="1" s="1"/>
  <c r="E2538" i="1"/>
  <c r="D2539" i="1"/>
  <c r="F2539" i="1" s="1"/>
  <c r="E2539" i="1"/>
  <c r="D2540" i="1"/>
  <c r="F2540" i="1" s="1"/>
  <c r="E2540" i="1"/>
  <c r="D2541" i="1"/>
  <c r="F2541" i="1" s="1"/>
  <c r="E2541" i="1"/>
  <c r="D2542" i="1"/>
  <c r="F2542" i="1" s="1"/>
  <c r="E2542" i="1"/>
  <c r="D2543" i="1"/>
  <c r="F2543" i="1" s="1"/>
  <c r="E2543" i="1"/>
  <c r="D2544" i="1"/>
  <c r="F2544" i="1" s="1"/>
  <c r="E2544" i="1"/>
  <c r="D2545" i="1"/>
  <c r="F2545" i="1" s="1"/>
  <c r="E2545" i="1"/>
  <c r="D2546" i="1"/>
  <c r="F2546" i="1" s="1"/>
  <c r="E2546" i="1"/>
  <c r="D2547" i="1"/>
  <c r="F2547" i="1" s="1"/>
  <c r="E2547" i="1"/>
  <c r="D2548" i="1"/>
  <c r="F2548" i="1" s="1"/>
  <c r="E2548" i="1"/>
  <c r="D2549" i="1"/>
  <c r="F2549" i="1" s="1"/>
  <c r="E2549" i="1"/>
  <c r="D2550" i="1"/>
  <c r="F2550" i="1" s="1"/>
  <c r="E2550" i="1"/>
  <c r="D2551" i="1"/>
  <c r="F2551" i="1" s="1"/>
  <c r="E2551" i="1"/>
  <c r="D2552" i="1"/>
  <c r="F2552" i="1" s="1"/>
  <c r="E2552" i="1"/>
  <c r="D2553" i="1"/>
  <c r="F2553" i="1" s="1"/>
  <c r="E2553" i="1"/>
  <c r="D2554" i="1"/>
  <c r="F2554" i="1" s="1"/>
  <c r="E2554" i="1"/>
  <c r="D2555" i="1"/>
  <c r="F2555" i="1" s="1"/>
  <c r="E2555" i="1"/>
  <c r="D2556" i="1"/>
  <c r="F2556" i="1" s="1"/>
  <c r="E2556" i="1"/>
  <c r="D2557" i="1"/>
  <c r="F2557" i="1" s="1"/>
  <c r="E2557" i="1"/>
  <c r="D2558" i="1"/>
  <c r="F2558" i="1" s="1"/>
  <c r="E2558" i="1"/>
  <c r="D2559" i="1"/>
  <c r="F2559" i="1" s="1"/>
  <c r="E2559" i="1"/>
  <c r="D2560" i="1"/>
  <c r="F2560" i="1" s="1"/>
  <c r="E2560" i="1"/>
  <c r="D2561" i="1"/>
  <c r="F2561" i="1" s="1"/>
  <c r="E2561" i="1"/>
  <c r="D2562" i="1"/>
  <c r="F2562" i="1" s="1"/>
  <c r="E2562" i="1"/>
  <c r="D2563" i="1"/>
  <c r="F2563" i="1" s="1"/>
  <c r="E2563" i="1"/>
  <c r="D2564" i="1"/>
  <c r="F2564" i="1" s="1"/>
  <c r="E2564" i="1"/>
  <c r="D2565" i="1"/>
  <c r="F2565" i="1" s="1"/>
  <c r="E2565" i="1"/>
  <c r="D2566" i="1"/>
  <c r="F2566" i="1" s="1"/>
  <c r="E2566" i="1"/>
  <c r="D2567" i="1"/>
  <c r="F2567" i="1" s="1"/>
  <c r="E2567" i="1"/>
  <c r="D2568" i="1"/>
  <c r="F2568" i="1" s="1"/>
  <c r="E2568" i="1"/>
  <c r="D2569" i="1"/>
  <c r="F2569" i="1" s="1"/>
  <c r="E2569" i="1"/>
  <c r="D2570" i="1"/>
  <c r="F2570" i="1" s="1"/>
  <c r="E2570" i="1"/>
  <c r="D2571" i="1"/>
  <c r="F2571" i="1" s="1"/>
  <c r="E2571" i="1"/>
  <c r="D2572" i="1"/>
  <c r="F2572" i="1" s="1"/>
  <c r="E2572" i="1"/>
  <c r="D2573" i="1"/>
  <c r="F2573" i="1" s="1"/>
  <c r="E2573" i="1"/>
  <c r="D2574" i="1"/>
  <c r="F2574" i="1" s="1"/>
  <c r="E2574" i="1"/>
  <c r="D2575" i="1"/>
  <c r="F2575" i="1" s="1"/>
  <c r="E2575" i="1"/>
  <c r="D2576" i="1"/>
  <c r="F2576" i="1" s="1"/>
  <c r="E2576" i="1"/>
  <c r="D2577" i="1"/>
  <c r="F2577" i="1" s="1"/>
  <c r="E2577" i="1"/>
  <c r="D2578" i="1"/>
  <c r="F2578" i="1" s="1"/>
  <c r="E2578" i="1"/>
  <c r="D2579" i="1"/>
  <c r="F2579" i="1" s="1"/>
  <c r="E2579" i="1"/>
  <c r="D2580" i="1"/>
  <c r="F2580" i="1" s="1"/>
  <c r="E2580" i="1"/>
  <c r="D2581" i="1"/>
  <c r="F2581" i="1" s="1"/>
  <c r="E2581" i="1"/>
  <c r="D2582" i="1"/>
  <c r="F2582" i="1" s="1"/>
  <c r="E2582" i="1"/>
  <c r="D2583" i="1"/>
  <c r="F2583" i="1" s="1"/>
  <c r="E2583" i="1"/>
  <c r="D2584" i="1"/>
  <c r="F2584" i="1" s="1"/>
  <c r="E2584" i="1"/>
  <c r="D2585" i="1"/>
  <c r="F2585" i="1" s="1"/>
  <c r="E2585" i="1"/>
  <c r="D2586" i="1"/>
  <c r="F2586" i="1" s="1"/>
  <c r="E2586" i="1"/>
  <c r="D2587" i="1"/>
  <c r="F2587" i="1" s="1"/>
  <c r="E2587" i="1"/>
  <c r="D2588" i="1"/>
  <c r="F2588" i="1" s="1"/>
  <c r="E2588" i="1"/>
  <c r="D2589" i="1"/>
  <c r="F2589" i="1" s="1"/>
  <c r="E2589" i="1"/>
  <c r="D2590" i="1"/>
  <c r="F2590" i="1" s="1"/>
  <c r="E2590" i="1"/>
  <c r="D2591" i="1"/>
  <c r="F2591" i="1" s="1"/>
  <c r="E2591" i="1"/>
  <c r="D2592" i="1"/>
  <c r="F2592" i="1" s="1"/>
  <c r="E2592" i="1"/>
  <c r="D2593" i="1"/>
  <c r="F2593" i="1" s="1"/>
  <c r="E2593" i="1"/>
  <c r="D2594" i="1"/>
  <c r="F2594" i="1" s="1"/>
  <c r="E2594" i="1"/>
  <c r="D2595" i="1"/>
  <c r="F2595" i="1" s="1"/>
  <c r="E2595" i="1"/>
  <c r="D2596" i="1"/>
  <c r="F2596" i="1" s="1"/>
  <c r="E2596" i="1"/>
  <c r="D2597" i="1"/>
  <c r="F2597" i="1" s="1"/>
  <c r="E2597" i="1"/>
  <c r="D2598" i="1"/>
  <c r="F2598" i="1" s="1"/>
  <c r="E2598" i="1"/>
  <c r="D2599" i="1"/>
  <c r="F2599" i="1" s="1"/>
  <c r="E2599" i="1"/>
  <c r="D2600" i="1"/>
  <c r="F2600" i="1" s="1"/>
  <c r="E2600" i="1"/>
  <c r="D2601" i="1"/>
  <c r="F2601" i="1" s="1"/>
  <c r="E2601" i="1"/>
  <c r="D2602" i="1"/>
  <c r="F2602" i="1" s="1"/>
  <c r="E2602" i="1"/>
  <c r="D2603" i="1"/>
  <c r="F2603" i="1" s="1"/>
  <c r="E2603" i="1"/>
  <c r="D2604" i="1"/>
  <c r="F2604" i="1" s="1"/>
  <c r="E2604" i="1"/>
  <c r="D2605" i="1"/>
  <c r="F2605" i="1" s="1"/>
  <c r="E2605" i="1"/>
  <c r="D2606" i="1"/>
  <c r="F2606" i="1" s="1"/>
  <c r="E2606" i="1"/>
  <c r="D2607" i="1"/>
  <c r="F2607" i="1" s="1"/>
  <c r="E2607" i="1"/>
  <c r="D2608" i="1"/>
  <c r="F2608" i="1" s="1"/>
  <c r="E2608" i="1"/>
  <c r="D2609" i="1"/>
  <c r="F2609" i="1" s="1"/>
  <c r="E2609" i="1"/>
  <c r="D2610" i="1"/>
  <c r="F2610" i="1" s="1"/>
  <c r="E2610" i="1"/>
  <c r="D2611" i="1"/>
  <c r="F2611" i="1" s="1"/>
  <c r="E2611" i="1"/>
  <c r="D2612" i="1"/>
  <c r="F2612" i="1" s="1"/>
  <c r="E2612" i="1"/>
  <c r="D2613" i="1"/>
  <c r="F2613" i="1" s="1"/>
  <c r="E2613" i="1"/>
  <c r="D2614" i="1"/>
  <c r="F2614" i="1" s="1"/>
  <c r="E2614" i="1"/>
  <c r="D2615" i="1"/>
  <c r="F2615" i="1" s="1"/>
  <c r="E2615" i="1"/>
  <c r="D2616" i="1"/>
  <c r="F2616" i="1" s="1"/>
  <c r="E2616" i="1"/>
  <c r="D2617" i="1"/>
  <c r="F2617" i="1" s="1"/>
  <c r="E2617" i="1"/>
  <c r="D2618" i="1"/>
  <c r="F2618" i="1" s="1"/>
  <c r="E2618" i="1"/>
  <c r="D2619" i="1"/>
  <c r="F2619" i="1" s="1"/>
  <c r="E2619" i="1"/>
  <c r="D2620" i="1"/>
  <c r="F2620" i="1" s="1"/>
  <c r="E2620" i="1"/>
  <c r="D2621" i="1"/>
  <c r="F2621" i="1" s="1"/>
  <c r="E2621" i="1"/>
  <c r="D2622" i="1"/>
  <c r="F2622" i="1" s="1"/>
  <c r="E2622" i="1"/>
  <c r="D2623" i="1"/>
  <c r="F2623" i="1" s="1"/>
  <c r="E2623" i="1"/>
  <c r="D2624" i="1"/>
  <c r="F2624" i="1" s="1"/>
  <c r="E2624" i="1"/>
  <c r="D2625" i="1"/>
  <c r="F2625" i="1" s="1"/>
  <c r="E2625" i="1"/>
  <c r="D2626" i="1"/>
  <c r="F2626" i="1" s="1"/>
  <c r="E2626" i="1"/>
  <c r="D2627" i="1"/>
  <c r="F2627" i="1" s="1"/>
  <c r="E2627" i="1"/>
  <c r="D2628" i="1"/>
  <c r="F2628" i="1" s="1"/>
  <c r="E2628" i="1"/>
  <c r="D2629" i="1"/>
  <c r="F2629" i="1" s="1"/>
  <c r="E2629" i="1"/>
  <c r="D2630" i="1"/>
  <c r="F2630" i="1" s="1"/>
  <c r="E2630" i="1"/>
  <c r="D2631" i="1"/>
  <c r="F2631" i="1" s="1"/>
  <c r="E2631" i="1"/>
  <c r="D2632" i="1"/>
  <c r="F2632" i="1" s="1"/>
  <c r="E2632" i="1"/>
  <c r="D2633" i="1"/>
  <c r="F2633" i="1" s="1"/>
  <c r="E2633" i="1"/>
  <c r="D2634" i="1"/>
  <c r="F2634" i="1" s="1"/>
  <c r="E2634" i="1"/>
  <c r="D2635" i="1"/>
  <c r="F2635" i="1" s="1"/>
  <c r="E2635" i="1"/>
  <c r="D2636" i="1"/>
  <c r="F2636" i="1" s="1"/>
  <c r="E2636" i="1"/>
  <c r="D2637" i="1"/>
  <c r="F2637" i="1" s="1"/>
  <c r="E2637" i="1"/>
  <c r="D2638" i="1"/>
  <c r="F2638" i="1" s="1"/>
  <c r="E2638" i="1"/>
  <c r="D2639" i="1"/>
  <c r="F2639" i="1" s="1"/>
  <c r="E2639" i="1"/>
  <c r="D2640" i="1"/>
  <c r="F2640" i="1" s="1"/>
  <c r="E2640" i="1"/>
  <c r="D2641" i="1"/>
  <c r="F2641" i="1" s="1"/>
  <c r="E2641" i="1"/>
  <c r="D2642" i="1"/>
  <c r="F2642" i="1" s="1"/>
  <c r="E2642" i="1"/>
  <c r="D2643" i="1"/>
  <c r="F2643" i="1" s="1"/>
  <c r="E2643" i="1"/>
  <c r="D2644" i="1"/>
  <c r="F2644" i="1" s="1"/>
  <c r="E2644" i="1"/>
  <c r="D2645" i="1"/>
  <c r="F2645" i="1" s="1"/>
  <c r="E2645" i="1"/>
  <c r="D2646" i="1"/>
  <c r="F2646" i="1" s="1"/>
  <c r="E2646" i="1"/>
  <c r="D2647" i="1"/>
  <c r="F2647" i="1" s="1"/>
  <c r="E2647" i="1"/>
  <c r="D2648" i="1"/>
  <c r="F2648" i="1" s="1"/>
  <c r="E2648" i="1"/>
  <c r="D2649" i="1"/>
  <c r="F2649" i="1" s="1"/>
  <c r="E2649" i="1"/>
  <c r="D2650" i="1"/>
  <c r="F2650" i="1" s="1"/>
  <c r="E2650" i="1"/>
  <c r="D2651" i="1"/>
  <c r="F2651" i="1" s="1"/>
  <c r="E2651" i="1"/>
  <c r="D2652" i="1"/>
  <c r="F2652" i="1" s="1"/>
  <c r="E2652" i="1"/>
  <c r="D2653" i="1"/>
  <c r="F2653" i="1" s="1"/>
  <c r="E2653" i="1"/>
  <c r="D2654" i="1"/>
  <c r="F2654" i="1" s="1"/>
  <c r="E2654" i="1"/>
  <c r="D2655" i="1"/>
  <c r="F2655" i="1" s="1"/>
  <c r="E2655" i="1"/>
  <c r="D2656" i="1"/>
  <c r="F2656" i="1" s="1"/>
  <c r="E2656" i="1"/>
  <c r="D2657" i="1"/>
  <c r="F2657" i="1" s="1"/>
  <c r="E2657" i="1"/>
  <c r="D2658" i="1"/>
  <c r="F2658" i="1" s="1"/>
  <c r="E2658" i="1"/>
  <c r="D2659" i="1"/>
  <c r="F2659" i="1" s="1"/>
  <c r="E2659" i="1"/>
  <c r="D2660" i="1"/>
  <c r="F2660" i="1" s="1"/>
  <c r="E2660" i="1"/>
  <c r="D2661" i="1"/>
  <c r="F2661" i="1" s="1"/>
  <c r="E2661" i="1"/>
  <c r="D2662" i="1"/>
  <c r="F2662" i="1" s="1"/>
  <c r="E2662" i="1"/>
  <c r="D2663" i="1"/>
  <c r="F2663" i="1" s="1"/>
  <c r="E2663" i="1"/>
  <c r="D2664" i="1"/>
  <c r="F2664" i="1" s="1"/>
  <c r="E2664" i="1"/>
  <c r="D2665" i="1"/>
  <c r="F2665" i="1" s="1"/>
  <c r="E2665" i="1"/>
  <c r="D2666" i="1"/>
  <c r="F2666" i="1" s="1"/>
  <c r="E2666" i="1"/>
  <c r="D2667" i="1"/>
  <c r="F2667" i="1" s="1"/>
  <c r="E2667" i="1"/>
  <c r="D2668" i="1"/>
  <c r="F2668" i="1" s="1"/>
  <c r="E2668" i="1"/>
  <c r="D2669" i="1"/>
  <c r="F2669" i="1" s="1"/>
  <c r="E2669" i="1"/>
  <c r="D2670" i="1"/>
  <c r="F2670" i="1" s="1"/>
  <c r="E2670" i="1"/>
  <c r="D2671" i="1"/>
  <c r="F2671" i="1" s="1"/>
  <c r="E2671" i="1"/>
  <c r="D2672" i="1"/>
  <c r="F2672" i="1" s="1"/>
  <c r="E2672" i="1"/>
  <c r="D2673" i="1"/>
  <c r="F2673" i="1" s="1"/>
  <c r="E2673" i="1"/>
  <c r="D2674" i="1"/>
  <c r="F2674" i="1" s="1"/>
  <c r="E2674" i="1"/>
  <c r="D2675" i="1"/>
  <c r="F2675" i="1" s="1"/>
  <c r="E2675" i="1"/>
  <c r="D2676" i="1"/>
  <c r="F2676" i="1" s="1"/>
  <c r="E2676" i="1"/>
  <c r="D2677" i="1"/>
  <c r="F2677" i="1" s="1"/>
  <c r="E2677" i="1"/>
  <c r="D2678" i="1"/>
  <c r="F2678" i="1" s="1"/>
  <c r="E2678" i="1"/>
  <c r="D2679" i="1"/>
  <c r="F2679" i="1" s="1"/>
  <c r="E2679" i="1"/>
  <c r="D2680" i="1"/>
  <c r="F2680" i="1" s="1"/>
  <c r="E2680" i="1"/>
  <c r="D2681" i="1"/>
  <c r="F2681" i="1" s="1"/>
  <c r="E2681" i="1"/>
  <c r="D2682" i="1"/>
  <c r="F2682" i="1" s="1"/>
  <c r="E2682" i="1"/>
  <c r="D2683" i="1"/>
  <c r="F2683" i="1" s="1"/>
  <c r="E2683" i="1"/>
  <c r="D2684" i="1"/>
  <c r="F2684" i="1" s="1"/>
  <c r="E2684" i="1"/>
  <c r="D2685" i="1"/>
  <c r="F2685" i="1" s="1"/>
  <c r="E2685" i="1"/>
  <c r="D2686" i="1"/>
  <c r="F2686" i="1" s="1"/>
  <c r="E2686" i="1"/>
  <c r="D2687" i="1"/>
  <c r="F2687" i="1" s="1"/>
  <c r="E2687" i="1"/>
  <c r="D2688" i="1"/>
  <c r="F2688" i="1" s="1"/>
  <c r="E2688" i="1"/>
  <c r="D2689" i="1"/>
  <c r="F2689" i="1" s="1"/>
  <c r="E2689" i="1"/>
  <c r="D2690" i="1"/>
  <c r="F2690" i="1" s="1"/>
  <c r="E2690" i="1"/>
  <c r="D2691" i="1"/>
  <c r="F2691" i="1" s="1"/>
  <c r="E2691" i="1"/>
  <c r="D2692" i="1"/>
  <c r="F2692" i="1" s="1"/>
  <c r="E2692" i="1"/>
  <c r="D2693" i="1"/>
  <c r="F2693" i="1" s="1"/>
  <c r="E2693" i="1"/>
  <c r="D2694" i="1"/>
  <c r="F2694" i="1" s="1"/>
  <c r="E2694" i="1"/>
  <c r="D2695" i="1"/>
  <c r="F2695" i="1" s="1"/>
  <c r="E2695" i="1"/>
  <c r="D2696" i="1"/>
  <c r="F2696" i="1" s="1"/>
  <c r="E2696" i="1"/>
  <c r="D2697" i="1"/>
  <c r="F2697" i="1" s="1"/>
  <c r="E2697" i="1"/>
  <c r="D2698" i="1"/>
  <c r="F2698" i="1" s="1"/>
  <c r="E2698" i="1"/>
  <c r="D2699" i="1"/>
  <c r="F2699" i="1" s="1"/>
  <c r="E2699" i="1"/>
  <c r="D2700" i="1"/>
  <c r="F2700" i="1" s="1"/>
  <c r="E2700" i="1"/>
  <c r="D2701" i="1"/>
  <c r="F2701" i="1" s="1"/>
  <c r="E2701" i="1"/>
  <c r="D2702" i="1"/>
  <c r="F2702" i="1" s="1"/>
  <c r="E2702" i="1"/>
  <c r="D2703" i="1"/>
  <c r="F2703" i="1" s="1"/>
  <c r="E2703" i="1"/>
  <c r="D2704" i="1"/>
  <c r="F2704" i="1" s="1"/>
  <c r="E2704" i="1"/>
  <c r="D2705" i="1"/>
  <c r="F2705" i="1" s="1"/>
  <c r="E2705" i="1"/>
  <c r="D2706" i="1"/>
  <c r="F2706" i="1" s="1"/>
  <c r="E2706" i="1"/>
  <c r="D2707" i="1"/>
  <c r="F2707" i="1" s="1"/>
  <c r="E2707" i="1"/>
  <c r="D2708" i="1"/>
  <c r="F2708" i="1" s="1"/>
  <c r="E2708" i="1"/>
  <c r="D2709" i="1"/>
  <c r="F2709" i="1" s="1"/>
  <c r="E2709" i="1"/>
  <c r="D2710" i="1"/>
  <c r="F2710" i="1" s="1"/>
  <c r="E2710" i="1"/>
  <c r="D2711" i="1"/>
  <c r="F2711" i="1" s="1"/>
  <c r="E2711" i="1"/>
  <c r="D2712" i="1"/>
  <c r="F2712" i="1" s="1"/>
  <c r="E2712" i="1"/>
  <c r="D2713" i="1"/>
  <c r="F2713" i="1" s="1"/>
  <c r="E2713" i="1"/>
  <c r="D2714" i="1"/>
  <c r="F2714" i="1" s="1"/>
  <c r="E2714" i="1"/>
  <c r="D2715" i="1"/>
  <c r="F2715" i="1" s="1"/>
  <c r="E2715" i="1"/>
  <c r="D2716" i="1"/>
  <c r="F2716" i="1" s="1"/>
  <c r="E2716" i="1"/>
  <c r="D2717" i="1"/>
  <c r="F2717" i="1" s="1"/>
  <c r="E2717" i="1"/>
  <c r="D2718" i="1"/>
  <c r="F2718" i="1" s="1"/>
  <c r="E2718" i="1"/>
  <c r="D2719" i="1"/>
  <c r="F2719" i="1" s="1"/>
  <c r="E2719" i="1"/>
  <c r="D2720" i="1"/>
  <c r="F2720" i="1" s="1"/>
  <c r="E2720" i="1"/>
  <c r="D2721" i="1"/>
  <c r="F2721" i="1" s="1"/>
  <c r="E2721" i="1"/>
  <c r="D2722" i="1"/>
  <c r="F2722" i="1" s="1"/>
  <c r="E2722" i="1"/>
  <c r="D2723" i="1"/>
  <c r="F2723" i="1" s="1"/>
  <c r="E2723" i="1"/>
  <c r="D2724" i="1"/>
  <c r="F2724" i="1" s="1"/>
  <c r="E2724" i="1"/>
  <c r="D2725" i="1"/>
  <c r="F2725" i="1" s="1"/>
  <c r="E2725" i="1"/>
  <c r="D2726" i="1"/>
  <c r="F2726" i="1" s="1"/>
  <c r="E2726" i="1"/>
  <c r="D2727" i="1"/>
  <c r="F2727" i="1" s="1"/>
  <c r="E2727" i="1"/>
  <c r="D2728" i="1"/>
  <c r="F2728" i="1" s="1"/>
  <c r="E2728" i="1"/>
  <c r="D2729" i="1"/>
  <c r="F2729" i="1" s="1"/>
  <c r="E2729" i="1"/>
  <c r="D2730" i="1"/>
  <c r="F2730" i="1" s="1"/>
  <c r="E2730" i="1"/>
  <c r="D2731" i="1"/>
  <c r="F2731" i="1" s="1"/>
  <c r="E2731" i="1"/>
  <c r="D2732" i="1"/>
  <c r="F2732" i="1" s="1"/>
  <c r="E2732" i="1"/>
  <c r="D2733" i="1"/>
  <c r="F2733" i="1" s="1"/>
  <c r="E2733" i="1"/>
  <c r="D2734" i="1"/>
  <c r="F2734" i="1" s="1"/>
  <c r="E2734" i="1"/>
  <c r="D2735" i="1"/>
  <c r="F2735" i="1" s="1"/>
  <c r="E2735" i="1"/>
  <c r="D2736" i="1"/>
  <c r="F2736" i="1" s="1"/>
  <c r="E2736" i="1"/>
  <c r="D2737" i="1"/>
  <c r="F2737" i="1" s="1"/>
  <c r="E2737" i="1"/>
  <c r="D2738" i="1"/>
  <c r="F2738" i="1" s="1"/>
  <c r="E2738" i="1"/>
  <c r="D2739" i="1"/>
  <c r="F2739" i="1" s="1"/>
  <c r="E2739" i="1"/>
  <c r="D2740" i="1"/>
  <c r="F2740" i="1" s="1"/>
  <c r="E2740" i="1"/>
  <c r="D2741" i="1"/>
  <c r="F2741" i="1" s="1"/>
  <c r="E2741" i="1"/>
  <c r="D2742" i="1"/>
  <c r="F2742" i="1" s="1"/>
  <c r="E2742" i="1"/>
  <c r="D2743" i="1"/>
  <c r="F2743" i="1" s="1"/>
  <c r="E2743" i="1"/>
  <c r="D2744" i="1"/>
  <c r="F2744" i="1" s="1"/>
  <c r="E2744" i="1"/>
  <c r="D2745" i="1"/>
  <c r="F2745" i="1" s="1"/>
  <c r="E2745" i="1"/>
  <c r="D2746" i="1"/>
  <c r="F2746" i="1" s="1"/>
  <c r="E2746" i="1"/>
  <c r="D2747" i="1"/>
  <c r="F2747" i="1" s="1"/>
  <c r="E2747" i="1"/>
  <c r="D2748" i="1"/>
  <c r="F2748" i="1" s="1"/>
  <c r="E2748" i="1"/>
  <c r="D2749" i="1"/>
  <c r="F2749" i="1" s="1"/>
  <c r="E2749" i="1"/>
  <c r="D2750" i="1"/>
  <c r="F2750" i="1" s="1"/>
  <c r="E2750" i="1"/>
  <c r="D2751" i="1"/>
  <c r="F2751" i="1" s="1"/>
  <c r="E2751" i="1"/>
  <c r="D2752" i="1"/>
  <c r="F2752" i="1" s="1"/>
  <c r="E2752" i="1"/>
  <c r="D2753" i="1"/>
  <c r="F2753" i="1" s="1"/>
  <c r="E2753" i="1"/>
  <c r="D2754" i="1"/>
  <c r="F2754" i="1" s="1"/>
  <c r="E2754" i="1"/>
  <c r="D2755" i="1"/>
  <c r="F2755" i="1" s="1"/>
  <c r="E2755" i="1"/>
  <c r="D2756" i="1"/>
  <c r="F2756" i="1" s="1"/>
  <c r="E2756" i="1"/>
  <c r="D2757" i="1"/>
  <c r="F2757" i="1" s="1"/>
  <c r="E2757" i="1"/>
  <c r="D2758" i="1"/>
  <c r="F2758" i="1" s="1"/>
  <c r="E2758" i="1"/>
  <c r="D2759" i="1"/>
  <c r="F2759" i="1" s="1"/>
  <c r="E2759" i="1"/>
  <c r="D2760" i="1"/>
  <c r="F2760" i="1" s="1"/>
  <c r="E2760" i="1"/>
  <c r="B1708" i="1" l="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alcChain>
</file>

<file path=xl/sharedStrings.xml><?xml version="1.0" encoding="utf-8"?>
<sst xmlns="http://schemas.openxmlformats.org/spreadsheetml/2006/main" count="35846" uniqueCount="1248">
  <si>
    <t>Matam</t>
  </si>
  <si>
    <t>Thilogne</t>
  </si>
  <si>
    <t>Fatick</t>
  </si>
  <si>
    <t>Kaolack</t>
  </si>
  <si>
    <t>Mbour</t>
  </si>
  <si>
    <t>Bakel</t>
  </si>
  <si>
    <t>Kaffrine</t>
  </si>
  <si>
    <t>Diakhao</t>
  </si>
  <si>
    <t>Dioffior</t>
  </si>
  <si>
    <t>Tambacounda</t>
  </si>
  <si>
    <t>Nom_region</t>
  </si>
  <si>
    <t>Bambey</t>
  </si>
  <si>
    <t>Bignona</t>
  </si>
  <si>
    <t>Birkilane</t>
  </si>
  <si>
    <t>Bounkiling</t>
  </si>
  <si>
    <t>Coki</t>
  </si>
  <si>
    <t>Dagana</t>
  </si>
  <si>
    <t>Dahra</t>
  </si>
  <si>
    <t>Dakar-Centre</t>
  </si>
  <si>
    <t>Dakar-Nord</t>
  </si>
  <si>
    <t>Dakar-Ouest</t>
  </si>
  <si>
    <t>Dakar-Sud</t>
  </si>
  <si>
    <t>Darou-Mousty</t>
  </si>
  <si>
    <t>Diamniadio</t>
  </si>
  <si>
    <t>Diankhemakhan</t>
  </si>
  <si>
    <t>Diouloulou</t>
  </si>
  <si>
    <t>Diourbel</t>
  </si>
  <si>
    <t>Foundiougne</t>
  </si>
  <si>
    <t>Gossas</t>
  </si>
  <si>
    <t>Goudiry</t>
  </si>
  <si>
    <t>Goudomp</t>
  </si>
  <si>
    <t>Guediawaye</t>
  </si>
  <si>
    <t>Guinguineo</t>
  </si>
  <si>
    <t>Joal</t>
  </si>
  <si>
    <t>Kanel</t>
  </si>
  <si>
    <t>Kebemer</t>
  </si>
  <si>
    <t>Kedougou</t>
  </si>
  <si>
    <t>Keur-Massar</t>
  </si>
  <si>
    <t>Keur-Momar-Sarr</t>
  </si>
  <si>
    <t>Khombole</t>
  </si>
  <si>
    <t>Kidira</t>
  </si>
  <si>
    <t>Kolda</t>
  </si>
  <si>
    <t>Koungheul</t>
  </si>
  <si>
    <t>Koupentoum</t>
  </si>
  <si>
    <t>Linguere</t>
  </si>
  <si>
    <t>Louga</t>
  </si>
  <si>
    <t>Makacoulibantang</t>
  </si>
  <si>
    <t>Malem-Hoddar</t>
  </si>
  <si>
    <t>Mbacke</t>
  </si>
  <si>
    <t>Mbao</t>
  </si>
  <si>
    <t>Medina-Yoro-Foulah</t>
  </si>
  <si>
    <t>Mekhe</t>
  </si>
  <si>
    <t>Ndoffane</t>
  </si>
  <si>
    <t>Niakhar</t>
  </si>
  <si>
    <t>Nioro du Rip</t>
  </si>
  <si>
    <t>Oussouye</t>
  </si>
  <si>
    <t>Passy</t>
  </si>
  <si>
    <t>Pete</t>
  </si>
  <si>
    <t>Pikine</t>
  </si>
  <si>
    <t>Podor</t>
  </si>
  <si>
    <t>Popenguine</t>
  </si>
  <si>
    <t>Pout</t>
  </si>
  <si>
    <t>Ranerou</t>
  </si>
  <si>
    <t>Richard-Toll</t>
  </si>
  <si>
    <t>Rufisque</t>
  </si>
  <si>
    <t>Saint-Louis</t>
  </si>
  <si>
    <t>Sakal</t>
  </si>
  <si>
    <t>Salemata</t>
  </si>
  <si>
    <t>Saraya</t>
  </si>
  <si>
    <t>Sedhiou</t>
  </si>
  <si>
    <t>Sokone</t>
  </si>
  <si>
    <t>Thiadiaye</t>
  </si>
  <si>
    <t>Thies</t>
  </si>
  <si>
    <t>Thionk-Essyl</t>
  </si>
  <si>
    <t>Tivaouane</t>
  </si>
  <si>
    <t>Touba</t>
  </si>
  <si>
    <t>Velingara</t>
  </si>
  <si>
    <t>Yeumbeul</t>
  </si>
  <si>
    <t>Ziguinchor</t>
  </si>
  <si>
    <t>Dakar</t>
  </si>
  <si>
    <t>District_qgis</t>
  </si>
  <si>
    <t>Region_qgis1</t>
  </si>
  <si>
    <t>Population_region</t>
  </si>
  <si>
    <t>Pop_district</t>
  </si>
  <si>
    <t>Pop_region</t>
  </si>
  <si>
    <t>Population district</t>
  </si>
  <si>
    <t>Semaine_Epi</t>
  </si>
  <si>
    <t>Date_debut</t>
  </si>
  <si>
    <t>Date_Cons</t>
  </si>
  <si>
    <t>Date_Recep_Labo</t>
  </si>
  <si>
    <t>Date_Rendu_Resultat</t>
  </si>
  <si>
    <t>Sangalkam</t>
  </si>
  <si>
    <t>ANNEE</t>
  </si>
  <si>
    <t>Sexe</t>
  </si>
  <si>
    <t>Age_Annee</t>
  </si>
  <si>
    <t>Evolution</t>
  </si>
  <si>
    <t>Féminin</t>
  </si>
  <si>
    <t>NON</t>
  </si>
  <si>
    <t>Vivant</t>
  </si>
  <si>
    <t>Hospitalisation</t>
  </si>
  <si>
    <t>Négatif</t>
  </si>
  <si>
    <t>Date_Prelev</t>
  </si>
  <si>
    <t>Date_Envoi_Prelev</t>
  </si>
  <si>
    <t>OUI</t>
  </si>
  <si>
    <t>Conclusions</t>
  </si>
  <si>
    <t>Num_IPD</t>
  </si>
  <si>
    <t>MKP_SEN/24/0003</t>
  </si>
  <si>
    <t>Nom_Patient</t>
  </si>
  <si>
    <t>Aby BA</t>
  </si>
  <si>
    <t>Dieynaba NIANG</t>
  </si>
  <si>
    <t>Awa WAGNE</t>
  </si>
  <si>
    <t>MKP_SEN/24/0004</t>
  </si>
  <si>
    <t>MKP_SEN/24/0005</t>
  </si>
  <si>
    <t>Amadou BARRY</t>
  </si>
  <si>
    <t>Masculin</t>
  </si>
  <si>
    <t>Absence d’une infection par le virus Monkeypox.</t>
  </si>
  <si>
    <t>MKP_SEN/24/0006</t>
  </si>
  <si>
    <t>Maguette GAYE</t>
  </si>
  <si>
    <t>Suivi</t>
  </si>
  <si>
    <t>MKP_SEN/24/0007</t>
  </si>
  <si>
    <t>El Hadji Boucounta NDIAYE</t>
  </si>
  <si>
    <t>Awa FALL</t>
  </si>
  <si>
    <t>MKP_SEN/24/0009</t>
  </si>
  <si>
    <t>Modou DIA</t>
  </si>
  <si>
    <t>MKP_SEN/24/0010</t>
  </si>
  <si>
    <t>Bineta DIALLO</t>
  </si>
  <si>
    <t>MKP_SEN/24/0011</t>
  </si>
  <si>
    <t>MKP_SEN/24/0012</t>
  </si>
  <si>
    <t>Amadou BA</t>
  </si>
  <si>
    <t>Bolo SOW</t>
  </si>
  <si>
    <t>MKP_SEN/24/0050</t>
  </si>
  <si>
    <t>MKP_SEN/24/0051</t>
  </si>
  <si>
    <t>MKP_SEN/24/0052</t>
  </si>
  <si>
    <t>Moussa BA</t>
  </si>
  <si>
    <t>Béthy CISSE</t>
  </si>
  <si>
    <t>Mame Diarra SAMB</t>
  </si>
  <si>
    <t>MKP_SEN/24/0053</t>
  </si>
  <si>
    <t>Dame KA</t>
  </si>
  <si>
    <t>MKP_SEN/24/0014</t>
  </si>
  <si>
    <t>MKP_SEN/24/0015</t>
  </si>
  <si>
    <t>Serigne Saliou NIANG</t>
  </si>
  <si>
    <t>MKP_SEN/24/0016</t>
  </si>
  <si>
    <t>MKP_SEN/24/0017</t>
  </si>
  <si>
    <t>Ousseynatou BA</t>
  </si>
  <si>
    <t>Ousmane DIALLO</t>
  </si>
  <si>
    <t>Le type de prélèvement de sang étant inapproprié pour un diagnostic moléculaire du virus Mpox, ces résultats pourraient être analysés à la lumière des données cliniques du patient. D’autres prélévements pourraient être effectués tels qu’une biopsie des croûtes et un écouvillon des lésions, liquides vésiculaires ou un écouvillon oropharyngé.</t>
  </si>
  <si>
    <t>Fievre</t>
  </si>
  <si>
    <t>Cephalees_intenses</t>
  </si>
  <si>
    <t>Adenopathies_localisees</t>
  </si>
  <si>
    <t>Adenopathies_generalisees</t>
  </si>
  <si>
    <t xml:space="preserve">Asthénie_physique </t>
  </si>
  <si>
    <t>Date_Eruption</t>
  </si>
  <si>
    <t>Lesion_pleine</t>
  </si>
  <si>
    <t>Lesion_liquide_clair</t>
  </si>
  <si>
    <t>Lesion_liquide_trouble</t>
  </si>
  <si>
    <t>Local_Lesion_Visage</t>
  </si>
  <si>
    <t>Local_Lesion_Corps</t>
  </si>
  <si>
    <t>Local_Lesion_Paume_Mains</t>
  </si>
  <si>
    <t>Local_Lesion_Bouche</t>
  </si>
  <si>
    <t>Local_Lesion_Region_Anale</t>
  </si>
  <si>
    <t>Local_Lesion_Organes_Genitaux_Externes</t>
  </si>
  <si>
    <t>Antecedents_Medicaux</t>
  </si>
  <si>
    <t xml:space="preserve">Douleurs_musculaires </t>
  </si>
  <si>
    <t xml:space="preserve">Eruption_cutaneo_muqueuse </t>
  </si>
  <si>
    <t>Local_Lesion_Plantes_Pieds</t>
  </si>
  <si>
    <t>Prelev_Croutes</t>
  </si>
  <si>
    <t>Prelev_Naso</t>
  </si>
  <si>
    <t>Prelev_Lesions_Cutanees</t>
  </si>
  <si>
    <t>Prelev_Biopsie_Lesions</t>
  </si>
  <si>
    <t>Prelev_Sang</t>
  </si>
  <si>
    <t>Prelev_Autres</t>
  </si>
  <si>
    <t>Autres_Symptomes</t>
  </si>
  <si>
    <t>Odynophagies</t>
  </si>
  <si>
    <t>Rhume</t>
  </si>
  <si>
    <t>Epilepsie</t>
  </si>
  <si>
    <t>Dorsalgies</t>
  </si>
  <si>
    <t>MKP_SEN/24/0018</t>
  </si>
  <si>
    <t>Ndeye Astou MBAYE</t>
  </si>
  <si>
    <t>Pays_voyage1</t>
  </si>
  <si>
    <t>Pays_voyage2</t>
  </si>
  <si>
    <t>Contact_animaux_sauvage</t>
  </si>
  <si>
    <t>Contact_cas_conf_prob_Mpox</t>
  </si>
  <si>
    <t>MKP_SEN/24/0019</t>
  </si>
  <si>
    <t>Mame Cheikh Tidiane MBAYE</t>
  </si>
  <si>
    <t>MKP_SEN/24/0054</t>
  </si>
  <si>
    <t>Mor Talla Sene SY</t>
  </si>
  <si>
    <t>Anemie_severe</t>
  </si>
  <si>
    <t>MKP_SEN/24/0020</t>
  </si>
  <si>
    <t>MKP_SEN/24/0021</t>
  </si>
  <si>
    <t>MKP_SEN/24/0022</t>
  </si>
  <si>
    <t>MKP_SEN/24/0023</t>
  </si>
  <si>
    <t>MKP_SEN/24/0024</t>
  </si>
  <si>
    <t>MKP_SEN/24/0025</t>
  </si>
  <si>
    <t>MKP_SEN/24/0026</t>
  </si>
  <si>
    <t>Pape Madogal AWAD</t>
  </si>
  <si>
    <t>Khadim DIOP</t>
  </si>
  <si>
    <t>Omar CAMARA</t>
  </si>
  <si>
    <t>Pape Matar SAMB</t>
  </si>
  <si>
    <t>Rhinorrhée</t>
  </si>
  <si>
    <t>Alassane DIALLO</t>
  </si>
  <si>
    <t>Libasse BA</t>
  </si>
  <si>
    <t>Biram SALL</t>
  </si>
  <si>
    <t>MKP_SEN/24/0027</t>
  </si>
  <si>
    <t>Khadidiatou CAMARA</t>
  </si>
  <si>
    <t>MKP_SEN/24/0028</t>
  </si>
  <si>
    <t>MKP_SEN/24/0029</t>
  </si>
  <si>
    <t>MKP_SEN/24/0030</t>
  </si>
  <si>
    <t>MKP_SEN/24/0031</t>
  </si>
  <si>
    <t>MKP_SEN/24/0032</t>
  </si>
  <si>
    <t>MKP_SEN/24/0033</t>
  </si>
  <si>
    <t>MKP_SEN/24/0055</t>
  </si>
  <si>
    <t>MKP_SEN/24/0056</t>
  </si>
  <si>
    <t>Mame Rocky DIENG</t>
  </si>
  <si>
    <t>Gambie</t>
  </si>
  <si>
    <t>MKP_SEN/24/0034</t>
  </si>
  <si>
    <t>MKP_SEN/24/0057</t>
  </si>
  <si>
    <t>Moustapha DIOUF</t>
  </si>
  <si>
    <t>Oumar SEYE</t>
  </si>
  <si>
    <t>Bocar BA</t>
  </si>
  <si>
    <t>Moussou BALDE</t>
  </si>
  <si>
    <t>Assane DIENG</t>
  </si>
  <si>
    <t>Massourang SOURANG</t>
  </si>
  <si>
    <t>Traumatisme par AVP</t>
  </si>
  <si>
    <t>Assane BA</t>
  </si>
  <si>
    <t>Mouhamed KA</t>
  </si>
  <si>
    <t>Yacine SENE</t>
  </si>
  <si>
    <t>MKP_SEN/24/0035</t>
  </si>
  <si>
    <t>Babacar DIOP</t>
  </si>
  <si>
    <t>MKP_SEN/24/0036</t>
  </si>
  <si>
    <t>MKP_SEN/24/0037</t>
  </si>
  <si>
    <t>MKP_SEN/24/0038</t>
  </si>
  <si>
    <t>Ramata DIALLO</t>
  </si>
  <si>
    <t>Mamadou BA</t>
  </si>
  <si>
    <t>Djibé MBAYE</t>
  </si>
  <si>
    <t>Date1</t>
  </si>
  <si>
    <t>Date2</t>
  </si>
  <si>
    <t>T° C</t>
  </si>
  <si>
    <t>Statut_vaccinal_Mpox</t>
  </si>
  <si>
    <t>NON_VACCINE</t>
  </si>
  <si>
    <t>MKP_SEN/24/0039</t>
  </si>
  <si>
    <t>MKP_SEN/24/0040</t>
  </si>
  <si>
    <t>MKP_SEN/24/0041</t>
  </si>
  <si>
    <t>Mouhamed TOURE</t>
  </si>
  <si>
    <t>Emilie NDONG</t>
  </si>
  <si>
    <t>Abdourahmane BATHILY</t>
  </si>
  <si>
    <t>MKP_SEN/24/0058</t>
  </si>
  <si>
    <t>Samba DIOP</t>
  </si>
  <si>
    <t>MKP_SEN/24/0042</t>
  </si>
  <si>
    <t>MKP_SEN/24/0043</t>
  </si>
  <si>
    <t>MKP_SEN/24/0044</t>
  </si>
  <si>
    <t>MKP_SEN/24/0045</t>
  </si>
  <si>
    <t>MKP_SEN/24/0046</t>
  </si>
  <si>
    <t>Mbaye NIASS</t>
  </si>
  <si>
    <t>Ameth CISSE</t>
  </si>
  <si>
    <t>Mousline DRAME</t>
  </si>
  <si>
    <t>Abdou Karim FOFANA</t>
  </si>
  <si>
    <t>Guinée_Conakry</t>
  </si>
  <si>
    <t>38.1</t>
  </si>
  <si>
    <t>Sierra_Leone</t>
  </si>
  <si>
    <t>Moustapha NDIAYE</t>
  </si>
  <si>
    <t>MKP_SEN/24/0047</t>
  </si>
  <si>
    <t>MKP_SEN/24/0048</t>
  </si>
  <si>
    <t>MKP_SEN/24/0049</t>
  </si>
  <si>
    <t>Djily DIAGNE</t>
  </si>
  <si>
    <t>39.8</t>
  </si>
  <si>
    <t>Mamadou DIOUF</t>
  </si>
  <si>
    <t>Stomatite</t>
  </si>
  <si>
    <t>Cheikh DIOUF</t>
  </si>
  <si>
    <t>Dubai</t>
  </si>
  <si>
    <t>Lésions récidivantes</t>
  </si>
  <si>
    <t>MKP_SEN/24/0101</t>
  </si>
  <si>
    <t>Sadio BA</t>
  </si>
  <si>
    <t>38.0</t>
  </si>
  <si>
    <t>MKP_SEN/24/0102</t>
  </si>
  <si>
    <t>MKP_SEN/24/0103</t>
  </si>
  <si>
    <t>Thiané SARR</t>
  </si>
  <si>
    <t>38.2</t>
  </si>
  <si>
    <t>Abdou SOW</t>
  </si>
  <si>
    <t>Positif_Autre_VIRUS1</t>
  </si>
  <si>
    <t>Positif_Autre_VIRUS2</t>
  </si>
  <si>
    <t>Positif_Autre_VIRUS3</t>
  </si>
  <si>
    <t xml:space="preserve">HERPESVIRUS_SIMPLEX1 </t>
  </si>
  <si>
    <t>HERPESVIRUS_HUMAIN7</t>
  </si>
  <si>
    <t>ROUGEOLE</t>
  </si>
  <si>
    <t>RUBEOLE</t>
  </si>
  <si>
    <t>VARICELLE_ZOSTER</t>
  </si>
  <si>
    <t>HERPESVIRUS_SIMPLEX1</t>
  </si>
  <si>
    <t>EPSTEIN_BARR</t>
  </si>
  <si>
    <t>MKP_SEN/24/0104</t>
  </si>
  <si>
    <t>MKP_SEN/24/0105</t>
  </si>
  <si>
    <t>MKP_SEN/24/0106</t>
  </si>
  <si>
    <t>MKP_SEN/24/0107</t>
  </si>
  <si>
    <t>MKP_SEN/24/0108</t>
  </si>
  <si>
    <t>Mountaga BARRY</t>
  </si>
  <si>
    <t>Mariama Bineta DIALLO</t>
  </si>
  <si>
    <t>Haby DIALLO</t>
  </si>
  <si>
    <t>38.6</t>
  </si>
  <si>
    <t>Aminata DIALLO</t>
  </si>
  <si>
    <t>Anorexie</t>
  </si>
  <si>
    <t>Daouda NDIR</t>
  </si>
  <si>
    <t>39.5</t>
  </si>
  <si>
    <t>MKP_SEN/24/0059</t>
  </si>
  <si>
    <t>Oumou DIA</t>
  </si>
  <si>
    <t>39.0</t>
  </si>
  <si>
    <t>Vomissement</t>
  </si>
  <si>
    <t>MKP_SEN/24/0109</t>
  </si>
  <si>
    <t>MKP_SEN/24/0110</t>
  </si>
  <si>
    <t>Aminata SOW</t>
  </si>
  <si>
    <t>Lombalgie</t>
  </si>
  <si>
    <t>Abdoulaye NDAO</t>
  </si>
  <si>
    <t>MKP_SEN/24/0060</t>
  </si>
  <si>
    <t>Rahma AIDARA</t>
  </si>
  <si>
    <t>MKP_SEN/24/0061</t>
  </si>
  <si>
    <t>Fatou GUEYE</t>
  </si>
  <si>
    <t>37.7</t>
  </si>
  <si>
    <t>MKP_SEN/24/0112</t>
  </si>
  <si>
    <t>Babacar DIEME</t>
  </si>
  <si>
    <t>MKP_SEN/24/0113</t>
  </si>
  <si>
    <t>Aissatou BARRO</t>
  </si>
  <si>
    <t>MKP_SEN/24/0062</t>
  </si>
  <si>
    <t>MKP_SEN/24/0063</t>
  </si>
  <si>
    <t>Khadidiatou BABOU</t>
  </si>
  <si>
    <t>Youma BABOU</t>
  </si>
  <si>
    <t>MKP_SEN/24/0114</t>
  </si>
  <si>
    <t>MKP_SEN/24/0115</t>
  </si>
  <si>
    <t>Omar SARR</t>
  </si>
  <si>
    <t>Ndiolé SARR</t>
  </si>
  <si>
    <t>CYTOMEGALOVIRUS</t>
  </si>
  <si>
    <t>N/A</t>
  </si>
  <si>
    <t>MKP_SEN/24/0116</t>
  </si>
  <si>
    <t>MKP_SEN/24/0119</t>
  </si>
  <si>
    <t>MKP_SEN/24/0120</t>
  </si>
  <si>
    <t>MKP_SEN/24/0121</t>
  </si>
  <si>
    <t>François BODIAN</t>
  </si>
  <si>
    <t>Meissa NDIAYE</t>
  </si>
  <si>
    <t>Hawa SALL</t>
  </si>
  <si>
    <t>Aminata SALL</t>
  </si>
  <si>
    <t>MKP_SEN/24/0117</t>
  </si>
  <si>
    <t>MKP_SEN/24/0118</t>
  </si>
  <si>
    <t>Pathé SOW</t>
  </si>
  <si>
    <t>Sueurs</t>
  </si>
  <si>
    <t>Astou Khady DIATTA</t>
  </si>
  <si>
    <t>Macules_achromiques</t>
  </si>
  <si>
    <t>Yeux_rouges</t>
  </si>
  <si>
    <t>Douleurs_abdominales</t>
  </si>
  <si>
    <t>Lesions_suite_traumatisme</t>
  </si>
  <si>
    <t>Diarrhée_aigue Démangeaison</t>
  </si>
  <si>
    <t>Vomissement Vertige</t>
  </si>
  <si>
    <t>MKP_SEN/24/0064</t>
  </si>
  <si>
    <t>Samba Abdoulaye KANE</t>
  </si>
  <si>
    <t>France</t>
  </si>
  <si>
    <t>MKP_SEN/24/0122</t>
  </si>
  <si>
    <t>MKP_SEN/24/0123</t>
  </si>
  <si>
    <t>MKP_SEN/24/0124</t>
  </si>
  <si>
    <t>Yaya DEMBELE</t>
  </si>
  <si>
    <t>Toux Frissons</t>
  </si>
  <si>
    <t>Amadou KANTE</t>
  </si>
  <si>
    <t>Dioudiou DIALLO</t>
  </si>
  <si>
    <t>0001/MPOX/24</t>
  </si>
  <si>
    <t>Astou SECK</t>
  </si>
  <si>
    <t>La recherche de l'ADN du virus de la Mpox par la PCR en temps réel est négative.</t>
  </si>
  <si>
    <t>MKP_SEN/24/0065</t>
  </si>
  <si>
    <t>Moustapha MBACKE</t>
  </si>
  <si>
    <t>MKP_SEN/24/0066</t>
  </si>
  <si>
    <t>Baye Zale DIOUF</t>
  </si>
  <si>
    <t>40.0</t>
  </si>
  <si>
    <t>MKP_SEN/24/0128</t>
  </si>
  <si>
    <t>Bassirou THIAM</t>
  </si>
  <si>
    <t>Démangeaisons</t>
  </si>
  <si>
    <t>MKP_SEN/24/0129</t>
  </si>
  <si>
    <t>Mariama KANDE</t>
  </si>
  <si>
    <t>MKP_SEN/24/0127</t>
  </si>
  <si>
    <t>Ouleymatou M. NDIAYE</t>
  </si>
  <si>
    <t>MKP_SEN/24/0067</t>
  </si>
  <si>
    <t>MKP_SEN/24/0068</t>
  </si>
  <si>
    <t>MKP_SEN/24/0130</t>
  </si>
  <si>
    <t>Mariama BA</t>
  </si>
  <si>
    <t>Massamba KHOUMA</t>
  </si>
  <si>
    <t>Mansour DIA</t>
  </si>
  <si>
    <t>MKP_SEN/24/0131</t>
  </si>
  <si>
    <t>Mohamed DIOUF</t>
  </si>
  <si>
    <t>Le prélèvement de sang étant inapproprié pour un diagnostic moléculaire du virus Mpox, ces résultats pourraient être analysés à la lumière des données cliniques du patient. D’autres prélévements pourraient être effectués tels qu’une biopsie des croûtes et un écouvillon des lésions, liquides vésiculaires ou un écouvillon oropharyngé.</t>
  </si>
  <si>
    <t>Vomissements</t>
  </si>
  <si>
    <t>MKP_SEN/24/0132</t>
  </si>
  <si>
    <t>MKP_SEN/24/0125</t>
  </si>
  <si>
    <t>Mouhamed Siradio DIALLO</t>
  </si>
  <si>
    <t>Khadidia BARRO</t>
  </si>
  <si>
    <t>37.9</t>
  </si>
  <si>
    <t>0002/MPOX/24</t>
  </si>
  <si>
    <t>Seydina Omar SOW</t>
  </si>
  <si>
    <t>0003/MPOX/24</t>
  </si>
  <si>
    <t>0004/MPOX/24</t>
  </si>
  <si>
    <t>36.0</t>
  </si>
  <si>
    <t>Rokhaya NGOM</t>
  </si>
  <si>
    <t>Adynamie Hypersomnie</t>
  </si>
  <si>
    <t>Satou SOW</t>
  </si>
  <si>
    <t>37.0</t>
  </si>
  <si>
    <t>MKP_SEN/24/0133</t>
  </si>
  <si>
    <t>El Hadji Mountaga DIALLO</t>
  </si>
  <si>
    <t>ZONA</t>
  </si>
  <si>
    <t>MKP_SEN/24/0134</t>
  </si>
  <si>
    <t>Cheikh TRAORE</t>
  </si>
  <si>
    <t>MKP_SEN/24/0135</t>
  </si>
  <si>
    <t>MKP_SEN/24/0136</t>
  </si>
  <si>
    <t>Moustapha DIALLO</t>
  </si>
  <si>
    <t>38.7</t>
  </si>
  <si>
    <t>Saliou MBACKE</t>
  </si>
  <si>
    <t>MKP_SEN/24/0137</t>
  </si>
  <si>
    <t>Mouhamed DIALLO</t>
  </si>
  <si>
    <t>Prurit</t>
  </si>
  <si>
    <t>MKP_SEN/24/0069</t>
  </si>
  <si>
    <t>Sokhna NDIAYE</t>
  </si>
  <si>
    <t>MKP_SEN/24/0070</t>
  </si>
  <si>
    <t>38.9</t>
  </si>
  <si>
    <t>MKP_SEN/25/0001</t>
  </si>
  <si>
    <t>Mame Bousso SARR</t>
  </si>
  <si>
    <t>Ndèye Khoudia DIAKHATE</t>
  </si>
  <si>
    <t>MKP_SEN/25/0002</t>
  </si>
  <si>
    <t>Khady DIAO</t>
  </si>
  <si>
    <t>36.4</t>
  </si>
  <si>
    <t>MKP_SEN/25/0004</t>
  </si>
  <si>
    <t>Koumba Mady DABO</t>
  </si>
  <si>
    <t>Mali</t>
  </si>
  <si>
    <t>MKP_SEN/25/0005</t>
  </si>
  <si>
    <t>Dos Santos FERNANDES</t>
  </si>
  <si>
    <t>Cap_Vert</t>
  </si>
  <si>
    <t>Colitte</t>
  </si>
  <si>
    <t>MKP_SEN/25/0008</t>
  </si>
  <si>
    <t>El Hadji Bassirou DIAGNE</t>
  </si>
  <si>
    <t>0001/MPOX/25</t>
  </si>
  <si>
    <t>Ndèye Astou BEYE</t>
  </si>
  <si>
    <t>VARICELLE_ZONA</t>
  </si>
  <si>
    <t>40.1</t>
  </si>
  <si>
    <t>Décédé</t>
  </si>
  <si>
    <t>MKP_SEN/24/0071</t>
  </si>
  <si>
    <t>MKP_SEN/25/0011</t>
  </si>
  <si>
    <t>Oumar NIANG</t>
  </si>
  <si>
    <t>Mauritanie</t>
  </si>
  <si>
    <t>Pape SY</t>
  </si>
  <si>
    <t>40.7</t>
  </si>
  <si>
    <t>MKP_SEN/25/0012</t>
  </si>
  <si>
    <t>Mamadou Saliou BA</t>
  </si>
  <si>
    <t>MKP_SEN/25/0014</t>
  </si>
  <si>
    <t>Chérif SAMB</t>
  </si>
  <si>
    <t>MKP_SEN/24/0072</t>
  </si>
  <si>
    <t>Ibrahima SARR</t>
  </si>
  <si>
    <t>MKP_SEN/25/0015</t>
  </si>
  <si>
    <t>MKP_SEN/24/0073</t>
  </si>
  <si>
    <t>Rougui BA</t>
  </si>
  <si>
    <t>Oumou K. DANSOKHO</t>
  </si>
  <si>
    <t>0002/MPOX/25</t>
  </si>
  <si>
    <t>Yacine FALL</t>
  </si>
  <si>
    <t>MKP_SEN/25/0017</t>
  </si>
  <si>
    <t>MKP_SEN/25/0019</t>
  </si>
  <si>
    <t>Mamadou O. BALDE</t>
  </si>
  <si>
    <t>MKP_SEN/25/0020</t>
  </si>
  <si>
    <t>Therese Codou FAYE</t>
  </si>
  <si>
    <t>Nom_District_Residence</t>
  </si>
  <si>
    <t>MKP_SEN/25/0021</t>
  </si>
  <si>
    <t>Alpha Ibrahim YOUM</t>
  </si>
  <si>
    <t>MKP_SEN/25/0022</t>
  </si>
  <si>
    <t>MKP_SEN/25/0023</t>
  </si>
  <si>
    <t>Adjouma BA</t>
  </si>
  <si>
    <t>37.6</t>
  </si>
  <si>
    <t>Moustapha SOGUE</t>
  </si>
  <si>
    <t>MKP_SEN/24/0074</t>
  </si>
  <si>
    <t>Ibrahima DRAME</t>
  </si>
  <si>
    <t>MKP_SEN/24/0075</t>
  </si>
  <si>
    <t>Modou Kairé NDIAYE</t>
  </si>
  <si>
    <t>0003/MPOX/25</t>
  </si>
  <si>
    <t>Abdou CISSE</t>
  </si>
  <si>
    <t>MKP_SEN/25/0024</t>
  </si>
  <si>
    <t>Habib NGUIRANE</t>
  </si>
  <si>
    <t>MKP_SEN/25/0025</t>
  </si>
  <si>
    <t>Amadou SOW</t>
  </si>
  <si>
    <t>0004/MPOX/25</t>
  </si>
  <si>
    <t>Issa ABOUBACAR</t>
  </si>
  <si>
    <t>38.3</t>
  </si>
  <si>
    <t>MKP_SEN/25/0027</t>
  </si>
  <si>
    <t>Jonah N. ONGUKA</t>
  </si>
  <si>
    <t>Kenya</t>
  </si>
  <si>
    <t>Positif</t>
  </si>
  <si>
    <t>Confirmation d’une infection au virus Mpox. Le typage et le séquençage sont en cours.</t>
  </si>
  <si>
    <t>MKP_SEN/25/0028</t>
  </si>
  <si>
    <t>MKP_SEN/24/0076</t>
  </si>
  <si>
    <t>MKP_SEN/24/0077</t>
  </si>
  <si>
    <t>Moctar KANTE</t>
  </si>
  <si>
    <t>Nogaye THIAM</t>
  </si>
  <si>
    <t>37.5</t>
  </si>
  <si>
    <t>Algie diffuse</t>
  </si>
  <si>
    <t>Thie NDIAYE</t>
  </si>
  <si>
    <t>MKP_SEN/25/0029</t>
  </si>
  <si>
    <t>MKP_SEN/25/0030</t>
  </si>
  <si>
    <t>MKP_SEN/25/0031</t>
  </si>
  <si>
    <t>MKP_SEN/25/0032</t>
  </si>
  <si>
    <t>MKP_SEN/25/0033</t>
  </si>
  <si>
    <t>MKP_SEN/25/0034</t>
  </si>
  <si>
    <t>MKP_SEN/25/0035</t>
  </si>
  <si>
    <t>MKP_SEN/25/0036</t>
  </si>
  <si>
    <t>MKP_SEN/25/0037</t>
  </si>
  <si>
    <t>MKP_SEN/25/0038</t>
  </si>
  <si>
    <t>MKP_SEN/25/0039</t>
  </si>
  <si>
    <t>MKP_SEN/25/0040</t>
  </si>
  <si>
    <t>MKP_SEN/25/0041</t>
  </si>
  <si>
    <t>MKP_SEN/25/0042</t>
  </si>
  <si>
    <t>MKP_SEN/25/0043</t>
  </si>
  <si>
    <t>MKP_SEN/25/0044</t>
  </si>
  <si>
    <t>MKP_SEN/25/0045</t>
  </si>
  <si>
    <t>Sidy MBOUP</t>
  </si>
  <si>
    <t>37.8</t>
  </si>
  <si>
    <t>Mohamed DIOP</t>
  </si>
  <si>
    <t>Asthme</t>
  </si>
  <si>
    <t>Raki CAMARA</t>
  </si>
  <si>
    <t>37.4</t>
  </si>
  <si>
    <t>Mariama BALDE</t>
  </si>
  <si>
    <t>36.7</t>
  </si>
  <si>
    <t>El Hadji BA</t>
  </si>
  <si>
    <t>Etat grippal</t>
  </si>
  <si>
    <t>Fatou KHOUMA</t>
  </si>
  <si>
    <t>HTA</t>
  </si>
  <si>
    <t>Ibrahima WATHIE</t>
  </si>
  <si>
    <t>Mouhamed DIOP</t>
  </si>
  <si>
    <t>TB_Pulmonaire, Eczema</t>
  </si>
  <si>
    <t>MKP_SEN/24/0078</t>
  </si>
  <si>
    <t>MKP_SEN/24/0079</t>
  </si>
  <si>
    <t>NDACK</t>
  </si>
  <si>
    <t>Issa BA</t>
  </si>
  <si>
    <t>Pape D. CISSE</t>
  </si>
  <si>
    <t>MKP_SEN/24/0080</t>
  </si>
  <si>
    <t>Serigne Fallou SECK</t>
  </si>
  <si>
    <t>Aida NDIAYE</t>
  </si>
  <si>
    <t>Saly DIOUF</t>
  </si>
  <si>
    <t>Aphtes buccales</t>
  </si>
  <si>
    <t>Diego Carrasco HERNANDEZ</t>
  </si>
  <si>
    <t>Espagne</t>
  </si>
  <si>
    <t>Mamadou Saliou CISSE</t>
  </si>
  <si>
    <t>Assane THIOUNE</t>
  </si>
  <si>
    <t>36.5</t>
  </si>
  <si>
    <t>Marie DIOP</t>
  </si>
  <si>
    <t>Jouini SAMIR</t>
  </si>
  <si>
    <t>MKP_SEN/25/0046</t>
  </si>
  <si>
    <t>MKP_SEN/25/0047</t>
  </si>
  <si>
    <t>MKP_SEN/25/0048</t>
  </si>
  <si>
    <t>Ndèye Astou DIOUF</t>
  </si>
  <si>
    <t>Cheikh I. SAMB</t>
  </si>
  <si>
    <t>Ablaye FAYE</t>
  </si>
  <si>
    <t>37.1</t>
  </si>
  <si>
    <t>Ibrahima DIAW</t>
  </si>
  <si>
    <t>0005/MPOX/25</t>
  </si>
  <si>
    <t>Fatima MBENGUE</t>
  </si>
  <si>
    <t>38.5</t>
  </si>
  <si>
    <t>MKP_SEN/25/0049</t>
  </si>
  <si>
    <t>MKP_SEN/25/0050</t>
  </si>
  <si>
    <t>MKP_SEN/25/0051</t>
  </si>
  <si>
    <t>Babacar LO</t>
  </si>
  <si>
    <t>Omar CISSE</t>
  </si>
  <si>
    <t>Dieynaba DIALLO</t>
  </si>
  <si>
    <t>0006/MPOX/25</t>
  </si>
  <si>
    <t>Serigne Modou DIENG</t>
  </si>
  <si>
    <t>39.2</t>
  </si>
  <si>
    <t>0007/MPOX/25</t>
  </si>
  <si>
    <t>0008/MPOX/25</t>
  </si>
  <si>
    <t>Abdou Lakhate FAYE</t>
  </si>
  <si>
    <t>Mariama KEBE</t>
  </si>
  <si>
    <t>MKP_SEN/24/0081</t>
  </si>
  <si>
    <t>Baye Serigne LAM</t>
  </si>
  <si>
    <t>MKP_SEN/25/0052</t>
  </si>
  <si>
    <t>MKP_SEN/25/0053</t>
  </si>
  <si>
    <t>MKP_SEN/25/0054</t>
  </si>
  <si>
    <t>MKP_SEN/25/0055</t>
  </si>
  <si>
    <t>MKP_SEN/25/0056</t>
  </si>
  <si>
    <t>MKP_SEN/25/0057</t>
  </si>
  <si>
    <t>Samba CAMARA</t>
  </si>
  <si>
    <t>Mamadou BANE</t>
  </si>
  <si>
    <t>Amadou CISSOKHO</t>
  </si>
  <si>
    <t>Mouhamadou DIALLO</t>
  </si>
  <si>
    <t>Mamadou DIAMANKA</t>
  </si>
  <si>
    <t>Ndeye Marie DIOP</t>
  </si>
  <si>
    <t>36.8</t>
  </si>
  <si>
    <t>MKP_SEN/25/0059</t>
  </si>
  <si>
    <t>MKP_SEN/25/0060</t>
  </si>
  <si>
    <t>Mame Abibatou FALL</t>
  </si>
  <si>
    <t>Rhinite_allergique</t>
  </si>
  <si>
    <t>Abdussoinadu HANSSAU</t>
  </si>
  <si>
    <t>Frissons</t>
  </si>
  <si>
    <t>MKP_SEN/25/0061</t>
  </si>
  <si>
    <t>MKP_SEN/25/0062</t>
  </si>
  <si>
    <t>MKP_SEN/25/0063</t>
  </si>
  <si>
    <t>MKP_SEN/25/0064</t>
  </si>
  <si>
    <t>MKP_SEN/25/0065</t>
  </si>
  <si>
    <t>MKP_SEN/25/0066</t>
  </si>
  <si>
    <t>MKP_SEN/25/0067</t>
  </si>
  <si>
    <t>MKP_SEN/25/0068</t>
  </si>
  <si>
    <t>MKP_SEN/25/0069</t>
  </si>
  <si>
    <t>MKP_SEN/25/0070</t>
  </si>
  <si>
    <t>Hadjara KANE</t>
  </si>
  <si>
    <t>Allergie</t>
  </si>
  <si>
    <t>Serigne Saliou SIDIBE</t>
  </si>
  <si>
    <t>M.Pierre WILSON</t>
  </si>
  <si>
    <t>Abdou NGOM</t>
  </si>
  <si>
    <t>Dysphagie</t>
  </si>
  <si>
    <t>Mariama Siré DIALLO</t>
  </si>
  <si>
    <t>Saliou BARRY</t>
  </si>
  <si>
    <t>Saidim Mandi OMAR</t>
  </si>
  <si>
    <t>Ahmet GUN</t>
  </si>
  <si>
    <t>Aissatou KOUYATE</t>
  </si>
  <si>
    <t>Dié FALL</t>
  </si>
  <si>
    <t>MKP_SEN/24/0082</t>
  </si>
  <si>
    <t>Ndew SARR</t>
  </si>
  <si>
    <t>35.5</t>
  </si>
  <si>
    <t>MKP_SEN/24/0083</t>
  </si>
  <si>
    <t>MKP_SEN/25/0071</t>
  </si>
  <si>
    <t>MKP_SEN/25/0072</t>
  </si>
  <si>
    <t>MKP_SEN/25/0073</t>
  </si>
  <si>
    <t>MKP_SEN/25/0074</t>
  </si>
  <si>
    <t>MKP_SEN/25/0075</t>
  </si>
  <si>
    <t>MKP_SEN/25/0076</t>
  </si>
  <si>
    <t>Seydou CISSE</t>
  </si>
  <si>
    <t>Fodé KOOMA</t>
  </si>
  <si>
    <t>Gueye CISSE</t>
  </si>
  <si>
    <t>Jean Thiara BINDIA</t>
  </si>
  <si>
    <t>35.9</t>
  </si>
  <si>
    <t>Fatou CISSOKHO</t>
  </si>
  <si>
    <t>Moussa KEITA</t>
  </si>
  <si>
    <t>Maodo GAYE</t>
  </si>
  <si>
    <t>MKP_SEN/24/0084</t>
  </si>
  <si>
    <t>MKP_SEN/25/0077</t>
  </si>
  <si>
    <t>Ablaye NIANG</t>
  </si>
  <si>
    <t>Cheikh CISSE</t>
  </si>
  <si>
    <t>Oedeme_bipoléal</t>
  </si>
  <si>
    <t>MKP_SEN/25/0078</t>
  </si>
  <si>
    <t>Mamadou O. BARRY</t>
  </si>
  <si>
    <t>MKP_SEN/25/0079</t>
  </si>
  <si>
    <t>MKP_SEN/25/0080</t>
  </si>
  <si>
    <t>Saliou DIAKHATE</t>
  </si>
  <si>
    <t>Aboubacar Sadikh SIDIBE</t>
  </si>
  <si>
    <t>36.9</t>
  </si>
  <si>
    <t>MKP_SEN/25/0081</t>
  </si>
  <si>
    <t>MKP_SEN/25/0082</t>
  </si>
  <si>
    <t>MKP_SEN/25/0084</t>
  </si>
  <si>
    <t>Ibrahima BA</t>
  </si>
  <si>
    <t>Demangeaison</t>
  </si>
  <si>
    <t>Mame SINETA</t>
  </si>
  <si>
    <t>Mohamed Fadel CISSOKHO</t>
  </si>
  <si>
    <t>MKP_SEN/25/0083</t>
  </si>
  <si>
    <t>Harouna TIGANA</t>
  </si>
  <si>
    <t>0009/MPOX/25</t>
  </si>
  <si>
    <t>Ibrahima LO</t>
  </si>
  <si>
    <t>MKP_SEN/24/0085</t>
  </si>
  <si>
    <t>MKP_SEN/25/0085</t>
  </si>
  <si>
    <t>Cheikh Ibra MBAYE</t>
  </si>
  <si>
    <t>39.3</t>
  </si>
  <si>
    <t>Ramatoulaye BA</t>
  </si>
  <si>
    <t>38.4</t>
  </si>
  <si>
    <t>MKP_SEN/25/0087</t>
  </si>
  <si>
    <t>Alassane TALL</t>
  </si>
  <si>
    <t>Hypertrophie_amygdales;amygdales_erythemateux</t>
  </si>
  <si>
    <t>MKP_SEN/25/0088</t>
  </si>
  <si>
    <t>MKP_SEN/25/0089</t>
  </si>
  <si>
    <t>MKP_SEN/25/0090</t>
  </si>
  <si>
    <t>Michelle MENDY</t>
  </si>
  <si>
    <t>Mohamed FAYE</t>
  </si>
  <si>
    <t>Fatimata BA</t>
  </si>
  <si>
    <t>Anorexie;toux;ecoulement_nasal</t>
  </si>
  <si>
    <t>0010/MPOX/25</t>
  </si>
  <si>
    <t>Awa THIAM</t>
  </si>
  <si>
    <t>MKP_SEN/25/0091</t>
  </si>
  <si>
    <t>MKP_SEN/25/0092</t>
  </si>
  <si>
    <t>MKP_SEN/25/0093</t>
  </si>
  <si>
    <t>MKP_SEN/25/0094</t>
  </si>
  <si>
    <t>MKP_SEN/25/0095</t>
  </si>
  <si>
    <t>Abdou Aziz DIALLO</t>
  </si>
  <si>
    <t>Amy NDIAYE</t>
  </si>
  <si>
    <t>Seydina Ahmadine DIAGNE</t>
  </si>
  <si>
    <t>Leye CISSE</t>
  </si>
  <si>
    <t>OGE</t>
  </si>
  <si>
    <t>Angines_erythematopultase;prurit_vaginale</t>
  </si>
  <si>
    <t>MKP_SEN/25/0100</t>
  </si>
  <si>
    <t>Lakhady DOUCOURE</t>
  </si>
  <si>
    <t>MKP_SEN/25/0096</t>
  </si>
  <si>
    <t>MKP_SEN/25/0097</t>
  </si>
  <si>
    <t>MKP_SEN/25/0098</t>
  </si>
  <si>
    <t>MKP_SEN/25/0099</t>
  </si>
  <si>
    <t>Amy FALL</t>
  </si>
  <si>
    <t>Keba DIEDHIOU</t>
  </si>
  <si>
    <t>Prurit_nocturne_intense</t>
  </si>
  <si>
    <t>Kany TOURE</t>
  </si>
  <si>
    <t>Amady LY</t>
  </si>
  <si>
    <t>0011/MPOX/25</t>
  </si>
  <si>
    <t>MKP_SEN/25/0101</t>
  </si>
  <si>
    <t>0012/MPOX/25</t>
  </si>
  <si>
    <t>Cheikh DIENE</t>
  </si>
  <si>
    <t>Kiné NDAO</t>
  </si>
  <si>
    <t>MKP_SEN/24/0088</t>
  </si>
  <si>
    <t>MKP_SEN/24/0089</t>
  </si>
  <si>
    <t>Khoudia FALL</t>
  </si>
  <si>
    <t>MKP_SEN/25/0102</t>
  </si>
  <si>
    <t>Amadou FALL</t>
  </si>
  <si>
    <t>38.8</t>
  </si>
  <si>
    <t>Samba DIAGNE</t>
  </si>
  <si>
    <t>Habyba SANOUSSY</t>
  </si>
  <si>
    <t>MKP_SEN/24/0090</t>
  </si>
  <si>
    <t>MKP_SEN/25/0103</t>
  </si>
  <si>
    <t>Serigne Fallou SENE</t>
  </si>
  <si>
    <t>MKP_SEN/25/0104</t>
  </si>
  <si>
    <t>MKP_SEN/25/0105</t>
  </si>
  <si>
    <t>Pape Ndiaga SYLLA</t>
  </si>
  <si>
    <t>Amadou SAGNE</t>
  </si>
  <si>
    <t>Assane SALL</t>
  </si>
  <si>
    <t>36.1</t>
  </si>
  <si>
    <t>MKP_SEN/25/0086</t>
  </si>
  <si>
    <t>Mame Aminata BA</t>
  </si>
  <si>
    <t>MKP_SEN/24/0091</t>
  </si>
  <si>
    <t>MKP_SEN/24/0092</t>
  </si>
  <si>
    <t>MKP_SEN/25/0106</t>
  </si>
  <si>
    <t>MKP_SEN/25/0107</t>
  </si>
  <si>
    <t>MKP_SEN/25/0108</t>
  </si>
  <si>
    <t>Serigne Bassirou DIOP</t>
  </si>
  <si>
    <t>Khardiata SOW</t>
  </si>
  <si>
    <t>Awa SOW</t>
  </si>
  <si>
    <t>Abdalah ALAMINE</t>
  </si>
  <si>
    <t>Cheikh Oumar DIALLO</t>
  </si>
  <si>
    <t>MKP_SEN/25/0109</t>
  </si>
  <si>
    <t>MKP_SEN/25/0110</t>
  </si>
  <si>
    <t>MKP_SEN/25/0111</t>
  </si>
  <si>
    <t>MKP_SEN/25/0112</t>
  </si>
  <si>
    <t>Boubacar BA</t>
  </si>
  <si>
    <t>Alassane GUEYE</t>
  </si>
  <si>
    <t>Dibor DIOUF</t>
  </si>
  <si>
    <t>El Hadji Mamadou DIALLO</t>
  </si>
  <si>
    <t>MKP_SEN/25/0113</t>
  </si>
  <si>
    <t>MKP_SEN/25/0114</t>
  </si>
  <si>
    <t>Demba BALDE</t>
  </si>
  <si>
    <t>Coumba DRAME</t>
  </si>
  <si>
    <t>MKP_SEN/25/0115</t>
  </si>
  <si>
    <t>MKP_SEN/25/0116</t>
  </si>
  <si>
    <t>MKP_SEN/25/0117</t>
  </si>
  <si>
    <t>MKP_SEN/25/0118</t>
  </si>
  <si>
    <t>MKP_SEN/25/0119</t>
  </si>
  <si>
    <t>MKP_SEN/25/0120</t>
  </si>
  <si>
    <t>MKP_SEN/25/0121</t>
  </si>
  <si>
    <t>MKP_SEN/25/0122</t>
  </si>
  <si>
    <t>Ndiogou SARR</t>
  </si>
  <si>
    <t>Mamadou SAMB</t>
  </si>
  <si>
    <t>Le type de prélèvement de sang étant inapproprié pour un diagnostic moléculaire du virus Mpox, ces résultats pourraient être analysés à la lumière des données cliniques du patient. D’autres prélévements pourraient être effectués tels qu’une biopsie des cr</t>
  </si>
  <si>
    <t>Adama SANE</t>
  </si>
  <si>
    <t>Guinée_Bissau</t>
  </si>
  <si>
    <t>Baba GAYE</t>
  </si>
  <si>
    <t>Fatou SANE</t>
  </si>
  <si>
    <t>Khadyja SANE</t>
  </si>
  <si>
    <t>Mamadou DIALLO</t>
  </si>
  <si>
    <t>Toux</t>
  </si>
  <si>
    <t>Serigne Cheikh MBACKE</t>
  </si>
  <si>
    <t>0013/MPOX/25</t>
  </si>
  <si>
    <t>Sokhna MBOUP</t>
  </si>
  <si>
    <t>Douleurs_thoraciques;Toux_grasse_2jrs</t>
  </si>
  <si>
    <t>MKP_SEN/25/0123</t>
  </si>
  <si>
    <t>MKP_SEN/25/0124</t>
  </si>
  <si>
    <t>MKP_SEN/25/0125</t>
  </si>
  <si>
    <t>MKP_SEN/25/0126</t>
  </si>
  <si>
    <t>MKP_SEN/25/0127</t>
  </si>
  <si>
    <t>Mamadou H. DIALLO</t>
  </si>
  <si>
    <t>Aby KA</t>
  </si>
  <si>
    <t>Adama DIALLO</t>
  </si>
  <si>
    <t>Makale Kabele CAMARA</t>
  </si>
  <si>
    <t>Ibrahima AMAR</t>
  </si>
  <si>
    <t>0014/MPOX/25</t>
  </si>
  <si>
    <t>0015/MPOX/25</t>
  </si>
  <si>
    <t>0016/MPOX/25</t>
  </si>
  <si>
    <t>Abdou A. GAYE</t>
  </si>
  <si>
    <t>Djibril Diomaye FAYE</t>
  </si>
  <si>
    <t>Ndeye Sokhna DIOUF</t>
  </si>
  <si>
    <t>MKP_SEN/24/0093</t>
  </si>
  <si>
    <t>MKP_SEN/24/0094</t>
  </si>
  <si>
    <t>MKP_SEN/24/0095</t>
  </si>
  <si>
    <t>MKP_SEN/24/0096</t>
  </si>
  <si>
    <t>MKP_SEN/24/0097</t>
  </si>
  <si>
    <t>MKP_SEN/25/0128</t>
  </si>
  <si>
    <t>MKP_SEN/25/0129</t>
  </si>
  <si>
    <t>MKP_SEN/25/0130</t>
  </si>
  <si>
    <t>MKP_SEN/25/0131</t>
  </si>
  <si>
    <t>Khalilou SOW</t>
  </si>
  <si>
    <t>Daha BABOU</t>
  </si>
  <si>
    <t>Bay Cheikh GUEYE</t>
  </si>
  <si>
    <t>0017/MPOX/25</t>
  </si>
  <si>
    <t>Pape Malick SARR</t>
  </si>
  <si>
    <t>Amadou KANE</t>
  </si>
  <si>
    <t>35.6</t>
  </si>
  <si>
    <t>Aboubakarim NDAO</t>
  </si>
  <si>
    <t>Amy Colle SECK</t>
  </si>
  <si>
    <t>Saran CISSE</t>
  </si>
  <si>
    <t>Famata DIA</t>
  </si>
  <si>
    <t>0018/MPOX/25</t>
  </si>
  <si>
    <t>Mamadou DIAKHATE</t>
  </si>
  <si>
    <t>34.7</t>
  </si>
  <si>
    <t>Vomissements;Douleurs_abdominales</t>
  </si>
  <si>
    <t>MKP_SEN/24/0098</t>
  </si>
  <si>
    <t>MKP_SEN/24/0099</t>
  </si>
  <si>
    <t>MKP_SEN/25/0132</t>
  </si>
  <si>
    <t>MKP_SEN/25/0133</t>
  </si>
  <si>
    <t>MKP_SEN/25/0134</t>
  </si>
  <si>
    <t>MKP_SEN/25/0135</t>
  </si>
  <si>
    <t>MKP_SEN/25/0136</t>
  </si>
  <si>
    <t>MKP_SEN/25/0137</t>
  </si>
  <si>
    <t>Sokhna CISSE</t>
  </si>
  <si>
    <t>Mbene BADIANE</t>
  </si>
  <si>
    <t>Ndeye THIOUNE</t>
  </si>
  <si>
    <t>Mamadou SOW</t>
  </si>
  <si>
    <t>39.1</t>
  </si>
  <si>
    <t>Candidose_buccale</t>
  </si>
  <si>
    <t>Kory SENE</t>
  </si>
  <si>
    <t>Malick NDAO</t>
  </si>
  <si>
    <t>Maimouna CAMARA</t>
  </si>
  <si>
    <t>Adama KONARE</t>
  </si>
  <si>
    <t>Resultat_PCR_Mpox</t>
  </si>
  <si>
    <t>Resultat_IgM_Mpox</t>
  </si>
  <si>
    <t>Resultat_IgG_Mpox</t>
  </si>
  <si>
    <t>0019/MPOX/25</t>
  </si>
  <si>
    <t>0020/MPOX/25</t>
  </si>
  <si>
    <t>0021/MPOX/25</t>
  </si>
  <si>
    <t>0022/MPOX/25</t>
  </si>
  <si>
    <t>Koura SARR</t>
  </si>
  <si>
    <t>Adama DIOP</t>
  </si>
  <si>
    <t>Abdoulaye DIENE</t>
  </si>
  <si>
    <t>Ngoudie DIOUF</t>
  </si>
  <si>
    <t>Conjonctivite</t>
  </si>
  <si>
    <t>MKP_SEN/25/0138</t>
  </si>
  <si>
    <t>MKP_SEN/25/0139</t>
  </si>
  <si>
    <t>MKP_SEN/25/0140</t>
  </si>
  <si>
    <t>MKP_SEN/25/0141</t>
  </si>
  <si>
    <t>MKP_SEN/25/0142</t>
  </si>
  <si>
    <t>MKP_SEN/25/0143</t>
  </si>
  <si>
    <t>Mokhtar NDIAYE</t>
  </si>
  <si>
    <t>Absence d’une infection aigue au virus Mpox. Ces résultats pourraient être analysés à la lumière des données cliniques du patient. Le prélèvement de sang n’étant plus recommandé pour un diagnostic moléculaire du virus Mpox, d’autres prélévements pourraient être effectués tels qu’une biopsie des croûtes et un écouvillon des lésions, liquides vésiculaires ou un écouvillon oropharyngé.</t>
  </si>
  <si>
    <t>Absence d’une infection aigue au virus Mpox. Ces résultats pourraient être analysés à la lumière des données cliniques du patient.</t>
  </si>
  <si>
    <t>Adama NIANG</t>
  </si>
  <si>
    <t xml:space="preserve">Ismail IBRAHIMA </t>
  </si>
  <si>
    <t>Amadou Tidiane DIAW</t>
  </si>
  <si>
    <t>MKP_SEN/25/0144</t>
  </si>
  <si>
    <t>Mohamed DIA</t>
  </si>
  <si>
    <t>Ahmadou K. DIAW</t>
  </si>
  <si>
    <t>MKP_SEN/25/0145</t>
  </si>
  <si>
    <t>MKP_SEN/25/0146</t>
  </si>
  <si>
    <t>MKP_SEN/25/0147</t>
  </si>
  <si>
    <t>MKP_SEN/25/0148</t>
  </si>
  <si>
    <t>MKP_SEN/25/0149</t>
  </si>
  <si>
    <t>MKP_SEN/25/0150</t>
  </si>
  <si>
    <t>MKP_SEN/25/0151</t>
  </si>
  <si>
    <t>MKP_SEN/25/0152</t>
  </si>
  <si>
    <t>MKP_SEN/25/0153</t>
  </si>
  <si>
    <t>MKP_SEN/25/0154</t>
  </si>
  <si>
    <t>MKP_SEN/25/0155</t>
  </si>
  <si>
    <t>MKP_SEN/25/0156</t>
  </si>
  <si>
    <t>Noukha BALO</t>
  </si>
  <si>
    <t>Awa NDIOR</t>
  </si>
  <si>
    <t>Mariama NDIOR</t>
  </si>
  <si>
    <t>Coumba NDIOR</t>
  </si>
  <si>
    <t>36.6</t>
  </si>
  <si>
    <t>Khady NDIOR</t>
  </si>
  <si>
    <t>Mame Tening DIOUF</t>
  </si>
  <si>
    <t>Adama NDIOR</t>
  </si>
  <si>
    <t>Toux_grasse</t>
  </si>
  <si>
    <t>Coumba GACKOU</t>
  </si>
  <si>
    <t>Mignane DIOUF</t>
  </si>
  <si>
    <t>Boubacar DIALLO</t>
  </si>
  <si>
    <t>Diba CAMARA</t>
  </si>
  <si>
    <t>Prurit;Toux;Renorrhee</t>
  </si>
  <si>
    <t>MKP_SEN/24/0100</t>
  </si>
  <si>
    <t>MKP_SEN/25/0157</t>
  </si>
  <si>
    <t>MKP_SEN/25/0158</t>
  </si>
  <si>
    <t>MKP_SEN/25/0159</t>
  </si>
  <si>
    <t>MKP_SEN/25/0160</t>
  </si>
  <si>
    <t>MKP_SEN/25/0161</t>
  </si>
  <si>
    <t>Mamadou SOUARE</t>
  </si>
  <si>
    <t>Bineta TAMBEDOU</t>
  </si>
  <si>
    <t>Mame Mareme BABOU</t>
  </si>
  <si>
    <t>Babacar SECK</t>
  </si>
  <si>
    <t>Lalya MBAYE</t>
  </si>
  <si>
    <t>Alassane SOW</t>
  </si>
  <si>
    <t>Oumar SOW</t>
  </si>
  <si>
    <t>MKP_SEN/25/0162</t>
  </si>
  <si>
    <t>MKP_SEN/25/0163</t>
  </si>
  <si>
    <t>MKP_SEN/25/0164</t>
  </si>
  <si>
    <t>MKP_SEN/25/0165</t>
  </si>
  <si>
    <t>MKP_SEN/24/0138</t>
  </si>
  <si>
    <t>MKP_SEN/24/0139</t>
  </si>
  <si>
    <t>MKP_SEN/25/0166</t>
  </si>
  <si>
    <t>MKP_SEN/25/0167</t>
  </si>
  <si>
    <t>MKP_SEN/25/0168</t>
  </si>
  <si>
    <t>MKP_SEN/25/0169</t>
  </si>
  <si>
    <t>MKP_SEN/25/0170</t>
  </si>
  <si>
    <t>MKP_SEN/25/0171</t>
  </si>
  <si>
    <t>Aboubacry Babou SY</t>
  </si>
  <si>
    <t>Modou DIOUF</t>
  </si>
  <si>
    <t>Mactar MBAYE</t>
  </si>
  <si>
    <t>Dienaba BADJI</t>
  </si>
  <si>
    <t>Sidy SECK</t>
  </si>
  <si>
    <t>Mame Diarra DIOP</t>
  </si>
  <si>
    <t>Mbene NGOM</t>
  </si>
  <si>
    <t>Mouhamed DEME</t>
  </si>
  <si>
    <t>37.3</t>
  </si>
  <si>
    <t>Malick DIENG</t>
  </si>
  <si>
    <t>Vomissements;Constipation</t>
  </si>
  <si>
    <t>Sadio DIAKHATE</t>
  </si>
  <si>
    <t>Zacharia TRAORE</t>
  </si>
  <si>
    <t>Semaine 43-2025</t>
  </si>
  <si>
    <t>Mouusa LO</t>
  </si>
  <si>
    <t>Halimatou BA</t>
  </si>
  <si>
    <t>Ramatoulaye DIALLO</t>
  </si>
  <si>
    <t>2025</t>
  </si>
  <si>
    <t>Daouda SECK</t>
  </si>
  <si>
    <t>Douleurs abdominales arthralgie</t>
  </si>
  <si>
    <t>Aissatou Lamarana DIALLO</t>
  </si>
  <si>
    <t>Pape Fara NIANG</t>
  </si>
  <si>
    <t>Sangomar</t>
  </si>
  <si>
    <t>Fatoumata B KANTE</t>
  </si>
  <si>
    <t>Aissatou Gangué BA</t>
  </si>
  <si>
    <t>MKP_SEN/25/0172</t>
  </si>
  <si>
    <t>MKP_SEN/25/0173</t>
  </si>
  <si>
    <t>MKP_SEN/25/0174</t>
  </si>
  <si>
    <t>MKP_SEN/25/0175</t>
  </si>
  <si>
    <t>MKP_SEN/25/0176</t>
  </si>
  <si>
    <t>MKP_SEN/25/0177</t>
  </si>
  <si>
    <t>MKP_SEN/25/0178</t>
  </si>
  <si>
    <t>MKP_SEN/25/0179</t>
  </si>
  <si>
    <t>MKP_SEN/25/0180</t>
  </si>
  <si>
    <t>MKP_SEN/25/0181</t>
  </si>
  <si>
    <t>Lucien Maurice Latyr SENGHOR</t>
  </si>
  <si>
    <t>MKP_SEN/25/0182</t>
  </si>
  <si>
    <t>Oumou BA</t>
  </si>
  <si>
    <t>MKP_SEN/25/0183</t>
  </si>
  <si>
    <t>Fu ZEYU</t>
  </si>
  <si>
    <t>Chine</t>
  </si>
  <si>
    <t>Maroc</t>
  </si>
  <si>
    <t>MKP_SEN/25/0184</t>
  </si>
  <si>
    <t>MKP_SEN/24/0142</t>
  </si>
  <si>
    <t>Ndiakhate MBACKE</t>
  </si>
  <si>
    <t>MKP_SEN/24/0143</t>
  </si>
  <si>
    <t>Aissatou DIALLO</t>
  </si>
  <si>
    <t>MKP_SEN/24/0144</t>
  </si>
  <si>
    <t>Awa KA</t>
  </si>
  <si>
    <t>Nogaye SENE</t>
  </si>
  <si>
    <t>MKP_SEN/25/0185</t>
  </si>
  <si>
    <t>Mame Diarra FAYE</t>
  </si>
  <si>
    <t>MKP_SEN/25/0186</t>
  </si>
  <si>
    <t>Sidaty Mohemed TOA BALY</t>
  </si>
  <si>
    <t>Sénégal</t>
  </si>
  <si>
    <t>MKP_SEN/25/0187</t>
  </si>
  <si>
    <t>Mohamed AL AMINE</t>
  </si>
  <si>
    <t>MKP_SEN/24/0140</t>
  </si>
  <si>
    <t>Saye Sakho</t>
  </si>
  <si>
    <t>MKP_SEN/24/0141</t>
  </si>
  <si>
    <t>Adama TOURE</t>
  </si>
  <si>
    <t>MKP_SEN/25/0189</t>
  </si>
  <si>
    <t>Deguéne NGOM</t>
  </si>
  <si>
    <t>MKP_SEN/25/0188</t>
  </si>
  <si>
    <t>Mouhamed L KABA</t>
  </si>
  <si>
    <t>Semaine 44-2025</t>
  </si>
  <si>
    <t>MKP_SEN/25/0190</t>
  </si>
  <si>
    <t>Oumar THIAM</t>
  </si>
  <si>
    <t>MKP_SEN/25/0191</t>
  </si>
  <si>
    <t>Dieynaba DIATTA</t>
  </si>
  <si>
    <t>0023/MPOX/25</t>
  </si>
  <si>
    <t>Abdoulaye THIAW</t>
  </si>
  <si>
    <t>MKP_SEN/24/0145</t>
  </si>
  <si>
    <t>Ndatte GADIAGA</t>
  </si>
  <si>
    <t>MKP_SEN/24/0146</t>
  </si>
  <si>
    <t>Mohamed SECK</t>
  </si>
  <si>
    <t>MKP_SEN/24/0147</t>
  </si>
  <si>
    <t>Tapha NIANG</t>
  </si>
  <si>
    <t>Diarrhée vomissement</t>
  </si>
  <si>
    <t>MKP_SEN/24/0148</t>
  </si>
  <si>
    <t>Penda NIANG</t>
  </si>
  <si>
    <t>MKP_SEN/25/0192</t>
  </si>
  <si>
    <t>Cheick FAYE</t>
  </si>
  <si>
    <t>MKP_SEN/25/0193</t>
  </si>
  <si>
    <t>Anta DIGO</t>
  </si>
  <si>
    <t>MKP_SEN/25/0194</t>
  </si>
  <si>
    <t>Dame BADJI</t>
  </si>
  <si>
    <t>MKP_SEN/25/0195</t>
  </si>
  <si>
    <t>Awa BADJI</t>
  </si>
  <si>
    <t>Demabal Ascabial Nelazac</t>
  </si>
  <si>
    <t>MKP_SEN/25/0196</t>
  </si>
  <si>
    <t>Astou BADJI</t>
  </si>
  <si>
    <t>MKP_SEN/25/0197</t>
  </si>
  <si>
    <t>Bakary SANKHARE</t>
  </si>
  <si>
    <t>Drépanozytaire</t>
  </si>
  <si>
    <t>lesions gryptives il y a 2 mois</t>
  </si>
  <si>
    <t>MKP_SEN/25/0198</t>
  </si>
  <si>
    <t>Fallou BADJI</t>
  </si>
  <si>
    <t>MKP_SEN/25/0199</t>
  </si>
  <si>
    <t>Mamadou Lamine SANE</t>
  </si>
  <si>
    <t>MKP_SEN/25/0200</t>
  </si>
  <si>
    <t>Celia SENE</t>
  </si>
  <si>
    <t>Drépanozytose AS</t>
  </si>
  <si>
    <t>MKP_SEN/25/0201</t>
  </si>
  <si>
    <t>Al Hassan SOW</t>
  </si>
  <si>
    <t>MKP_SEN/25/0202</t>
  </si>
  <si>
    <t>Penda SOW</t>
  </si>
  <si>
    <t>MKP_SEN/25/0501</t>
  </si>
  <si>
    <t>Thierno Souleymane DIALLO</t>
  </si>
  <si>
    <t>2O/07/2025</t>
  </si>
  <si>
    <t>MKP_SEN/24/0149</t>
  </si>
  <si>
    <t>Daouda SOW</t>
  </si>
  <si>
    <t>MKP_SEN/25/0203</t>
  </si>
  <si>
    <t>Yaya KONTE</t>
  </si>
  <si>
    <t>MKP_SEN/25/0204</t>
  </si>
  <si>
    <t>Mamadou SAO</t>
  </si>
  <si>
    <t>MKP_SEN/25/0205</t>
  </si>
  <si>
    <t>Abdou Aziz DIOP</t>
  </si>
  <si>
    <t>Eruption evoluant depuis 2 mois</t>
  </si>
  <si>
    <t>MKP_SEN/25/0206</t>
  </si>
  <si>
    <t>Mamadou LO</t>
  </si>
  <si>
    <t>MKP_SEN/25/0208</t>
  </si>
  <si>
    <t>Fatou TAMBA</t>
  </si>
  <si>
    <t>MKP_SEN/25/0209</t>
  </si>
  <si>
    <t>Abiboulaye BERTHE</t>
  </si>
  <si>
    <t>Guinée</t>
  </si>
  <si>
    <t>MKP_SEN/24/0150</t>
  </si>
  <si>
    <t>Ibrahima DIOUF</t>
  </si>
  <si>
    <t>MKP_SEN/25/0210</t>
  </si>
  <si>
    <t>MKP_SEN/25/0211</t>
  </si>
  <si>
    <t>Aminata CAMARA</t>
  </si>
  <si>
    <t>MKP_SEN/25/0212</t>
  </si>
  <si>
    <t>Souadou CAMARA</t>
  </si>
  <si>
    <t>MKP_SEN/25/0213</t>
  </si>
  <si>
    <t>Youssoupha DIONE</t>
  </si>
  <si>
    <t>MKP_SEN/25/0214</t>
  </si>
  <si>
    <t>Modou GAYE</t>
  </si>
  <si>
    <t>Semaine 45-2025</t>
  </si>
  <si>
    <t>MKP_SEN/25/0215</t>
  </si>
  <si>
    <t>Malick DIABAYE</t>
  </si>
  <si>
    <t>MKP_SEN/25/0216</t>
  </si>
  <si>
    <t>Ousseynou SY</t>
  </si>
  <si>
    <t>MKP_SEN/25/0217</t>
  </si>
  <si>
    <t>Zahra SECK</t>
  </si>
  <si>
    <t>MKP_SEN/25/0218</t>
  </si>
  <si>
    <t>Malick CAMARA</t>
  </si>
  <si>
    <t>MKP_SEN/25/0219</t>
  </si>
  <si>
    <t>Khady DIALLO</t>
  </si>
  <si>
    <t>MKP_SEN/25/0220</t>
  </si>
  <si>
    <t>Amadou SYLLA</t>
  </si>
  <si>
    <t>O4/11/2025</t>
  </si>
  <si>
    <t>MKP_SEN/25/0221</t>
  </si>
  <si>
    <t>Mouhamed SENE</t>
  </si>
  <si>
    <t>MKP_SEN/25/0222</t>
  </si>
  <si>
    <t>Omar Alimou Diallo</t>
  </si>
  <si>
    <t>MKP_SEN/25/0223</t>
  </si>
  <si>
    <t>Abdoulaye SY</t>
  </si>
  <si>
    <t>MKP_SEN/25/0224</t>
  </si>
  <si>
    <t>Papa Makhtar BOCOUM</t>
  </si>
  <si>
    <t>31/1O/2025</t>
  </si>
  <si>
    <t>MKP_SEN/25/0225</t>
  </si>
  <si>
    <t>Moustapha Djamil GUEYE</t>
  </si>
  <si>
    <t>MKP_SEN/25/0226</t>
  </si>
  <si>
    <t>Mouhamed Fadel MBAYE</t>
  </si>
  <si>
    <t>MKP_SEN/25/0227</t>
  </si>
  <si>
    <t>Khadidiatou DIALLO</t>
  </si>
  <si>
    <t>MKP_SEN/25/0228</t>
  </si>
  <si>
    <t>El Hadji Sidy GUEYE</t>
  </si>
  <si>
    <t>MKP_SEN/25/0229</t>
  </si>
  <si>
    <t>Demba POUYE</t>
  </si>
  <si>
    <t>O6/11/2025</t>
  </si>
  <si>
    <t>MKP_SEN/25/0502</t>
  </si>
  <si>
    <t>Cella FOSSI</t>
  </si>
  <si>
    <t>Semaine 46-2025</t>
  </si>
  <si>
    <t>MKP_SEN/24/0151</t>
  </si>
  <si>
    <t>Sidy ALY</t>
  </si>
  <si>
    <t>39.9</t>
  </si>
  <si>
    <t>MKP_SEN/25/0230</t>
  </si>
  <si>
    <t>Coumba DIOP</t>
  </si>
  <si>
    <t>MKP_SEN/25/0231</t>
  </si>
  <si>
    <t>Mansou DIAO</t>
  </si>
  <si>
    <t>MKP_SEN/25/0503</t>
  </si>
  <si>
    <t>Emmanuel FORSON</t>
  </si>
  <si>
    <t>REP de Guinée</t>
  </si>
  <si>
    <t>MKP_SEN/25/0232</t>
  </si>
  <si>
    <t>Aissatou Mbengue</t>
  </si>
  <si>
    <t>MKP_SEN/25/0233</t>
  </si>
  <si>
    <t>Mark Junior Bako GOMIS</t>
  </si>
  <si>
    <t>0028/MPOX/25</t>
  </si>
  <si>
    <t>Mamadou Alpha DIALLO</t>
  </si>
  <si>
    <t>0026/MPOX/25</t>
  </si>
  <si>
    <t>Modou Kara LO</t>
  </si>
  <si>
    <t>0027/MPOX/25</t>
  </si>
  <si>
    <t>Khdy NDIAYE</t>
  </si>
  <si>
    <t>MKP_SEN/25/0234</t>
  </si>
  <si>
    <t>Aissatou BARRY</t>
  </si>
  <si>
    <t>MKP_SEN/25/0235</t>
  </si>
  <si>
    <t>Ibrahima TOURE</t>
  </si>
  <si>
    <t>MKP_SEN/25/0236</t>
  </si>
  <si>
    <t>El Hadji Mansour NIANG</t>
  </si>
  <si>
    <t>MKP_SEN/25/0237</t>
  </si>
  <si>
    <t>Papa Adama NIANE</t>
  </si>
  <si>
    <t>MKP_SEN/25/0238</t>
  </si>
  <si>
    <t>Khalifa Ababacar Sy NIANG</t>
  </si>
  <si>
    <t>MKP_SEN/25/0239</t>
  </si>
  <si>
    <t>Nogaye MBAYE</t>
  </si>
  <si>
    <t>MKP_SEN/25/0240</t>
  </si>
  <si>
    <t>Daouda Ghana NDOUR</t>
  </si>
  <si>
    <t>MKP_SEN/25/0241</t>
  </si>
  <si>
    <t>Aissatou BA</t>
  </si>
  <si>
    <t>0029/MPOX/25</t>
  </si>
  <si>
    <t>Mouhamet DIA</t>
  </si>
  <si>
    <t>MKP_SEN/25/0242</t>
  </si>
  <si>
    <t>Siga NDIAYE</t>
  </si>
  <si>
    <t>MKP_SEN/25/0243</t>
  </si>
  <si>
    <t>Aida BA</t>
  </si>
  <si>
    <t>MKP_SEN/25/0244</t>
  </si>
  <si>
    <t>Seydina M R DIALLO</t>
  </si>
  <si>
    <t>MKP_SEN/25/0245</t>
  </si>
  <si>
    <t>Pape Ibrahima CAMARA</t>
  </si>
  <si>
    <t>MKP_SEN/25/0246</t>
  </si>
  <si>
    <t>José Olivio PREIRA</t>
  </si>
  <si>
    <t>Tanzanie</t>
  </si>
  <si>
    <t>Semaine 47-2025</t>
  </si>
  <si>
    <t>MKP_SEN/25/0247</t>
  </si>
  <si>
    <t>Cheikh Assane SECK</t>
  </si>
  <si>
    <t>MKP_SEN/25/0248</t>
  </si>
  <si>
    <t>Cheikh Oumar BA</t>
  </si>
  <si>
    <t>MKP_SEN/25/0249</t>
  </si>
  <si>
    <t>Modou KA</t>
  </si>
  <si>
    <t>3.8</t>
  </si>
  <si>
    <t>0030/MPOX/25</t>
  </si>
  <si>
    <t>Coumba BA</t>
  </si>
  <si>
    <t>0031/MPOX/25</t>
  </si>
  <si>
    <t>Khady KEITA</t>
  </si>
  <si>
    <t>0032/MPOX/25</t>
  </si>
  <si>
    <t>Serigne Saliou DIA</t>
  </si>
  <si>
    <t>Pape Ibrahima SENE</t>
  </si>
  <si>
    <t>0033/MPOX/25</t>
  </si>
  <si>
    <t>MKP_SEN/25/0250</t>
  </si>
  <si>
    <t>Awa DIENG</t>
  </si>
  <si>
    <t>MKP_SEN/25/0251</t>
  </si>
  <si>
    <t>Mariama DIALLO</t>
  </si>
  <si>
    <t>clade IIb</t>
  </si>
  <si>
    <t>Clade Ib</t>
  </si>
  <si>
    <t>Clade IIb</t>
  </si>
  <si>
    <t>MKP_SEN/25/0252</t>
  </si>
  <si>
    <t>Papis Bamba MBALLO</t>
  </si>
  <si>
    <t>Semaine 48-2025</t>
  </si>
  <si>
    <t>MKP_SEN/24/0153</t>
  </si>
  <si>
    <t>Aliou BARRY</t>
  </si>
  <si>
    <t>MKP_SEN/24/0154</t>
  </si>
  <si>
    <t>MKP_SEN/25/0253</t>
  </si>
  <si>
    <t>Clade</t>
  </si>
  <si>
    <t>MKP_SEN/24/0155</t>
  </si>
  <si>
    <t>MKP_SEN/25/0254</t>
  </si>
  <si>
    <t>Abou DIALLO</t>
  </si>
  <si>
    <t>Cheikh BA</t>
  </si>
  <si>
    <t>MKP_SEN/25/00505</t>
  </si>
  <si>
    <t>Tely DIALLO</t>
  </si>
  <si>
    <t>MKP_SEN/25/00506</t>
  </si>
  <si>
    <t>MKP_SEN/25/00507</t>
  </si>
  <si>
    <t>Mamadou L FATY</t>
  </si>
  <si>
    <t>MKP_SEN/25/00508</t>
  </si>
  <si>
    <t>Mansour SOW</t>
  </si>
  <si>
    <t>MKP_SEN/25/00509</t>
  </si>
  <si>
    <t>0025/MPOX/25</t>
  </si>
  <si>
    <t>Mouhamed MAIGA</t>
  </si>
  <si>
    <t>Semaine 49-2025</t>
  </si>
  <si>
    <t>MKP_SEN/24/0156</t>
  </si>
  <si>
    <t>S Khadim KEBE</t>
  </si>
  <si>
    <t>MKP_SEN/24/0157</t>
  </si>
  <si>
    <t>Modou DIAGNE</t>
  </si>
  <si>
    <t>MKP_SEN/25/0257</t>
  </si>
  <si>
    <t>Mamina CAMARA</t>
  </si>
  <si>
    <t>O1/12/2025</t>
  </si>
  <si>
    <t>Semaine 50-2025</t>
  </si>
  <si>
    <t>MKP_SEN/24/0158</t>
  </si>
  <si>
    <t>MKP_SEN/24/0159</t>
  </si>
  <si>
    <t>Serigne Cheikh NDIAYE</t>
  </si>
  <si>
    <t>MPOX/KF0001</t>
  </si>
  <si>
    <t>Dioubeyrou DIA</t>
  </si>
  <si>
    <t>MKP_SEN/25/0255</t>
  </si>
  <si>
    <t>MKP_SEN/25/0258</t>
  </si>
  <si>
    <t>Adjaratou SARR</t>
  </si>
  <si>
    <t>MKP_SEN/25/00510</t>
  </si>
  <si>
    <t>Mariama S DIALLO</t>
  </si>
  <si>
    <t>MKP_SEN/25/00511</t>
  </si>
  <si>
    <t>Sidya DIATTA</t>
  </si>
  <si>
    <t>MKP_SEN/24/0160</t>
  </si>
  <si>
    <t>Faty BA</t>
  </si>
  <si>
    <t>06/122025</t>
  </si>
  <si>
    <t>91/12/2025</t>
  </si>
  <si>
    <t>Semaine 51-2025</t>
  </si>
  <si>
    <t>0034/MPOX/25</t>
  </si>
  <si>
    <t>Ibrahima CAMARA</t>
  </si>
  <si>
    <t>MKP_SEN/24/0161</t>
  </si>
  <si>
    <t>Kine SENE</t>
  </si>
  <si>
    <t>MKP_SEN/25/0260</t>
  </si>
  <si>
    <t>MKP_SEN/25/0261</t>
  </si>
  <si>
    <t>Nolel SOW</t>
  </si>
  <si>
    <t>MKP_SEN/25/0262</t>
  </si>
  <si>
    <t>Alioune Badara NIANG</t>
  </si>
  <si>
    <t>MKP_SEN/24/0163</t>
  </si>
  <si>
    <t>Ahmed DIOP</t>
  </si>
  <si>
    <t>MKP_SEN/25/0263</t>
  </si>
  <si>
    <t>MKP_SEN/25/0264</t>
  </si>
  <si>
    <t>Astel GAYE</t>
  </si>
  <si>
    <t>Mamadou GAYE</t>
  </si>
  <si>
    <t>0035/MPOX/25</t>
  </si>
  <si>
    <t>Celeste NGANBZIEN</t>
  </si>
  <si>
    <t>Semaine 01-2026</t>
  </si>
  <si>
    <t>Semaine51-2025</t>
  </si>
  <si>
    <t>Semaine 02-2026</t>
  </si>
  <si>
    <t>MKP_SEN/24/0164</t>
  </si>
  <si>
    <t>Assane DIOP</t>
  </si>
  <si>
    <t>MKP_SEN/24/0165</t>
  </si>
  <si>
    <t>Seydina Mouhamed FALL</t>
  </si>
  <si>
    <t>MKP_SEN/25/0265</t>
  </si>
  <si>
    <t>Khaoussou DRAME</t>
  </si>
  <si>
    <t>Vieux NDAO</t>
  </si>
  <si>
    <t>MKP_SEN/26/0001</t>
  </si>
  <si>
    <t>MKP_SEN/26/0002</t>
  </si>
  <si>
    <t>Babacar Th NGOM</t>
  </si>
  <si>
    <t>Semaine 03-2026</t>
  </si>
  <si>
    <t>001/MPOX/26</t>
  </si>
  <si>
    <t>Sirigne Bara DIOUF</t>
  </si>
  <si>
    <t>MKP_SEN/25/0512</t>
  </si>
  <si>
    <t>Mansour MANE</t>
  </si>
  <si>
    <t>MKP_SEN/26/0003</t>
  </si>
  <si>
    <t>Moussa SONKO</t>
  </si>
  <si>
    <t>MKP_SEN/24/0166</t>
  </si>
  <si>
    <t>Sokhna Faty DIA</t>
  </si>
  <si>
    <t>MKP_SEN/24/0167</t>
  </si>
  <si>
    <t>Oumy DIOP</t>
  </si>
  <si>
    <t>MKP_SEN/24/0168</t>
  </si>
  <si>
    <t>Maguette DIOP</t>
  </si>
  <si>
    <t>002/MPOX/26</t>
  </si>
  <si>
    <t>Babacar GUEYE</t>
  </si>
  <si>
    <t>003/MPOX/26</t>
  </si>
  <si>
    <t>Ibrahima BOYE</t>
  </si>
  <si>
    <t>Semaine 04-2026</t>
  </si>
  <si>
    <t>MKP_SEN/25/00513</t>
  </si>
  <si>
    <t>Abdoulaye DIALLO</t>
  </si>
  <si>
    <t>MKP_SEN/26/0004</t>
  </si>
  <si>
    <t xml:space="preserve">Cheikh Baba BA </t>
  </si>
  <si>
    <t>MKP_SEN/26/0005</t>
  </si>
  <si>
    <t>Moussa KANTE</t>
  </si>
  <si>
    <t>MKP_SEN/24/0169</t>
  </si>
  <si>
    <t>Diadia DIOP</t>
  </si>
  <si>
    <t>MKP_SEN/24/0170</t>
  </si>
  <si>
    <t>Yamane FALL</t>
  </si>
  <si>
    <t>Nouachott</t>
  </si>
  <si>
    <t>Semaine 05-2026</t>
  </si>
  <si>
    <t>MKP_SEN/26/0006</t>
  </si>
  <si>
    <t>Bassirou FAYE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</si>
</sst>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5" x14ac:knownFonts="1">
    <font>
      <sz val="11"/>
      <color theme="1"/>
      <name val="Calibri"/>
      <family val="2"/>
      <scheme val="minor"/>
    </font>
    <font>
      <sz val="8"/>
      <name val="Calibri"/>
      <family val="2"/>
      <scheme val="minor"/>
    </font>
    <font>
      <b/>
      <sz val="12"/>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9">
    <xf numFmtId="0" fontId="0" fillId="0" borderId="0" xfId="0"/>
    <xf numFmtId="0" fontId="0" fillId="2" borderId="0" xfId="0" applyFill="1"/>
    <xf numFmtId="0" fontId="0" fillId="3" borderId="1" xfId="0" applyFill="1" applyBorder="1" applyProtection="1">
      <protection locked="0"/>
    </xf>
    <xf numFmtId="0" fontId="0" fillId="0" borderId="0" xfId="0" applyProtection="1">
      <protection locked="0"/>
    </xf>
    <xf numFmtId="0" fontId="0" fillId="0" borderId="1" xfId="0" applyBorder="1" applyProtection="1">
      <protection locked="0"/>
    </xf>
    <xf numFmtId="14" fontId="0" fillId="0" borderId="1" xfId="0" applyNumberFormat="1" applyBorder="1" applyProtection="1">
      <protection locked="0"/>
    </xf>
    <xf numFmtId="0" fontId="0" fillId="2" borderId="1" xfId="0" applyFill="1" applyBorder="1"/>
    <xf numFmtId="14" fontId="0" fillId="4" borderId="1" xfId="0" applyNumberFormat="1" applyFill="1" applyBorder="1" applyProtection="1">
      <protection locked="0"/>
    </xf>
    <xf numFmtId="0" fontId="0" fillId="0" borderId="1" xfId="0" applyBorder="1"/>
    <xf numFmtId="0" fontId="0" fillId="4" borderId="1" xfId="0" applyFill="1" applyBorder="1"/>
    <xf numFmtId="8" fontId="0" fillId="0" borderId="1" xfId="0" applyNumberFormat="1" applyBorder="1" applyProtection="1">
      <protection locked="0"/>
    </xf>
    <xf numFmtId="0" fontId="0" fillId="0" borderId="2" xfId="0" applyBorder="1" applyProtection="1">
      <protection locked="0"/>
    </xf>
    <xf numFmtId="0" fontId="2" fillId="0" borderId="1" xfId="0" applyFont="1" applyBorder="1" applyProtection="1">
      <protection locked="0"/>
    </xf>
    <xf numFmtId="0" fontId="2" fillId="0" borderId="1" xfId="0" applyFont="1" applyBorder="1"/>
    <xf numFmtId="0" fontId="3" fillId="0" borderId="1" xfId="0" applyFont="1" applyBorder="1" applyProtection="1">
      <protection locked="0"/>
    </xf>
    <xf numFmtId="0" fontId="3" fillId="4" borderId="1" xfId="0" applyFont="1" applyFill="1" applyBorder="1"/>
    <xf numFmtId="0" fontId="4" fillId="0" borderId="1" xfId="0" applyFont="1" applyBorder="1" applyProtection="1">
      <protection locked="0"/>
    </xf>
    <xf numFmtId="0" fontId="4" fillId="4" borderId="1" xfId="0" applyFont="1" applyFill="1" applyBorder="1"/>
    <xf numFmtId="0" fontId="4" fillId="0" borderId="1" xfId="0" applyFont="1" applyBorder="1"/>
    <xf numFmtId="14" fontId="0" fillId="4" borderId="1" xfId="0" applyNumberFormat="1" applyFill="1" applyBorder="1"/>
    <xf numFmtId="0" fontId="3" fillId="0" borderId="0" xfId="0" applyFont="1" applyProtection="1">
      <protection locked="0"/>
    </xf>
    <xf numFmtId="14" fontId="0" fillId="5" borderId="1" xfId="0" applyNumberFormat="1" applyFill="1" applyBorder="1" applyProtection="1">
      <protection locked="0"/>
    </xf>
    <xf numFmtId="0" fontId="0" fillId="0" borderId="1" xfId="0" quotePrefix="1" applyBorder="1" applyProtection="1">
      <protection locked="0"/>
    </xf>
    <xf numFmtId="0" fontId="0" fillId="0" borderId="1" xfId="0" applyBorder="1" applyAlignment="1">
      <alignment horizontal="left"/>
    </xf>
    <xf numFmtId="14" fontId="0" fillId="0" borderId="1" xfId="0" applyNumberFormat="1" applyBorder="1" applyAlignment="1" applyProtection="1">
      <alignment horizontal="right"/>
      <protection locked="0"/>
    </xf>
    <xf numFmtId="0" fontId="0" fillId="0" borderId="1" xfId="0" applyBorder="1" applyAlignment="1" applyProtection="1">
      <alignment horizontal="left"/>
      <protection locked="0"/>
    </xf>
    <xf numFmtId="0" fontId="0" fillId="0" borderId="1" xfId="0" applyBorder="1" applyAlignment="1" applyProtection="1">
      <alignment horizontal="right"/>
      <protection locked="0"/>
    </xf>
    <xf numFmtId="14" fontId="0" fillId="0" borderId="0" xfId="0" applyNumberFormat="1" applyProtection="1">
      <protection locked="0"/>
    </xf>
    <xf numFmtId="20" fontId="2" fillId="0" borderId="1" xfId="0" applyNumberFormat="1" applyFont="1" applyBorder="1" applyProtection="1">
      <protection locked="0"/>
    </xf>
  </cellXfs>
  <cellStyles count="1">
    <cellStyle name="Normal" xfId="0" builtinId="0"/>
  </cellStyles>
  <dxfs count="0"/>
  <tableStyles count="0" defaultTableStyle="TableStyleMedium2" defaultPivotStyle="PivotStyleLight16"/>
  <colors>
    <mruColors>
      <color rgb="FFFF66CC"/>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3B62-6CD1-4CE5-8E37-CA18BE7AEC05}">
  <dimension ref="A1:BI2766"/>
  <sheetViews>
    <sheetView zoomScale="123" zoomScaleNormal="110" workbookViewId="0">
      <pane xSplit="3" ySplit="1" topLeftCell="BH2" activePane="bottomRight" state="frozen"/>
      <selection pane="topRight" activeCell="C1" sqref="C1"/>
      <selection pane="bottomLeft" activeCell="A2" sqref="A2"/>
      <selection pane="bottomRight" activeCell="BJ1" sqref="BJ1"/>
    </sheetView>
  </sheetViews>
  <sheetFormatPr baseColWidth="10" defaultColWidth="10.81640625" defaultRowHeight="14.5" x14ac:dyDescent="0.35"/>
  <cols>
    <col min="1" max="1" width="15.1796875" style="3" bestFit="1" customWidth="1"/>
    <col min="2" max="2" width="9.54296875" style="3" bestFit="1" customWidth="1"/>
    <col min="3" max="3" width="19" style="2" customWidth="1"/>
    <col min="4" max="4" width="14.54296875" style="1" bestFit="1" customWidth="1"/>
    <col min="5" max="5" width="14.1796875" style="1" bestFit="1" customWidth="1"/>
    <col min="6" max="6" width="13.54296875" style="1" bestFit="1" customWidth="1"/>
    <col min="7" max="7" width="18.1796875" style="3" customWidth="1"/>
    <col min="8" max="8" width="28.90625" style="3" customWidth="1"/>
    <col min="9" max="9" width="16.26953125" style="3" customWidth="1"/>
    <col min="10" max="10" width="12.1796875" style="3" customWidth="1"/>
    <col min="11" max="11" width="20.453125" style="3" customWidth="1"/>
    <col min="12" max="12" width="10.6328125" style="3" bestFit="1" customWidth="1"/>
    <col min="13" max="13" width="16.1796875" style="3" customWidth="1"/>
    <col min="14" max="14" width="10.6328125" style="3" bestFit="1" customWidth="1"/>
    <col min="15" max="15" width="17.54296875" style="3" bestFit="1" customWidth="1"/>
    <col min="16" max="16" width="31.54296875" style="3" customWidth="1"/>
    <col min="17" max="17" width="30.453125" style="3" bestFit="1" customWidth="1"/>
    <col min="18" max="18" width="22.453125" style="20" bestFit="1" customWidth="1"/>
    <col min="19" max="19" width="21.90625" style="20" customWidth="1"/>
    <col min="20" max="20" width="20.54296875" style="20" customWidth="1"/>
    <col min="21" max="22" width="23.54296875" style="20" bestFit="1" customWidth="1"/>
    <col min="23" max="24" width="32.453125" style="20" customWidth="1"/>
    <col min="25" max="25" width="14.1796875" style="3" bestFit="1" customWidth="1"/>
    <col min="26" max="26" width="15.54296875" style="3" customWidth="1"/>
    <col min="27" max="27" width="13.1796875" style="3" customWidth="1"/>
    <col min="28" max="28" width="10.6328125" style="3" bestFit="1" customWidth="1"/>
    <col min="29" max="29" width="21.453125" style="3" bestFit="1" customWidth="1"/>
    <col min="30" max="30" width="26" style="3" bestFit="1" customWidth="1"/>
    <col min="31" max="31" width="28.54296875" style="3" bestFit="1" customWidth="1"/>
    <col min="32" max="32" width="21.26953125" style="3" bestFit="1" customWidth="1"/>
    <col min="33" max="33" width="24.1796875" style="3" bestFit="1" customWidth="1"/>
    <col min="34" max="34" width="30.81640625" style="3" bestFit="1" customWidth="1"/>
    <col min="35" max="35" width="29.81640625" style="3" customWidth="1"/>
    <col min="36" max="36" width="22.36328125" style="3" customWidth="1"/>
    <col min="37" max="37" width="21.54296875" style="3" bestFit="1" customWidth="1"/>
    <col min="38" max="38" width="24.26953125" style="3" bestFit="1" customWidth="1"/>
    <col min="39" max="39" width="22" style="3" bestFit="1" customWidth="1"/>
    <col min="40" max="40" width="21.1796875" style="3" bestFit="1" customWidth="1"/>
    <col min="41" max="41" width="27.54296875" style="3" bestFit="1" customWidth="1"/>
    <col min="42" max="42" width="29.1796875" style="3" bestFit="1" customWidth="1"/>
    <col min="43" max="43" width="22.7265625" style="3" bestFit="1" customWidth="1"/>
    <col min="44" max="44" width="28.7265625" style="3" bestFit="1" customWidth="1"/>
    <col min="45" max="45" width="42.26953125" style="3" bestFit="1" customWidth="1"/>
    <col min="46" max="46" width="28" style="3" customWidth="1"/>
    <col min="47" max="47" width="31.81640625" style="3" customWidth="1"/>
    <col min="48" max="48" width="27.7265625" style="3" bestFit="1" customWidth="1"/>
    <col min="49" max="49" width="18.1796875" style="3" bestFit="1" customWidth="1"/>
    <col min="50" max="50" width="15.7265625" style="3" bestFit="1" customWidth="1"/>
    <col min="51" max="51" width="25.7265625" style="3" bestFit="1" customWidth="1"/>
    <col min="52" max="52" width="15.54296875" style="3" bestFit="1" customWidth="1"/>
    <col min="53" max="53" width="17" style="3" bestFit="1" customWidth="1"/>
    <col min="54" max="54" width="14.54296875" style="3" bestFit="1" customWidth="1"/>
    <col min="55" max="55" width="18.81640625" style="3" customWidth="1"/>
    <col min="56" max="56" width="19.81640625" style="3" bestFit="1" customWidth="1"/>
    <col min="57" max="57" width="23.26953125" style="3" bestFit="1" customWidth="1"/>
    <col min="58" max="58" width="11.81640625" style="4" bestFit="1" customWidth="1"/>
    <col min="59" max="59" width="16.1796875" style="3" customWidth="1"/>
    <col min="60" max="60" width="9" style="3" customWidth="1"/>
    <col min="61" max="61" width="64.54296875" style="4" customWidth="1"/>
    <col min="62" max="16384" width="10.81640625" style="3"/>
  </cols>
  <sheetData>
    <row r="1" spans="1:61" ht="15.5" x14ac:dyDescent="0.35">
      <c r="A1" s="28" t="s">
        <v>86</v>
      </c>
      <c r="B1" s="12" t="s">
        <v>92</v>
      </c>
      <c r="C1" s="12" t="s">
        <v>457</v>
      </c>
      <c r="D1" s="13" t="s">
        <v>10</v>
      </c>
      <c r="E1" s="13" t="s">
        <v>83</v>
      </c>
      <c r="F1" s="13" t="s">
        <v>84</v>
      </c>
      <c r="G1" s="12" t="s">
        <v>105</v>
      </c>
      <c r="H1" s="12" t="s">
        <v>107</v>
      </c>
      <c r="I1" s="12" t="s">
        <v>94</v>
      </c>
      <c r="J1" s="12" t="s">
        <v>93</v>
      </c>
      <c r="K1" s="12" t="s">
        <v>178</v>
      </c>
      <c r="L1" s="12" t="s">
        <v>234</v>
      </c>
      <c r="M1" s="12" t="s">
        <v>179</v>
      </c>
      <c r="N1" s="12" t="s">
        <v>235</v>
      </c>
      <c r="O1" s="12" t="s">
        <v>237</v>
      </c>
      <c r="P1" s="12" t="s">
        <v>181</v>
      </c>
      <c r="Q1" s="12" t="s">
        <v>180</v>
      </c>
      <c r="R1" s="12" t="s">
        <v>814</v>
      </c>
      <c r="S1" s="12" t="s">
        <v>815</v>
      </c>
      <c r="T1" s="12" t="s">
        <v>816</v>
      </c>
      <c r="U1" s="12" t="s">
        <v>278</v>
      </c>
      <c r="V1" s="12" t="s">
        <v>279</v>
      </c>
      <c r="W1" s="12" t="s">
        <v>280</v>
      </c>
      <c r="X1" s="12" t="s">
        <v>1145</v>
      </c>
      <c r="Y1" s="12" t="s">
        <v>87</v>
      </c>
      <c r="Z1" s="12" t="s">
        <v>88</v>
      </c>
      <c r="AA1" s="12" t="s">
        <v>146</v>
      </c>
      <c r="AB1" s="12" t="s">
        <v>236</v>
      </c>
      <c r="AC1" s="12" t="s">
        <v>147</v>
      </c>
      <c r="AD1" s="12" t="s">
        <v>148</v>
      </c>
      <c r="AE1" s="12" t="s">
        <v>149</v>
      </c>
      <c r="AF1" s="12" t="s">
        <v>150</v>
      </c>
      <c r="AG1" s="12" t="s">
        <v>162</v>
      </c>
      <c r="AH1" s="12" t="s">
        <v>163</v>
      </c>
      <c r="AI1" s="12" t="s">
        <v>151</v>
      </c>
      <c r="AJ1" s="12" t="s">
        <v>152</v>
      </c>
      <c r="AK1" s="12" t="s">
        <v>153</v>
      </c>
      <c r="AL1" s="12" t="s">
        <v>154</v>
      </c>
      <c r="AM1" s="12" t="s">
        <v>155</v>
      </c>
      <c r="AN1" s="12" t="s">
        <v>156</v>
      </c>
      <c r="AO1" s="12" t="s">
        <v>164</v>
      </c>
      <c r="AP1" s="12" t="s">
        <v>157</v>
      </c>
      <c r="AQ1" s="12" t="s">
        <v>158</v>
      </c>
      <c r="AR1" s="12" t="s">
        <v>159</v>
      </c>
      <c r="AS1" s="12" t="s">
        <v>160</v>
      </c>
      <c r="AT1" s="12" t="s">
        <v>171</v>
      </c>
      <c r="AU1" s="12" t="s">
        <v>161</v>
      </c>
      <c r="AV1" s="12" t="s">
        <v>167</v>
      </c>
      <c r="AW1" s="12" t="s">
        <v>165</v>
      </c>
      <c r="AX1" s="12" t="s">
        <v>166</v>
      </c>
      <c r="AY1" s="12" t="s">
        <v>168</v>
      </c>
      <c r="AZ1" s="12" t="s">
        <v>169</v>
      </c>
      <c r="BA1" s="12" t="s">
        <v>170</v>
      </c>
      <c r="BB1" s="12" t="s">
        <v>101</v>
      </c>
      <c r="BC1" s="12" t="s">
        <v>102</v>
      </c>
      <c r="BD1" s="12" t="s">
        <v>89</v>
      </c>
      <c r="BE1" s="12" t="s">
        <v>90</v>
      </c>
      <c r="BF1" s="12" t="s">
        <v>95</v>
      </c>
      <c r="BG1" s="12" t="s">
        <v>99</v>
      </c>
      <c r="BH1" s="12" t="s">
        <v>118</v>
      </c>
      <c r="BI1" s="12" t="s">
        <v>104</v>
      </c>
    </row>
    <row r="2" spans="1:61" x14ac:dyDescent="0.35">
      <c r="A2" s="8" t="str">
        <f>"Semaine " &amp; _xlfn.ISOWEEKNUM(Y2) &amp; "-" &amp; YEAR(Y2)</f>
        <v>Semaine 32-2024</v>
      </c>
      <c r="B2" s="8" t="str">
        <f>RIGHT(A2,4)</f>
        <v>2024</v>
      </c>
      <c r="C2" s="2" t="s">
        <v>66</v>
      </c>
      <c r="D2" s="6" t="str">
        <f>IF(C2="","",VLOOKUP(C2,district_region,2,FALSE))</f>
        <v>Louga</v>
      </c>
      <c r="E2" s="6">
        <f>IF(C2="","",VLOOKUP(C2,liste_pop,3,FALSE))</f>
        <v>91992</v>
      </c>
      <c r="F2" s="6">
        <f>IF(D2="","",IF(D2="Dakar",4042240,VLOOKUP(D2,liste_pop,4,FALSE)))</f>
        <v>1121619</v>
      </c>
      <c r="G2" s="4" t="s">
        <v>328</v>
      </c>
      <c r="H2" s="4" t="s">
        <v>109</v>
      </c>
      <c r="I2" s="4">
        <v>2</v>
      </c>
      <c r="J2" s="4" t="s">
        <v>96</v>
      </c>
      <c r="K2" s="4"/>
      <c r="L2" s="4"/>
      <c r="M2" s="4"/>
      <c r="N2" s="4"/>
      <c r="O2" s="4" t="s">
        <v>238</v>
      </c>
      <c r="P2" s="9" t="s">
        <v>97</v>
      </c>
      <c r="Q2" s="4" t="s">
        <v>97</v>
      </c>
      <c r="R2" s="14" t="s">
        <v>100</v>
      </c>
      <c r="S2" s="14" t="s">
        <v>100</v>
      </c>
      <c r="T2" s="14" t="s">
        <v>100</v>
      </c>
      <c r="U2" s="14" t="s">
        <v>285</v>
      </c>
      <c r="V2" s="14"/>
      <c r="W2" s="14"/>
      <c r="X2" s="14"/>
      <c r="Y2" s="5">
        <v>45514</v>
      </c>
      <c r="Z2" s="5">
        <v>45521</v>
      </c>
      <c r="AA2" s="5" t="s">
        <v>103</v>
      </c>
      <c r="AB2" s="5"/>
      <c r="AC2" s="5" t="s">
        <v>97</v>
      </c>
      <c r="AD2" s="5" t="s">
        <v>97</v>
      </c>
      <c r="AE2" s="5" t="s">
        <v>97</v>
      </c>
      <c r="AF2" s="5" t="s">
        <v>103</v>
      </c>
      <c r="AG2" s="5" t="s">
        <v>103</v>
      </c>
      <c r="AH2" s="5" t="s">
        <v>103</v>
      </c>
      <c r="AI2" s="5">
        <v>45514</v>
      </c>
      <c r="AJ2" s="5"/>
      <c r="AK2" s="5"/>
      <c r="AL2" s="16"/>
      <c r="AM2" s="5" t="s">
        <v>103</v>
      </c>
      <c r="AN2" s="5" t="s">
        <v>103</v>
      </c>
      <c r="AO2" s="5" t="s">
        <v>97</v>
      </c>
      <c r="AP2" s="5" t="s">
        <v>103</v>
      </c>
      <c r="AQ2" s="5" t="s">
        <v>97</v>
      </c>
      <c r="AR2" s="5" t="s">
        <v>97</v>
      </c>
      <c r="AS2" s="5" t="s">
        <v>97</v>
      </c>
      <c r="AT2" s="5"/>
      <c r="AU2" s="5"/>
      <c r="AV2" s="16" t="s">
        <v>97</v>
      </c>
      <c r="AW2" s="16" t="s">
        <v>97</v>
      </c>
      <c r="AX2" s="16" t="s">
        <v>97</v>
      </c>
      <c r="AY2" s="16" t="s">
        <v>97</v>
      </c>
      <c r="AZ2" s="16" t="s">
        <v>103</v>
      </c>
      <c r="BA2" s="16" t="s">
        <v>97</v>
      </c>
      <c r="BB2" s="5">
        <v>45521</v>
      </c>
      <c r="BC2" s="5">
        <v>45521</v>
      </c>
      <c r="BD2" s="5"/>
      <c r="BE2" s="5"/>
      <c r="BF2" s="4" t="s">
        <v>98</v>
      </c>
      <c r="BG2" s="4" t="s">
        <v>97</v>
      </c>
      <c r="BH2" s="4" t="s">
        <v>103</v>
      </c>
    </row>
    <row r="3" spans="1:61" x14ac:dyDescent="0.35">
      <c r="A3" s="8" t="str">
        <f>"Semaine " &amp; _xlfn.ISOWEEKNUM(Y3) &amp; "-" &amp; YEAR(Y3)</f>
        <v>Semaine 31-2024</v>
      </c>
      <c r="B3" s="8" t="str">
        <f>RIGHT(A3,4)</f>
        <v>2024</v>
      </c>
      <c r="C3" s="2" t="s">
        <v>66</v>
      </c>
      <c r="D3" s="6" t="str">
        <f t="shared" ref="D3" si="0">IF(C3="","",VLOOKUP(C3,district_region,2,FALSE))</f>
        <v>Louga</v>
      </c>
      <c r="E3" s="6">
        <f t="shared" ref="E3" si="1">IF(C3="","",VLOOKUP(C3,liste_pop,3,FALSE))</f>
        <v>91992</v>
      </c>
      <c r="F3" s="6">
        <f t="shared" ref="F3" si="2">IF(D3="","",IF(D3="Dakar",4042240,VLOOKUP(D3,liste_pop,4,FALSE)))</f>
        <v>1121619</v>
      </c>
      <c r="G3" s="4" t="s">
        <v>106</v>
      </c>
      <c r="H3" s="4" t="s">
        <v>108</v>
      </c>
      <c r="I3" s="4">
        <v>9</v>
      </c>
      <c r="J3" s="4" t="s">
        <v>96</v>
      </c>
      <c r="K3" s="4"/>
      <c r="L3" s="4"/>
      <c r="M3" s="4"/>
      <c r="N3" s="4"/>
      <c r="O3" s="4" t="s">
        <v>238</v>
      </c>
      <c r="P3" s="9" t="s">
        <v>97</v>
      </c>
      <c r="Q3" s="4" t="s">
        <v>97</v>
      </c>
      <c r="R3" s="14" t="s">
        <v>100</v>
      </c>
      <c r="S3" s="14" t="s">
        <v>100</v>
      </c>
      <c r="T3" s="14" t="s">
        <v>100</v>
      </c>
      <c r="U3" s="14" t="s">
        <v>281</v>
      </c>
      <c r="V3" s="14" t="s">
        <v>282</v>
      </c>
      <c r="W3" s="14"/>
      <c r="X3" s="14"/>
      <c r="Y3" s="5">
        <v>45506</v>
      </c>
      <c r="Z3" s="5">
        <v>45514</v>
      </c>
      <c r="AA3" s="5" t="s">
        <v>103</v>
      </c>
      <c r="AB3" s="5"/>
      <c r="AC3" s="5" t="s">
        <v>103</v>
      </c>
      <c r="AD3" s="5" t="s">
        <v>97</v>
      </c>
      <c r="AE3" s="5" t="s">
        <v>97</v>
      </c>
      <c r="AF3" s="5" t="s">
        <v>97</v>
      </c>
      <c r="AG3" s="5" t="s">
        <v>97</v>
      </c>
      <c r="AH3" s="5" t="s">
        <v>103</v>
      </c>
      <c r="AI3" s="5">
        <v>45506</v>
      </c>
      <c r="AJ3" s="5"/>
      <c r="AK3" s="5"/>
      <c r="AL3" s="16"/>
      <c r="AM3" s="5" t="s">
        <v>103</v>
      </c>
      <c r="AN3" s="5" t="s">
        <v>103</v>
      </c>
      <c r="AO3" s="5" t="s">
        <v>103</v>
      </c>
      <c r="AP3" s="5" t="s">
        <v>103</v>
      </c>
      <c r="AQ3" s="5" t="s">
        <v>97</v>
      </c>
      <c r="AR3" s="5" t="s">
        <v>97</v>
      </c>
      <c r="AS3" s="5" t="s">
        <v>97</v>
      </c>
      <c r="AT3" s="5"/>
      <c r="AU3" s="5"/>
      <c r="AV3" s="4" t="s">
        <v>97</v>
      </c>
      <c r="AW3" s="16" t="s">
        <v>97</v>
      </c>
      <c r="AX3" s="16" t="s">
        <v>97</v>
      </c>
      <c r="AY3" s="16" t="s">
        <v>97</v>
      </c>
      <c r="AZ3" s="16" t="s">
        <v>103</v>
      </c>
      <c r="BA3" s="16" t="s">
        <v>97</v>
      </c>
      <c r="BB3" s="5">
        <v>45520</v>
      </c>
      <c r="BC3" s="5">
        <v>45521</v>
      </c>
      <c r="BD3" s="5">
        <v>45522</v>
      </c>
      <c r="BE3" s="5">
        <v>45522</v>
      </c>
      <c r="BF3" s="4" t="s">
        <v>98</v>
      </c>
      <c r="BG3" s="4" t="s">
        <v>103</v>
      </c>
      <c r="BH3" s="4" t="s">
        <v>103</v>
      </c>
      <c r="BI3" s="4" t="s">
        <v>145</v>
      </c>
    </row>
    <row r="4" spans="1:61" x14ac:dyDescent="0.35">
      <c r="A4" s="8" t="str">
        <f>"Semaine " &amp; _xlfn.ISOWEEKNUM(Y4) &amp; "-" &amp; YEAR(Y4)</f>
        <v>Semaine 33-2024</v>
      </c>
      <c r="B4" s="8" t="str">
        <f>RIGHT(A4,4)</f>
        <v>2024</v>
      </c>
      <c r="C4" s="2" t="s">
        <v>65</v>
      </c>
      <c r="D4" s="6" t="str">
        <f>IF(C4="","",VLOOKUP(C4,district_region,2,FALSE))</f>
        <v>Saint-Louis</v>
      </c>
      <c r="E4" s="6">
        <f>IF(C4="","",VLOOKUP(C4,liste_pop,3,FALSE))</f>
        <v>375150</v>
      </c>
      <c r="F4" s="6">
        <f>IF(D4="","",IF(D4="Dakar",4042240,VLOOKUP(D4,liste_pop,4,FALSE)))</f>
        <v>1150065</v>
      </c>
      <c r="G4" s="4" t="s">
        <v>111</v>
      </c>
      <c r="H4" s="4" t="s">
        <v>110</v>
      </c>
      <c r="I4" s="4">
        <v>16</v>
      </c>
      <c r="J4" s="4" t="s">
        <v>96</v>
      </c>
      <c r="K4" s="4"/>
      <c r="L4" s="4"/>
      <c r="M4" s="4"/>
      <c r="N4" s="4"/>
      <c r="O4" s="4" t="s">
        <v>238</v>
      </c>
      <c r="P4" s="9" t="s">
        <v>97</v>
      </c>
      <c r="Q4" s="4" t="s">
        <v>97</v>
      </c>
      <c r="R4" s="14" t="s">
        <v>100</v>
      </c>
      <c r="S4" s="14" t="s">
        <v>100</v>
      </c>
      <c r="T4" s="14" t="s">
        <v>100</v>
      </c>
      <c r="U4" s="14"/>
      <c r="V4" s="14"/>
      <c r="W4" s="14"/>
      <c r="X4" s="14"/>
      <c r="Y4" s="5">
        <v>45520</v>
      </c>
      <c r="Z4" s="5">
        <v>45521</v>
      </c>
      <c r="AA4" s="5" t="s">
        <v>97</v>
      </c>
      <c r="AB4" s="5"/>
      <c r="AC4" s="5" t="s">
        <v>103</v>
      </c>
      <c r="AD4" s="5" t="s">
        <v>103</v>
      </c>
      <c r="AE4" s="5" t="s">
        <v>97</v>
      </c>
      <c r="AF4" s="5" t="s">
        <v>103</v>
      </c>
      <c r="AG4" s="5" t="s">
        <v>103</v>
      </c>
      <c r="AH4" s="5" t="s">
        <v>103</v>
      </c>
      <c r="AI4" s="5">
        <v>45520</v>
      </c>
      <c r="AJ4" s="5"/>
      <c r="AK4" s="5"/>
      <c r="AL4" s="16"/>
      <c r="AM4" s="5" t="s">
        <v>103</v>
      </c>
      <c r="AN4" s="5" t="s">
        <v>97</v>
      </c>
      <c r="AO4" s="5" t="s">
        <v>97</v>
      </c>
      <c r="AP4" s="5" t="s">
        <v>97</v>
      </c>
      <c r="AQ4" s="5" t="s">
        <v>97</v>
      </c>
      <c r="AR4" s="5" t="s">
        <v>97</v>
      </c>
      <c r="AS4" s="5" t="s">
        <v>97</v>
      </c>
      <c r="AT4" s="5"/>
      <c r="AU4" s="5"/>
      <c r="AV4" s="4" t="s">
        <v>97</v>
      </c>
      <c r="AW4" s="16" t="s">
        <v>97</v>
      </c>
      <c r="AX4" s="16" t="s">
        <v>97</v>
      </c>
      <c r="AY4" s="16" t="s">
        <v>97</v>
      </c>
      <c r="AZ4" s="16" t="s">
        <v>103</v>
      </c>
      <c r="BA4" s="16" t="s">
        <v>97</v>
      </c>
      <c r="BB4" s="5">
        <v>45521</v>
      </c>
      <c r="BC4" s="5">
        <v>45521</v>
      </c>
      <c r="BD4" s="5">
        <v>45522</v>
      </c>
      <c r="BE4" s="5">
        <v>45523</v>
      </c>
      <c r="BF4" s="4" t="s">
        <v>98</v>
      </c>
      <c r="BG4" s="4" t="s">
        <v>97</v>
      </c>
      <c r="BH4" s="4" t="s">
        <v>103</v>
      </c>
      <c r="BI4" s="4" t="s">
        <v>145</v>
      </c>
    </row>
    <row r="5" spans="1:61" x14ac:dyDescent="0.35">
      <c r="A5" s="8" t="str">
        <f t="shared" ref="A5:A68" si="3">"Semaine " &amp; _xlfn.ISOWEEKNUM(Y5) &amp; "-" &amp; YEAR(Y5)</f>
        <v>Semaine 33-2024</v>
      </c>
      <c r="B5" s="8" t="str">
        <f t="shared" ref="B5:B62" si="4">RIGHT(A5,4)</f>
        <v>2024</v>
      </c>
      <c r="C5" s="2" t="s">
        <v>20</v>
      </c>
      <c r="D5" s="6" t="str">
        <f t="shared" ref="D5:D62" si="5">IF(C5="","",VLOOKUP(C5,district_region,2,FALSE))</f>
        <v>Dakar</v>
      </c>
      <c r="E5" s="6">
        <f t="shared" ref="E5:E62" si="6">IF(C5="","",VLOOKUP(C5,liste_pop,3,FALSE))</f>
        <v>272276</v>
      </c>
      <c r="F5" s="6">
        <f t="shared" ref="F5:F62" si="7">IF(D5="","",IF(D5="Dakar",4042240,VLOOKUP(D5,liste_pop,4,FALSE)))</f>
        <v>4042240</v>
      </c>
      <c r="G5" s="4" t="s">
        <v>112</v>
      </c>
      <c r="H5" s="9" t="s">
        <v>113</v>
      </c>
      <c r="I5" s="9">
        <v>35</v>
      </c>
      <c r="J5" s="9" t="s">
        <v>114</v>
      </c>
      <c r="K5" s="9"/>
      <c r="L5" s="9"/>
      <c r="M5" s="9"/>
      <c r="N5" s="9"/>
      <c r="O5" s="4" t="s">
        <v>238</v>
      </c>
      <c r="P5" s="9" t="s">
        <v>97</v>
      </c>
      <c r="Q5" s="9" t="s">
        <v>97</v>
      </c>
      <c r="R5" s="14" t="s">
        <v>100</v>
      </c>
      <c r="S5" s="14" t="s">
        <v>100</v>
      </c>
      <c r="T5" s="14" t="s">
        <v>100</v>
      </c>
      <c r="U5" s="14"/>
      <c r="V5" s="14"/>
      <c r="W5" s="14"/>
      <c r="X5" s="14"/>
      <c r="Y5" s="5">
        <v>45518</v>
      </c>
      <c r="Z5" s="5">
        <v>45523</v>
      </c>
      <c r="AA5" s="5" t="s">
        <v>103</v>
      </c>
      <c r="AB5" s="5"/>
      <c r="AC5" s="5" t="s">
        <v>103</v>
      </c>
      <c r="AD5" s="5" t="s">
        <v>97</v>
      </c>
      <c r="AE5" s="5" t="s">
        <v>97</v>
      </c>
      <c r="AF5" s="5" t="s">
        <v>103</v>
      </c>
      <c r="AG5" s="5" t="s">
        <v>97</v>
      </c>
      <c r="AH5" s="5" t="s">
        <v>103</v>
      </c>
      <c r="AI5" s="5">
        <v>45518</v>
      </c>
      <c r="AJ5" s="5"/>
      <c r="AK5" s="5"/>
      <c r="AL5" s="16" t="s">
        <v>103</v>
      </c>
      <c r="AM5" s="5" t="s">
        <v>103</v>
      </c>
      <c r="AN5" s="5" t="s">
        <v>103</v>
      </c>
      <c r="AO5" s="5" t="s">
        <v>97</v>
      </c>
      <c r="AP5" s="5" t="s">
        <v>97</v>
      </c>
      <c r="AQ5" s="5" t="s">
        <v>97</v>
      </c>
      <c r="AR5" s="5" t="s">
        <v>97</v>
      </c>
      <c r="AS5" s="5" t="s">
        <v>97</v>
      </c>
      <c r="AT5" s="5" t="s">
        <v>172</v>
      </c>
      <c r="AU5" s="5"/>
      <c r="AV5" s="9" t="s">
        <v>103</v>
      </c>
      <c r="AW5" s="16" t="s">
        <v>97</v>
      </c>
      <c r="AX5" s="16" t="s">
        <v>97</v>
      </c>
      <c r="AY5" s="16" t="s">
        <v>97</v>
      </c>
      <c r="AZ5" s="16" t="s">
        <v>103</v>
      </c>
      <c r="BA5" s="16" t="s">
        <v>97</v>
      </c>
      <c r="BB5" s="5">
        <v>45523</v>
      </c>
      <c r="BC5" s="5">
        <v>45523</v>
      </c>
      <c r="BD5" s="5">
        <v>45523</v>
      </c>
      <c r="BE5" s="5">
        <v>45523</v>
      </c>
      <c r="BF5" s="4" t="s">
        <v>98</v>
      </c>
      <c r="BG5" s="4" t="s">
        <v>97</v>
      </c>
      <c r="BH5" s="4" t="s">
        <v>103</v>
      </c>
      <c r="BI5" s="4" t="s">
        <v>115</v>
      </c>
    </row>
    <row r="6" spans="1:61" x14ac:dyDescent="0.35">
      <c r="A6" s="8" t="str">
        <f t="shared" si="3"/>
        <v>Semaine 32-2024</v>
      </c>
      <c r="B6" s="8" t="str">
        <f t="shared" si="4"/>
        <v>2024</v>
      </c>
      <c r="C6" s="2" t="s">
        <v>37</v>
      </c>
      <c r="D6" s="6" t="str">
        <f t="shared" si="5"/>
        <v>Dakar</v>
      </c>
      <c r="E6" s="6">
        <f t="shared" si="6"/>
        <v>301226</v>
      </c>
      <c r="F6" s="6">
        <f t="shared" si="7"/>
        <v>4042240</v>
      </c>
      <c r="G6" s="4" t="s">
        <v>116</v>
      </c>
      <c r="H6" s="9" t="s">
        <v>117</v>
      </c>
      <c r="I6" s="9">
        <v>62</v>
      </c>
      <c r="J6" s="9" t="s">
        <v>96</v>
      </c>
      <c r="K6" s="9"/>
      <c r="L6" s="9"/>
      <c r="M6" s="9"/>
      <c r="N6" s="9"/>
      <c r="O6" s="4" t="s">
        <v>238</v>
      </c>
      <c r="P6" s="9" t="s">
        <v>97</v>
      </c>
      <c r="Q6" s="9" t="s">
        <v>97</v>
      </c>
      <c r="R6" s="14" t="s">
        <v>100</v>
      </c>
      <c r="S6" s="14" t="s">
        <v>100</v>
      </c>
      <c r="T6" s="14" t="s">
        <v>100</v>
      </c>
      <c r="U6" s="14"/>
      <c r="V6" s="14"/>
      <c r="W6" s="14"/>
      <c r="X6" s="14"/>
      <c r="Y6" s="5">
        <v>45515</v>
      </c>
      <c r="Z6" s="5">
        <v>45522</v>
      </c>
      <c r="AA6" s="5" t="s">
        <v>97</v>
      </c>
      <c r="AB6" s="5"/>
      <c r="AC6" s="5" t="s">
        <v>97</v>
      </c>
      <c r="AD6" s="5" t="s">
        <v>97</v>
      </c>
      <c r="AE6" s="5" t="s">
        <v>97</v>
      </c>
      <c r="AF6" s="5" t="s">
        <v>97</v>
      </c>
      <c r="AG6" s="5" t="s">
        <v>97</v>
      </c>
      <c r="AH6" s="5" t="s">
        <v>103</v>
      </c>
      <c r="AI6" s="5">
        <v>45515</v>
      </c>
      <c r="AJ6" s="5"/>
      <c r="AK6" s="5"/>
      <c r="AL6" s="17"/>
      <c r="AM6" s="5" t="s">
        <v>103</v>
      </c>
      <c r="AN6" s="5" t="s">
        <v>103</v>
      </c>
      <c r="AO6" s="5" t="s">
        <v>103</v>
      </c>
      <c r="AP6" s="5" t="s">
        <v>103</v>
      </c>
      <c r="AQ6" s="5" t="s">
        <v>97</v>
      </c>
      <c r="AR6" s="5" t="s">
        <v>97</v>
      </c>
      <c r="AS6" s="5" t="s">
        <v>97</v>
      </c>
      <c r="AT6" s="5"/>
      <c r="AU6" s="5"/>
      <c r="AV6" s="9" t="s">
        <v>97</v>
      </c>
      <c r="AW6" s="16" t="s">
        <v>97</v>
      </c>
      <c r="AX6" s="16" t="s">
        <v>97</v>
      </c>
      <c r="AY6" s="16" t="s">
        <v>97</v>
      </c>
      <c r="AZ6" s="16" t="s">
        <v>103</v>
      </c>
      <c r="BA6" s="16" t="s">
        <v>97</v>
      </c>
      <c r="BB6" s="5">
        <v>45523</v>
      </c>
      <c r="BC6" s="5">
        <v>45523</v>
      </c>
      <c r="BD6" s="5">
        <v>45523</v>
      </c>
      <c r="BE6" s="5">
        <v>45523</v>
      </c>
      <c r="BF6" s="4" t="s">
        <v>98</v>
      </c>
      <c r="BG6" s="4" t="s">
        <v>97</v>
      </c>
      <c r="BH6" s="4" t="s">
        <v>103</v>
      </c>
      <c r="BI6" s="4" t="s">
        <v>145</v>
      </c>
    </row>
    <row r="7" spans="1:61" x14ac:dyDescent="0.35">
      <c r="A7" s="8" t="str">
        <f t="shared" si="3"/>
        <v>Semaine 29-2024</v>
      </c>
      <c r="B7" s="8" t="str">
        <f t="shared" si="4"/>
        <v>2024</v>
      </c>
      <c r="C7" s="2" t="s">
        <v>49</v>
      </c>
      <c r="D7" s="6" t="str">
        <f t="shared" si="5"/>
        <v>Dakar</v>
      </c>
      <c r="E7" s="6">
        <f t="shared" si="6"/>
        <v>441950</v>
      </c>
      <c r="F7" s="6">
        <f t="shared" si="7"/>
        <v>4042240</v>
      </c>
      <c r="G7" s="4" t="s">
        <v>119</v>
      </c>
      <c r="H7" s="9" t="s">
        <v>120</v>
      </c>
      <c r="I7" s="9">
        <v>51</v>
      </c>
      <c r="J7" s="9" t="s">
        <v>114</v>
      </c>
      <c r="K7" s="9"/>
      <c r="L7" s="9"/>
      <c r="M7" s="9"/>
      <c r="N7" s="9"/>
      <c r="O7" s="4" t="s">
        <v>238</v>
      </c>
      <c r="P7" s="9" t="s">
        <v>97</v>
      </c>
      <c r="Q7" s="9" t="s">
        <v>97</v>
      </c>
      <c r="R7" s="14" t="s">
        <v>100</v>
      </c>
      <c r="S7" s="14" t="s">
        <v>100</v>
      </c>
      <c r="T7" s="14" t="s">
        <v>100</v>
      </c>
      <c r="U7" s="14"/>
      <c r="V7" s="14"/>
      <c r="W7" s="14"/>
      <c r="X7" s="14"/>
      <c r="Y7" s="5">
        <v>45493</v>
      </c>
      <c r="Z7" s="5">
        <v>45523</v>
      </c>
      <c r="AA7" s="5" t="s">
        <v>97</v>
      </c>
      <c r="AB7" s="5"/>
      <c r="AC7" s="5" t="s">
        <v>97</v>
      </c>
      <c r="AD7" s="5" t="s">
        <v>97</v>
      </c>
      <c r="AE7" s="5" t="s">
        <v>97</v>
      </c>
      <c r="AF7" s="5" t="s">
        <v>97</v>
      </c>
      <c r="AG7" s="5" t="s">
        <v>97</v>
      </c>
      <c r="AH7" s="5" t="s">
        <v>103</v>
      </c>
      <c r="AI7" s="5">
        <v>45493</v>
      </c>
      <c r="AJ7" s="5"/>
      <c r="AK7" s="5"/>
      <c r="AL7" s="17" t="s">
        <v>103</v>
      </c>
      <c r="AM7" s="5" t="s">
        <v>103</v>
      </c>
      <c r="AN7" s="5" t="s">
        <v>103</v>
      </c>
      <c r="AO7" s="5" t="s">
        <v>103</v>
      </c>
      <c r="AP7" s="5" t="s">
        <v>103</v>
      </c>
      <c r="AQ7" s="5" t="s">
        <v>97</v>
      </c>
      <c r="AR7" s="5" t="s">
        <v>97</v>
      </c>
      <c r="AS7" s="5" t="s">
        <v>97</v>
      </c>
      <c r="AT7" s="5"/>
      <c r="AU7" s="5"/>
      <c r="AV7" s="9" t="s">
        <v>103</v>
      </c>
      <c r="AW7" s="16" t="s">
        <v>97</v>
      </c>
      <c r="AX7" s="16" t="s">
        <v>97</v>
      </c>
      <c r="AY7" s="16" t="s">
        <v>97</v>
      </c>
      <c r="AZ7" s="16" t="s">
        <v>103</v>
      </c>
      <c r="BA7" s="16" t="s">
        <v>97</v>
      </c>
      <c r="BB7" s="5">
        <v>45523</v>
      </c>
      <c r="BC7" s="5">
        <v>45523</v>
      </c>
      <c r="BD7" s="5">
        <v>45523</v>
      </c>
      <c r="BE7" s="5">
        <v>45523</v>
      </c>
      <c r="BF7" s="4" t="s">
        <v>98</v>
      </c>
      <c r="BG7" s="4" t="s">
        <v>97</v>
      </c>
      <c r="BH7" s="4" t="s">
        <v>103</v>
      </c>
      <c r="BI7" s="9" t="s">
        <v>115</v>
      </c>
    </row>
    <row r="8" spans="1:61" x14ac:dyDescent="0.35">
      <c r="A8" s="8" t="str">
        <f t="shared" si="3"/>
        <v>Semaine 32-2024</v>
      </c>
      <c r="B8" s="8" t="str">
        <f t="shared" si="4"/>
        <v>2024</v>
      </c>
      <c r="C8" s="2" t="s">
        <v>77</v>
      </c>
      <c r="D8" s="6" t="str">
        <f t="shared" si="5"/>
        <v>Dakar</v>
      </c>
      <c r="E8" s="6">
        <f t="shared" si="6"/>
        <v>341880</v>
      </c>
      <c r="F8" s="6">
        <f t="shared" si="7"/>
        <v>4042240</v>
      </c>
      <c r="G8" s="4" t="s">
        <v>122</v>
      </c>
      <c r="H8" s="9" t="s">
        <v>123</v>
      </c>
      <c r="I8" s="9">
        <v>16</v>
      </c>
      <c r="J8" s="9" t="s">
        <v>114</v>
      </c>
      <c r="K8" s="9"/>
      <c r="L8" s="9"/>
      <c r="M8" s="9"/>
      <c r="N8" s="9"/>
      <c r="O8" s="4" t="s">
        <v>238</v>
      </c>
      <c r="P8" s="9" t="s">
        <v>97</v>
      </c>
      <c r="Q8" s="9" t="s">
        <v>97</v>
      </c>
      <c r="R8" s="15" t="s">
        <v>100</v>
      </c>
      <c r="S8" s="14" t="s">
        <v>100</v>
      </c>
      <c r="T8" s="14" t="s">
        <v>100</v>
      </c>
      <c r="U8" s="15"/>
      <c r="V8" s="15"/>
      <c r="W8" s="15"/>
      <c r="X8" s="15"/>
      <c r="Y8" s="5">
        <v>45510</v>
      </c>
      <c r="Z8" s="5">
        <v>45523</v>
      </c>
      <c r="AA8" s="5" t="s">
        <v>97</v>
      </c>
      <c r="AB8" s="5"/>
      <c r="AC8" s="5" t="s">
        <v>97</v>
      </c>
      <c r="AD8" s="5" t="s">
        <v>97</v>
      </c>
      <c r="AE8" s="5" t="s">
        <v>97</v>
      </c>
      <c r="AF8" s="5" t="s">
        <v>97</v>
      </c>
      <c r="AG8" s="5" t="s">
        <v>97</v>
      </c>
      <c r="AH8" s="5" t="s">
        <v>103</v>
      </c>
      <c r="AI8" s="5">
        <v>45510</v>
      </c>
      <c r="AJ8" s="5"/>
      <c r="AK8" s="5"/>
      <c r="AL8" s="17"/>
      <c r="AM8" s="5" t="s">
        <v>103</v>
      </c>
      <c r="AN8" s="5" t="s">
        <v>103</v>
      </c>
      <c r="AO8" s="5" t="s">
        <v>97</v>
      </c>
      <c r="AP8" s="5" t="s">
        <v>97</v>
      </c>
      <c r="AQ8" s="5" t="s">
        <v>97</v>
      </c>
      <c r="AR8" s="5" t="s">
        <v>97</v>
      </c>
      <c r="AS8" s="5" t="s">
        <v>97</v>
      </c>
      <c r="AT8" s="5"/>
      <c r="AU8" s="5"/>
      <c r="AV8" s="9" t="s">
        <v>97</v>
      </c>
      <c r="AW8" s="16" t="s">
        <v>97</v>
      </c>
      <c r="AX8" s="16" t="s">
        <v>97</v>
      </c>
      <c r="AY8" s="16" t="s">
        <v>97</v>
      </c>
      <c r="AZ8" s="16" t="s">
        <v>103</v>
      </c>
      <c r="BA8" s="16" t="s">
        <v>97</v>
      </c>
      <c r="BB8" s="5">
        <v>45523</v>
      </c>
      <c r="BC8" s="5">
        <v>45524</v>
      </c>
      <c r="BD8" s="5">
        <v>45524</v>
      </c>
      <c r="BE8" s="5">
        <v>45524</v>
      </c>
      <c r="BF8" s="9" t="s">
        <v>98</v>
      </c>
      <c r="BG8" s="9" t="s">
        <v>97</v>
      </c>
      <c r="BH8" s="9" t="s">
        <v>103</v>
      </c>
      <c r="BI8" s="4" t="s">
        <v>145</v>
      </c>
    </row>
    <row r="9" spans="1:61" x14ac:dyDescent="0.35">
      <c r="A9" s="8" t="str">
        <f t="shared" si="3"/>
        <v>Semaine 31-2024</v>
      </c>
      <c r="B9" s="8" t="str">
        <f t="shared" si="4"/>
        <v>2024</v>
      </c>
      <c r="C9" s="2" t="s">
        <v>19</v>
      </c>
      <c r="D9" s="6" t="str">
        <f t="shared" si="5"/>
        <v>Dakar</v>
      </c>
      <c r="E9" s="6">
        <f t="shared" si="6"/>
        <v>565040</v>
      </c>
      <c r="F9" s="6">
        <f t="shared" si="7"/>
        <v>4042240</v>
      </c>
      <c r="G9" s="4" t="s">
        <v>124</v>
      </c>
      <c r="H9" s="9" t="s">
        <v>125</v>
      </c>
      <c r="I9" s="9">
        <v>17</v>
      </c>
      <c r="J9" s="9" t="s">
        <v>96</v>
      </c>
      <c r="K9" s="9"/>
      <c r="L9" s="9"/>
      <c r="M9" s="9"/>
      <c r="N9" s="9"/>
      <c r="O9" s="4" t="s">
        <v>238</v>
      </c>
      <c r="P9" s="9" t="s">
        <v>97</v>
      </c>
      <c r="Q9" s="9" t="s">
        <v>97</v>
      </c>
      <c r="R9" s="15" t="s">
        <v>100</v>
      </c>
      <c r="S9" s="14" t="s">
        <v>100</v>
      </c>
      <c r="T9" s="14" t="s">
        <v>100</v>
      </c>
      <c r="U9" s="15" t="s">
        <v>283</v>
      </c>
      <c r="V9" s="15"/>
      <c r="W9" s="15"/>
      <c r="X9" s="15"/>
      <c r="Y9" s="5">
        <v>45508</v>
      </c>
      <c r="Z9" s="5">
        <v>45524</v>
      </c>
      <c r="AA9" s="5" t="s">
        <v>97</v>
      </c>
      <c r="AB9" s="5"/>
      <c r="AC9" s="5" t="s">
        <v>103</v>
      </c>
      <c r="AD9" s="5" t="s">
        <v>103</v>
      </c>
      <c r="AE9" s="5" t="s">
        <v>97</v>
      </c>
      <c r="AF9" s="5" t="s">
        <v>103</v>
      </c>
      <c r="AG9" s="5" t="s">
        <v>103</v>
      </c>
      <c r="AH9" s="5" t="s">
        <v>103</v>
      </c>
      <c r="AI9" s="5">
        <v>45508</v>
      </c>
      <c r="AJ9" s="5"/>
      <c r="AK9" s="5"/>
      <c r="AL9" s="17" t="s">
        <v>103</v>
      </c>
      <c r="AM9" s="5" t="s">
        <v>103</v>
      </c>
      <c r="AN9" s="5" t="s">
        <v>103</v>
      </c>
      <c r="AO9" s="5" t="s">
        <v>103</v>
      </c>
      <c r="AP9" s="5" t="s">
        <v>103</v>
      </c>
      <c r="AQ9" s="5" t="s">
        <v>97</v>
      </c>
      <c r="AR9" s="5" t="s">
        <v>97</v>
      </c>
      <c r="AS9" s="5" t="s">
        <v>97</v>
      </c>
      <c r="AT9" s="5" t="s">
        <v>173</v>
      </c>
      <c r="AU9" s="5"/>
      <c r="AV9" s="4" t="s">
        <v>103</v>
      </c>
      <c r="AW9" s="16" t="s">
        <v>97</v>
      </c>
      <c r="AX9" s="16" t="s">
        <v>97</v>
      </c>
      <c r="AY9" s="16" t="s">
        <v>97</v>
      </c>
      <c r="AZ9" s="16" t="s">
        <v>103</v>
      </c>
      <c r="BA9" s="16" t="s">
        <v>97</v>
      </c>
      <c r="BB9" s="5">
        <v>45524</v>
      </c>
      <c r="BC9" s="5">
        <v>45524</v>
      </c>
      <c r="BD9" s="5">
        <v>45524</v>
      </c>
      <c r="BE9" s="5">
        <v>45524</v>
      </c>
      <c r="BF9" s="9" t="s">
        <v>98</v>
      </c>
      <c r="BG9" s="9" t="s">
        <v>97</v>
      </c>
      <c r="BH9" s="9" t="s">
        <v>103</v>
      </c>
      <c r="BI9" s="9" t="s">
        <v>115</v>
      </c>
    </row>
    <row r="10" spans="1:61" x14ac:dyDescent="0.35">
      <c r="A10" s="8" t="str">
        <f t="shared" si="3"/>
        <v>Semaine 34-2024</v>
      </c>
      <c r="B10" s="8" t="str">
        <f t="shared" si="4"/>
        <v>2024</v>
      </c>
      <c r="C10" s="2" t="s">
        <v>19</v>
      </c>
      <c r="D10" s="6" t="str">
        <f t="shared" si="5"/>
        <v>Dakar</v>
      </c>
      <c r="E10" s="6">
        <f t="shared" si="6"/>
        <v>565040</v>
      </c>
      <c r="F10" s="6">
        <f t="shared" si="7"/>
        <v>4042240</v>
      </c>
      <c r="G10" s="4" t="s">
        <v>126</v>
      </c>
      <c r="H10" s="9" t="s">
        <v>121</v>
      </c>
      <c r="I10" s="9">
        <v>15</v>
      </c>
      <c r="J10" s="9" t="s">
        <v>96</v>
      </c>
      <c r="K10" s="9"/>
      <c r="L10" s="9"/>
      <c r="M10" s="9"/>
      <c r="N10" s="9"/>
      <c r="O10" s="4" t="s">
        <v>238</v>
      </c>
      <c r="P10" s="9" t="s">
        <v>97</v>
      </c>
      <c r="Q10" s="9" t="s">
        <v>97</v>
      </c>
      <c r="R10" s="15" t="s">
        <v>100</v>
      </c>
      <c r="S10" s="14" t="s">
        <v>100</v>
      </c>
      <c r="T10" s="14" t="s">
        <v>100</v>
      </c>
      <c r="U10" s="15"/>
      <c r="V10" s="15"/>
      <c r="W10" s="15"/>
      <c r="X10" s="15"/>
      <c r="Y10" s="5">
        <v>45523</v>
      </c>
      <c r="Z10" s="5">
        <v>45524</v>
      </c>
      <c r="AA10" s="5" t="s">
        <v>103</v>
      </c>
      <c r="AB10" s="5"/>
      <c r="AC10" s="5" t="s">
        <v>103</v>
      </c>
      <c r="AD10" s="5" t="s">
        <v>97</v>
      </c>
      <c r="AE10" s="5" t="s">
        <v>103</v>
      </c>
      <c r="AF10" s="5" t="s">
        <v>97</v>
      </c>
      <c r="AG10" s="5" t="s">
        <v>97</v>
      </c>
      <c r="AH10" s="5" t="s">
        <v>103</v>
      </c>
      <c r="AI10" s="5">
        <v>45523</v>
      </c>
      <c r="AJ10" s="5"/>
      <c r="AK10" s="5"/>
      <c r="AL10" s="18"/>
      <c r="AM10" s="5" t="s">
        <v>103</v>
      </c>
      <c r="AN10" s="5" t="s">
        <v>103</v>
      </c>
      <c r="AO10" s="5" t="s">
        <v>103</v>
      </c>
      <c r="AP10" s="5" t="s">
        <v>103</v>
      </c>
      <c r="AQ10" s="5" t="s">
        <v>103</v>
      </c>
      <c r="AR10" s="5" t="s">
        <v>97</v>
      </c>
      <c r="AS10" s="5" t="s">
        <v>103</v>
      </c>
      <c r="AT10" s="5"/>
      <c r="AU10" s="5"/>
      <c r="AV10" s="8" t="s">
        <v>97</v>
      </c>
      <c r="AW10" s="16" t="s">
        <v>97</v>
      </c>
      <c r="AX10" s="8" t="s">
        <v>103</v>
      </c>
      <c r="AY10" s="16" t="s">
        <v>97</v>
      </c>
      <c r="AZ10" s="16" t="s">
        <v>103</v>
      </c>
      <c r="BA10" s="16" t="s">
        <v>97</v>
      </c>
      <c r="BB10" s="5">
        <v>45524</v>
      </c>
      <c r="BC10" s="5">
        <v>45524</v>
      </c>
      <c r="BD10" s="5">
        <v>45524</v>
      </c>
      <c r="BE10" s="5">
        <v>45524</v>
      </c>
      <c r="BF10" s="8" t="s">
        <v>98</v>
      </c>
      <c r="BG10" s="8" t="s">
        <v>103</v>
      </c>
      <c r="BH10" s="9" t="s">
        <v>103</v>
      </c>
      <c r="BI10" s="8" t="s">
        <v>115</v>
      </c>
    </row>
    <row r="11" spans="1:61" x14ac:dyDescent="0.35">
      <c r="A11" s="8" t="str">
        <f t="shared" si="3"/>
        <v>Semaine 33-2024</v>
      </c>
      <c r="B11" s="8" t="str">
        <f t="shared" si="4"/>
        <v>2024</v>
      </c>
      <c r="C11" s="2" t="s">
        <v>17</v>
      </c>
      <c r="D11" s="6" t="str">
        <f t="shared" si="5"/>
        <v>Louga</v>
      </c>
      <c r="E11" s="6">
        <f t="shared" si="6"/>
        <v>169119</v>
      </c>
      <c r="F11" s="6">
        <f t="shared" si="7"/>
        <v>1121619</v>
      </c>
      <c r="G11" s="4" t="s">
        <v>127</v>
      </c>
      <c r="H11" s="9" t="s">
        <v>128</v>
      </c>
      <c r="I11" s="9">
        <v>10</v>
      </c>
      <c r="J11" s="9" t="s">
        <v>114</v>
      </c>
      <c r="K11" s="9"/>
      <c r="L11" s="9"/>
      <c r="M11" s="9"/>
      <c r="N11" s="9"/>
      <c r="O11" s="4" t="s">
        <v>238</v>
      </c>
      <c r="P11" s="9" t="s">
        <v>97</v>
      </c>
      <c r="Q11" s="9" t="s">
        <v>97</v>
      </c>
      <c r="R11" s="15" t="s">
        <v>100</v>
      </c>
      <c r="S11" s="14" t="s">
        <v>100</v>
      </c>
      <c r="T11" s="14" t="s">
        <v>100</v>
      </c>
      <c r="U11" s="15" t="s">
        <v>284</v>
      </c>
      <c r="V11" s="15"/>
      <c r="W11" s="15"/>
      <c r="X11" s="15"/>
      <c r="Y11" s="5">
        <v>45517</v>
      </c>
      <c r="Z11" s="5">
        <v>45522</v>
      </c>
      <c r="AA11" s="5" t="s">
        <v>103</v>
      </c>
      <c r="AB11" s="5"/>
      <c r="AC11" s="5" t="s">
        <v>97</v>
      </c>
      <c r="AD11" s="5" t="s">
        <v>103</v>
      </c>
      <c r="AE11" s="5" t="s">
        <v>97</v>
      </c>
      <c r="AF11" s="5" t="s">
        <v>97</v>
      </c>
      <c r="AG11" s="5" t="s">
        <v>97</v>
      </c>
      <c r="AH11" s="5" t="s">
        <v>103</v>
      </c>
      <c r="AI11" s="5">
        <v>45517</v>
      </c>
      <c r="AJ11" s="5"/>
      <c r="AK11" s="5"/>
      <c r="AL11" s="17" t="s">
        <v>103</v>
      </c>
      <c r="AM11" s="5" t="s">
        <v>103</v>
      </c>
      <c r="AN11" s="5" t="s">
        <v>103</v>
      </c>
      <c r="AO11" s="5" t="s">
        <v>103</v>
      </c>
      <c r="AP11" s="5" t="s">
        <v>103</v>
      </c>
      <c r="AQ11" s="5" t="s">
        <v>97</v>
      </c>
      <c r="AR11" s="5" t="s">
        <v>97</v>
      </c>
      <c r="AS11" s="5" t="s">
        <v>97</v>
      </c>
      <c r="AT11" s="5"/>
      <c r="AU11" s="5"/>
      <c r="AV11" s="9" t="s">
        <v>103</v>
      </c>
      <c r="AW11" s="16" t="s">
        <v>97</v>
      </c>
      <c r="AX11" s="9" t="s">
        <v>97</v>
      </c>
      <c r="AY11" s="16" t="s">
        <v>97</v>
      </c>
      <c r="AZ11" s="16" t="s">
        <v>103</v>
      </c>
      <c r="BA11" s="16" t="s">
        <v>97</v>
      </c>
      <c r="BB11" s="5">
        <v>45522</v>
      </c>
      <c r="BC11" s="5">
        <v>45523</v>
      </c>
      <c r="BD11" s="5">
        <v>45523</v>
      </c>
      <c r="BE11" s="5">
        <v>45524</v>
      </c>
      <c r="BF11" s="9" t="s">
        <v>98</v>
      </c>
      <c r="BG11" s="9" t="s">
        <v>103</v>
      </c>
      <c r="BH11" s="9" t="s">
        <v>103</v>
      </c>
      <c r="BI11" s="9" t="s">
        <v>115</v>
      </c>
    </row>
    <row r="12" spans="1:61" x14ac:dyDescent="0.35">
      <c r="A12" s="8" t="str">
        <f t="shared" si="3"/>
        <v>Semaine 33-2024</v>
      </c>
      <c r="B12" s="8" t="str">
        <f t="shared" si="4"/>
        <v>2024</v>
      </c>
      <c r="C12" s="2" t="s">
        <v>44</v>
      </c>
      <c r="D12" s="6" t="str">
        <f t="shared" si="5"/>
        <v>Louga</v>
      </c>
      <c r="E12" s="6">
        <f t="shared" si="6"/>
        <v>141243</v>
      </c>
      <c r="F12" s="6">
        <f t="shared" si="7"/>
        <v>1121619</v>
      </c>
      <c r="G12" s="4" t="s">
        <v>130</v>
      </c>
      <c r="H12" s="9" t="s">
        <v>133</v>
      </c>
      <c r="I12" s="9">
        <v>2</v>
      </c>
      <c r="J12" s="9" t="s">
        <v>114</v>
      </c>
      <c r="K12" s="9"/>
      <c r="L12" s="9"/>
      <c r="M12" s="9"/>
      <c r="N12" s="9"/>
      <c r="O12" s="4" t="s">
        <v>238</v>
      </c>
      <c r="P12" s="9" t="s">
        <v>97</v>
      </c>
      <c r="Q12" s="9" t="s">
        <v>97</v>
      </c>
      <c r="R12" s="14" t="s">
        <v>100</v>
      </c>
      <c r="S12" s="14" t="s">
        <v>100</v>
      </c>
      <c r="T12" s="14" t="s">
        <v>100</v>
      </c>
      <c r="U12" s="14"/>
      <c r="V12" s="14"/>
      <c r="W12" s="14"/>
      <c r="X12" s="14"/>
      <c r="Y12" s="5">
        <v>45522</v>
      </c>
      <c r="Z12" s="5">
        <v>45524</v>
      </c>
      <c r="AA12" s="5" t="s">
        <v>103</v>
      </c>
      <c r="AB12" s="5"/>
      <c r="AC12" s="5" t="s">
        <v>97</v>
      </c>
      <c r="AD12" s="5" t="s">
        <v>97</v>
      </c>
      <c r="AE12" s="5" t="s">
        <v>103</v>
      </c>
      <c r="AF12" s="5" t="s">
        <v>97</v>
      </c>
      <c r="AG12" s="5" t="s">
        <v>97</v>
      </c>
      <c r="AH12" s="5" t="s">
        <v>103</v>
      </c>
      <c r="AI12" s="5">
        <v>45522</v>
      </c>
      <c r="AJ12" s="5"/>
      <c r="AK12" s="5"/>
      <c r="AL12" s="16"/>
      <c r="AM12" s="5" t="s">
        <v>97</v>
      </c>
      <c r="AN12" s="5" t="s">
        <v>103</v>
      </c>
      <c r="AO12" s="5" t="s">
        <v>103</v>
      </c>
      <c r="AP12" s="5" t="s">
        <v>103</v>
      </c>
      <c r="AQ12" s="5" t="s">
        <v>97</v>
      </c>
      <c r="AR12" s="5" t="s">
        <v>97</v>
      </c>
      <c r="AS12" s="5" t="s">
        <v>97</v>
      </c>
      <c r="AT12" s="5"/>
      <c r="AU12" s="5"/>
      <c r="AV12" s="9" t="s">
        <v>97</v>
      </c>
      <c r="AW12" s="16" t="s">
        <v>97</v>
      </c>
      <c r="AX12" s="9" t="s">
        <v>97</v>
      </c>
      <c r="AY12" s="16" t="s">
        <v>97</v>
      </c>
      <c r="AZ12" s="16" t="s">
        <v>103</v>
      </c>
      <c r="BA12" s="16" t="s">
        <v>97</v>
      </c>
      <c r="BB12" s="5">
        <v>45524</v>
      </c>
      <c r="BC12" s="5">
        <v>45525</v>
      </c>
      <c r="BD12" s="5">
        <v>45525</v>
      </c>
      <c r="BE12" s="5">
        <v>45525</v>
      </c>
      <c r="BF12" s="4" t="s">
        <v>98</v>
      </c>
      <c r="BG12" s="4" t="s">
        <v>97</v>
      </c>
      <c r="BH12" s="9" t="s">
        <v>103</v>
      </c>
      <c r="BI12" s="4" t="s">
        <v>145</v>
      </c>
    </row>
    <row r="13" spans="1:61" x14ac:dyDescent="0.35">
      <c r="A13" s="8" t="str">
        <f t="shared" si="3"/>
        <v>Semaine 33-2024</v>
      </c>
      <c r="B13" s="8" t="str">
        <f t="shared" si="4"/>
        <v>2024</v>
      </c>
      <c r="C13" s="2" t="s">
        <v>75</v>
      </c>
      <c r="D13" s="6" t="str">
        <f t="shared" si="5"/>
        <v>Diourbel</v>
      </c>
      <c r="E13" s="6">
        <f t="shared" si="6"/>
        <v>996481</v>
      </c>
      <c r="F13" s="6">
        <f t="shared" si="7"/>
        <v>1980827</v>
      </c>
      <c r="G13" s="4" t="s">
        <v>131</v>
      </c>
      <c r="H13" s="9" t="s">
        <v>134</v>
      </c>
      <c r="I13" s="9">
        <v>80</v>
      </c>
      <c r="J13" s="9" t="s">
        <v>96</v>
      </c>
      <c r="K13" s="9"/>
      <c r="L13" s="9"/>
      <c r="M13" s="9"/>
      <c r="N13" s="9"/>
      <c r="O13" s="4" t="s">
        <v>238</v>
      </c>
      <c r="P13" s="9" t="s">
        <v>97</v>
      </c>
      <c r="Q13" s="9" t="s">
        <v>97</v>
      </c>
      <c r="R13" s="14" t="s">
        <v>100</v>
      </c>
      <c r="S13" s="14" t="s">
        <v>100</v>
      </c>
      <c r="T13" s="14" t="s">
        <v>100</v>
      </c>
      <c r="U13" s="14" t="s">
        <v>285</v>
      </c>
      <c r="V13" s="14"/>
      <c r="W13" s="14"/>
      <c r="X13" s="14"/>
      <c r="Y13" s="5">
        <v>45522</v>
      </c>
      <c r="Z13" s="5">
        <v>45523</v>
      </c>
      <c r="AA13" s="5" t="s">
        <v>97</v>
      </c>
      <c r="AB13" s="5"/>
      <c r="AC13" s="5" t="s">
        <v>97</v>
      </c>
      <c r="AD13" s="5" t="s">
        <v>97</v>
      </c>
      <c r="AE13" s="5" t="s">
        <v>97</v>
      </c>
      <c r="AF13" s="5" t="s">
        <v>97</v>
      </c>
      <c r="AG13" s="5" t="s">
        <v>97</v>
      </c>
      <c r="AH13" s="5" t="s">
        <v>103</v>
      </c>
      <c r="AI13" s="5">
        <v>45522</v>
      </c>
      <c r="AJ13" s="5"/>
      <c r="AK13" s="5"/>
      <c r="AL13" s="16"/>
      <c r="AM13" s="5" t="s">
        <v>97</v>
      </c>
      <c r="AN13" s="5" t="s">
        <v>103</v>
      </c>
      <c r="AO13" s="5" t="s">
        <v>97</v>
      </c>
      <c r="AP13" s="5" t="s">
        <v>97</v>
      </c>
      <c r="AQ13" s="5" t="s">
        <v>97</v>
      </c>
      <c r="AR13" s="5" t="s">
        <v>97</v>
      </c>
      <c r="AS13" s="5" t="s">
        <v>97</v>
      </c>
      <c r="AT13" s="5"/>
      <c r="AU13" s="5"/>
      <c r="AV13" s="4" t="s">
        <v>97</v>
      </c>
      <c r="AW13" s="16" t="s">
        <v>97</v>
      </c>
      <c r="AX13" s="9" t="s">
        <v>97</v>
      </c>
      <c r="AY13" s="16" t="s">
        <v>97</v>
      </c>
      <c r="AZ13" s="16" t="s">
        <v>103</v>
      </c>
      <c r="BA13" s="16" t="s">
        <v>97</v>
      </c>
      <c r="BB13" s="5">
        <v>45523</v>
      </c>
      <c r="BC13" s="5">
        <v>45523</v>
      </c>
      <c r="BD13" s="5">
        <v>45525</v>
      </c>
      <c r="BE13" s="5">
        <v>45525</v>
      </c>
      <c r="BF13" s="4" t="s">
        <v>98</v>
      </c>
      <c r="BG13" s="4" t="s">
        <v>97</v>
      </c>
      <c r="BH13" s="9" t="s">
        <v>103</v>
      </c>
      <c r="BI13" s="4" t="s">
        <v>145</v>
      </c>
    </row>
    <row r="14" spans="1:61" x14ac:dyDescent="0.35">
      <c r="A14" s="8" t="str">
        <f t="shared" si="3"/>
        <v>Semaine 33-2024</v>
      </c>
      <c r="B14" s="8" t="str">
        <f t="shared" si="4"/>
        <v>2024</v>
      </c>
      <c r="C14" s="2" t="s">
        <v>75</v>
      </c>
      <c r="D14" s="6" t="str">
        <f t="shared" si="5"/>
        <v>Diourbel</v>
      </c>
      <c r="E14" s="6">
        <f t="shared" si="6"/>
        <v>996481</v>
      </c>
      <c r="F14" s="6">
        <f t="shared" si="7"/>
        <v>1980827</v>
      </c>
      <c r="G14" s="4" t="s">
        <v>132</v>
      </c>
      <c r="H14" s="9" t="s">
        <v>135</v>
      </c>
      <c r="I14" s="9">
        <v>20</v>
      </c>
      <c r="J14" s="9" t="s">
        <v>96</v>
      </c>
      <c r="K14" s="9"/>
      <c r="L14" s="9"/>
      <c r="M14" s="9"/>
      <c r="N14" s="9"/>
      <c r="O14" s="4" t="s">
        <v>238</v>
      </c>
      <c r="P14" s="9" t="s">
        <v>97</v>
      </c>
      <c r="Q14" s="9" t="s">
        <v>97</v>
      </c>
      <c r="R14" s="14" t="s">
        <v>100</v>
      </c>
      <c r="S14" s="14" t="s">
        <v>100</v>
      </c>
      <c r="T14" s="14" t="s">
        <v>100</v>
      </c>
      <c r="U14" s="14" t="s">
        <v>285</v>
      </c>
      <c r="V14" s="14"/>
      <c r="W14" s="14"/>
      <c r="X14" s="14"/>
      <c r="Y14" s="5">
        <v>45521</v>
      </c>
      <c r="Z14" s="5">
        <v>45525</v>
      </c>
      <c r="AA14" s="5" t="s">
        <v>97</v>
      </c>
      <c r="AB14" s="5"/>
      <c r="AC14" s="5" t="s">
        <v>97</v>
      </c>
      <c r="AD14" s="5" t="s">
        <v>97</v>
      </c>
      <c r="AE14" s="5" t="s">
        <v>97</v>
      </c>
      <c r="AF14" s="5" t="s">
        <v>97</v>
      </c>
      <c r="AG14" s="5" t="s">
        <v>97</v>
      </c>
      <c r="AH14" s="5" t="s">
        <v>103</v>
      </c>
      <c r="AI14" s="5">
        <v>45521</v>
      </c>
      <c r="AJ14" s="5"/>
      <c r="AK14" s="5"/>
      <c r="AL14" s="16" t="s">
        <v>103</v>
      </c>
      <c r="AM14" s="5" t="s">
        <v>97</v>
      </c>
      <c r="AN14" s="5" t="s">
        <v>103</v>
      </c>
      <c r="AO14" s="5" t="s">
        <v>97</v>
      </c>
      <c r="AP14" s="5" t="s">
        <v>97</v>
      </c>
      <c r="AQ14" s="5" t="s">
        <v>97</v>
      </c>
      <c r="AR14" s="5" t="s">
        <v>97</v>
      </c>
      <c r="AS14" s="5" t="s">
        <v>97</v>
      </c>
      <c r="AT14" s="5"/>
      <c r="AU14" s="5"/>
      <c r="AV14" s="4" t="s">
        <v>103</v>
      </c>
      <c r="AW14" s="16" t="s">
        <v>97</v>
      </c>
      <c r="AX14" s="9" t="s">
        <v>97</v>
      </c>
      <c r="AY14" s="16" t="s">
        <v>97</v>
      </c>
      <c r="AZ14" s="16" t="s">
        <v>103</v>
      </c>
      <c r="BA14" s="16" t="s">
        <v>97</v>
      </c>
      <c r="BB14" s="5">
        <v>45525</v>
      </c>
      <c r="BC14" s="5">
        <v>45525</v>
      </c>
      <c r="BD14" s="5">
        <v>45525</v>
      </c>
      <c r="BE14" s="5">
        <v>45525</v>
      </c>
      <c r="BF14" s="4" t="s">
        <v>98</v>
      </c>
      <c r="BG14" s="4" t="s">
        <v>97</v>
      </c>
      <c r="BH14" s="9" t="s">
        <v>103</v>
      </c>
      <c r="BI14" s="4" t="s">
        <v>115</v>
      </c>
    </row>
    <row r="15" spans="1:61" x14ac:dyDescent="0.35">
      <c r="A15" s="8" t="str">
        <f t="shared" si="3"/>
        <v>Semaine 33-2024</v>
      </c>
      <c r="B15" s="8" t="str">
        <f t="shared" si="4"/>
        <v>2024</v>
      </c>
      <c r="C15" s="2" t="s">
        <v>75</v>
      </c>
      <c r="D15" s="6" t="str">
        <f t="shared" si="5"/>
        <v>Diourbel</v>
      </c>
      <c r="E15" s="6">
        <f t="shared" si="6"/>
        <v>996481</v>
      </c>
      <c r="F15" s="6">
        <f t="shared" si="7"/>
        <v>1980827</v>
      </c>
      <c r="G15" s="4" t="s">
        <v>136</v>
      </c>
      <c r="H15" s="9" t="s">
        <v>137</v>
      </c>
      <c r="I15" s="9">
        <v>48</v>
      </c>
      <c r="J15" s="9" t="s">
        <v>114</v>
      </c>
      <c r="K15" s="9"/>
      <c r="L15" s="9"/>
      <c r="M15" s="9"/>
      <c r="N15" s="9"/>
      <c r="O15" s="4" t="s">
        <v>238</v>
      </c>
      <c r="P15" s="9" t="s">
        <v>97</v>
      </c>
      <c r="Q15" s="9" t="s">
        <v>97</v>
      </c>
      <c r="R15" s="14" t="s">
        <v>100</v>
      </c>
      <c r="S15" s="14" t="s">
        <v>100</v>
      </c>
      <c r="T15" s="14" t="s">
        <v>100</v>
      </c>
      <c r="U15" s="14" t="s">
        <v>285</v>
      </c>
      <c r="V15" s="14"/>
      <c r="W15" s="14"/>
      <c r="X15" s="14"/>
      <c r="Y15" s="5">
        <v>45517</v>
      </c>
      <c r="Z15" s="5">
        <v>45525</v>
      </c>
      <c r="AA15" s="5" t="s">
        <v>103</v>
      </c>
      <c r="AB15" s="5"/>
      <c r="AC15" s="5" t="s">
        <v>97</v>
      </c>
      <c r="AD15" s="5" t="s">
        <v>97</v>
      </c>
      <c r="AE15" s="5" t="s">
        <v>97</v>
      </c>
      <c r="AF15" s="5" t="s">
        <v>97</v>
      </c>
      <c r="AG15" s="5" t="s">
        <v>103</v>
      </c>
      <c r="AH15" s="5" t="s">
        <v>103</v>
      </c>
      <c r="AI15" s="5">
        <v>45517</v>
      </c>
      <c r="AJ15" s="5"/>
      <c r="AK15" s="5"/>
      <c r="AL15" s="16" t="s">
        <v>103</v>
      </c>
      <c r="AM15" s="5" t="s">
        <v>103</v>
      </c>
      <c r="AN15" s="5" t="s">
        <v>97</v>
      </c>
      <c r="AO15" s="5" t="s">
        <v>97</v>
      </c>
      <c r="AP15" s="5" t="s">
        <v>103</v>
      </c>
      <c r="AQ15" s="5" t="s">
        <v>97</v>
      </c>
      <c r="AR15" s="5" t="s">
        <v>97</v>
      </c>
      <c r="AS15" s="5" t="s">
        <v>97</v>
      </c>
      <c r="AT15" s="5"/>
      <c r="AU15" s="5"/>
      <c r="AV15" s="4" t="s">
        <v>103</v>
      </c>
      <c r="AW15" s="16" t="s">
        <v>97</v>
      </c>
      <c r="AX15" s="9" t="s">
        <v>97</v>
      </c>
      <c r="AY15" s="16" t="s">
        <v>97</v>
      </c>
      <c r="AZ15" s="16" t="s">
        <v>103</v>
      </c>
      <c r="BA15" s="16" t="s">
        <v>97</v>
      </c>
      <c r="BB15" s="5">
        <v>45525</v>
      </c>
      <c r="BC15" s="5">
        <v>45526</v>
      </c>
      <c r="BD15" s="5">
        <v>45526</v>
      </c>
      <c r="BE15" s="5">
        <v>45526</v>
      </c>
      <c r="BF15" s="4" t="s">
        <v>98</v>
      </c>
      <c r="BG15" s="4" t="s">
        <v>97</v>
      </c>
      <c r="BH15" s="9" t="s">
        <v>103</v>
      </c>
      <c r="BI15" s="4" t="s">
        <v>115</v>
      </c>
    </row>
    <row r="16" spans="1:61" x14ac:dyDescent="0.35">
      <c r="A16" s="8" t="str">
        <f t="shared" si="3"/>
        <v>Semaine 33-2024</v>
      </c>
      <c r="B16" s="8" t="str">
        <f t="shared" si="4"/>
        <v>2024</v>
      </c>
      <c r="C16" s="2" t="s">
        <v>63</v>
      </c>
      <c r="D16" s="6" t="str">
        <f t="shared" si="5"/>
        <v>Saint-Louis</v>
      </c>
      <c r="E16" s="6">
        <f t="shared" si="6"/>
        <v>205977</v>
      </c>
      <c r="F16" s="6">
        <f t="shared" si="7"/>
        <v>1150065</v>
      </c>
      <c r="G16" s="4" t="s">
        <v>138</v>
      </c>
      <c r="H16" s="9" t="s">
        <v>129</v>
      </c>
      <c r="I16" s="8">
        <v>18</v>
      </c>
      <c r="J16" s="8" t="s">
        <v>96</v>
      </c>
      <c r="K16" s="8"/>
      <c r="L16" s="8"/>
      <c r="M16" s="8"/>
      <c r="N16" s="8"/>
      <c r="O16" s="4" t="s">
        <v>238</v>
      </c>
      <c r="P16" s="9" t="s">
        <v>97</v>
      </c>
      <c r="Q16" s="9" t="s">
        <v>97</v>
      </c>
      <c r="R16" s="14" t="s">
        <v>100</v>
      </c>
      <c r="S16" s="14" t="s">
        <v>100</v>
      </c>
      <c r="T16" s="14" t="s">
        <v>100</v>
      </c>
      <c r="U16" s="14"/>
      <c r="V16" s="14"/>
      <c r="W16" s="14"/>
      <c r="X16" s="14"/>
      <c r="Y16" s="5">
        <v>45518</v>
      </c>
      <c r="Z16" s="5">
        <v>45520</v>
      </c>
      <c r="AA16" s="5" t="s">
        <v>103</v>
      </c>
      <c r="AB16" s="5"/>
      <c r="AC16" s="5" t="s">
        <v>103</v>
      </c>
      <c r="AD16" s="5" t="s">
        <v>97</v>
      </c>
      <c r="AE16" s="5" t="s">
        <v>97</v>
      </c>
      <c r="AF16" s="5" t="s">
        <v>97</v>
      </c>
      <c r="AG16" s="5" t="s">
        <v>97</v>
      </c>
      <c r="AH16" s="5" t="s">
        <v>103</v>
      </c>
      <c r="AI16" s="5">
        <v>45518</v>
      </c>
      <c r="AJ16" s="5"/>
      <c r="AK16" s="5"/>
      <c r="AL16" s="16" t="s">
        <v>103</v>
      </c>
      <c r="AM16" s="5" t="s">
        <v>97</v>
      </c>
      <c r="AN16" s="5" t="s">
        <v>103</v>
      </c>
      <c r="AO16" s="5" t="s">
        <v>103</v>
      </c>
      <c r="AP16" s="5" t="s">
        <v>103</v>
      </c>
      <c r="AQ16" s="5" t="s">
        <v>97</v>
      </c>
      <c r="AR16" s="5" t="s">
        <v>97</v>
      </c>
      <c r="AS16" s="5" t="s">
        <v>97</v>
      </c>
      <c r="AT16" s="5"/>
      <c r="AU16" s="5"/>
      <c r="AV16" s="9" t="s">
        <v>103</v>
      </c>
      <c r="AW16" s="16" t="s">
        <v>97</v>
      </c>
      <c r="AX16" s="9" t="s">
        <v>97</v>
      </c>
      <c r="AY16" s="16" t="s">
        <v>97</v>
      </c>
      <c r="AZ16" s="16" t="s">
        <v>103</v>
      </c>
      <c r="BA16" s="16" t="s">
        <v>97</v>
      </c>
      <c r="BB16" s="5">
        <v>45523</v>
      </c>
      <c r="BC16" s="5">
        <v>45525</v>
      </c>
      <c r="BD16" s="5">
        <v>45526</v>
      </c>
      <c r="BE16" s="5">
        <v>45526</v>
      </c>
      <c r="BF16" s="9" t="s">
        <v>98</v>
      </c>
      <c r="BG16" s="9" t="s">
        <v>97</v>
      </c>
      <c r="BH16" s="9" t="s">
        <v>103</v>
      </c>
      <c r="BI16" s="4" t="s">
        <v>115</v>
      </c>
    </row>
    <row r="17" spans="1:61" x14ac:dyDescent="0.35">
      <c r="A17" s="8" t="str">
        <f t="shared" si="3"/>
        <v>Semaine 34-2024</v>
      </c>
      <c r="B17" s="8" t="str">
        <f t="shared" si="4"/>
        <v>2024</v>
      </c>
      <c r="C17" s="2" t="s">
        <v>60</v>
      </c>
      <c r="D17" s="6" t="str">
        <f t="shared" si="5"/>
        <v>Thies</v>
      </c>
      <c r="E17" s="6">
        <f t="shared" si="6"/>
        <v>92691</v>
      </c>
      <c r="F17" s="6">
        <f t="shared" si="7"/>
        <v>2280463</v>
      </c>
      <c r="G17" s="4" t="s">
        <v>139</v>
      </c>
      <c r="H17" s="9" t="s">
        <v>140</v>
      </c>
      <c r="I17" s="9">
        <v>5</v>
      </c>
      <c r="J17" s="9" t="s">
        <v>114</v>
      </c>
      <c r="K17" s="9"/>
      <c r="L17" s="9"/>
      <c r="M17" s="9"/>
      <c r="N17" s="9"/>
      <c r="O17" s="4" t="s">
        <v>238</v>
      </c>
      <c r="P17" s="9" t="s">
        <v>97</v>
      </c>
      <c r="Q17" s="9" t="s">
        <v>97</v>
      </c>
      <c r="R17" s="14" t="s">
        <v>100</v>
      </c>
      <c r="S17" s="14" t="s">
        <v>100</v>
      </c>
      <c r="T17" s="14" t="s">
        <v>100</v>
      </c>
      <c r="U17" s="14"/>
      <c r="V17" s="14"/>
      <c r="W17" s="14"/>
      <c r="X17" s="14"/>
      <c r="Y17" s="5">
        <v>45524</v>
      </c>
      <c r="Z17" s="5">
        <v>45525</v>
      </c>
      <c r="AA17" s="5" t="s">
        <v>103</v>
      </c>
      <c r="AB17" s="5"/>
      <c r="AC17" s="5" t="s">
        <v>97</v>
      </c>
      <c r="AD17" s="5" t="s">
        <v>97</v>
      </c>
      <c r="AE17" s="5" t="s">
        <v>97</v>
      </c>
      <c r="AF17" s="5" t="s">
        <v>97</v>
      </c>
      <c r="AG17" s="5" t="s">
        <v>97</v>
      </c>
      <c r="AH17" s="5" t="s">
        <v>103</v>
      </c>
      <c r="AI17" s="5">
        <v>45524</v>
      </c>
      <c r="AJ17" s="5"/>
      <c r="AK17" s="5"/>
      <c r="AL17" s="16" t="s">
        <v>103</v>
      </c>
      <c r="AM17" s="5" t="s">
        <v>97</v>
      </c>
      <c r="AN17" s="5" t="s">
        <v>103</v>
      </c>
      <c r="AO17" s="5" t="s">
        <v>97</v>
      </c>
      <c r="AP17" s="5" t="s">
        <v>97</v>
      </c>
      <c r="AQ17" s="5" t="s">
        <v>97</v>
      </c>
      <c r="AR17" s="5" t="s">
        <v>97</v>
      </c>
      <c r="AS17" s="5" t="s">
        <v>97</v>
      </c>
      <c r="AT17" s="5"/>
      <c r="AU17" s="5"/>
      <c r="AV17" s="4" t="s">
        <v>103</v>
      </c>
      <c r="AW17" s="16" t="s">
        <v>97</v>
      </c>
      <c r="AX17" s="9" t="s">
        <v>97</v>
      </c>
      <c r="AY17" s="16" t="s">
        <v>97</v>
      </c>
      <c r="AZ17" s="16" t="s">
        <v>103</v>
      </c>
      <c r="BA17" s="16" t="s">
        <v>97</v>
      </c>
      <c r="BB17" s="5">
        <v>45525</v>
      </c>
      <c r="BC17" s="5">
        <v>45526</v>
      </c>
      <c r="BD17" s="5">
        <v>45526</v>
      </c>
      <c r="BE17" s="5">
        <v>45526</v>
      </c>
      <c r="BF17" s="4" t="s">
        <v>98</v>
      </c>
      <c r="BG17" s="4" t="s">
        <v>97</v>
      </c>
      <c r="BH17" s="9" t="s">
        <v>103</v>
      </c>
      <c r="BI17" s="4" t="s">
        <v>115</v>
      </c>
    </row>
    <row r="18" spans="1:61" x14ac:dyDescent="0.35">
      <c r="A18" s="8" t="str">
        <f t="shared" si="3"/>
        <v>Semaine 34-2024</v>
      </c>
      <c r="B18" s="8" t="str">
        <f t="shared" si="4"/>
        <v>2024</v>
      </c>
      <c r="C18" s="2" t="s">
        <v>78</v>
      </c>
      <c r="D18" s="6" t="str">
        <f t="shared" si="5"/>
        <v>Ziguinchor</v>
      </c>
      <c r="E18" s="6">
        <f t="shared" si="6"/>
        <v>330001</v>
      </c>
      <c r="F18" s="6">
        <f t="shared" si="7"/>
        <v>729952</v>
      </c>
      <c r="G18" s="4" t="s">
        <v>141</v>
      </c>
      <c r="H18" s="9" t="s">
        <v>143</v>
      </c>
      <c r="I18" s="9">
        <v>29</v>
      </c>
      <c r="J18" s="9" t="s">
        <v>96</v>
      </c>
      <c r="K18" s="9"/>
      <c r="L18" s="9"/>
      <c r="M18" s="9"/>
      <c r="N18" s="9"/>
      <c r="O18" s="4" t="s">
        <v>238</v>
      </c>
      <c r="P18" s="9" t="s">
        <v>97</v>
      </c>
      <c r="Q18" s="9" t="s">
        <v>97</v>
      </c>
      <c r="R18" s="14" t="s">
        <v>100</v>
      </c>
      <c r="S18" s="14" t="s">
        <v>100</v>
      </c>
      <c r="T18" s="14" t="s">
        <v>100</v>
      </c>
      <c r="U18" s="14"/>
      <c r="V18" s="14"/>
      <c r="W18" s="14"/>
      <c r="X18" s="14"/>
      <c r="Y18" s="5">
        <v>45524</v>
      </c>
      <c r="Z18" s="5">
        <v>45526</v>
      </c>
      <c r="AA18" s="5" t="s">
        <v>103</v>
      </c>
      <c r="AB18" s="5"/>
      <c r="AC18" s="5" t="s">
        <v>97</v>
      </c>
      <c r="AD18" s="5" t="s">
        <v>97</v>
      </c>
      <c r="AE18" s="5" t="s">
        <v>103</v>
      </c>
      <c r="AF18" s="5" t="s">
        <v>103</v>
      </c>
      <c r="AG18" s="5" t="s">
        <v>103</v>
      </c>
      <c r="AH18" s="5" t="s">
        <v>103</v>
      </c>
      <c r="AI18" s="5">
        <v>45524</v>
      </c>
      <c r="AJ18" s="5"/>
      <c r="AK18" s="5"/>
      <c r="AL18" s="16" t="s">
        <v>103</v>
      </c>
      <c r="AM18" s="5" t="s">
        <v>103</v>
      </c>
      <c r="AN18" s="5" t="s">
        <v>103</v>
      </c>
      <c r="AO18" s="5" t="s">
        <v>103</v>
      </c>
      <c r="AP18" s="5" t="s">
        <v>103</v>
      </c>
      <c r="AQ18" s="5" t="s">
        <v>97</v>
      </c>
      <c r="AR18" s="5" t="s">
        <v>97</v>
      </c>
      <c r="AS18" s="5" t="s">
        <v>97</v>
      </c>
      <c r="AT18" s="5" t="s">
        <v>174</v>
      </c>
      <c r="AU18" s="5"/>
      <c r="AV18" s="8" t="s">
        <v>103</v>
      </c>
      <c r="AW18" s="16" t="s">
        <v>97</v>
      </c>
      <c r="AX18" s="9" t="s">
        <v>97</v>
      </c>
      <c r="AY18" s="16" t="s">
        <v>97</v>
      </c>
      <c r="AZ18" s="16" t="s">
        <v>103</v>
      </c>
      <c r="BA18" s="16" t="s">
        <v>97</v>
      </c>
      <c r="BB18" s="5">
        <v>45526</v>
      </c>
      <c r="BC18" s="5">
        <v>45526</v>
      </c>
      <c r="BD18" s="5">
        <v>45527</v>
      </c>
      <c r="BE18" s="5">
        <v>45527</v>
      </c>
      <c r="BF18" s="4" t="s">
        <v>98</v>
      </c>
      <c r="BG18" s="4" t="s">
        <v>103</v>
      </c>
      <c r="BH18" s="9" t="s">
        <v>103</v>
      </c>
      <c r="BI18" s="4" t="s">
        <v>115</v>
      </c>
    </row>
    <row r="19" spans="1:61" x14ac:dyDescent="0.35">
      <c r="A19" s="8" t="str">
        <f t="shared" si="3"/>
        <v>Semaine 32-2024</v>
      </c>
      <c r="B19" s="8" t="str">
        <f t="shared" si="4"/>
        <v>2024</v>
      </c>
      <c r="C19" s="2" t="s">
        <v>12</v>
      </c>
      <c r="D19" s="6" t="str">
        <f t="shared" si="5"/>
        <v>Ziguinchor</v>
      </c>
      <c r="E19" s="6">
        <f t="shared" si="6"/>
        <v>174689</v>
      </c>
      <c r="F19" s="6">
        <f t="shared" si="7"/>
        <v>729952</v>
      </c>
      <c r="G19" s="4" t="s">
        <v>142</v>
      </c>
      <c r="H19" s="9" t="s">
        <v>144</v>
      </c>
      <c r="I19" s="9">
        <v>37</v>
      </c>
      <c r="J19" s="9" t="s">
        <v>114</v>
      </c>
      <c r="K19" s="9"/>
      <c r="L19" s="9"/>
      <c r="M19" s="9"/>
      <c r="N19" s="9"/>
      <c r="O19" s="4" t="s">
        <v>238</v>
      </c>
      <c r="P19" s="9" t="s">
        <v>97</v>
      </c>
      <c r="Q19" s="9" t="s">
        <v>97</v>
      </c>
      <c r="R19" s="14" t="s">
        <v>100</v>
      </c>
      <c r="S19" s="14" t="s">
        <v>100</v>
      </c>
      <c r="T19" s="14" t="s">
        <v>100</v>
      </c>
      <c r="U19" s="14"/>
      <c r="V19" s="14"/>
      <c r="W19" s="14"/>
      <c r="X19" s="14"/>
      <c r="Y19" s="5">
        <v>45512</v>
      </c>
      <c r="Z19" s="5">
        <v>45526</v>
      </c>
      <c r="AA19" s="5" t="s">
        <v>103</v>
      </c>
      <c r="AB19" s="5"/>
      <c r="AC19" s="5" t="s">
        <v>103</v>
      </c>
      <c r="AD19" s="5" t="s">
        <v>103</v>
      </c>
      <c r="AE19" s="5" t="s">
        <v>97</v>
      </c>
      <c r="AF19" s="5" t="s">
        <v>103</v>
      </c>
      <c r="AG19" s="5" t="s">
        <v>103</v>
      </c>
      <c r="AH19" s="5" t="s">
        <v>103</v>
      </c>
      <c r="AI19" s="5">
        <v>45512</v>
      </c>
      <c r="AJ19" s="5"/>
      <c r="AK19" s="5"/>
      <c r="AL19" s="16"/>
      <c r="AM19" s="5" t="s">
        <v>97</v>
      </c>
      <c r="AN19" s="5" t="s">
        <v>97</v>
      </c>
      <c r="AO19" s="5" t="s">
        <v>103</v>
      </c>
      <c r="AP19" s="5" t="s">
        <v>103</v>
      </c>
      <c r="AQ19" s="5" t="s">
        <v>97</v>
      </c>
      <c r="AR19" s="5" t="s">
        <v>97</v>
      </c>
      <c r="AS19" s="5" t="s">
        <v>97</v>
      </c>
      <c r="AT19" s="5" t="s">
        <v>175</v>
      </c>
      <c r="AU19" s="5"/>
      <c r="AV19" s="8" t="s">
        <v>97</v>
      </c>
      <c r="AW19" s="16" t="s">
        <v>97</v>
      </c>
      <c r="AX19" s="9" t="s">
        <v>97</v>
      </c>
      <c r="AY19" s="16" t="s">
        <v>97</v>
      </c>
      <c r="AZ19" s="16" t="s">
        <v>103</v>
      </c>
      <c r="BA19" s="16" t="s">
        <v>97</v>
      </c>
      <c r="BB19" s="5">
        <v>45526</v>
      </c>
      <c r="BC19" s="5">
        <v>45526</v>
      </c>
      <c r="BD19" s="5">
        <v>45527</v>
      </c>
      <c r="BE19" s="5">
        <v>45527</v>
      </c>
      <c r="BF19" s="4" t="s">
        <v>98</v>
      </c>
      <c r="BG19" s="4" t="s">
        <v>97</v>
      </c>
      <c r="BH19" s="9" t="s">
        <v>103</v>
      </c>
      <c r="BI19" s="4" t="s">
        <v>145</v>
      </c>
    </row>
    <row r="20" spans="1:61" x14ac:dyDescent="0.35">
      <c r="A20" s="8" t="str">
        <f t="shared" si="3"/>
        <v>Semaine 34-2024</v>
      </c>
      <c r="B20" s="8" t="str">
        <f t="shared" si="4"/>
        <v>2024</v>
      </c>
      <c r="C20" s="2" t="s">
        <v>18</v>
      </c>
      <c r="D20" s="6" t="str">
        <f t="shared" si="5"/>
        <v>Dakar</v>
      </c>
      <c r="E20" s="6">
        <f t="shared" si="6"/>
        <v>419489</v>
      </c>
      <c r="F20" s="6">
        <f t="shared" si="7"/>
        <v>4042240</v>
      </c>
      <c r="G20" s="4" t="s">
        <v>176</v>
      </c>
      <c r="H20" s="9" t="s">
        <v>177</v>
      </c>
      <c r="I20" s="9">
        <v>12</v>
      </c>
      <c r="J20" s="9" t="s">
        <v>96</v>
      </c>
      <c r="K20" s="9"/>
      <c r="L20" s="9"/>
      <c r="M20" s="9"/>
      <c r="N20" s="9"/>
      <c r="O20" s="4" t="s">
        <v>238</v>
      </c>
      <c r="P20" s="9" t="s">
        <v>97</v>
      </c>
      <c r="Q20" s="9" t="s">
        <v>97</v>
      </c>
      <c r="R20" s="14" t="s">
        <v>100</v>
      </c>
      <c r="S20" s="14" t="s">
        <v>100</v>
      </c>
      <c r="T20" s="14" t="s">
        <v>100</v>
      </c>
      <c r="U20" s="14" t="s">
        <v>285</v>
      </c>
      <c r="V20" s="14"/>
      <c r="W20" s="14"/>
      <c r="X20" s="14"/>
      <c r="Y20" s="5">
        <v>45525</v>
      </c>
      <c r="Z20" s="5">
        <v>45527</v>
      </c>
      <c r="AA20" s="5" t="s">
        <v>103</v>
      </c>
      <c r="AB20" s="5"/>
      <c r="AC20" s="5" t="s">
        <v>97</v>
      </c>
      <c r="AD20" s="5" t="s">
        <v>97</v>
      </c>
      <c r="AE20" s="5" t="s">
        <v>103</v>
      </c>
      <c r="AF20" s="5" t="s">
        <v>97</v>
      </c>
      <c r="AG20" s="5" t="s">
        <v>103</v>
      </c>
      <c r="AH20" s="5" t="s">
        <v>103</v>
      </c>
      <c r="AI20" s="5">
        <v>45527</v>
      </c>
      <c r="AJ20" s="5"/>
      <c r="AK20" s="5"/>
      <c r="AL20" s="5" t="s">
        <v>103</v>
      </c>
      <c r="AM20" s="5" t="s">
        <v>103</v>
      </c>
      <c r="AN20" s="5" t="s">
        <v>103</v>
      </c>
      <c r="AO20" s="5" t="s">
        <v>103</v>
      </c>
      <c r="AP20" s="5" t="s">
        <v>103</v>
      </c>
      <c r="AQ20" s="5" t="s">
        <v>97</v>
      </c>
      <c r="AR20" s="5" t="s">
        <v>97</v>
      </c>
      <c r="AS20" s="5" t="s">
        <v>97</v>
      </c>
      <c r="AT20" s="5" t="s">
        <v>175</v>
      </c>
      <c r="AU20" s="5"/>
      <c r="AV20" s="4" t="s">
        <v>103</v>
      </c>
      <c r="AW20" s="4" t="s">
        <v>97</v>
      </c>
      <c r="AX20" s="4" t="s">
        <v>97</v>
      </c>
      <c r="AY20" s="4" t="s">
        <v>97</v>
      </c>
      <c r="AZ20" s="4" t="s">
        <v>103</v>
      </c>
      <c r="BA20" s="4" t="s">
        <v>97</v>
      </c>
      <c r="BB20" s="5">
        <v>45527</v>
      </c>
      <c r="BC20" s="5">
        <v>45528</v>
      </c>
      <c r="BD20" s="5">
        <v>45528</v>
      </c>
      <c r="BE20" s="5">
        <v>45528</v>
      </c>
      <c r="BF20" s="4" t="s">
        <v>98</v>
      </c>
      <c r="BG20" s="4" t="s">
        <v>103</v>
      </c>
      <c r="BH20" s="4" t="s">
        <v>103</v>
      </c>
      <c r="BI20" s="4" t="s">
        <v>115</v>
      </c>
    </row>
    <row r="21" spans="1:61" x14ac:dyDescent="0.35">
      <c r="A21" s="8" t="str">
        <f t="shared" si="3"/>
        <v>Semaine 34-2024</v>
      </c>
      <c r="B21" s="8" t="str">
        <f t="shared" si="4"/>
        <v>2024</v>
      </c>
      <c r="C21" s="2" t="s">
        <v>26</v>
      </c>
      <c r="D21" s="6" t="str">
        <f t="shared" si="5"/>
        <v>Diourbel</v>
      </c>
      <c r="E21" s="6">
        <f t="shared" si="6"/>
        <v>354792</v>
      </c>
      <c r="F21" s="6">
        <f t="shared" si="7"/>
        <v>1980827</v>
      </c>
      <c r="G21" s="4" t="s">
        <v>184</v>
      </c>
      <c r="H21" s="9" t="s">
        <v>185</v>
      </c>
      <c r="I21" s="9">
        <v>31</v>
      </c>
      <c r="J21" s="9" t="s">
        <v>114</v>
      </c>
      <c r="K21" s="9"/>
      <c r="L21" s="9"/>
      <c r="M21" s="9"/>
      <c r="N21" s="9"/>
      <c r="O21" s="4" t="s">
        <v>238</v>
      </c>
      <c r="P21" s="9" t="s">
        <v>97</v>
      </c>
      <c r="Q21" s="9" t="s">
        <v>97</v>
      </c>
      <c r="R21" s="14" t="s">
        <v>100</v>
      </c>
      <c r="S21" s="14" t="s">
        <v>100</v>
      </c>
      <c r="T21" s="14" t="s">
        <v>100</v>
      </c>
      <c r="U21" s="14" t="s">
        <v>285</v>
      </c>
      <c r="V21" s="14"/>
      <c r="W21" s="14"/>
      <c r="X21" s="14"/>
      <c r="Y21" s="5">
        <v>45525</v>
      </c>
      <c r="Z21" s="5">
        <v>45528</v>
      </c>
      <c r="AA21" s="5" t="s">
        <v>103</v>
      </c>
      <c r="AB21" s="5"/>
      <c r="AC21" s="5" t="s">
        <v>103</v>
      </c>
      <c r="AD21" s="5" t="s">
        <v>97</v>
      </c>
      <c r="AE21" s="5" t="s">
        <v>97</v>
      </c>
      <c r="AF21" s="5" t="s">
        <v>103</v>
      </c>
      <c r="AG21" s="5" t="s">
        <v>97</v>
      </c>
      <c r="AH21" s="5" t="s">
        <v>103</v>
      </c>
      <c r="AI21" s="5">
        <v>45525</v>
      </c>
      <c r="AJ21" s="5"/>
      <c r="AK21" s="5"/>
      <c r="AL21" s="5"/>
      <c r="AM21" s="5" t="s">
        <v>97</v>
      </c>
      <c r="AN21" s="5" t="s">
        <v>103</v>
      </c>
      <c r="AO21" s="5" t="s">
        <v>97</v>
      </c>
      <c r="AP21" s="5" t="s">
        <v>97</v>
      </c>
      <c r="AQ21" s="5" t="s">
        <v>97</v>
      </c>
      <c r="AR21" s="5" t="s">
        <v>97</v>
      </c>
      <c r="AS21" s="5" t="s">
        <v>97</v>
      </c>
      <c r="AT21" s="5" t="s">
        <v>186</v>
      </c>
      <c r="AU21" s="5"/>
      <c r="AV21" s="4" t="s">
        <v>97</v>
      </c>
      <c r="AW21" s="4" t="s">
        <v>97</v>
      </c>
      <c r="AX21" s="4" t="s">
        <v>97</v>
      </c>
      <c r="AY21" s="4" t="s">
        <v>97</v>
      </c>
      <c r="AZ21" s="4" t="s">
        <v>103</v>
      </c>
      <c r="BA21" s="4" t="s">
        <v>103</v>
      </c>
      <c r="BB21" s="5">
        <v>45528</v>
      </c>
      <c r="BC21" s="5">
        <v>45528</v>
      </c>
      <c r="BD21" s="5">
        <v>45528</v>
      </c>
      <c r="BE21" s="5">
        <v>45528</v>
      </c>
      <c r="BF21" s="4" t="s">
        <v>98</v>
      </c>
      <c r="BG21" s="11" t="s">
        <v>97</v>
      </c>
      <c r="BH21" s="11" t="s">
        <v>103</v>
      </c>
      <c r="BI21" s="4" t="s">
        <v>145</v>
      </c>
    </row>
    <row r="22" spans="1:61" x14ac:dyDescent="0.35">
      <c r="A22" s="8" t="str">
        <f t="shared" si="3"/>
        <v>Semaine 34-2024</v>
      </c>
      <c r="B22" s="8" t="str">
        <f t="shared" si="4"/>
        <v>2024</v>
      </c>
      <c r="C22" s="2" t="s">
        <v>18</v>
      </c>
      <c r="D22" s="6" t="str">
        <f t="shared" si="5"/>
        <v>Dakar</v>
      </c>
      <c r="E22" s="6">
        <f t="shared" si="6"/>
        <v>419489</v>
      </c>
      <c r="F22" s="6">
        <f t="shared" si="7"/>
        <v>4042240</v>
      </c>
      <c r="G22" s="4" t="s">
        <v>182</v>
      </c>
      <c r="H22" s="9" t="s">
        <v>183</v>
      </c>
      <c r="I22" s="9">
        <v>2</v>
      </c>
      <c r="J22" s="9" t="s">
        <v>114</v>
      </c>
      <c r="K22" s="9"/>
      <c r="L22" s="9"/>
      <c r="M22" s="9"/>
      <c r="N22" s="9"/>
      <c r="O22" s="4" t="s">
        <v>238</v>
      </c>
      <c r="P22" s="9" t="s">
        <v>97</v>
      </c>
      <c r="Q22" s="9" t="s">
        <v>97</v>
      </c>
      <c r="R22" s="14" t="s">
        <v>100</v>
      </c>
      <c r="S22" s="14" t="s">
        <v>100</v>
      </c>
      <c r="T22" s="14" t="s">
        <v>100</v>
      </c>
      <c r="U22" s="14"/>
      <c r="V22" s="14"/>
      <c r="W22" s="14"/>
      <c r="X22" s="14"/>
      <c r="Y22" s="5">
        <v>45525</v>
      </c>
      <c r="Z22" s="5">
        <v>45528</v>
      </c>
      <c r="AA22" s="5" t="s">
        <v>103</v>
      </c>
      <c r="AB22" s="5"/>
      <c r="AC22" s="5" t="s">
        <v>103</v>
      </c>
      <c r="AD22" s="5" t="s">
        <v>103</v>
      </c>
      <c r="AE22" s="5" t="s">
        <v>103</v>
      </c>
      <c r="AF22" s="5" t="s">
        <v>103</v>
      </c>
      <c r="AG22" s="5" t="s">
        <v>97</v>
      </c>
      <c r="AH22" s="5" t="s">
        <v>103</v>
      </c>
      <c r="AI22" s="5">
        <v>45525</v>
      </c>
      <c r="AJ22" s="5"/>
      <c r="AK22" s="5"/>
      <c r="AL22" s="5" t="s">
        <v>103</v>
      </c>
      <c r="AM22" s="5" t="s">
        <v>103</v>
      </c>
      <c r="AN22" s="5" t="s">
        <v>103</v>
      </c>
      <c r="AO22" s="5" t="s">
        <v>103</v>
      </c>
      <c r="AP22" s="5" t="s">
        <v>103</v>
      </c>
      <c r="AQ22" s="5" t="s">
        <v>103</v>
      </c>
      <c r="AR22" s="5" t="s">
        <v>97</v>
      </c>
      <c r="AS22" s="5" t="s">
        <v>97</v>
      </c>
      <c r="AT22" s="5"/>
      <c r="AU22" s="5"/>
      <c r="AV22" s="4" t="s">
        <v>103</v>
      </c>
      <c r="AW22" s="4" t="s">
        <v>97</v>
      </c>
      <c r="AX22" s="4" t="s">
        <v>97</v>
      </c>
      <c r="AY22" s="4" t="s">
        <v>97</v>
      </c>
      <c r="AZ22" s="4" t="s">
        <v>103</v>
      </c>
      <c r="BA22" s="4" t="s">
        <v>97</v>
      </c>
      <c r="BB22" s="5">
        <v>45528</v>
      </c>
      <c r="BC22" s="5">
        <v>45529</v>
      </c>
      <c r="BD22" s="5">
        <v>45529</v>
      </c>
      <c r="BE22" s="5">
        <v>45529</v>
      </c>
      <c r="BF22" s="4" t="s">
        <v>98</v>
      </c>
      <c r="BG22" s="11" t="s">
        <v>103</v>
      </c>
      <c r="BH22" s="11" t="s">
        <v>103</v>
      </c>
      <c r="BI22" s="4" t="s">
        <v>115</v>
      </c>
    </row>
    <row r="23" spans="1:61" x14ac:dyDescent="0.35">
      <c r="A23" s="8" t="str">
        <f t="shared" si="3"/>
        <v>Semaine 34-2024</v>
      </c>
      <c r="B23" s="8" t="str">
        <f t="shared" si="4"/>
        <v>2024</v>
      </c>
      <c r="C23" s="2" t="s">
        <v>6</v>
      </c>
      <c r="D23" s="6" t="str">
        <f t="shared" si="5"/>
        <v>Kaffrine</v>
      </c>
      <c r="E23" s="6">
        <f t="shared" si="6"/>
        <v>286531</v>
      </c>
      <c r="F23" s="6">
        <f t="shared" si="7"/>
        <v>782275</v>
      </c>
      <c r="G23" s="4" t="s">
        <v>187</v>
      </c>
      <c r="H23" s="9" t="s">
        <v>194</v>
      </c>
      <c r="I23" s="9">
        <v>14</v>
      </c>
      <c r="J23" s="9" t="s">
        <v>114</v>
      </c>
      <c r="K23" s="9"/>
      <c r="L23" s="9"/>
      <c r="M23" s="9"/>
      <c r="N23" s="9"/>
      <c r="O23" s="4" t="s">
        <v>238</v>
      </c>
      <c r="P23" s="9" t="s">
        <v>97</v>
      </c>
      <c r="Q23" s="9" t="s">
        <v>97</v>
      </c>
      <c r="R23" s="14" t="s">
        <v>100</v>
      </c>
      <c r="S23" s="14" t="s">
        <v>100</v>
      </c>
      <c r="T23" s="14" t="s">
        <v>100</v>
      </c>
      <c r="U23" s="14"/>
      <c r="V23" s="14"/>
      <c r="W23" s="14"/>
      <c r="X23" s="14"/>
      <c r="Y23" s="5">
        <v>45523</v>
      </c>
      <c r="Z23" s="5">
        <v>45525</v>
      </c>
      <c r="AA23" s="5" t="s">
        <v>97</v>
      </c>
      <c r="AB23" s="5"/>
      <c r="AC23" s="5" t="s">
        <v>97</v>
      </c>
      <c r="AD23" s="5" t="s">
        <v>97</v>
      </c>
      <c r="AE23" s="5" t="s">
        <v>97</v>
      </c>
      <c r="AF23" s="5" t="s">
        <v>97</v>
      </c>
      <c r="AG23" s="5" t="s">
        <v>97</v>
      </c>
      <c r="AH23" s="5" t="s">
        <v>103</v>
      </c>
      <c r="AI23" s="5">
        <v>45525</v>
      </c>
      <c r="AJ23" s="5"/>
      <c r="AK23" s="5"/>
      <c r="AL23" s="5"/>
      <c r="AM23" s="5" t="s">
        <v>97</v>
      </c>
      <c r="AN23" s="5" t="s">
        <v>103</v>
      </c>
      <c r="AO23" s="5" t="s">
        <v>103</v>
      </c>
      <c r="AP23" s="5" t="s">
        <v>103</v>
      </c>
      <c r="AQ23" s="5" t="s">
        <v>97</v>
      </c>
      <c r="AR23" s="5" t="s">
        <v>97</v>
      </c>
      <c r="AS23" s="5" t="s">
        <v>97</v>
      </c>
      <c r="AT23" s="5"/>
      <c r="AU23" s="5"/>
      <c r="AV23" s="4" t="s">
        <v>97</v>
      </c>
      <c r="AW23" s="4" t="s">
        <v>97</v>
      </c>
      <c r="AX23" s="4" t="s">
        <v>97</v>
      </c>
      <c r="AY23" s="4" t="s">
        <v>97</v>
      </c>
      <c r="AZ23" s="4" t="s">
        <v>103</v>
      </c>
      <c r="BA23" s="4" t="s">
        <v>97</v>
      </c>
      <c r="BB23" s="5">
        <v>45525</v>
      </c>
      <c r="BC23" s="5">
        <v>45526</v>
      </c>
      <c r="BD23" s="5">
        <v>45530</v>
      </c>
      <c r="BE23" s="5">
        <v>45530</v>
      </c>
      <c r="BF23" s="4" t="s">
        <v>98</v>
      </c>
      <c r="BG23" s="11" t="s">
        <v>97</v>
      </c>
      <c r="BH23" s="11" t="s">
        <v>103</v>
      </c>
      <c r="BI23" s="4" t="s">
        <v>145</v>
      </c>
    </row>
    <row r="24" spans="1:61" x14ac:dyDescent="0.35">
      <c r="A24" s="8" t="str">
        <f t="shared" si="3"/>
        <v>Semaine 34-2024</v>
      </c>
      <c r="B24" s="8" t="str">
        <f t="shared" si="4"/>
        <v>2024</v>
      </c>
      <c r="C24" s="2" t="s">
        <v>37</v>
      </c>
      <c r="D24" s="6" t="str">
        <f t="shared" si="5"/>
        <v>Dakar</v>
      </c>
      <c r="E24" s="6">
        <f t="shared" si="6"/>
        <v>301226</v>
      </c>
      <c r="F24" s="6">
        <f t="shared" si="7"/>
        <v>4042240</v>
      </c>
      <c r="G24" s="4" t="s">
        <v>188</v>
      </c>
      <c r="H24" s="9" t="s">
        <v>195</v>
      </c>
      <c r="I24" s="9">
        <v>7</v>
      </c>
      <c r="J24" s="9" t="s">
        <v>114</v>
      </c>
      <c r="K24" s="9"/>
      <c r="L24" s="9"/>
      <c r="M24" s="9"/>
      <c r="N24" s="9"/>
      <c r="O24" s="4" t="s">
        <v>238</v>
      </c>
      <c r="P24" s="9" t="s">
        <v>97</v>
      </c>
      <c r="Q24" s="9" t="s">
        <v>97</v>
      </c>
      <c r="R24" s="14" t="s">
        <v>100</v>
      </c>
      <c r="S24" s="14" t="s">
        <v>100</v>
      </c>
      <c r="T24" s="14" t="s">
        <v>100</v>
      </c>
      <c r="U24" s="14" t="s">
        <v>285</v>
      </c>
      <c r="V24" s="14"/>
      <c r="W24" s="14"/>
      <c r="X24" s="14"/>
      <c r="Y24" s="5">
        <v>45528</v>
      </c>
      <c r="Z24" s="5">
        <v>45529</v>
      </c>
      <c r="AA24" s="5" t="s">
        <v>103</v>
      </c>
      <c r="AB24" s="5"/>
      <c r="AC24" s="5" t="s">
        <v>97</v>
      </c>
      <c r="AD24" s="5" t="s">
        <v>103</v>
      </c>
      <c r="AE24" s="5" t="s">
        <v>103</v>
      </c>
      <c r="AF24" s="5" t="s">
        <v>97</v>
      </c>
      <c r="AG24" s="5" t="s">
        <v>97</v>
      </c>
      <c r="AH24" s="5" t="s">
        <v>103</v>
      </c>
      <c r="AI24" s="5">
        <v>45528</v>
      </c>
      <c r="AJ24" s="5"/>
      <c r="AK24" s="5"/>
      <c r="AL24" s="5"/>
      <c r="AM24" s="5" t="s">
        <v>103</v>
      </c>
      <c r="AN24" s="5" t="s">
        <v>103</v>
      </c>
      <c r="AO24" s="5" t="s">
        <v>103</v>
      </c>
      <c r="AP24" s="5" t="s">
        <v>103</v>
      </c>
      <c r="AQ24" s="5" t="s">
        <v>97</v>
      </c>
      <c r="AR24" s="5" t="s">
        <v>97</v>
      </c>
      <c r="AS24" s="5" t="s">
        <v>97</v>
      </c>
      <c r="AT24" s="5"/>
      <c r="AU24" s="5"/>
      <c r="AV24" s="4" t="s">
        <v>97</v>
      </c>
      <c r="AW24" s="4" t="s">
        <v>97</v>
      </c>
      <c r="AX24" s="4" t="s">
        <v>97</v>
      </c>
      <c r="AY24" s="4" t="s">
        <v>97</v>
      </c>
      <c r="AZ24" s="4" t="s">
        <v>103</v>
      </c>
      <c r="BA24" s="4" t="s">
        <v>97</v>
      </c>
      <c r="BB24" s="5">
        <v>45529</v>
      </c>
      <c r="BC24" s="5">
        <v>45530</v>
      </c>
      <c r="BD24" s="5">
        <v>45530</v>
      </c>
      <c r="BE24" s="5">
        <v>45530</v>
      </c>
      <c r="BF24" s="4" t="s">
        <v>98</v>
      </c>
      <c r="BG24" s="11" t="s">
        <v>97</v>
      </c>
      <c r="BH24" s="11" t="s">
        <v>103</v>
      </c>
      <c r="BI24" s="4" t="s">
        <v>145</v>
      </c>
    </row>
    <row r="25" spans="1:61" x14ac:dyDescent="0.35">
      <c r="A25" s="8" t="str">
        <f t="shared" si="3"/>
        <v>Semaine 33-2024</v>
      </c>
      <c r="B25" s="8" t="str">
        <f t="shared" si="4"/>
        <v>2024</v>
      </c>
      <c r="C25" s="2" t="s">
        <v>77</v>
      </c>
      <c r="D25" s="6" t="str">
        <f t="shared" si="5"/>
        <v>Dakar</v>
      </c>
      <c r="E25" s="6">
        <f t="shared" si="6"/>
        <v>341880</v>
      </c>
      <c r="F25" s="6">
        <f t="shared" si="7"/>
        <v>4042240</v>
      </c>
      <c r="G25" s="4" t="s">
        <v>189</v>
      </c>
      <c r="H25" s="9" t="s">
        <v>196</v>
      </c>
      <c r="I25" s="9">
        <v>1</v>
      </c>
      <c r="J25" s="9" t="s">
        <v>114</v>
      </c>
      <c r="K25" s="9"/>
      <c r="L25" s="9"/>
      <c r="M25" s="9"/>
      <c r="N25" s="9"/>
      <c r="O25" s="4" t="s">
        <v>238</v>
      </c>
      <c r="P25" s="9" t="s">
        <v>97</v>
      </c>
      <c r="Q25" s="9" t="s">
        <v>97</v>
      </c>
      <c r="R25" s="14" t="s">
        <v>100</v>
      </c>
      <c r="S25" s="14" t="s">
        <v>100</v>
      </c>
      <c r="T25" s="14" t="s">
        <v>100</v>
      </c>
      <c r="U25" s="14" t="s">
        <v>284</v>
      </c>
      <c r="V25" s="14"/>
      <c r="W25" s="14"/>
      <c r="X25" s="14"/>
      <c r="Y25" s="5">
        <v>45521</v>
      </c>
      <c r="Z25" s="5">
        <v>45523</v>
      </c>
      <c r="AA25" s="5" t="s">
        <v>103</v>
      </c>
      <c r="AB25" s="5"/>
      <c r="AC25" s="5" t="s">
        <v>97</v>
      </c>
      <c r="AD25" s="5" t="s">
        <v>97</v>
      </c>
      <c r="AE25" s="5" t="s">
        <v>97</v>
      </c>
      <c r="AF25" s="5" t="s">
        <v>97</v>
      </c>
      <c r="AG25" s="5" t="s">
        <v>103</v>
      </c>
      <c r="AH25" s="5" t="s">
        <v>103</v>
      </c>
      <c r="AI25" s="5">
        <v>45523</v>
      </c>
      <c r="AJ25" s="5"/>
      <c r="AK25" s="5"/>
      <c r="AL25" s="5"/>
      <c r="AM25" s="5" t="s">
        <v>97</v>
      </c>
      <c r="AN25" s="5" t="s">
        <v>103</v>
      </c>
      <c r="AO25" s="5" t="s">
        <v>103</v>
      </c>
      <c r="AP25" s="5" t="s">
        <v>103</v>
      </c>
      <c r="AQ25" s="5" t="s">
        <v>97</v>
      </c>
      <c r="AR25" s="5" t="s">
        <v>97</v>
      </c>
      <c r="AS25" s="5" t="s">
        <v>97</v>
      </c>
      <c r="AT25" s="5"/>
      <c r="AU25" s="5"/>
      <c r="AV25" s="4" t="s">
        <v>97</v>
      </c>
      <c r="AW25" s="4" t="s">
        <v>97</v>
      </c>
      <c r="AX25" s="4" t="s">
        <v>97</v>
      </c>
      <c r="AY25" s="4" t="s">
        <v>97</v>
      </c>
      <c r="AZ25" s="4" t="s">
        <v>103</v>
      </c>
      <c r="BA25" s="4" t="s">
        <v>97</v>
      </c>
      <c r="BB25" s="5">
        <v>45529</v>
      </c>
      <c r="BC25" s="5">
        <v>45530</v>
      </c>
      <c r="BD25" s="5">
        <v>45530</v>
      </c>
      <c r="BE25" s="5">
        <v>45530</v>
      </c>
      <c r="BF25" s="4" t="s">
        <v>98</v>
      </c>
      <c r="BG25" s="11" t="s">
        <v>97</v>
      </c>
      <c r="BH25" s="11" t="s">
        <v>103</v>
      </c>
      <c r="BI25" s="4" t="s">
        <v>145</v>
      </c>
    </row>
    <row r="26" spans="1:61" x14ac:dyDescent="0.35">
      <c r="A26" s="8" t="str">
        <f t="shared" si="3"/>
        <v>Semaine 34-2024</v>
      </c>
      <c r="B26" s="8" t="str">
        <f t="shared" si="4"/>
        <v>2024</v>
      </c>
      <c r="C26" s="2" t="s">
        <v>18</v>
      </c>
      <c r="D26" s="6" t="str">
        <f t="shared" si="5"/>
        <v>Dakar</v>
      </c>
      <c r="E26" s="6">
        <f t="shared" si="6"/>
        <v>419489</v>
      </c>
      <c r="F26" s="6">
        <f t="shared" si="7"/>
        <v>4042240</v>
      </c>
      <c r="G26" s="4" t="s">
        <v>190</v>
      </c>
      <c r="H26" s="9" t="s">
        <v>197</v>
      </c>
      <c r="I26" s="9">
        <v>1</v>
      </c>
      <c r="J26" s="9" t="s">
        <v>114</v>
      </c>
      <c r="K26" s="9"/>
      <c r="L26" s="9"/>
      <c r="M26" s="9"/>
      <c r="N26" s="9"/>
      <c r="O26" s="4" t="s">
        <v>238</v>
      </c>
      <c r="P26" s="9" t="s">
        <v>97</v>
      </c>
      <c r="Q26" s="9" t="s">
        <v>97</v>
      </c>
      <c r="R26" s="14" t="s">
        <v>100</v>
      </c>
      <c r="S26" s="14" t="s">
        <v>100</v>
      </c>
      <c r="T26" s="14" t="s">
        <v>100</v>
      </c>
      <c r="U26" s="14" t="s">
        <v>282</v>
      </c>
      <c r="V26" s="14"/>
      <c r="W26" s="14"/>
      <c r="X26" s="14"/>
      <c r="Y26" s="5">
        <v>45528</v>
      </c>
      <c r="Z26" s="5">
        <v>45529</v>
      </c>
      <c r="AA26" s="5" t="s">
        <v>103</v>
      </c>
      <c r="AB26" s="5"/>
      <c r="AC26" s="5" t="s">
        <v>97</v>
      </c>
      <c r="AD26" s="5" t="s">
        <v>97</v>
      </c>
      <c r="AE26" s="5" t="s">
        <v>97</v>
      </c>
      <c r="AF26" s="5" t="s">
        <v>97</v>
      </c>
      <c r="AG26" s="5" t="s">
        <v>97</v>
      </c>
      <c r="AH26" s="5" t="s">
        <v>103</v>
      </c>
      <c r="AI26" s="5">
        <v>45528</v>
      </c>
      <c r="AJ26" s="5"/>
      <c r="AK26" s="5"/>
      <c r="AL26" s="5" t="s">
        <v>103</v>
      </c>
      <c r="AM26" s="5" t="s">
        <v>97</v>
      </c>
      <c r="AN26" s="5" t="s">
        <v>103</v>
      </c>
      <c r="AO26" s="5" t="s">
        <v>103</v>
      </c>
      <c r="AP26" s="5" t="s">
        <v>103</v>
      </c>
      <c r="AQ26" s="5" t="s">
        <v>97</v>
      </c>
      <c r="AR26" s="5" t="s">
        <v>97</v>
      </c>
      <c r="AS26" s="5" t="s">
        <v>97</v>
      </c>
      <c r="AT26" s="5" t="s">
        <v>198</v>
      </c>
      <c r="AU26" s="5"/>
      <c r="AV26" s="4" t="s">
        <v>103</v>
      </c>
      <c r="AW26" s="4" t="s">
        <v>97</v>
      </c>
      <c r="AX26" s="4" t="s">
        <v>97</v>
      </c>
      <c r="AY26" s="4" t="s">
        <v>97</v>
      </c>
      <c r="AZ26" s="4" t="s">
        <v>103</v>
      </c>
      <c r="BA26" s="4" t="s">
        <v>97</v>
      </c>
      <c r="BB26" s="5">
        <v>45529</v>
      </c>
      <c r="BC26" s="5">
        <v>45530</v>
      </c>
      <c r="BD26" s="5">
        <v>45530</v>
      </c>
      <c r="BE26" s="5">
        <v>45530</v>
      </c>
      <c r="BF26" s="4" t="s">
        <v>98</v>
      </c>
      <c r="BG26" s="11" t="s">
        <v>97</v>
      </c>
      <c r="BH26" s="11" t="s">
        <v>103</v>
      </c>
      <c r="BI26" s="4" t="s">
        <v>115</v>
      </c>
    </row>
    <row r="27" spans="1:61" x14ac:dyDescent="0.35">
      <c r="A27" s="8" t="str">
        <f t="shared" si="3"/>
        <v>Semaine 34-2024</v>
      </c>
      <c r="B27" s="8" t="str">
        <f t="shared" si="4"/>
        <v>2024</v>
      </c>
      <c r="C27" s="2" t="s">
        <v>19</v>
      </c>
      <c r="D27" s="6" t="str">
        <f t="shared" si="5"/>
        <v>Dakar</v>
      </c>
      <c r="E27" s="6">
        <f t="shared" si="6"/>
        <v>565040</v>
      </c>
      <c r="F27" s="6">
        <f t="shared" si="7"/>
        <v>4042240</v>
      </c>
      <c r="G27" s="4" t="s">
        <v>191</v>
      </c>
      <c r="H27" s="9" t="s">
        <v>199</v>
      </c>
      <c r="I27" s="9">
        <v>32</v>
      </c>
      <c r="J27" s="9" t="s">
        <v>114</v>
      </c>
      <c r="K27" s="9"/>
      <c r="L27" s="9"/>
      <c r="M27" s="9"/>
      <c r="N27" s="9"/>
      <c r="O27" s="4" t="s">
        <v>238</v>
      </c>
      <c r="P27" s="9" t="s">
        <v>97</v>
      </c>
      <c r="Q27" s="9" t="s">
        <v>97</v>
      </c>
      <c r="R27" s="14" t="s">
        <v>100</v>
      </c>
      <c r="S27" s="14" t="s">
        <v>100</v>
      </c>
      <c r="T27" s="14" t="s">
        <v>100</v>
      </c>
      <c r="U27" s="14"/>
      <c r="V27" s="14"/>
      <c r="W27" s="14"/>
      <c r="X27" s="14"/>
      <c r="Y27" s="5">
        <v>45528</v>
      </c>
      <c r="Z27" s="5">
        <v>45529</v>
      </c>
      <c r="AA27" s="5" t="s">
        <v>97</v>
      </c>
      <c r="AB27" s="5"/>
      <c r="AC27" s="5" t="s">
        <v>97</v>
      </c>
      <c r="AD27" s="5" t="s">
        <v>97</v>
      </c>
      <c r="AE27" s="5" t="s">
        <v>97</v>
      </c>
      <c r="AF27" s="5" t="s">
        <v>97</v>
      </c>
      <c r="AG27" s="5" t="s">
        <v>97</v>
      </c>
      <c r="AH27" s="5" t="s">
        <v>103</v>
      </c>
      <c r="AI27" s="5">
        <v>45528</v>
      </c>
      <c r="AJ27" s="5"/>
      <c r="AK27" s="5"/>
      <c r="AL27" s="5"/>
      <c r="AM27" s="5" t="s">
        <v>97</v>
      </c>
      <c r="AN27" s="5" t="s">
        <v>103</v>
      </c>
      <c r="AO27" s="5" t="s">
        <v>103</v>
      </c>
      <c r="AP27" s="5" t="s">
        <v>103</v>
      </c>
      <c r="AQ27" s="5" t="s">
        <v>97</v>
      </c>
      <c r="AR27" s="5" t="s">
        <v>97</v>
      </c>
      <c r="AS27" s="5" t="s">
        <v>97</v>
      </c>
      <c r="AT27" s="5"/>
      <c r="AU27" s="5"/>
      <c r="AV27" s="4" t="s">
        <v>97</v>
      </c>
      <c r="AW27" s="4" t="s">
        <v>97</v>
      </c>
      <c r="AX27" s="4" t="s">
        <v>97</v>
      </c>
      <c r="AY27" s="4" t="s">
        <v>97</v>
      </c>
      <c r="AZ27" s="4" t="s">
        <v>103</v>
      </c>
      <c r="BA27" s="4" t="s">
        <v>97</v>
      </c>
      <c r="BB27" s="5">
        <v>45529</v>
      </c>
      <c r="BC27" s="5">
        <v>45530</v>
      </c>
      <c r="BD27" s="5">
        <v>45532</v>
      </c>
      <c r="BE27" s="5">
        <v>45532</v>
      </c>
      <c r="BF27" s="4" t="s">
        <v>98</v>
      </c>
      <c r="BG27" s="4" t="s">
        <v>97</v>
      </c>
      <c r="BH27" s="4" t="s">
        <v>103</v>
      </c>
      <c r="BI27" s="4" t="s">
        <v>145</v>
      </c>
    </row>
    <row r="28" spans="1:61" x14ac:dyDescent="0.35">
      <c r="A28" s="8" t="str">
        <f t="shared" si="3"/>
        <v>Semaine 34-2024</v>
      </c>
      <c r="B28" s="8" t="str">
        <f t="shared" si="4"/>
        <v>2024</v>
      </c>
      <c r="C28" s="2" t="s">
        <v>66</v>
      </c>
      <c r="D28" s="6" t="str">
        <f t="shared" si="5"/>
        <v>Louga</v>
      </c>
      <c r="E28" s="6">
        <f t="shared" si="6"/>
        <v>91992</v>
      </c>
      <c r="F28" s="6">
        <f t="shared" si="7"/>
        <v>1121619</v>
      </c>
      <c r="G28" s="4" t="s">
        <v>192</v>
      </c>
      <c r="H28" s="9" t="s">
        <v>200</v>
      </c>
      <c r="I28" s="9">
        <v>5</v>
      </c>
      <c r="J28" s="9" t="s">
        <v>114</v>
      </c>
      <c r="K28" s="9"/>
      <c r="L28" s="9"/>
      <c r="M28" s="9"/>
      <c r="N28" s="9"/>
      <c r="O28" s="4" t="s">
        <v>238</v>
      </c>
      <c r="P28" s="9" t="s">
        <v>97</v>
      </c>
      <c r="Q28" s="9" t="s">
        <v>97</v>
      </c>
      <c r="R28" s="14" t="s">
        <v>100</v>
      </c>
      <c r="S28" s="14" t="s">
        <v>100</v>
      </c>
      <c r="T28" s="14" t="s">
        <v>100</v>
      </c>
      <c r="U28" s="14"/>
      <c r="V28" s="14"/>
      <c r="W28" s="14"/>
      <c r="X28" s="14"/>
      <c r="Y28" s="5">
        <v>45523</v>
      </c>
      <c r="Z28" s="5">
        <v>45526</v>
      </c>
      <c r="AA28" s="5" t="s">
        <v>103</v>
      </c>
      <c r="AB28" s="5"/>
      <c r="AC28" s="5" t="s">
        <v>97</v>
      </c>
      <c r="AD28" s="5" t="s">
        <v>97</v>
      </c>
      <c r="AE28" s="5" t="s">
        <v>97</v>
      </c>
      <c r="AF28" s="5" t="s">
        <v>103</v>
      </c>
      <c r="AG28" s="5" t="s">
        <v>103</v>
      </c>
      <c r="AH28" s="5" t="s">
        <v>103</v>
      </c>
      <c r="AI28" s="5">
        <v>45526</v>
      </c>
      <c r="AJ28" s="5"/>
      <c r="AK28" s="5"/>
      <c r="AL28" s="5" t="s">
        <v>103</v>
      </c>
      <c r="AM28" s="5" t="s">
        <v>103</v>
      </c>
      <c r="AN28" s="5" t="s">
        <v>103</v>
      </c>
      <c r="AO28" s="5" t="s">
        <v>97</v>
      </c>
      <c r="AP28" s="5" t="s">
        <v>97</v>
      </c>
      <c r="AQ28" s="5" t="s">
        <v>97</v>
      </c>
      <c r="AR28" s="5" t="s">
        <v>97</v>
      </c>
      <c r="AS28" s="5" t="s">
        <v>97</v>
      </c>
      <c r="AT28" s="5" t="s">
        <v>346</v>
      </c>
      <c r="AU28" s="5"/>
      <c r="AV28" s="4" t="s">
        <v>103</v>
      </c>
      <c r="AW28" s="4" t="s">
        <v>97</v>
      </c>
      <c r="AX28" s="4" t="s">
        <v>97</v>
      </c>
      <c r="AY28" s="4" t="s">
        <v>97</v>
      </c>
      <c r="AZ28" s="4" t="s">
        <v>103</v>
      </c>
      <c r="BA28" s="4" t="s">
        <v>97</v>
      </c>
      <c r="BB28" s="5">
        <v>45528</v>
      </c>
      <c r="BC28" s="5">
        <v>45531</v>
      </c>
      <c r="BD28" s="5">
        <v>45531</v>
      </c>
      <c r="BE28" s="5">
        <v>45532</v>
      </c>
      <c r="BF28" s="4" t="s">
        <v>98</v>
      </c>
      <c r="BG28" s="4" t="s">
        <v>97</v>
      </c>
      <c r="BH28" s="4" t="s">
        <v>103</v>
      </c>
      <c r="BI28" s="4" t="s">
        <v>115</v>
      </c>
    </row>
    <row r="29" spans="1:61" x14ac:dyDescent="0.35">
      <c r="A29" s="8" t="str">
        <f t="shared" si="3"/>
        <v>Semaine 33-2024</v>
      </c>
      <c r="B29" s="8" t="str">
        <f t="shared" si="4"/>
        <v>2024</v>
      </c>
      <c r="C29" s="2" t="s">
        <v>63</v>
      </c>
      <c r="D29" s="6" t="str">
        <f t="shared" si="5"/>
        <v>Saint-Louis</v>
      </c>
      <c r="E29" s="6">
        <f t="shared" si="6"/>
        <v>205977</v>
      </c>
      <c r="F29" s="6">
        <f t="shared" si="7"/>
        <v>1150065</v>
      </c>
      <c r="G29" s="4" t="s">
        <v>193</v>
      </c>
      <c r="H29" s="9" t="s">
        <v>201</v>
      </c>
      <c r="I29" s="9">
        <v>22</v>
      </c>
      <c r="J29" s="9" t="s">
        <v>114</v>
      </c>
      <c r="K29" s="9"/>
      <c r="L29" s="9"/>
      <c r="M29" s="9"/>
      <c r="N29" s="9"/>
      <c r="O29" s="4" t="s">
        <v>238</v>
      </c>
      <c r="P29" s="9" t="s">
        <v>97</v>
      </c>
      <c r="Q29" s="9" t="s">
        <v>97</v>
      </c>
      <c r="R29" s="14" t="s">
        <v>100</v>
      </c>
      <c r="S29" s="14" t="s">
        <v>100</v>
      </c>
      <c r="T29" s="14" t="s">
        <v>100</v>
      </c>
      <c r="U29" s="14" t="s">
        <v>285</v>
      </c>
      <c r="V29" s="14"/>
      <c r="W29" s="14"/>
      <c r="X29" s="14"/>
      <c r="Y29" s="5">
        <v>45522</v>
      </c>
      <c r="Z29" s="5">
        <v>45526</v>
      </c>
      <c r="AA29" s="5" t="s">
        <v>103</v>
      </c>
      <c r="AB29" s="5"/>
      <c r="AC29" s="5" t="s">
        <v>97</v>
      </c>
      <c r="AD29" s="5" t="s">
        <v>97</v>
      </c>
      <c r="AE29" s="5" t="s">
        <v>97</v>
      </c>
      <c r="AF29" s="5" t="s">
        <v>103</v>
      </c>
      <c r="AG29" s="5" t="s">
        <v>97</v>
      </c>
      <c r="AH29" s="5" t="s">
        <v>103</v>
      </c>
      <c r="AI29" s="5">
        <v>45522</v>
      </c>
      <c r="AJ29" s="5"/>
      <c r="AK29" s="5"/>
      <c r="AL29" s="5" t="s">
        <v>103</v>
      </c>
      <c r="AM29" s="5" t="s">
        <v>103</v>
      </c>
      <c r="AN29" s="5" t="s">
        <v>103</v>
      </c>
      <c r="AO29" s="5" t="s">
        <v>103</v>
      </c>
      <c r="AP29" s="5" t="s">
        <v>103</v>
      </c>
      <c r="AQ29" s="5" t="s">
        <v>97</v>
      </c>
      <c r="AR29" s="5" t="s">
        <v>97</v>
      </c>
      <c r="AS29" s="5" t="s">
        <v>97</v>
      </c>
      <c r="AT29" s="5"/>
      <c r="AU29" s="5"/>
      <c r="AV29" s="4" t="s">
        <v>103</v>
      </c>
      <c r="AW29" s="4" t="s">
        <v>97</v>
      </c>
      <c r="AX29" s="4" t="s">
        <v>97</v>
      </c>
      <c r="AY29" s="4" t="s">
        <v>97</v>
      </c>
      <c r="AZ29" s="4" t="s">
        <v>103</v>
      </c>
      <c r="BA29" s="4" t="s">
        <v>97</v>
      </c>
      <c r="BB29" s="5">
        <v>45526</v>
      </c>
      <c r="BC29" s="5">
        <v>45531</v>
      </c>
      <c r="BD29" s="5">
        <v>45532</v>
      </c>
      <c r="BE29" s="5">
        <v>45532</v>
      </c>
      <c r="BF29" s="4" t="s">
        <v>98</v>
      </c>
      <c r="BG29" s="4" t="s">
        <v>97</v>
      </c>
      <c r="BH29" s="4" t="s">
        <v>103</v>
      </c>
      <c r="BI29" s="4" t="s">
        <v>115</v>
      </c>
    </row>
    <row r="30" spans="1:61" x14ac:dyDescent="0.35">
      <c r="A30" s="8" t="str">
        <f t="shared" si="3"/>
        <v>Semaine 34-2024</v>
      </c>
      <c r="B30" s="8" t="str">
        <f t="shared" si="4"/>
        <v>2024</v>
      </c>
      <c r="C30" s="2" t="s">
        <v>31</v>
      </c>
      <c r="D30" s="6" t="str">
        <f t="shared" si="5"/>
        <v>Dakar</v>
      </c>
      <c r="E30" s="6">
        <f t="shared" si="6"/>
        <v>424760</v>
      </c>
      <c r="F30" s="6">
        <f t="shared" si="7"/>
        <v>4042240</v>
      </c>
      <c r="G30" s="4" t="s">
        <v>202</v>
      </c>
      <c r="H30" s="9" t="s">
        <v>203</v>
      </c>
      <c r="I30" s="9">
        <v>23</v>
      </c>
      <c r="J30" s="9" t="s">
        <v>96</v>
      </c>
      <c r="K30" s="9"/>
      <c r="L30" s="9"/>
      <c r="M30" s="9"/>
      <c r="N30" s="9"/>
      <c r="O30" s="4" t="s">
        <v>238</v>
      </c>
      <c r="P30" s="9" t="s">
        <v>97</v>
      </c>
      <c r="Q30" s="9" t="s">
        <v>97</v>
      </c>
      <c r="R30" s="14" t="s">
        <v>100</v>
      </c>
      <c r="S30" s="14" t="s">
        <v>100</v>
      </c>
      <c r="T30" s="14" t="s">
        <v>100</v>
      </c>
      <c r="U30" s="14" t="s">
        <v>285</v>
      </c>
      <c r="V30" s="14"/>
      <c r="W30" s="14"/>
      <c r="X30" s="14"/>
      <c r="Y30" s="5">
        <v>45526</v>
      </c>
      <c r="Z30" s="5">
        <v>45530</v>
      </c>
      <c r="AA30" s="5" t="s">
        <v>103</v>
      </c>
      <c r="AB30" s="5"/>
      <c r="AC30" s="5" t="s">
        <v>97</v>
      </c>
      <c r="AD30" s="5" t="s">
        <v>97</v>
      </c>
      <c r="AE30" s="5" t="s">
        <v>97</v>
      </c>
      <c r="AF30" s="5" t="s">
        <v>103</v>
      </c>
      <c r="AG30" s="5" t="s">
        <v>103</v>
      </c>
      <c r="AH30" s="5" t="s">
        <v>103</v>
      </c>
      <c r="AI30" s="5">
        <v>45526</v>
      </c>
      <c r="AJ30" s="5"/>
      <c r="AK30" s="5"/>
      <c r="AL30" s="5" t="s">
        <v>103</v>
      </c>
      <c r="AM30" s="5" t="s">
        <v>103</v>
      </c>
      <c r="AN30" s="5" t="s">
        <v>103</v>
      </c>
      <c r="AO30" s="5" t="s">
        <v>103</v>
      </c>
      <c r="AP30" s="5" t="s">
        <v>103</v>
      </c>
      <c r="AQ30" s="5" t="s">
        <v>97</v>
      </c>
      <c r="AR30" s="5" t="s">
        <v>97</v>
      </c>
      <c r="AS30" s="5" t="s">
        <v>97</v>
      </c>
      <c r="AT30" s="5"/>
      <c r="AU30" s="5"/>
      <c r="AV30" s="4" t="s">
        <v>103</v>
      </c>
      <c r="AW30" s="4" t="s">
        <v>97</v>
      </c>
      <c r="AX30" s="4" t="s">
        <v>97</v>
      </c>
      <c r="AY30" s="4" t="s">
        <v>97</v>
      </c>
      <c r="AZ30" s="4" t="s">
        <v>97</v>
      </c>
      <c r="BA30" s="4" t="s">
        <v>97</v>
      </c>
      <c r="BB30" s="5">
        <v>45530</v>
      </c>
      <c r="BC30" s="5">
        <v>45531</v>
      </c>
      <c r="BD30" s="5">
        <v>45531</v>
      </c>
      <c r="BE30" s="5">
        <v>45532</v>
      </c>
      <c r="BF30" s="4" t="s">
        <v>98</v>
      </c>
      <c r="BG30" s="4" t="s">
        <v>103</v>
      </c>
      <c r="BH30" s="4" t="s">
        <v>103</v>
      </c>
      <c r="BI30" s="4" t="s">
        <v>115</v>
      </c>
    </row>
    <row r="31" spans="1:61" x14ac:dyDescent="0.35">
      <c r="A31" s="8" t="str">
        <f t="shared" si="3"/>
        <v>Semaine 33-2024</v>
      </c>
      <c r="B31" s="8" t="str">
        <f t="shared" si="4"/>
        <v>2024</v>
      </c>
      <c r="C31" s="2" t="s">
        <v>43</v>
      </c>
      <c r="D31" s="6" t="str">
        <f t="shared" si="5"/>
        <v>Tambacounda</v>
      </c>
      <c r="E31" s="6">
        <f t="shared" si="6"/>
        <v>225492</v>
      </c>
      <c r="F31" s="6">
        <f t="shared" si="7"/>
        <v>937181</v>
      </c>
      <c r="G31" s="4" t="s">
        <v>204</v>
      </c>
      <c r="H31" s="9" t="s">
        <v>212</v>
      </c>
      <c r="I31" s="9">
        <v>50</v>
      </c>
      <c r="J31" s="9" t="s">
        <v>96</v>
      </c>
      <c r="K31" s="9" t="s">
        <v>213</v>
      </c>
      <c r="L31" s="9"/>
      <c r="M31" s="9"/>
      <c r="N31" s="9"/>
      <c r="O31" s="4" t="s">
        <v>238</v>
      </c>
      <c r="P31" s="9" t="s">
        <v>97</v>
      </c>
      <c r="Q31" s="9" t="s">
        <v>97</v>
      </c>
      <c r="R31" s="14" t="s">
        <v>100</v>
      </c>
      <c r="S31" s="14" t="s">
        <v>100</v>
      </c>
      <c r="T31" s="14" t="s">
        <v>100</v>
      </c>
      <c r="U31" s="14"/>
      <c r="V31" s="14"/>
      <c r="W31" s="14"/>
      <c r="X31" s="14"/>
      <c r="Y31" s="5">
        <v>45517</v>
      </c>
      <c r="Z31" s="5">
        <v>45525</v>
      </c>
      <c r="AA31" s="5" t="s">
        <v>103</v>
      </c>
      <c r="AB31" s="5"/>
      <c r="AC31" s="5" t="s">
        <v>103</v>
      </c>
      <c r="AD31" s="5" t="s">
        <v>97</v>
      </c>
      <c r="AE31" s="5" t="s">
        <v>97</v>
      </c>
      <c r="AF31" s="5" t="s">
        <v>103</v>
      </c>
      <c r="AG31" s="5" t="s">
        <v>97</v>
      </c>
      <c r="AH31" s="5" t="s">
        <v>103</v>
      </c>
      <c r="AI31" s="5">
        <v>45517</v>
      </c>
      <c r="AJ31" s="5"/>
      <c r="AK31" s="5"/>
      <c r="AL31" s="5" t="s">
        <v>103</v>
      </c>
      <c r="AM31" s="5" t="s">
        <v>97</v>
      </c>
      <c r="AN31" s="5" t="s">
        <v>103</v>
      </c>
      <c r="AO31" s="5" t="s">
        <v>103</v>
      </c>
      <c r="AP31" s="5" t="s">
        <v>103</v>
      </c>
      <c r="AQ31" s="5" t="s">
        <v>97</v>
      </c>
      <c r="AR31" s="5" t="s">
        <v>97</v>
      </c>
      <c r="AS31" s="5" t="s">
        <v>97</v>
      </c>
      <c r="AT31" s="5" t="s">
        <v>175</v>
      </c>
      <c r="AU31" s="5"/>
      <c r="AV31" s="4" t="s">
        <v>103</v>
      </c>
      <c r="AW31" s="4" t="s">
        <v>97</v>
      </c>
      <c r="AX31" s="4" t="s">
        <v>97</v>
      </c>
      <c r="AY31" s="4" t="s">
        <v>97</v>
      </c>
      <c r="AZ31" s="4" t="s">
        <v>103</v>
      </c>
      <c r="BA31" s="4" t="s">
        <v>97</v>
      </c>
      <c r="BB31" s="5">
        <v>45525</v>
      </c>
      <c r="BC31" s="5">
        <v>45531</v>
      </c>
      <c r="BD31" s="5">
        <v>45532</v>
      </c>
      <c r="BE31" s="5">
        <v>45533</v>
      </c>
      <c r="BF31" s="4" t="s">
        <v>98</v>
      </c>
      <c r="BG31" s="4" t="s">
        <v>97</v>
      </c>
      <c r="BH31" s="4" t="s">
        <v>103</v>
      </c>
      <c r="BI31" s="4" t="s">
        <v>115</v>
      </c>
    </row>
    <row r="32" spans="1:61" x14ac:dyDescent="0.35">
      <c r="A32" s="8" t="str">
        <f t="shared" si="3"/>
        <v>Semaine 33-2024</v>
      </c>
      <c r="B32" s="8" t="str">
        <f t="shared" si="4"/>
        <v>2024</v>
      </c>
      <c r="C32" s="2" t="s">
        <v>8</v>
      </c>
      <c r="D32" s="6" t="str">
        <f t="shared" si="5"/>
        <v>Fatick</v>
      </c>
      <c r="E32" s="6">
        <f t="shared" si="6"/>
        <v>102630</v>
      </c>
      <c r="F32" s="6">
        <f t="shared" si="7"/>
        <v>965914</v>
      </c>
      <c r="G32" s="4" t="s">
        <v>205</v>
      </c>
      <c r="H32" s="9" t="s">
        <v>216</v>
      </c>
      <c r="I32" s="9">
        <v>9</v>
      </c>
      <c r="J32" s="9" t="s">
        <v>114</v>
      </c>
      <c r="K32" s="9"/>
      <c r="L32" s="9"/>
      <c r="M32" s="9"/>
      <c r="N32" s="9"/>
      <c r="O32" s="4" t="s">
        <v>238</v>
      </c>
      <c r="P32" s="9" t="s">
        <v>97</v>
      </c>
      <c r="Q32" s="9" t="s">
        <v>97</v>
      </c>
      <c r="R32" s="14" t="s">
        <v>100</v>
      </c>
      <c r="S32" s="14" t="s">
        <v>100</v>
      </c>
      <c r="T32" s="14" t="s">
        <v>100</v>
      </c>
      <c r="U32" s="14"/>
      <c r="V32" s="14"/>
      <c r="W32" s="14"/>
      <c r="X32" s="14"/>
      <c r="Y32" s="5">
        <v>45518</v>
      </c>
      <c r="Z32" s="5">
        <v>45523</v>
      </c>
      <c r="AA32" s="5" t="s">
        <v>103</v>
      </c>
      <c r="AB32" s="5"/>
      <c r="AC32" s="5" t="s">
        <v>97</v>
      </c>
      <c r="AD32" s="5" t="s">
        <v>97</v>
      </c>
      <c r="AE32" s="5" t="s">
        <v>97</v>
      </c>
      <c r="AF32" s="5" t="s">
        <v>97</v>
      </c>
      <c r="AG32" s="5" t="s">
        <v>97</v>
      </c>
      <c r="AH32" s="5" t="s">
        <v>103</v>
      </c>
      <c r="AI32" s="5">
        <v>45521</v>
      </c>
      <c r="AJ32" s="5"/>
      <c r="AK32" s="5"/>
      <c r="AL32" s="5" t="s">
        <v>97</v>
      </c>
      <c r="AM32" s="5" t="s">
        <v>97</v>
      </c>
      <c r="AN32" s="5" t="s">
        <v>97</v>
      </c>
      <c r="AO32" s="5" t="s">
        <v>103</v>
      </c>
      <c r="AP32" s="5" t="s">
        <v>103</v>
      </c>
      <c r="AQ32" s="5" t="s">
        <v>97</v>
      </c>
      <c r="AR32" s="5" t="s">
        <v>97</v>
      </c>
      <c r="AS32" s="5" t="s">
        <v>97</v>
      </c>
      <c r="AT32" s="5"/>
      <c r="AU32" s="5"/>
      <c r="AV32" s="4" t="s">
        <v>97</v>
      </c>
      <c r="AW32" s="4" t="s">
        <v>97</v>
      </c>
      <c r="AX32" s="4" t="s">
        <v>97</v>
      </c>
      <c r="AY32" s="4" t="s">
        <v>97</v>
      </c>
      <c r="AZ32" s="4" t="s">
        <v>103</v>
      </c>
      <c r="BA32" s="4" t="s">
        <v>97</v>
      </c>
      <c r="BB32" s="5">
        <v>45523</v>
      </c>
      <c r="BC32" s="5">
        <v>45525</v>
      </c>
      <c r="BD32" s="5">
        <v>45532</v>
      </c>
      <c r="BE32" s="5">
        <v>45533</v>
      </c>
      <c r="BF32" s="4" t="s">
        <v>98</v>
      </c>
      <c r="BG32" s="4" t="s">
        <v>97</v>
      </c>
      <c r="BH32" s="4" t="s">
        <v>103</v>
      </c>
      <c r="BI32" s="4" t="s">
        <v>145</v>
      </c>
    </row>
    <row r="33" spans="1:61" x14ac:dyDescent="0.35">
      <c r="A33" s="8" t="str">
        <f t="shared" si="3"/>
        <v>Semaine 32-2024</v>
      </c>
      <c r="B33" s="8" t="str">
        <f t="shared" si="4"/>
        <v>2024</v>
      </c>
      <c r="C33" s="2" t="s">
        <v>37</v>
      </c>
      <c r="D33" s="6" t="str">
        <f t="shared" si="5"/>
        <v>Dakar</v>
      </c>
      <c r="E33" s="6">
        <f t="shared" si="6"/>
        <v>301226</v>
      </c>
      <c r="F33" s="6">
        <f t="shared" si="7"/>
        <v>4042240</v>
      </c>
      <c r="G33" s="4" t="s">
        <v>206</v>
      </c>
      <c r="H33" s="9" t="s">
        <v>217</v>
      </c>
      <c r="I33" s="8">
        <v>12</v>
      </c>
      <c r="J33" s="8" t="s">
        <v>114</v>
      </c>
      <c r="K33" s="8"/>
      <c r="L33" s="8"/>
      <c r="M33" s="8"/>
      <c r="N33" s="8"/>
      <c r="O33" s="4" t="s">
        <v>238</v>
      </c>
      <c r="P33" s="8" t="s">
        <v>97</v>
      </c>
      <c r="Q33" s="8" t="s">
        <v>97</v>
      </c>
      <c r="R33" s="14" t="s">
        <v>100</v>
      </c>
      <c r="S33" s="14" t="s">
        <v>100</v>
      </c>
      <c r="T33" s="14" t="s">
        <v>100</v>
      </c>
      <c r="U33" s="14"/>
      <c r="V33" s="14"/>
      <c r="W33" s="14"/>
      <c r="X33" s="14"/>
      <c r="Y33" s="5">
        <v>45514</v>
      </c>
      <c r="Z33" s="5">
        <v>45531</v>
      </c>
      <c r="AA33" s="5" t="s">
        <v>103</v>
      </c>
      <c r="AB33" s="5"/>
      <c r="AC33" s="5" t="s">
        <v>103</v>
      </c>
      <c r="AD33" s="5" t="s">
        <v>97</v>
      </c>
      <c r="AE33" s="5" t="s">
        <v>97</v>
      </c>
      <c r="AF33" s="5" t="s">
        <v>97</v>
      </c>
      <c r="AG33" s="5" t="s">
        <v>103</v>
      </c>
      <c r="AH33" s="5" t="s">
        <v>103</v>
      </c>
      <c r="AI33" s="5">
        <v>45514</v>
      </c>
      <c r="AJ33" s="5"/>
      <c r="AK33" s="5"/>
      <c r="AL33" s="5" t="s">
        <v>103</v>
      </c>
      <c r="AM33" s="5" t="s">
        <v>97</v>
      </c>
      <c r="AN33" s="5" t="s">
        <v>97</v>
      </c>
      <c r="AO33" s="5" t="s">
        <v>103</v>
      </c>
      <c r="AP33" s="5" t="s">
        <v>103</v>
      </c>
      <c r="AQ33" s="5" t="s">
        <v>97</v>
      </c>
      <c r="AR33" s="5" t="s">
        <v>97</v>
      </c>
      <c r="AS33" s="5" t="s">
        <v>97</v>
      </c>
      <c r="AT33" s="5"/>
      <c r="AU33" s="5"/>
      <c r="AV33" s="4" t="s">
        <v>103</v>
      </c>
      <c r="AW33" s="4" t="s">
        <v>97</v>
      </c>
      <c r="AX33" s="4" t="s">
        <v>97</v>
      </c>
      <c r="AY33" s="4" t="s">
        <v>97</v>
      </c>
      <c r="AZ33" s="4" t="s">
        <v>103</v>
      </c>
      <c r="BA33" s="4" t="s">
        <v>97</v>
      </c>
      <c r="BB33" s="5">
        <v>45531</v>
      </c>
      <c r="BC33" s="5">
        <v>45531</v>
      </c>
      <c r="BD33" s="5">
        <v>45532</v>
      </c>
      <c r="BE33" s="5">
        <v>45533</v>
      </c>
      <c r="BF33" s="4" t="s">
        <v>98</v>
      </c>
      <c r="BG33" s="4" t="s">
        <v>103</v>
      </c>
      <c r="BH33" s="4" t="s">
        <v>103</v>
      </c>
      <c r="BI33" s="4" t="s">
        <v>115</v>
      </c>
    </row>
    <row r="34" spans="1:61" x14ac:dyDescent="0.35">
      <c r="A34" s="8" t="str">
        <f t="shared" si="3"/>
        <v>Semaine 34-2024</v>
      </c>
      <c r="B34" s="8" t="str">
        <f t="shared" si="4"/>
        <v>2024</v>
      </c>
      <c r="C34" s="2" t="s">
        <v>24</v>
      </c>
      <c r="D34" s="6" t="str">
        <f t="shared" si="5"/>
        <v>Tambacounda</v>
      </c>
      <c r="E34" s="6">
        <f t="shared" si="6"/>
        <v>57207</v>
      </c>
      <c r="F34" s="6">
        <f t="shared" si="7"/>
        <v>937181</v>
      </c>
      <c r="G34" s="4" t="s">
        <v>207</v>
      </c>
      <c r="H34" s="9" t="s">
        <v>218</v>
      </c>
      <c r="I34" s="9">
        <v>2</v>
      </c>
      <c r="J34" s="9" t="s">
        <v>114</v>
      </c>
      <c r="K34" s="9"/>
      <c r="L34" s="9"/>
      <c r="M34" s="9"/>
      <c r="N34" s="9"/>
      <c r="O34" s="4" t="s">
        <v>238</v>
      </c>
      <c r="P34" s="9" t="s">
        <v>97</v>
      </c>
      <c r="Q34" s="9" t="s">
        <v>97</v>
      </c>
      <c r="R34" s="14" t="s">
        <v>100</v>
      </c>
      <c r="S34" s="14" t="s">
        <v>100</v>
      </c>
      <c r="T34" s="14" t="s">
        <v>100</v>
      </c>
      <c r="U34" s="14"/>
      <c r="V34" s="14"/>
      <c r="W34" s="14"/>
      <c r="X34" s="14"/>
      <c r="Y34" s="5">
        <v>45524</v>
      </c>
      <c r="Z34" s="5">
        <v>45526</v>
      </c>
      <c r="AA34" s="5" t="s">
        <v>97</v>
      </c>
      <c r="AB34" s="5"/>
      <c r="AC34" s="5" t="s">
        <v>97</v>
      </c>
      <c r="AD34" s="5" t="s">
        <v>97</v>
      </c>
      <c r="AE34" s="5" t="s">
        <v>97</v>
      </c>
      <c r="AF34" s="5" t="s">
        <v>97</v>
      </c>
      <c r="AG34" s="5" t="s">
        <v>97</v>
      </c>
      <c r="AH34" s="5" t="s">
        <v>103</v>
      </c>
      <c r="AI34" s="5">
        <v>45524</v>
      </c>
      <c r="AJ34" s="5"/>
      <c r="AK34" s="5"/>
      <c r="AL34" s="5" t="s">
        <v>97</v>
      </c>
      <c r="AM34" s="5" t="s">
        <v>103</v>
      </c>
      <c r="AN34" s="5" t="s">
        <v>103</v>
      </c>
      <c r="AO34" s="5" t="s">
        <v>103</v>
      </c>
      <c r="AP34" s="5" t="s">
        <v>103</v>
      </c>
      <c r="AQ34" s="5" t="s">
        <v>97</v>
      </c>
      <c r="AR34" s="5" t="s">
        <v>97</v>
      </c>
      <c r="AS34" s="5" t="s">
        <v>97</v>
      </c>
      <c r="AT34" s="5"/>
      <c r="AU34" s="5"/>
      <c r="AV34" s="4" t="s">
        <v>97</v>
      </c>
      <c r="AW34" s="4" t="s">
        <v>97</v>
      </c>
      <c r="AX34" s="4" t="s">
        <v>97</v>
      </c>
      <c r="AY34" s="4" t="s">
        <v>97</v>
      </c>
      <c r="AZ34" s="4" t="s">
        <v>103</v>
      </c>
      <c r="BA34" s="4" t="s">
        <v>97</v>
      </c>
      <c r="BB34" s="5">
        <v>45526</v>
      </c>
      <c r="BC34" s="5">
        <v>45531</v>
      </c>
      <c r="BD34" s="5">
        <v>45532</v>
      </c>
      <c r="BE34" s="5">
        <v>45533</v>
      </c>
      <c r="BF34" s="4" t="s">
        <v>98</v>
      </c>
      <c r="BG34" s="4" t="s">
        <v>97</v>
      </c>
      <c r="BH34" s="4" t="s">
        <v>103</v>
      </c>
      <c r="BI34" s="4" t="s">
        <v>145</v>
      </c>
    </row>
    <row r="35" spans="1:61" x14ac:dyDescent="0.35">
      <c r="A35" s="8" t="str">
        <f t="shared" si="3"/>
        <v>Semaine 34-2024</v>
      </c>
      <c r="B35" s="8" t="str">
        <f t="shared" si="4"/>
        <v>2024</v>
      </c>
      <c r="C35" s="2" t="s">
        <v>61</v>
      </c>
      <c r="D35" s="6" t="str">
        <f t="shared" si="5"/>
        <v>Thies</v>
      </c>
      <c r="E35" s="6">
        <f t="shared" si="6"/>
        <v>153582</v>
      </c>
      <c r="F35" s="6">
        <f t="shared" si="7"/>
        <v>2280463</v>
      </c>
      <c r="G35" s="4" t="s">
        <v>208</v>
      </c>
      <c r="H35" s="9" t="s">
        <v>219</v>
      </c>
      <c r="I35" s="9">
        <v>22</v>
      </c>
      <c r="J35" s="9" t="s">
        <v>96</v>
      </c>
      <c r="K35" s="9"/>
      <c r="L35" s="9"/>
      <c r="M35" s="9"/>
      <c r="N35" s="9"/>
      <c r="O35" s="4" t="s">
        <v>238</v>
      </c>
      <c r="P35" s="9" t="s">
        <v>97</v>
      </c>
      <c r="Q35" s="9" t="s">
        <v>97</v>
      </c>
      <c r="R35" s="14" t="s">
        <v>100</v>
      </c>
      <c r="S35" s="14" t="s">
        <v>100</v>
      </c>
      <c r="T35" s="14" t="s">
        <v>100</v>
      </c>
      <c r="U35" s="14"/>
      <c r="V35" s="14"/>
      <c r="W35" s="14"/>
      <c r="X35" s="14"/>
      <c r="Y35" s="5">
        <v>45526</v>
      </c>
      <c r="Z35" s="5">
        <v>45532</v>
      </c>
      <c r="AA35" s="5" t="s">
        <v>97</v>
      </c>
      <c r="AB35" s="5"/>
      <c r="AC35" s="5" t="s">
        <v>97</v>
      </c>
      <c r="AD35" s="5" t="s">
        <v>97</v>
      </c>
      <c r="AE35" s="5" t="s">
        <v>97</v>
      </c>
      <c r="AF35" s="5" t="s">
        <v>97</v>
      </c>
      <c r="AG35" s="5" t="s">
        <v>103</v>
      </c>
      <c r="AH35" s="5" t="s">
        <v>103</v>
      </c>
      <c r="AI35" s="5">
        <v>45526</v>
      </c>
      <c r="AJ35" s="5"/>
      <c r="AK35" s="5"/>
      <c r="AL35" s="5" t="s">
        <v>97</v>
      </c>
      <c r="AM35" s="5" t="s">
        <v>97</v>
      </c>
      <c r="AN35" s="5" t="s">
        <v>103</v>
      </c>
      <c r="AO35" s="5" t="s">
        <v>97</v>
      </c>
      <c r="AP35" s="5" t="s">
        <v>97</v>
      </c>
      <c r="AQ35" s="5" t="s">
        <v>97</v>
      </c>
      <c r="AR35" s="5" t="s">
        <v>97</v>
      </c>
      <c r="AS35" s="5" t="s">
        <v>97</v>
      </c>
      <c r="AT35" s="5" t="s">
        <v>175</v>
      </c>
      <c r="AU35" s="5"/>
      <c r="AV35" s="4" t="s">
        <v>97</v>
      </c>
      <c r="AW35" s="4" t="s">
        <v>97</v>
      </c>
      <c r="AX35" s="4" t="s">
        <v>97</v>
      </c>
      <c r="AY35" s="4" t="s">
        <v>97</v>
      </c>
      <c r="AZ35" s="4" t="s">
        <v>103</v>
      </c>
      <c r="BA35" s="4" t="s">
        <v>97</v>
      </c>
      <c r="BB35" s="5">
        <v>45532</v>
      </c>
      <c r="BC35" s="5">
        <v>45532</v>
      </c>
      <c r="BD35" s="5">
        <v>45532</v>
      </c>
      <c r="BE35" s="5">
        <v>45533</v>
      </c>
      <c r="BF35" s="4" t="s">
        <v>98</v>
      </c>
      <c r="BG35" s="4" t="s">
        <v>97</v>
      </c>
      <c r="BH35" s="4" t="s">
        <v>103</v>
      </c>
      <c r="BI35" s="4" t="s">
        <v>145</v>
      </c>
    </row>
    <row r="36" spans="1:61" x14ac:dyDescent="0.35">
      <c r="A36" s="8" t="str">
        <f t="shared" si="3"/>
        <v>Semaine 34-2024</v>
      </c>
      <c r="B36" s="8" t="str">
        <f t="shared" si="4"/>
        <v>2024</v>
      </c>
      <c r="C36" s="2" t="s">
        <v>75</v>
      </c>
      <c r="D36" s="6" t="str">
        <f t="shared" si="5"/>
        <v>Diourbel</v>
      </c>
      <c r="E36" s="6">
        <f t="shared" si="6"/>
        <v>996481</v>
      </c>
      <c r="F36" s="6">
        <f t="shared" si="7"/>
        <v>1980827</v>
      </c>
      <c r="G36" s="4" t="s">
        <v>210</v>
      </c>
      <c r="H36" s="9" t="s">
        <v>220</v>
      </c>
      <c r="I36" s="9">
        <v>7</v>
      </c>
      <c r="J36" s="9" t="s">
        <v>114</v>
      </c>
      <c r="K36" s="9"/>
      <c r="L36" s="9"/>
      <c r="M36" s="9"/>
      <c r="N36" s="9"/>
      <c r="O36" s="4" t="s">
        <v>238</v>
      </c>
      <c r="P36" s="9" t="s">
        <v>97</v>
      </c>
      <c r="Q36" s="9" t="s">
        <v>97</v>
      </c>
      <c r="R36" s="14" t="s">
        <v>100</v>
      </c>
      <c r="S36" s="14" t="s">
        <v>100</v>
      </c>
      <c r="T36" s="14" t="s">
        <v>100</v>
      </c>
      <c r="U36" s="14" t="s">
        <v>282</v>
      </c>
      <c r="V36" s="14"/>
      <c r="W36" s="14"/>
      <c r="X36" s="14"/>
      <c r="Y36" s="5">
        <v>45524</v>
      </c>
      <c r="Z36" s="5">
        <v>45531</v>
      </c>
      <c r="AA36" s="5" t="s">
        <v>103</v>
      </c>
      <c r="AB36" s="5"/>
      <c r="AC36" s="5" t="s">
        <v>97</v>
      </c>
      <c r="AD36" s="5" t="s">
        <v>97</v>
      </c>
      <c r="AE36" s="5" t="s">
        <v>97</v>
      </c>
      <c r="AF36" s="5" t="s">
        <v>97</v>
      </c>
      <c r="AG36" s="5" t="s">
        <v>97</v>
      </c>
      <c r="AH36" s="5" t="s">
        <v>103</v>
      </c>
      <c r="AI36" s="5">
        <v>45524</v>
      </c>
      <c r="AJ36" s="5"/>
      <c r="AK36" s="5"/>
      <c r="AL36" s="5" t="s">
        <v>103</v>
      </c>
      <c r="AM36" s="5" t="s">
        <v>103</v>
      </c>
      <c r="AN36" s="5" t="s">
        <v>103</v>
      </c>
      <c r="AO36" s="5" t="s">
        <v>103</v>
      </c>
      <c r="AP36" s="5" t="s">
        <v>103</v>
      </c>
      <c r="AQ36" s="5" t="s">
        <v>103</v>
      </c>
      <c r="AR36" s="5" t="s">
        <v>97</v>
      </c>
      <c r="AS36" s="5" t="s">
        <v>97</v>
      </c>
      <c r="AT36" s="5"/>
      <c r="AU36" s="5"/>
      <c r="AV36" s="4" t="s">
        <v>103</v>
      </c>
      <c r="AW36" s="4" t="s">
        <v>97</v>
      </c>
      <c r="AX36" s="4" t="s">
        <v>97</v>
      </c>
      <c r="AY36" s="4" t="s">
        <v>97</v>
      </c>
      <c r="AZ36" s="4" t="s">
        <v>103</v>
      </c>
      <c r="BA36" s="4" t="s">
        <v>97</v>
      </c>
      <c r="BB36" s="5">
        <v>45531</v>
      </c>
      <c r="BC36" s="5">
        <v>45531</v>
      </c>
      <c r="BD36" s="5">
        <v>45532</v>
      </c>
      <c r="BE36" s="5">
        <v>45533</v>
      </c>
      <c r="BF36" s="4" t="s">
        <v>98</v>
      </c>
      <c r="BG36" s="4" t="s">
        <v>97</v>
      </c>
      <c r="BH36" s="4" t="s">
        <v>103</v>
      </c>
      <c r="BI36" s="4" t="s">
        <v>115</v>
      </c>
    </row>
    <row r="37" spans="1:61" x14ac:dyDescent="0.35">
      <c r="A37" s="8" t="str">
        <f t="shared" si="3"/>
        <v>Semaine 34-2024</v>
      </c>
      <c r="B37" s="8" t="str">
        <f t="shared" si="4"/>
        <v>2024</v>
      </c>
      <c r="C37" s="2" t="s">
        <v>75</v>
      </c>
      <c r="D37" s="6" t="str">
        <f t="shared" si="5"/>
        <v>Diourbel</v>
      </c>
      <c r="E37" s="6">
        <f t="shared" si="6"/>
        <v>996481</v>
      </c>
      <c r="F37" s="6">
        <f t="shared" si="7"/>
        <v>1980827</v>
      </c>
      <c r="G37" s="4" t="s">
        <v>211</v>
      </c>
      <c r="H37" s="9" t="s">
        <v>221</v>
      </c>
      <c r="I37" s="9">
        <v>5</v>
      </c>
      <c r="J37" s="9" t="s">
        <v>114</v>
      </c>
      <c r="K37" s="9"/>
      <c r="L37" s="9"/>
      <c r="M37" s="9"/>
      <c r="N37" s="9"/>
      <c r="O37" s="4" t="s">
        <v>238</v>
      </c>
      <c r="P37" s="9" t="s">
        <v>97</v>
      </c>
      <c r="Q37" s="9" t="s">
        <v>97</v>
      </c>
      <c r="R37" s="14" t="s">
        <v>100</v>
      </c>
      <c r="S37" s="14" t="s">
        <v>100</v>
      </c>
      <c r="T37" s="14" t="s">
        <v>100</v>
      </c>
      <c r="U37" s="14" t="s">
        <v>285</v>
      </c>
      <c r="V37" s="14"/>
      <c r="W37" s="14"/>
      <c r="X37" s="14"/>
      <c r="Y37" s="5">
        <v>45527</v>
      </c>
      <c r="Z37" s="5">
        <v>45532</v>
      </c>
      <c r="AA37" s="5" t="s">
        <v>103</v>
      </c>
      <c r="AB37" s="5"/>
      <c r="AC37" s="5" t="s">
        <v>97</v>
      </c>
      <c r="AD37" s="5" t="s">
        <v>103</v>
      </c>
      <c r="AE37" s="5" t="s">
        <v>97</v>
      </c>
      <c r="AF37" s="5" t="s">
        <v>103</v>
      </c>
      <c r="AG37" s="5" t="s">
        <v>103</v>
      </c>
      <c r="AH37" s="5" t="s">
        <v>103</v>
      </c>
      <c r="AI37" s="5">
        <v>45527</v>
      </c>
      <c r="AJ37" s="5"/>
      <c r="AK37" s="5" t="s">
        <v>103</v>
      </c>
      <c r="AL37" s="5" t="s">
        <v>97</v>
      </c>
      <c r="AM37" s="5" t="s">
        <v>103</v>
      </c>
      <c r="AN37" s="5" t="s">
        <v>103</v>
      </c>
      <c r="AO37" s="5" t="s">
        <v>103</v>
      </c>
      <c r="AP37" s="5" t="s">
        <v>103</v>
      </c>
      <c r="AQ37" s="5" t="s">
        <v>97</v>
      </c>
      <c r="AR37" s="5" t="s">
        <v>103</v>
      </c>
      <c r="AS37" s="5" t="s">
        <v>103</v>
      </c>
      <c r="AT37" s="5" t="s">
        <v>345</v>
      </c>
      <c r="AU37" s="5" t="s">
        <v>222</v>
      </c>
      <c r="AV37" s="4" t="s">
        <v>103</v>
      </c>
      <c r="AW37" s="4" t="s">
        <v>97</v>
      </c>
      <c r="AX37" s="4" t="s">
        <v>97</v>
      </c>
      <c r="AY37" s="4" t="s">
        <v>97</v>
      </c>
      <c r="AZ37" s="4" t="s">
        <v>103</v>
      </c>
      <c r="BA37" s="4" t="s">
        <v>97</v>
      </c>
      <c r="BB37" s="5">
        <v>45532</v>
      </c>
      <c r="BC37" s="5">
        <v>45532</v>
      </c>
      <c r="BD37" s="5">
        <v>45533</v>
      </c>
      <c r="BE37" s="5">
        <v>45533</v>
      </c>
      <c r="BF37" s="4" t="s">
        <v>98</v>
      </c>
      <c r="BG37" s="4" t="s">
        <v>103</v>
      </c>
      <c r="BH37" s="4" t="s">
        <v>103</v>
      </c>
      <c r="BI37" s="4" t="s">
        <v>115</v>
      </c>
    </row>
    <row r="38" spans="1:61" x14ac:dyDescent="0.35">
      <c r="A38" s="8" t="str">
        <f t="shared" si="3"/>
        <v>Semaine 35-2024</v>
      </c>
      <c r="B38" s="8" t="str">
        <f t="shared" si="4"/>
        <v>2024</v>
      </c>
      <c r="C38" s="2" t="s">
        <v>0</v>
      </c>
      <c r="D38" s="6" t="str">
        <f t="shared" si="5"/>
        <v>Matam</v>
      </c>
      <c r="E38" s="6">
        <f t="shared" si="6"/>
        <v>271560</v>
      </c>
      <c r="F38" s="6">
        <f t="shared" si="7"/>
        <v>789215</v>
      </c>
      <c r="G38" s="4" t="s">
        <v>209</v>
      </c>
      <c r="H38" s="9" t="s">
        <v>223</v>
      </c>
      <c r="I38" s="9">
        <v>33</v>
      </c>
      <c r="J38" s="9" t="s">
        <v>114</v>
      </c>
      <c r="K38" s="9"/>
      <c r="L38" s="9"/>
      <c r="M38" s="9"/>
      <c r="N38" s="9"/>
      <c r="O38" s="4" t="s">
        <v>238</v>
      </c>
      <c r="P38" s="9" t="s">
        <v>97</v>
      </c>
      <c r="Q38" s="9" t="s">
        <v>97</v>
      </c>
      <c r="R38" s="14" t="s">
        <v>100</v>
      </c>
      <c r="S38" s="14" t="s">
        <v>100</v>
      </c>
      <c r="T38" s="14" t="s">
        <v>100</v>
      </c>
      <c r="U38" s="14" t="s">
        <v>285</v>
      </c>
      <c r="V38" s="14"/>
      <c r="W38" s="14"/>
      <c r="X38" s="14"/>
      <c r="Y38" s="5">
        <v>45530</v>
      </c>
      <c r="Z38" s="5">
        <v>45531</v>
      </c>
      <c r="AA38" s="5" t="s">
        <v>103</v>
      </c>
      <c r="AB38" s="5"/>
      <c r="AC38" s="5" t="s">
        <v>97</v>
      </c>
      <c r="AD38" s="5" t="s">
        <v>97</v>
      </c>
      <c r="AE38" s="5" t="s">
        <v>97</v>
      </c>
      <c r="AF38" s="5" t="s">
        <v>97</v>
      </c>
      <c r="AG38" s="5" t="s">
        <v>97</v>
      </c>
      <c r="AH38" s="5" t="s">
        <v>103</v>
      </c>
      <c r="AI38" s="5">
        <v>45530</v>
      </c>
      <c r="AJ38" s="5"/>
      <c r="AK38" s="5"/>
      <c r="AL38" s="5" t="s">
        <v>103</v>
      </c>
      <c r="AM38" s="5" t="s">
        <v>97</v>
      </c>
      <c r="AN38" s="5" t="s">
        <v>103</v>
      </c>
      <c r="AO38" s="5" t="s">
        <v>97</v>
      </c>
      <c r="AP38" s="5" t="s">
        <v>97</v>
      </c>
      <c r="AQ38" s="5" t="s">
        <v>97</v>
      </c>
      <c r="AR38" s="5" t="s">
        <v>97</v>
      </c>
      <c r="AS38" s="5" t="s">
        <v>97</v>
      </c>
      <c r="AT38" s="5"/>
      <c r="AU38" s="5"/>
      <c r="AV38" s="4" t="s">
        <v>103</v>
      </c>
      <c r="AW38" s="4" t="s">
        <v>97</v>
      </c>
      <c r="AX38" s="4" t="s">
        <v>97</v>
      </c>
      <c r="AY38" s="4" t="s">
        <v>97</v>
      </c>
      <c r="AZ38" s="4" t="s">
        <v>103</v>
      </c>
      <c r="BA38" s="4" t="s">
        <v>97</v>
      </c>
      <c r="BB38" s="5">
        <v>45531</v>
      </c>
      <c r="BC38" s="5">
        <v>45532</v>
      </c>
      <c r="BD38" s="5">
        <v>45533</v>
      </c>
      <c r="BE38" s="5">
        <v>45533</v>
      </c>
      <c r="BF38" s="4" t="s">
        <v>98</v>
      </c>
      <c r="BG38" s="4" t="s">
        <v>97</v>
      </c>
      <c r="BH38" s="4" t="s">
        <v>103</v>
      </c>
      <c r="BI38" s="4" t="s">
        <v>115</v>
      </c>
    </row>
    <row r="39" spans="1:61" x14ac:dyDescent="0.35">
      <c r="A39" s="8" t="str">
        <f t="shared" si="3"/>
        <v>Semaine 34-2024</v>
      </c>
      <c r="B39" s="8" t="str">
        <f t="shared" si="4"/>
        <v>2024</v>
      </c>
      <c r="C39" s="2" t="s">
        <v>32</v>
      </c>
      <c r="D39" s="6" t="str">
        <f t="shared" si="5"/>
        <v>Kaolack</v>
      </c>
      <c r="E39" s="6">
        <f t="shared" si="6"/>
        <v>151881</v>
      </c>
      <c r="F39" s="6">
        <f t="shared" si="7"/>
        <v>1267013</v>
      </c>
      <c r="G39" s="4" t="s">
        <v>214</v>
      </c>
      <c r="H39" s="9" t="s">
        <v>224</v>
      </c>
      <c r="I39" s="9">
        <v>1</v>
      </c>
      <c r="J39" s="9" t="s">
        <v>114</v>
      </c>
      <c r="K39" s="9"/>
      <c r="L39" s="9"/>
      <c r="M39" s="9"/>
      <c r="N39" s="9"/>
      <c r="O39" s="4" t="s">
        <v>238</v>
      </c>
      <c r="P39" s="9" t="s">
        <v>97</v>
      </c>
      <c r="Q39" s="9" t="s">
        <v>97</v>
      </c>
      <c r="R39" s="14" t="s">
        <v>100</v>
      </c>
      <c r="S39" s="14" t="s">
        <v>100</v>
      </c>
      <c r="T39" s="14" t="s">
        <v>100</v>
      </c>
      <c r="U39" s="14" t="s">
        <v>285</v>
      </c>
      <c r="V39" s="14"/>
      <c r="W39" s="14"/>
      <c r="X39" s="14"/>
      <c r="Y39" s="5">
        <v>45528</v>
      </c>
      <c r="Z39" s="5">
        <v>45531</v>
      </c>
      <c r="AA39" s="5" t="s">
        <v>103</v>
      </c>
      <c r="AB39" s="5"/>
      <c r="AC39" s="5" t="s">
        <v>97</v>
      </c>
      <c r="AD39" s="5" t="s">
        <v>103</v>
      </c>
      <c r="AE39" s="5" t="s">
        <v>103</v>
      </c>
      <c r="AF39" s="5" t="s">
        <v>97</v>
      </c>
      <c r="AG39" s="5" t="s">
        <v>97</v>
      </c>
      <c r="AH39" s="5" t="s">
        <v>103</v>
      </c>
      <c r="AI39" s="5">
        <v>45528</v>
      </c>
      <c r="AJ39" s="5"/>
      <c r="AK39" s="5"/>
      <c r="AL39" s="5" t="s">
        <v>103</v>
      </c>
      <c r="AM39" s="5" t="s">
        <v>97</v>
      </c>
      <c r="AN39" s="5" t="s">
        <v>103</v>
      </c>
      <c r="AO39" s="5" t="s">
        <v>97</v>
      </c>
      <c r="AP39" s="5" t="s">
        <v>97</v>
      </c>
      <c r="AQ39" s="5" t="s">
        <v>97</v>
      </c>
      <c r="AR39" s="5" t="s">
        <v>97</v>
      </c>
      <c r="AS39" s="5" t="s">
        <v>97</v>
      </c>
      <c r="AT39" s="5"/>
      <c r="AU39" s="5"/>
      <c r="AV39" s="4" t="s">
        <v>103</v>
      </c>
      <c r="AW39" s="4" t="s">
        <v>97</v>
      </c>
      <c r="AX39" s="4" t="s">
        <v>97</v>
      </c>
      <c r="AY39" s="4" t="s">
        <v>97</v>
      </c>
      <c r="AZ39" s="4" t="s">
        <v>103</v>
      </c>
      <c r="BA39" s="4" t="s">
        <v>97</v>
      </c>
      <c r="BB39" s="5">
        <v>45532</v>
      </c>
      <c r="BC39" s="5">
        <v>45532</v>
      </c>
      <c r="BD39" s="5">
        <v>45533</v>
      </c>
      <c r="BE39" s="5">
        <v>45533</v>
      </c>
      <c r="BF39" s="4" t="s">
        <v>98</v>
      </c>
      <c r="BG39" s="4" t="s">
        <v>103</v>
      </c>
      <c r="BH39" s="4" t="s">
        <v>103</v>
      </c>
      <c r="BI39" s="4" t="s">
        <v>115</v>
      </c>
    </row>
    <row r="40" spans="1:61" x14ac:dyDescent="0.35">
      <c r="A40" s="8" t="str">
        <f t="shared" si="3"/>
        <v>Semaine 34-2024</v>
      </c>
      <c r="B40" s="8" t="str">
        <f t="shared" si="4"/>
        <v>2024</v>
      </c>
      <c r="C40" s="2" t="s">
        <v>75</v>
      </c>
      <c r="D40" s="6" t="str">
        <f t="shared" si="5"/>
        <v>Diourbel</v>
      </c>
      <c r="E40" s="6">
        <f t="shared" si="6"/>
        <v>996481</v>
      </c>
      <c r="F40" s="6">
        <f t="shared" si="7"/>
        <v>1980827</v>
      </c>
      <c r="G40" s="4" t="s">
        <v>215</v>
      </c>
      <c r="H40" s="9" t="s">
        <v>225</v>
      </c>
      <c r="I40" s="9">
        <v>12</v>
      </c>
      <c r="J40" s="9" t="s">
        <v>96</v>
      </c>
      <c r="K40" s="9"/>
      <c r="L40" s="9"/>
      <c r="M40" s="9"/>
      <c r="N40" s="9"/>
      <c r="O40" s="4" t="s">
        <v>238</v>
      </c>
      <c r="P40" s="9" t="s">
        <v>97</v>
      </c>
      <c r="Q40" s="9" t="s">
        <v>97</v>
      </c>
      <c r="R40" s="14" t="s">
        <v>100</v>
      </c>
      <c r="S40" s="14" t="s">
        <v>100</v>
      </c>
      <c r="T40" s="14" t="s">
        <v>100</v>
      </c>
      <c r="U40" s="14" t="s">
        <v>285</v>
      </c>
      <c r="V40" s="14" t="s">
        <v>286</v>
      </c>
      <c r="W40" s="14"/>
      <c r="X40" s="14"/>
      <c r="Y40" s="5">
        <v>45525</v>
      </c>
      <c r="Z40" s="5">
        <v>45531</v>
      </c>
      <c r="AA40" s="5" t="s">
        <v>103</v>
      </c>
      <c r="AB40" s="5"/>
      <c r="AC40" s="5" t="s">
        <v>103</v>
      </c>
      <c r="AD40" s="5" t="s">
        <v>97</v>
      </c>
      <c r="AE40" s="5" t="s">
        <v>97</v>
      </c>
      <c r="AF40" s="5" t="s">
        <v>97</v>
      </c>
      <c r="AG40" s="5" t="s">
        <v>97</v>
      </c>
      <c r="AH40" s="5" t="s">
        <v>103</v>
      </c>
      <c r="AI40" s="5">
        <v>45525</v>
      </c>
      <c r="AJ40" s="5"/>
      <c r="AK40" s="5"/>
      <c r="AL40" s="5" t="s">
        <v>103</v>
      </c>
      <c r="AM40" s="5" t="s">
        <v>103</v>
      </c>
      <c r="AN40" s="5" t="s">
        <v>103</v>
      </c>
      <c r="AO40" s="5" t="s">
        <v>103</v>
      </c>
      <c r="AP40" s="5" t="s">
        <v>103</v>
      </c>
      <c r="AQ40" s="5" t="s">
        <v>97</v>
      </c>
      <c r="AR40" s="5" t="s">
        <v>97</v>
      </c>
      <c r="AS40" s="5" t="s">
        <v>97</v>
      </c>
      <c r="AT40" s="5"/>
      <c r="AU40" s="5"/>
      <c r="AV40" s="4" t="s">
        <v>103</v>
      </c>
      <c r="AW40" s="4" t="s">
        <v>97</v>
      </c>
      <c r="AX40" s="4" t="s">
        <v>97</v>
      </c>
      <c r="AY40" s="4" t="s">
        <v>97</v>
      </c>
      <c r="AZ40" s="4" t="s">
        <v>103</v>
      </c>
      <c r="BA40" s="4" t="s">
        <v>97</v>
      </c>
      <c r="BB40" s="5">
        <v>45531</v>
      </c>
      <c r="BC40" s="5">
        <v>45532</v>
      </c>
      <c r="BD40" s="5">
        <v>45533</v>
      </c>
      <c r="BE40" s="5">
        <v>45533</v>
      </c>
      <c r="BF40" s="4" t="s">
        <v>98</v>
      </c>
      <c r="BG40" s="4" t="s">
        <v>97</v>
      </c>
      <c r="BH40" s="4" t="s">
        <v>103</v>
      </c>
      <c r="BI40" s="4" t="s">
        <v>115</v>
      </c>
    </row>
    <row r="41" spans="1:61" x14ac:dyDescent="0.35">
      <c r="A41" s="8" t="str">
        <f t="shared" si="3"/>
        <v>Semaine 34-2024</v>
      </c>
      <c r="B41" s="8" t="str">
        <f t="shared" si="4"/>
        <v>2024</v>
      </c>
      <c r="C41" s="2" t="s">
        <v>58</v>
      </c>
      <c r="D41" s="6" t="str">
        <f t="shared" si="5"/>
        <v>Dakar</v>
      </c>
      <c r="E41" s="6">
        <f t="shared" si="6"/>
        <v>423495</v>
      </c>
      <c r="F41" s="6">
        <f t="shared" si="7"/>
        <v>4042240</v>
      </c>
      <c r="G41" s="4" t="s">
        <v>226</v>
      </c>
      <c r="H41" s="9" t="s">
        <v>227</v>
      </c>
      <c r="I41" s="9">
        <v>32</v>
      </c>
      <c r="J41" s="9" t="s">
        <v>114</v>
      </c>
      <c r="K41" s="9"/>
      <c r="L41" s="9"/>
      <c r="M41" s="9"/>
      <c r="N41" s="9"/>
      <c r="O41" s="4" t="s">
        <v>238</v>
      </c>
      <c r="P41" s="9" t="s">
        <v>97</v>
      </c>
      <c r="Q41" s="9" t="s">
        <v>97</v>
      </c>
      <c r="R41" s="14" t="s">
        <v>100</v>
      </c>
      <c r="S41" s="14" t="s">
        <v>100</v>
      </c>
      <c r="T41" s="14" t="s">
        <v>100</v>
      </c>
      <c r="U41" s="14"/>
      <c r="V41" s="14"/>
      <c r="W41" s="14"/>
      <c r="X41" s="14"/>
      <c r="Y41" s="5">
        <v>45527</v>
      </c>
      <c r="Z41" s="5">
        <v>45533</v>
      </c>
      <c r="AA41" s="5" t="s">
        <v>103</v>
      </c>
      <c r="AB41" s="5"/>
      <c r="AC41" s="5" t="s">
        <v>97</v>
      </c>
      <c r="AD41" s="5" t="s">
        <v>103</v>
      </c>
      <c r="AE41" s="5" t="s">
        <v>97</v>
      </c>
      <c r="AF41" s="5" t="s">
        <v>103</v>
      </c>
      <c r="AG41" s="5" t="s">
        <v>103</v>
      </c>
      <c r="AH41" s="5" t="s">
        <v>103</v>
      </c>
      <c r="AI41" s="5">
        <v>45527</v>
      </c>
      <c r="AJ41" s="5"/>
      <c r="AK41" s="5"/>
      <c r="AL41" s="5" t="s">
        <v>103</v>
      </c>
      <c r="AM41" s="5" t="s">
        <v>97</v>
      </c>
      <c r="AN41" s="5" t="s">
        <v>103</v>
      </c>
      <c r="AO41" s="5" t="s">
        <v>97</v>
      </c>
      <c r="AP41" s="5" t="s">
        <v>97</v>
      </c>
      <c r="AQ41" s="5" t="s">
        <v>97</v>
      </c>
      <c r="AR41" s="5" t="s">
        <v>97</v>
      </c>
      <c r="AS41" s="5" t="s">
        <v>97</v>
      </c>
      <c r="AT41" s="5" t="s">
        <v>344</v>
      </c>
      <c r="AU41" s="5"/>
      <c r="AV41" s="4" t="s">
        <v>103</v>
      </c>
      <c r="AW41" s="4" t="s">
        <v>103</v>
      </c>
      <c r="AX41" s="4" t="s">
        <v>97</v>
      </c>
      <c r="AY41" s="4" t="s">
        <v>103</v>
      </c>
      <c r="AZ41" s="4" t="s">
        <v>97</v>
      </c>
      <c r="BA41" s="4" t="s">
        <v>97</v>
      </c>
      <c r="BB41" s="5">
        <v>45533</v>
      </c>
      <c r="BC41" s="5">
        <v>45533</v>
      </c>
      <c r="BD41" s="5">
        <v>45534</v>
      </c>
      <c r="BE41" s="5">
        <v>45534</v>
      </c>
      <c r="BF41" s="4" t="s">
        <v>98</v>
      </c>
      <c r="BG41" s="4" t="s">
        <v>103</v>
      </c>
      <c r="BH41" s="4" t="s">
        <v>103</v>
      </c>
      <c r="BI41" s="4" t="s">
        <v>115</v>
      </c>
    </row>
    <row r="42" spans="1:61" x14ac:dyDescent="0.35">
      <c r="A42" s="8" t="str">
        <f t="shared" si="3"/>
        <v>Semaine 35-2024</v>
      </c>
      <c r="B42" s="8" t="str">
        <f t="shared" si="4"/>
        <v>2024</v>
      </c>
      <c r="C42" s="2" t="s">
        <v>57</v>
      </c>
      <c r="D42" s="6" t="str">
        <f t="shared" si="5"/>
        <v>Saint-Louis</v>
      </c>
      <c r="E42" s="6">
        <f t="shared" si="6"/>
        <v>207969</v>
      </c>
      <c r="F42" s="6">
        <f t="shared" si="7"/>
        <v>1150065</v>
      </c>
      <c r="G42" s="4" t="s">
        <v>228</v>
      </c>
      <c r="H42" s="9" t="s">
        <v>231</v>
      </c>
      <c r="I42" s="9">
        <v>18</v>
      </c>
      <c r="J42" s="9" t="s">
        <v>96</v>
      </c>
      <c r="K42" s="9"/>
      <c r="L42" s="9"/>
      <c r="M42" s="9"/>
      <c r="N42" s="9"/>
      <c r="O42" s="4" t="s">
        <v>238</v>
      </c>
      <c r="P42" s="9" t="s">
        <v>97</v>
      </c>
      <c r="Q42" s="9" t="s">
        <v>97</v>
      </c>
      <c r="R42" s="14" t="s">
        <v>100</v>
      </c>
      <c r="S42" s="14" t="s">
        <v>100</v>
      </c>
      <c r="T42" s="14" t="s">
        <v>100</v>
      </c>
      <c r="U42" s="14" t="s">
        <v>285</v>
      </c>
      <c r="V42" s="14"/>
      <c r="W42" s="14"/>
      <c r="X42" s="14"/>
      <c r="Y42" s="5">
        <v>45531</v>
      </c>
      <c r="Z42" s="5">
        <v>45533</v>
      </c>
      <c r="AA42" s="5" t="s">
        <v>103</v>
      </c>
      <c r="AB42" s="5"/>
      <c r="AC42" s="5" t="s">
        <v>103</v>
      </c>
      <c r="AD42" s="5" t="s">
        <v>103</v>
      </c>
      <c r="AE42" s="5" t="s">
        <v>97</v>
      </c>
      <c r="AF42" s="5" t="s">
        <v>103</v>
      </c>
      <c r="AG42" s="5" t="s">
        <v>103</v>
      </c>
      <c r="AH42" s="5" t="s">
        <v>103</v>
      </c>
      <c r="AI42" s="5">
        <v>45531</v>
      </c>
      <c r="AJ42" s="5"/>
      <c r="AK42" s="5"/>
      <c r="AL42" s="5" t="s">
        <v>103</v>
      </c>
      <c r="AM42" s="5" t="s">
        <v>103</v>
      </c>
      <c r="AN42" s="5" t="s">
        <v>103</v>
      </c>
      <c r="AO42" s="5" t="s">
        <v>103</v>
      </c>
      <c r="AP42" s="5" t="s">
        <v>103</v>
      </c>
      <c r="AQ42" s="5" t="s">
        <v>97</v>
      </c>
      <c r="AR42" s="5" t="s">
        <v>97</v>
      </c>
      <c r="AS42" s="5" t="s">
        <v>97</v>
      </c>
      <c r="AT42" s="5" t="s">
        <v>175</v>
      </c>
      <c r="AU42" s="5"/>
      <c r="AV42" s="4" t="s">
        <v>103</v>
      </c>
      <c r="AW42" s="4" t="s">
        <v>97</v>
      </c>
      <c r="AX42" s="4" t="s">
        <v>97</v>
      </c>
      <c r="AY42" s="4" t="s">
        <v>97</v>
      </c>
      <c r="AZ42" s="4" t="s">
        <v>103</v>
      </c>
      <c r="BA42" s="4" t="s">
        <v>97</v>
      </c>
      <c r="BB42" s="5">
        <v>45533</v>
      </c>
      <c r="BC42" s="5">
        <v>45534</v>
      </c>
      <c r="BD42" s="5">
        <v>45535</v>
      </c>
      <c r="BE42" s="5">
        <v>45536</v>
      </c>
      <c r="BF42" s="4" t="s">
        <v>98</v>
      </c>
      <c r="BG42" s="4" t="s">
        <v>103</v>
      </c>
      <c r="BH42" s="4" t="s">
        <v>103</v>
      </c>
      <c r="BI42" s="4" t="s">
        <v>115</v>
      </c>
    </row>
    <row r="43" spans="1:61" x14ac:dyDescent="0.35">
      <c r="A43" s="8" t="str">
        <f t="shared" si="3"/>
        <v>Semaine 35-2024</v>
      </c>
      <c r="B43" s="8" t="str">
        <f t="shared" si="4"/>
        <v>2024</v>
      </c>
      <c r="C43" s="2" t="s">
        <v>61</v>
      </c>
      <c r="D43" s="6" t="str">
        <f t="shared" si="5"/>
        <v>Thies</v>
      </c>
      <c r="E43" s="6">
        <f t="shared" si="6"/>
        <v>153582</v>
      </c>
      <c r="F43" s="6">
        <f t="shared" si="7"/>
        <v>2280463</v>
      </c>
      <c r="G43" s="4" t="s">
        <v>229</v>
      </c>
      <c r="H43" s="4" t="s">
        <v>232</v>
      </c>
      <c r="I43" s="4">
        <v>41</v>
      </c>
      <c r="J43" s="4" t="s">
        <v>114</v>
      </c>
      <c r="K43" s="4"/>
      <c r="L43" s="4"/>
      <c r="M43" s="4"/>
      <c r="N43" s="4"/>
      <c r="O43" s="4" t="s">
        <v>238</v>
      </c>
      <c r="P43" s="4" t="s">
        <v>97</v>
      </c>
      <c r="Q43" s="4" t="s">
        <v>97</v>
      </c>
      <c r="R43" s="14" t="s">
        <v>100</v>
      </c>
      <c r="S43" s="14" t="s">
        <v>100</v>
      </c>
      <c r="T43" s="14" t="s">
        <v>100</v>
      </c>
      <c r="U43" s="14" t="s">
        <v>281</v>
      </c>
      <c r="V43" s="14"/>
      <c r="W43" s="14"/>
      <c r="X43" s="14"/>
      <c r="Y43" s="5">
        <v>45531</v>
      </c>
      <c r="Z43" s="5">
        <v>45533</v>
      </c>
      <c r="AA43" s="5" t="s">
        <v>103</v>
      </c>
      <c r="AB43" s="5"/>
      <c r="AC43" s="5" t="s">
        <v>103</v>
      </c>
      <c r="AD43" s="5" t="s">
        <v>97</v>
      </c>
      <c r="AE43" s="5" t="s">
        <v>97</v>
      </c>
      <c r="AF43" s="5" t="s">
        <v>97</v>
      </c>
      <c r="AG43" s="5" t="s">
        <v>97</v>
      </c>
      <c r="AH43" s="5" t="s">
        <v>103</v>
      </c>
      <c r="AI43" s="5">
        <v>45531</v>
      </c>
      <c r="AJ43" s="5"/>
      <c r="AK43" s="5"/>
      <c r="AL43" s="5" t="s">
        <v>103</v>
      </c>
      <c r="AM43" s="5" t="s">
        <v>103</v>
      </c>
      <c r="AN43" s="5" t="s">
        <v>103</v>
      </c>
      <c r="AO43" s="5" t="s">
        <v>103</v>
      </c>
      <c r="AP43" s="5" t="s">
        <v>103</v>
      </c>
      <c r="AQ43" s="5" t="s">
        <v>97</v>
      </c>
      <c r="AR43" s="5" t="s">
        <v>97</v>
      </c>
      <c r="AS43" s="5" t="s">
        <v>97</v>
      </c>
      <c r="AT43" s="5"/>
      <c r="AU43" s="5"/>
      <c r="AV43" s="4" t="s">
        <v>103</v>
      </c>
      <c r="AW43" s="4" t="s">
        <v>97</v>
      </c>
      <c r="AX43" s="4" t="s">
        <v>97</v>
      </c>
      <c r="AY43" s="4" t="s">
        <v>97</v>
      </c>
      <c r="AZ43" s="4" t="s">
        <v>103</v>
      </c>
      <c r="BA43" s="4" t="s">
        <v>97</v>
      </c>
      <c r="BB43" s="5">
        <v>45533</v>
      </c>
      <c r="BC43" s="5">
        <v>45534</v>
      </c>
      <c r="BD43" s="5">
        <v>45535</v>
      </c>
      <c r="BE43" s="5">
        <v>45536</v>
      </c>
      <c r="BF43" s="4" t="s">
        <v>98</v>
      </c>
      <c r="BG43" s="4" t="s">
        <v>97</v>
      </c>
      <c r="BH43" s="4" t="s">
        <v>103</v>
      </c>
      <c r="BI43" s="4" t="s">
        <v>115</v>
      </c>
    </row>
    <row r="44" spans="1:61" x14ac:dyDescent="0.35">
      <c r="A44" s="8" t="str">
        <f t="shared" si="3"/>
        <v>Semaine 35-2024</v>
      </c>
      <c r="B44" s="8" t="str">
        <f t="shared" si="4"/>
        <v>2024</v>
      </c>
      <c r="C44" s="2" t="s">
        <v>14</v>
      </c>
      <c r="D44" s="6" t="str">
        <f t="shared" si="5"/>
        <v>Sedhiou</v>
      </c>
      <c r="E44" s="6">
        <f t="shared" si="6"/>
        <v>196874</v>
      </c>
      <c r="F44" s="6">
        <f t="shared" si="7"/>
        <v>612650</v>
      </c>
      <c r="G44" s="4" t="s">
        <v>230</v>
      </c>
      <c r="H44" s="9" t="s">
        <v>233</v>
      </c>
      <c r="I44" s="9">
        <v>7</v>
      </c>
      <c r="J44" s="9" t="s">
        <v>96</v>
      </c>
      <c r="K44" s="9" t="s">
        <v>213</v>
      </c>
      <c r="L44" s="9"/>
      <c r="M44" s="9"/>
      <c r="N44" s="9"/>
      <c r="O44" s="4" t="s">
        <v>238</v>
      </c>
      <c r="P44" s="9" t="s">
        <v>97</v>
      </c>
      <c r="Q44" s="9" t="s">
        <v>97</v>
      </c>
      <c r="R44" s="14" t="s">
        <v>100</v>
      </c>
      <c r="S44" s="14" t="s">
        <v>100</v>
      </c>
      <c r="T44" s="14" t="s">
        <v>100</v>
      </c>
      <c r="U44" s="14"/>
      <c r="V44" s="14"/>
      <c r="W44" s="14"/>
      <c r="X44" s="14"/>
      <c r="Y44" s="5">
        <v>45531</v>
      </c>
      <c r="Z44" s="5">
        <v>45533</v>
      </c>
      <c r="AA44" s="5" t="s">
        <v>97</v>
      </c>
      <c r="AB44" s="5"/>
      <c r="AC44" s="5" t="s">
        <v>103</v>
      </c>
      <c r="AD44" s="5" t="s">
        <v>103</v>
      </c>
      <c r="AE44" s="5" t="s">
        <v>97</v>
      </c>
      <c r="AF44" s="5" t="s">
        <v>97</v>
      </c>
      <c r="AG44" s="5" t="s">
        <v>97</v>
      </c>
      <c r="AH44" s="5" t="s">
        <v>103</v>
      </c>
      <c r="AI44" s="5">
        <v>45531</v>
      </c>
      <c r="AJ44" s="5"/>
      <c r="AK44" s="5"/>
      <c r="AL44" s="5" t="s">
        <v>103</v>
      </c>
      <c r="AM44" s="5" t="s">
        <v>97</v>
      </c>
      <c r="AN44" s="5" t="s">
        <v>97</v>
      </c>
      <c r="AO44" s="5" t="s">
        <v>97</v>
      </c>
      <c r="AP44" s="5" t="s">
        <v>103</v>
      </c>
      <c r="AQ44" s="5" t="s">
        <v>97</v>
      </c>
      <c r="AR44" s="5" t="s">
        <v>97</v>
      </c>
      <c r="AS44" s="5" t="s">
        <v>97</v>
      </c>
      <c r="AT44" s="5"/>
      <c r="AU44" s="5"/>
      <c r="AV44" s="4" t="s">
        <v>103</v>
      </c>
      <c r="AW44" s="4" t="s">
        <v>103</v>
      </c>
      <c r="AX44" s="4" t="s">
        <v>97</v>
      </c>
      <c r="AY44" s="4" t="s">
        <v>103</v>
      </c>
      <c r="AZ44" s="4" t="s">
        <v>97</v>
      </c>
      <c r="BA44" s="4" t="s">
        <v>97</v>
      </c>
      <c r="BB44" s="5">
        <v>45533</v>
      </c>
      <c r="BC44" s="5">
        <v>45534</v>
      </c>
      <c r="BD44" s="5">
        <v>45535</v>
      </c>
      <c r="BE44" s="5">
        <v>45536</v>
      </c>
      <c r="BF44" s="4" t="s">
        <v>98</v>
      </c>
      <c r="BG44" s="4" t="s">
        <v>97</v>
      </c>
      <c r="BH44" s="4" t="s">
        <v>103</v>
      </c>
      <c r="BI44" s="4" t="s">
        <v>115</v>
      </c>
    </row>
    <row r="45" spans="1:61" x14ac:dyDescent="0.35">
      <c r="A45" s="8" t="str">
        <f t="shared" si="3"/>
        <v>Semaine 35-2024</v>
      </c>
      <c r="B45" s="8" t="str">
        <f t="shared" si="4"/>
        <v>2024</v>
      </c>
      <c r="C45" s="2" t="s">
        <v>49</v>
      </c>
      <c r="D45" s="6" t="str">
        <f t="shared" si="5"/>
        <v>Dakar</v>
      </c>
      <c r="E45" s="6">
        <f t="shared" si="6"/>
        <v>441950</v>
      </c>
      <c r="F45" s="6">
        <f t="shared" si="7"/>
        <v>4042240</v>
      </c>
      <c r="G45" s="4" t="s">
        <v>239</v>
      </c>
      <c r="H45" s="9" t="s">
        <v>242</v>
      </c>
      <c r="I45" s="9">
        <v>1</v>
      </c>
      <c r="J45" s="9" t="s">
        <v>114</v>
      </c>
      <c r="K45" s="9"/>
      <c r="L45" s="9"/>
      <c r="M45" s="9"/>
      <c r="N45" s="9"/>
      <c r="O45" s="4" t="s">
        <v>238</v>
      </c>
      <c r="P45" s="9" t="s">
        <v>97</v>
      </c>
      <c r="Q45" s="9" t="s">
        <v>97</v>
      </c>
      <c r="R45" s="14" t="s">
        <v>100</v>
      </c>
      <c r="S45" s="14" t="s">
        <v>100</v>
      </c>
      <c r="T45" s="14" t="s">
        <v>100</v>
      </c>
      <c r="U45" s="14" t="s">
        <v>282</v>
      </c>
      <c r="V45" s="14"/>
      <c r="W45" s="14"/>
      <c r="X45" s="14"/>
      <c r="Y45" s="5">
        <v>45532</v>
      </c>
      <c r="Z45" s="5">
        <v>45533</v>
      </c>
      <c r="AA45" s="5" t="s">
        <v>103</v>
      </c>
      <c r="AB45" s="5"/>
      <c r="AC45" s="5" t="s">
        <v>97</v>
      </c>
      <c r="AD45" s="5" t="s">
        <v>97</v>
      </c>
      <c r="AE45" s="5" t="s">
        <v>97</v>
      </c>
      <c r="AF45" s="5" t="s">
        <v>97</v>
      </c>
      <c r="AG45" s="5" t="s">
        <v>97</v>
      </c>
      <c r="AH45" s="5" t="s">
        <v>103</v>
      </c>
      <c r="AI45" s="5">
        <v>45532</v>
      </c>
      <c r="AJ45" s="5"/>
      <c r="AK45" s="5"/>
      <c r="AL45" s="5" t="s">
        <v>103</v>
      </c>
      <c r="AM45" s="5" t="s">
        <v>103</v>
      </c>
      <c r="AN45" s="5" t="s">
        <v>103</v>
      </c>
      <c r="AO45" s="5" t="s">
        <v>103</v>
      </c>
      <c r="AP45" s="5" t="s">
        <v>103</v>
      </c>
      <c r="AQ45" s="5" t="s">
        <v>97</v>
      </c>
      <c r="AR45" s="5" t="s">
        <v>97</v>
      </c>
      <c r="AS45" s="5" t="s">
        <v>97</v>
      </c>
      <c r="AT45" s="5"/>
      <c r="AU45" s="5"/>
      <c r="AV45" s="4" t="s">
        <v>103</v>
      </c>
      <c r="AW45" s="4" t="s">
        <v>97</v>
      </c>
      <c r="AX45" s="4" t="s">
        <v>97</v>
      </c>
      <c r="AY45" s="4" t="s">
        <v>97</v>
      </c>
      <c r="AZ45" s="4" t="s">
        <v>97</v>
      </c>
      <c r="BA45" s="4" t="s">
        <v>97</v>
      </c>
      <c r="BB45" s="5">
        <v>45534</v>
      </c>
      <c r="BC45" s="5">
        <v>45535</v>
      </c>
      <c r="BD45" s="5">
        <v>45537</v>
      </c>
      <c r="BE45" s="5">
        <v>45537</v>
      </c>
      <c r="BF45" s="4" t="s">
        <v>98</v>
      </c>
      <c r="BG45" s="4" t="s">
        <v>97</v>
      </c>
      <c r="BH45" s="4" t="s">
        <v>103</v>
      </c>
      <c r="BI45" s="4" t="s">
        <v>115</v>
      </c>
    </row>
    <row r="46" spans="1:61" x14ac:dyDescent="0.35">
      <c r="A46" s="8" t="str">
        <f t="shared" si="3"/>
        <v>Semaine 35-2024</v>
      </c>
      <c r="B46" s="8" t="str">
        <f t="shared" si="4"/>
        <v>2024</v>
      </c>
      <c r="C46" s="2" t="s">
        <v>21</v>
      </c>
      <c r="D46" s="6" t="str">
        <f t="shared" si="5"/>
        <v>Dakar</v>
      </c>
      <c r="E46" s="6">
        <f t="shared" si="6"/>
        <v>219872</v>
      </c>
      <c r="F46" s="6">
        <f t="shared" si="7"/>
        <v>4042240</v>
      </c>
      <c r="G46" s="4" t="s">
        <v>240</v>
      </c>
      <c r="H46" s="9" t="s">
        <v>243</v>
      </c>
      <c r="I46" s="9">
        <v>58</v>
      </c>
      <c r="J46" s="9" t="s">
        <v>96</v>
      </c>
      <c r="K46" s="9"/>
      <c r="L46" s="9"/>
      <c r="M46" s="9"/>
      <c r="N46" s="9"/>
      <c r="O46" s="9" t="s">
        <v>238</v>
      </c>
      <c r="P46" s="9" t="s">
        <v>97</v>
      </c>
      <c r="Q46" s="9" t="s">
        <v>97</v>
      </c>
      <c r="R46" s="14" t="s">
        <v>100</v>
      </c>
      <c r="S46" s="14" t="s">
        <v>100</v>
      </c>
      <c r="T46" s="14" t="s">
        <v>100</v>
      </c>
      <c r="U46" s="14"/>
      <c r="V46" s="14"/>
      <c r="W46" s="14"/>
      <c r="X46" s="14"/>
      <c r="Y46" s="5">
        <v>45530</v>
      </c>
      <c r="Z46" s="5">
        <v>45537</v>
      </c>
      <c r="AA46" s="5" t="s">
        <v>103</v>
      </c>
      <c r="AB46" s="5"/>
      <c r="AC46" s="5" t="s">
        <v>97</v>
      </c>
      <c r="AD46" s="5" t="s">
        <v>97</v>
      </c>
      <c r="AE46" s="5" t="s">
        <v>97</v>
      </c>
      <c r="AF46" s="5" t="s">
        <v>103</v>
      </c>
      <c r="AG46" s="5" t="s">
        <v>103</v>
      </c>
      <c r="AH46" s="5" t="s">
        <v>103</v>
      </c>
      <c r="AI46" s="5">
        <v>45530</v>
      </c>
      <c r="AJ46" s="5"/>
      <c r="AK46" s="5"/>
      <c r="AL46" s="5" t="s">
        <v>103</v>
      </c>
      <c r="AM46" s="5" t="s">
        <v>103</v>
      </c>
      <c r="AN46" s="5" t="s">
        <v>103</v>
      </c>
      <c r="AO46" s="5" t="s">
        <v>103</v>
      </c>
      <c r="AP46" s="5" t="s">
        <v>103</v>
      </c>
      <c r="AQ46" s="5" t="s">
        <v>97</v>
      </c>
      <c r="AR46" s="5" t="s">
        <v>97</v>
      </c>
      <c r="AS46" s="5" t="s">
        <v>97</v>
      </c>
      <c r="AT46" s="5"/>
      <c r="AU46" s="5"/>
      <c r="AV46" s="4" t="s">
        <v>103</v>
      </c>
      <c r="AW46" s="4" t="s">
        <v>97</v>
      </c>
      <c r="AX46" s="4" t="s">
        <v>103</v>
      </c>
      <c r="AY46" s="4" t="s">
        <v>97</v>
      </c>
      <c r="AZ46" s="4" t="s">
        <v>103</v>
      </c>
      <c r="BA46" s="4" t="s">
        <v>97</v>
      </c>
      <c r="BB46" s="5">
        <v>45537</v>
      </c>
      <c r="BC46" s="5">
        <v>45537</v>
      </c>
      <c r="BD46" s="5">
        <v>45537</v>
      </c>
      <c r="BE46" s="5">
        <v>45537</v>
      </c>
      <c r="BF46" s="4" t="s">
        <v>98</v>
      </c>
      <c r="BG46" s="4" t="s">
        <v>103</v>
      </c>
      <c r="BH46" s="4" t="s">
        <v>103</v>
      </c>
      <c r="BI46" s="4" t="s">
        <v>115</v>
      </c>
    </row>
    <row r="47" spans="1:61" x14ac:dyDescent="0.35">
      <c r="A47" s="8" t="str">
        <f t="shared" si="3"/>
        <v>Semaine 35-2024</v>
      </c>
      <c r="B47" s="8" t="str">
        <f t="shared" si="4"/>
        <v>2024</v>
      </c>
      <c r="C47" s="2" t="s">
        <v>19</v>
      </c>
      <c r="D47" s="6" t="str">
        <f t="shared" si="5"/>
        <v>Dakar</v>
      </c>
      <c r="E47" s="6">
        <f t="shared" si="6"/>
        <v>565040</v>
      </c>
      <c r="F47" s="6">
        <f t="shared" si="7"/>
        <v>4042240</v>
      </c>
      <c r="G47" s="4" t="s">
        <v>241</v>
      </c>
      <c r="H47" s="9" t="s">
        <v>244</v>
      </c>
      <c r="I47" s="9">
        <v>42</v>
      </c>
      <c r="J47" s="9" t="s">
        <v>114</v>
      </c>
      <c r="K47" s="9"/>
      <c r="L47" s="9"/>
      <c r="M47" s="9"/>
      <c r="N47" s="9"/>
      <c r="O47" s="9" t="s">
        <v>238</v>
      </c>
      <c r="P47" s="9" t="s">
        <v>97</v>
      </c>
      <c r="Q47" s="9" t="s">
        <v>97</v>
      </c>
      <c r="R47" s="14" t="s">
        <v>100</v>
      </c>
      <c r="S47" s="14" t="s">
        <v>100</v>
      </c>
      <c r="T47" s="14" t="s">
        <v>100</v>
      </c>
      <c r="U47" s="14"/>
      <c r="V47" s="14"/>
      <c r="W47" s="14"/>
      <c r="X47" s="14"/>
      <c r="Y47" s="5">
        <v>45534</v>
      </c>
      <c r="Z47" s="5">
        <v>45537</v>
      </c>
      <c r="AA47" s="5" t="s">
        <v>103</v>
      </c>
      <c r="AB47" s="5"/>
      <c r="AC47" s="5" t="s">
        <v>97</v>
      </c>
      <c r="AD47" s="5" t="s">
        <v>97</v>
      </c>
      <c r="AE47" s="5" t="s">
        <v>97</v>
      </c>
      <c r="AF47" s="5" t="s">
        <v>97</v>
      </c>
      <c r="AG47" s="5" t="s">
        <v>97</v>
      </c>
      <c r="AH47" s="5" t="s">
        <v>103</v>
      </c>
      <c r="AI47" s="5">
        <v>45534</v>
      </c>
      <c r="AJ47" s="5"/>
      <c r="AK47" s="5"/>
      <c r="AL47" s="5" t="s">
        <v>103</v>
      </c>
      <c r="AM47" s="5" t="s">
        <v>103</v>
      </c>
      <c r="AN47" s="5" t="s">
        <v>97</v>
      </c>
      <c r="AO47" s="5" t="s">
        <v>97</v>
      </c>
      <c r="AP47" s="5" t="s">
        <v>97</v>
      </c>
      <c r="AQ47" s="5" t="s">
        <v>97</v>
      </c>
      <c r="AR47" s="5" t="s">
        <v>97</v>
      </c>
      <c r="AS47" s="5" t="s">
        <v>97</v>
      </c>
      <c r="AT47" s="5"/>
      <c r="AU47" s="5"/>
      <c r="AV47" s="4" t="s">
        <v>103</v>
      </c>
      <c r="AW47" s="4" t="s">
        <v>97</v>
      </c>
      <c r="AX47" s="4" t="s">
        <v>97</v>
      </c>
      <c r="AY47" s="4" t="s">
        <v>97</v>
      </c>
      <c r="AZ47" s="4" t="s">
        <v>97</v>
      </c>
      <c r="BA47" s="4" t="s">
        <v>97</v>
      </c>
      <c r="BB47" s="5">
        <v>45537</v>
      </c>
      <c r="BC47" s="5">
        <v>45537</v>
      </c>
      <c r="BD47" s="5">
        <v>45537</v>
      </c>
      <c r="BE47" s="5">
        <v>45537</v>
      </c>
      <c r="BF47" s="4" t="s">
        <v>98</v>
      </c>
      <c r="BG47" s="4" t="s">
        <v>97</v>
      </c>
      <c r="BH47" s="4" t="s">
        <v>103</v>
      </c>
      <c r="BI47" s="4" t="s">
        <v>115</v>
      </c>
    </row>
    <row r="48" spans="1:61" x14ac:dyDescent="0.35">
      <c r="A48" s="8" t="str">
        <f t="shared" si="3"/>
        <v>Semaine 35-2024</v>
      </c>
      <c r="B48" s="8" t="str">
        <f t="shared" si="4"/>
        <v>2024</v>
      </c>
      <c r="C48" s="2" t="s">
        <v>34</v>
      </c>
      <c r="D48" s="6" t="str">
        <f t="shared" si="5"/>
        <v>Matam</v>
      </c>
      <c r="E48" s="6">
        <f t="shared" si="6"/>
        <v>334751</v>
      </c>
      <c r="F48" s="6">
        <f t="shared" si="7"/>
        <v>789215</v>
      </c>
      <c r="G48" s="4" t="s">
        <v>245</v>
      </c>
      <c r="H48" s="9" t="s">
        <v>246</v>
      </c>
      <c r="I48" s="9">
        <v>15</v>
      </c>
      <c r="J48" s="9" t="s">
        <v>114</v>
      </c>
      <c r="K48" s="9"/>
      <c r="L48" s="9"/>
      <c r="M48" s="9"/>
      <c r="N48" s="9"/>
      <c r="O48" s="9" t="s">
        <v>238</v>
      </c>
      <c r="P48" s="9" t="s">
        <v>97</v>
      </c>
      <c r="Q48" s="9" t="s">
        <v>97</v>
      </c>
      <c r="R48" s="14" t="s">
        <v>100</v>
      </c>
      <c r="S48" s="14" t="s">
        <v>100</v>
      </c>
      <c r="T48" s="14" t="s">
        <v>100</v>
      </c>
      <c r="U48" s="14"/>
      <c r="V48" s="14"/>
      <c r="W48" s="14"/>
      <c r="X48" s="14"/>
      <c r="Y48" s="5">
        <v>45531</v>
      </c>
      <c r="Z48" s="5">
        <v>45533</v>
      </c>
      <c r="AA48" s="5" t="s">
        <v>103</v>
      </c>
      <c r="AB48" s="5"/>
      <c r="AC48" s="5" t="s">
        <v>103</v>
      </c>
      <c r="AD48" s="5" t="s">
        <v>97</v>
      </c>
      <c r="AE48" s="5" t="s">
        <v>97</v>
      </c>
      <c r="AF48" s="5" t="s">
        <v>103</v>
      </c>
      <c r="AG48" s="5" t="s">
        <v>103</v>
      </c>
      <c r="AH48" s="5" t="s">
        <v>103</v>
      </c>
      <c r="AI48" s="5">
        <v>45531</v>
      </c>
      <c r="AJ48" s="5"/>
      <c r="AK48" s="5"/>
      <c r="AL48" s="5" t="s">
        <v>103</v>
      </c>
      <c r="AM48" s="5" t="s">
        <v>103</v>
      </c>
      <c r="AN48" s="5" t="s">
        <v>103</v>
      </c>
      <c r="AO48" s="5" t="s">
        <v>97</v>
      </c>
      <c r="AP48" s="5" t="s">
        <v>97</v>
      </c>
      <c r="AQ48" s="5" t="s">
        <v>97</v>
      </c>
      <c r="AR48" s="5" t="s">
        <v>97</v>
      </c>
      <c r="AS48" s="5" t="s">
        <v>97</v>
      </c>
      <c r="AT48" s="5"/>
      <c r="AU48" s="5"/>
      <c r="AV48" s="4" t="s">
        <v>97</v>
      </c>
      <c r="AW48" s="4" t="s">
        <v>97</v>
      </c>
      <c r="AX48" s="4" t="s">
        <v>97</v>
      </c>
      <c r="AY48" s="4" t="s">
        <v>97</v>
      </c>
      <c r="AZ48" s="4" t="s">
        <v>103</v>
      </c>
      <c r="BA48" s="4" t="s">
        <v>97</v>
      </c>
      <c r="BB48" s="5">
        <v>45533</v>
      </c>
      <c r="BC48" s="5">
        <v>45533</v>
      </c>
      <c r="BD48" s="5">
        <v>45537</v>
      </c>
      <c r="BE48" s="5">
        <v>45537</v>
      </c>
      <c r="BF48" s="4" t="s">
        <v>98</v>
      </c>
      <c r="BG48" s="4" t="s">
        <v>103</v>
      </c>
      <c r="BH48" s="4" t="s">
        <v>103</v>
      </c>
      <c r="BI48" s="4" t="s">
        <v>115</v>
      </c>
    </row>
    <row r="49" spans="1:61" x14ac:dyDescent="0.35">
      <c r="A49" s="8" t="str">
        <f t="shared" si="3"/>
        <v>Semaine 35-2024</v>
      </c>
      <c r="B49" s="8" t="str">
        <f t="shared" si="4"/>
        <v>2024</v>
      </c>
      <c r="C49" s="2" t="s">
        <v>77</v>
      </c>
      <c r="D49" s="6" t="str">
        <f t="shared" si="5"/>
        <v>Dakar</v>
      </c>
      <c r="E49" s="6">
        <f t="shared" si="6"/>
        <v>341880</v>
      </c>
      <c r="F49" s="6">
        <f t="shared" si="7"/>
        <v>4042240</v>
      </c>
      <c r="G49" s="4" t="s">
        <v>247</v>
      </c>
      <c r="H49" s="9" t="s">
        <v>252</v>
      </c>
      <c r="I49" s="9">
        <v>9</v>
      </c>
      <c r="J49" s="9" t="s">
        <v>114</v>
      </c>
      <c r="K49" s="9"/>
      <c r="L49" s="9"/>
      <c r="M49" s="9"/>
      <c r="N49" s="9"/>
      <c r="O49" s="9" t="s">
        <v>238</v>
      </c>
      <c r="P49" s="9" t="s">
        <v>97</v>
      </c>
      <c r="Q49" s="9" t="s">
        <v>97</v>
      </c>
      <c r="R49" s="14" t="s">
        <v>100</v>
      </c>
      <c r="S49" s="14" t="s">
        <v>100</v>
      </c>
      <c r="T49" s="14" t="s">
        <v>100</v>
      </c>
      <c r="U49" s="14"/>
      <c r="V49" s="14"/>
      <c r="W49" s="14"/>
      <c r="X49" s="14"/>
      <c r="Y49" s="5">
        <v>45531</v>
      </c>
      <c r="Z49" s="5">
        <v>45533</v>
      </c>
      <c r="AA49" s="5" t="s">
        <v>103</v>
      </c>
      <c r="AB49" s="5"/>
      <c r="AC49" s="5" t="s">
        <v>97</v>
      </c>
      <c r="AD49" s="5" t="s">
        <v>97</v>
      </c>
      <c r="AE49" s="5" t="s">
        <v>97</v>
      </c>
      <c r="AF49" s="5" t="s">
        <v>97</v>
      </c>
      <c r="AG49" s="5" t="s">
        <v>97</v>
      </c>
      <c r="AH49" s="5" t="s">
        <v>103</v>
      </c>
      <c r="AI49" s="5">
        <v>45531</v>
      </c>
      <c r="AJ49" s="5"/>
      <c r="AK49" s="5"/>
      <c r="AL49" s="5" t="s">
        <v>103</v>
      </c>
      <c r="AM49" s="5" t="s">
        <v>103</v>
      </c>
      <c r="AN49" s="5" t="s">
        <v>103</v>
      </c>
      <c r="AO49" s="5" t="s">
        <v>103</v>
      </c>
      <c r="AP49" s="5" t="s">
        <v>103</v>
      </c>
      <c r="AQ49" s="5" t="s">
        <v>97</v>
      </c>
      <c r="AR49" s="5" t="s">
        <v>97</v>
      </c>
      <c r="AS49" s="5" t="s">
        <v>97</v>
      </c>
      <c r="AT49" s="5"/>
      <c r="AU49" s="5"/>
      <c r="AV49" s="4" t="s">
        <v>97</v>
      </c>
      <c r="AW49" s="4" t="s">
        <v>97</v>
      </c>
      <c r="AX49" s="4" t="s">
        <v>97</v>
      </c>
      <c r="AY49" s="4" t="s">
        <v>97</v>
      </c>
      <c r="AZ49" s="4" t="s">
        <v>103</v>
      </c>
      <c r="BA49" s="4" t="s">
        <v>97</v>
      </c>
      <c r="BB49" s="5">
        <v>45533</v>
      </c>
      <c r="BC49" s="5">
        <v>45539</v>
      </c>
      <c r="BD49" s="5">
        <v>45539</v>
      </c>
      <c r="BE49" s="5">
        <v>45539</v>
      </c>
      <c r="BF49" s="4" t="s">
        <v>98</v>
      </c>
      <c r="BG49" s="4" t="s">
        <v>97</v>
      </c>
      <c r="BH49" s="4" t="s">
        <v>103</v>
      </c>
      <c r="BI49" s="4" t="s">
        <v>145</v>
      </c>
    </row>
    <row r="50" spans="1:61" x14ac:dyDescent="0.35">
      <c r="A50" s="8" t="str">
        <f t="shared" si="3"/>
        <v>Semaine 35-2024</v>
      </c>
      <c r="B50" s="8" t="str">
        <f t="shared" si="4"/>
        <v>2024</v>
      </c>
      <c r="C50" s="2" t="s">
        <v>6</v>
      </c>
      <c r="D50" s="6" t="str">
        <f t="shared" si="5"/>
        <v>Kaffrine</v>
      </c>
      <c r="E50" s="6">
        <f t="shared" si="6"/>
        <v>286531</v>
      </c>
      <c r="F50" s="6">
        <f t="shared" si="7"/>
        <v>782275</v>
      </c>
      <c r="G50" s="4" t="s">
        <v>248</v>
      </c>
      <c r="H50" s="9" t="s">
        <v>253</v>
      </c>
      <c r="I50" s="9">
        <v>8</v>
      </c>
      <c r="J50" s="9" t="s">
        <v>114</v>
      </c>
      <c r="K50" s="9"/>
      <c r="L50" s="9"/>
      <c r="M50" s="9"/>
      <c r="N50" s="9"/>
      <c r="O50" s="9" t="s">
        <v>238</v>
      </c>
      <c r="P50" s="9" t="s">
        <v>97</v>
      </c>
      <c r="Q50" s="9" t="s">
        <v>97</v>
      </c>
      <c r="R50" s="14" t="s">
        <v>100</v>
      </c>
      <c r="S50" s="14" t="s">
        <v>100</v>
      </c>
      <c r="T50" s="14" t="s">
        <v>100</v>
      </c>
      <c r="U50" s="14"/>
      <c r="V50" s="14"/>
      <c r="W50" s="14"/>
      <c r="X50" s="14"/>
      <c r="Y50" s="5">
        <v>45533</v>
      </c>
      <c r="Z50" s="5">
        <v>45535</v>
      </c>
      <c r="AA50" s="5" t="s">
        <v>97</v>
      </c>
      <c r="AB50" s="5"/>
      <c r="AC50" s="5" t="s">
        <v>97</v>
      </c>
      <c r="AD50" s="5" t="s">
        <v>97</v>
      </c>
      <c r="AE50" s="5" t="s">
        <v>97</v>
      </c>
      <c r="AF50" s="5" t="s">
        <v>97</v>
      </c>
      <c r="AG50" s="5" t="s">
        <v>97</v>
      </c>
      <c r="AH50" s="5" t="s">
        <v>103</v>
      </c>
      <c r="AI50" s="5">
        <v>45533</v>
      </c>
      <c r="AJ50" s="5"/>
      <c r="AK50" s="5"/>
      <c r="AL50" s="5" t="s">
        <v>103</v>
      </c>
      <c r="AM50" s="5" t="s">
        <v>103</v>
      </c>
      <c r="AN50" s="5" t="s">
        <v>97</v>
      </c>
      <c r="AO50" s="5" t="s">
        <v>103</v>
      </c>
      <c r="AP50" s="5" t="s">
        <v>103</v>
      </c>
      <c r="AQ50" s="5" t="s">
        <v>97</v>
      </c>
      <c r="AR50" s="5" t="s">
        <v>97</v>
      </c>
      <c r="AS50" s="5" t="s">
        <v>97</v>
      </c>
      <c r="AT50" s="5"/>
      <c r="AU50" s="5"/>
      <c r="AV50" s="4" t="s">
        <v>97</v>
      </c>
      <c r="AW50" s="4" t="s">
        <v>97</v>
      </c>
      <c r="AX50" s="4" t="s">
        <v>97</v>
      </c>
      <c r="AY50" s="4" t="s">
        <v>97</v>
      </c>
      <c r="AZ50" s="4" t="s">
        <v>103</v>
      </c>
      <c r="BA50" s="4" t="s">
        <v>97</v>
      </c>
      <c r="BB50" s="5">
        <v>45535</v>
      </c>
      <c r="BC50" s="5">
        <v>45537</v>
      </c>
      <c r="BD50" s="5">
        <v>45539</v>
      </c>
      <c r="BE50" s="5">
        <v>45539</v>
      </c>
      <c r="BF50" s="4" t="s">
        <v>98</v>
      </c>
      <c r="BG50" s="4" t="s">
        <v>97</v>
      </c>
      <c r="BH50" s="4" t="s">
        <v>103</v>
      </c>
      <c r="BI50" s="4" t="s">
        <v>145</v>
      </c>
    </row>
    <row r="51" spans="1:61" x14ac:dyDescent="0.35">
      <c r="A51" s="8" t="str">
        <f t="shared" si="3"/>
        <v>Semaine 35-2024</v>
      </c>
      <c r="B51" s="8" t="str">
        <f t="shared" si="4"/>
        <v>2024</v>
      </c>
      <c r="C51" s="2" t="s">
        <v>6</v>
      </c>
      <c r="D51" s="6" t="str">
        <f t="shared" si="5"/>
        <v>Kaffrine</v>
      </c>
      <c r="E51" s="6">
        <f t="shared" si="6"/>
        <v>286531</v>
      </c>
      <c r="F51" s="6">
        <f t="shared" si="7"/>
        <v>782275</v>
      </c>
      <c r="G51" s="4" t="s">
        <v>249</v>
      </c>
      <c r="H51" s="9" t="s">
        <v>254</v>
      </c>
      <c r="I51" s="9">
        <v>4</v>
      </c>
      <c r="J51" s="9" t="s">
        <v>114</v>
      </c>
      <c r="K51" s="9"/>
      <c r="L51" s="9"/>
      <c r="M51" s="9"/>
      <c r="N51" s="9"/>
      <c r="O51" s="9" t="s">
        <v>238</v>
      </c>
      <c r="P51" s="9" t="s">
        <v>97</v>
      </c>
      <c r="Q51" s="9" t="s">
        <v>97</v>
      </c>
      <c r="R51" s="14" t="s">
        <v>100</v>
      </c>
      <c r="S51" s="14" t="s">
        <v>100</v>
      </c>
      <c r="T51" s="14" t="s">
        <v>100</v>
      </c>
      <c r="U51" s="14"/>
      <c r="V51" s="14"/>
      <c r="W51" s="14"/>
      <c r="X51" s="14"/>
      <c r="Y51" s="5">
        <v>45532</v>
      </c>
      <c r="Z51" s="5">
        <v>45534</v>
      </c>
      <c r="AA51" s="5" t="s">
        <v>97</v>
      </c>
      <c r="AB51" s="5"/>
      <c r="AC51" s="5" t="s">
        <v>97</v>
      </c>
      <c r="AD51" s="5" t="s">
        <v>97</v>
      </c>
      <c r="AE51" s="5" t="s">
        <v>97</v>
      </c>
      <c r="AF51" s="5" t="s">
        <v>97</v>
      </c>
      <c r="AG51" s="5" t="s">
        <v>97</v>
      </c>
      <c r="AH51" s="5" t="s">
        <v>103</v>
      </c>
      <c r="AI51" s="5">
        <v>45532</v>
      </c>
      <c r="AJ51" s="5"/>
      <c r="AK51" s="5"/>
      <c r="AL51" s="5" t="s">
        <v>103</v>
      </c>
      <c r="AM51" s="5" t="s">
        <v>97</v>
      </c>
      <c r="AN51" s="5" t="s">
        <v>103</v>
      </c>
      <c r="AO51" s="5" t="s">
        <v>103</v>
      </c>
      <c r="AP51" s="5" t="s">
        <v>103</v>
      </c>
      <c r="AQ51" s="5" t="s">
        <v>97</v>
      </c>
      <c r="AR51" s="5" t="s">
        <v>97</v>
      </c>
      <c r="AS51" s="5" t="s">
        <v>97</v>
      </c>
      <c r="AT51" s="5"/>
      <c r="AU51" s="5"/>
      <c r="AV51" s="4" t="s">
        <v>97</v>
      </c>
      <c r="AW51" s="4" t="s">
        <v>97</v>
      </c>
      <c r="AX51" s="4" t="s">
        <v>97</v>
      </c>
      <c r="AY51" s="4" t="s">
        <v>97</v>
      </c>
      <c r="AZ51" s="4" t="s">
        <v>103</v>
      </c>
      <c r="BA51" s="4" t="s">
        <v>97</v>
      </c>
      <c r="BB51" s="5">
        <v>45534</v>
      </c>
      <c r="BC51" s="5">
        <v>45537</v>
      </c>
      <c r="BD51" s="5">
        <v>45539</v>
      </c>
      <c r="BE51" s="5">
        <v>45539</v>
      </c>
      <c r="BF51" s="4" t="s">
        <v>98</v>
      </c>
      <c r="BG51" s="4" t="s">
        <v>97</v>
      </c>
      <c r="BH51" s="4" t="s">
        <v>103</v>
      </c>
      <c r="BI51" s="4" t="s">
        <v>145</v>
      </c>
    </row>
    <row r="52" spans="1:61" x14ac:dyDescent="0.35">
      <c r="A52" s="8" t="str">
        <f t="shared" si="3"/>
        <v>Semaine 35-2024</v>
      </c>
      <c r="B52" s="8" t="str">
        <f t="shared" si="4"/>
        <v>2024</v>
      </c>
      <c r="C52" s="2" t="s">
        <v>4</v>
      </c>
      <c r="D52" s="6" t="str">
        <f t="shared" si="5"/>
        <v>Thies</v>
      </c>
      <c r="E52" s="6">
        <f t="shared" si="6"/>
        <v>462449</v>
      </c>
      <c r="F52" s="6">
        <f t="shared" si="7"/>
        <v>2280463</v>
      </c>
      <c r="G52" s="4" t="s">
        <v>250</v>
      </c>
      <c r="H52" s="9" t="s">
        <v>255</v>
      </c>
      <c r="I52" s="9">
        <v>33</v>
      </c>
      <c r="J52" s="9" t="s">
        <v>114</v>
      </c>
      <c r="K52" s="9" t="s">
        <v>258</v>
      </c>
      <c r="L52" s="19">
        <v>45535</v>
      </c>
      <c r="M52" s="9" t="s">
        <v>256</v>
      </c>
      <c r="N52" s="19">
        <v>45536</v>
      </c>
      <c r="O52" s="9" t="s">
        <v>238</v>
      </c>
      <c r="P52" s="9" t="s">
        <v>97</v>
      </c>
      <c r="Q52" s="9" t="s">
        <v>103</v>
      </c>
      <c r="R52" s="14" t="s">
        <v>100</v>
      </c>
      <c r="S52" s="14" t="s">
        <v>100</v>
      </c>
      <c r="T52" s="14" t="s">
        <v>100</v>
      </c>
      <c r="U52" s="14"/>
      <c r="V52" s="14"/>
      <c r="W52" s="14"/>
      <c r="X52" s="14"/>
      <c r="Y52" s="5">
        <v>45536</v>
      </c>
      <c r="Z52" s="5">
        <v>45539</v>
      </c>
      <c r="AA52" s="5" t="s">
        <v>103</v>
      </c>
      <c r="AB52" s="5" t="s">
        <v>257</v>
      </c>
      <c r="AC52" s="5" t="s">
        <v>103</v>
      </c>
      <c r="AD52" s="5" t="s">
        <v>103</v>
      </c>
      <c r="AE52" s="5" t="s">
        <v>97</v>
      </c>
      <c r="AF52" s="5" t="s">
        <v>97</v>
      </c>
      <c r="AG52" s="5" t="s">
        <v>97</v>
      </c>
      <c r="AH52" s="5" t="s">
        <v>103</v>
      </c>
      <c r="AI52" s="5">
        <v>45536</v>
      </c>
      <c r="AJ52" s="5" t="s">
        <v>103</v>
      </c>
      <c r="AK52" s="5" t="s">
        <v>103</v>
      </c>
      <c r="AL52" s="5" t="s">
        <v>103</v>
      </c>
      <c r="AM52" s="5" t="s">
        <v>103</v>
      </c>
      <c r="AN52" s="5" t="s">
        <v>103</v>
      </c>
      <c r="AO52" s="5" t="s">
        <v>97</v>
      </c>
      <c r="AP52" s="5" t="s">
        <v>97</v>
      </c>
      <c r="AQ52" s="5" t="s">
        <v>103</v>
      </c>
      <c r="AR52" s="5" t="s">
        <v>97</v>
      </c>
      <c r="AS52" s="5" t="s">
        <v>103</v>
      </c>
      <c r="AT52" s="5"/>
      <c r="AU52" s="5"/>
      <c r="AV52" s="4" t="s">
        <v>103</v>
      </c>
      <c r="AW52" s="4" t="s">
        <v>97</v>
      </c>
      <c r="AX52" s="4" t="s">
        <v>97</v>
      </c>
      <c r="AY52" s="4" t="s">
        <v>97</v>
      </c>
      <c r="AZ52" s="4" t="s">
        <v>103</v>
      </c>
      <c r="BA52" s="4" t="s">
        <v>97</v>
      </c>
      <c r="BB52" s="5">
        <v>45539</v>
      </c>
      <c r="BC52" s="5">
        <v>45539</v>
      </c>
      <c r="BD52" s="5">
        <v>45539</v>
      </c>
      <c r="BE52" s="5">
        <v>45539</v>
      </c>
      <c r="BF52" s="4" t="s">
        <v>98</v>
      </c>
      <c r="BG52" s="4" t="s">
        <v>97</v>
      </c>
      <c r="BH52" s="4" t="s">
        <v>103</v>
      </c>
      <c r="BI52" s="4" t="s">
        <v>115</v>
      </c>
    </row>
    <row r="53" spans="1:61" x14ac:dyDescent="0.35">
      <c r="A53" s="8" t="str">
        <f t="shared" si="3"/>
        <v>Semaine 35-2024</v>
      </c>
      <c r="B53" s="8" t="str">
        <f t="shared" si="4"/>
        <v>2024</v>
      </c>
      <c r="C53" s="2" t="s">
        <v>66</v>
      </c>
      <c r="D53" s="6" t="str">
        <f t="shared" si="5"/>
        <v>Louga</v>
      </c>
      <c r="E53" s="6">
        <f t="shared" si="6"/>
        <v>91992</v>
      </c>
      <c r="F53" s="6">
        <f t="shared" si="7"/>
        <v>1121619</v>
      </c>
      <c r="G53" s="4" t="s">
        <v>251</v>
      </c>
      <c r="H53" s="9" t="s">
        <v>259</v>
      </c>
      <c r="I53" s="9">
        <v>1</v>
      </c>
      <c r="J53" s="9" t="s">
        <v>114</v>
      </c>
      <c r="K53" s="9"/>
      <c r="L53" s="9"/>
      <c r="M53" s="9"/>
      <c r="N53" s="9"/>
      <c r="O53" s="9" t="s">
        <v>238</v>
      </c>
      <c r="P53" s="9" t="s">
        <v>97</v>
      </c>
      <c r="Q53" s="9" t="s">
        <v>97</v>
      </c>
      <c r="R53" s="14" t="s">
        <v>100</v>
      </c>
      <c r="S53" s="14" t="s">
        <v>100</v>
      </c>
      <c r="T53" s="14" t="s">
        <v>100</v>
      </c>
      <c r="U53" s="14"/>
      <c r="V53" s="14"/>
      <c r="W53" s="14"/>
      <c r="X53" s="14"/>
      <c r="Y53" s="5">
        <v>45535</v>
      </c>
      <c r="Z53" s="5">
        <v>45537</v>
      </c>
      <c r="AA53" s="5" t="s">
        <v>103</v>
      </c>
      <c r="AB53" s="5"/>
      <c r="AC53" s="5" t="s">
        <v>97</v>
      </c>
      <c r="AD53" s="5" t="s">
        <v>97</v>
      </c>
      <c r="AE53" s="5" t="s">
        <v>97</v>
      </c>
      <c r="AF53" s="5" t="s">
        <v>97</v>
      </c>
      <c r="AG53" s="5" t="s">
        <v>97</v>
      </c>
      <c r="AH53" s="5" t="s">
        <v>103</v>
      </c>
      <c r="AI53" s="5">
        <v>45536</v>
      </c>
      <c r="AJ53" s="5"/>
      <c r="AK53" s="5"/>
      <c r="AL53" s="5" t="s">
        <v>103</v>
      </c>
      <c r="AM53" s="5" t="s">
        <v>103</v>
      </c>
      <c r="AN53" s="5" t="s">
        <v>103</v>
      </c>
      <c r="AO53" s="5" t="s">
        <v>103</v>
      </c>
      <c r="AP53" s="5" t="s">
        <v>103</v>
      </c>
      <c r="AQ53" s="5" t="s">
        <v>97</v>
      </c>
      <c r="AR53" s="5" t="s">
        <v>97</v>
      </c>
      <c r="AS53" s="5" t="s">
        <v>97</v>
      </c>
      <c r="AT53" s="5"/>
      <c r="AU53" s="5"/>
      <c r="AV53" s="4" t="s">
        <v>103</v>
      </c>
      <c r="AW53" s="4" t="s">
        <v>97</v>
      </c>
      <c r="AX53" s="4" t="s">
        <v>97</v>
      </c>
      <c r="AY53" s="4" t="s">
        <v>97</v>
      </c>
      <c r="AZ53" s="4" t="s">
        <v>103</v>
      </c>
      <c r="BA53" s="4" t="s">
        <v>97</v>
      </c>
      <c r="BB53" s="5">
        <v>45537</v>
      </c>
      <c r="BC53" s="5">
        <v>45537</v>
      </c>
      <c r="BD53" s="5">
        <v>45539</v>
      </c>
      <c r="BE53" s="5">
        <v>45539</v>
      </c>
      <c r="BF53" s="4" t="s">
        <v>98</v>
      </c>
      <c r="BG53" s="4" t="s">
        <v>97</v>
      </c>
      <c r="BH53" s="4" t="s">
        <v>103</v>
      </c>
      <c r="BI53" s="4" t="s">
        <v>115</v>
      </c>
    </row>
    <row r="54" spans="1:61" x14ac:dyDescent="0.35">
      <c r="A54" s="8" t="str">
        <f t="shared" si="3"/>
        <v>Semaine 35-2024</v>
      </c>
      <c r="B54" s="8" t="str">
        <f t="shared" si="4"/>
        <v>2024</v>
      </c>
      <c r="C54" s="2" t="s">
        <v>58</v>
      </c>
      <c r="D54" s="6" t="str">
        <f t="shared" si="5"/>
        <v>Dakar</v>
      </c>
      <c r="E54" s="6">
        <f t="shared" si="6"/>
        <v>423495</v>
      </c>
      <c r="F54" s="6">
        <f t="shared" si="7"/>
        <v>4042240</v>
      </c>
      <c r="G54" s="4" t="s">
        <v>260</v>
      </c>
      <c r="H54" s="9" t="s">
        <v>263</v>
      </c>
      <c r="I54" s="9">
        <v>43</v>
      </c>
      <c r="J54" s="9" t="s">
        <v>114</v>
      </c>
      <c r="K54" s="9"/>
      <c r="L54" s="9"/>
      <c r="M54" s="9"/>
      <c r="N54" s="9"/>
      <c r="O54" s="9" t="s">
        <v>238</v>
      </c>
      <c r="P54" s="9" t="s">
        <v>97</v>
      </c>
      <c r="Q54" s="9" t="s">
        <v>97</v>
      </c>
      <c r="R54" s="14" t="s">
        <v>100</v>
      </c>
      <c r="S54" s="14" t="s">
        <v>100</v>
      </c>
      <c r="T54" s="14" t="s">
        <v>100</v>
      </c>
      <c r="U54" s="14"/>
      <c r="V54" s="14"/>
      <c r="W54" s="14"/>
      <c r="X54" s="14"/>
      <c r="Y54" s="5">
        <v>45536</v>
      </c>
      <c r="Z54" s="5">
        <v>45539</v>
      </c>
      <c r="AA54" s="5" t="s">
        <v>103</v>
      </c>
      <c r="AB54" s="5" t="s">
        <v>264</v>
      </c>
      <c r="AC54" s="5" t="s">
        <v>97</v>
      </c>
      <c r="AD54" s="5" t="s">
        <v>97</v>
      </c>
      <c r="AE54" s="5" t="s">
        <v>103</v>
      </c>
      <c r="AF54" s="5" t="s">
        <v>103</v>
      </c>
      <c r="AG54" s="5" t="s">
        <v>103</v>
      </c>
      <c r="AH54" s="5" t="s">
        <v>103</v>
      </c>
      <c r="AI54" s="5">
        <v>45536</v>
      </c>
      <c r="AJ54" s="5" t="s">
        <v>103</v>
      </c>
      <c r="AK54" s="5"/>
      <c r="AL54" s="5" t="s">
        <v>103</v>
      </c>
      <c r="AM54" s="5" t="s">
        <v>103</v>
      </c>
      <c r="AN54" s="5" t="s">
        <v>103</v>
      </c>
      <c r="AO54" s="5" t="s">
        <v>97</v>
      </c>
      <c r="AP54" s="5" t="s">
        <v>97</v>
      </c>
      <c r="AQ54" s="5" t="s">
        <v>97</v>
      </c>
      <c r="AR54" s="5" t="s">
        <v>97</v>
      </c>
      <c r="AS54" s="5" t="s">
        <v>97</v>
      </c>
      <c r="AT54" s="5"/>
      <c r="AU54" s="5"/>
      <c r="AV54" s="4" t="s">
        <v>103</v>
      </c>
      <c r="AW54" s="4" t="s">
        <v>103</v>
      </c>
      <c r="AX54" s="4" t="s">
        <v>97</v>
      </c>
      <c r="AY54" s="4" t="s">
        <v>97</v>
      </c>
      <c r="AZ54" s="4" t="s">
        <v>103</v>
      </c>
      <c r="BA54" s="4" t="s">
        <v>97</v>
      </c>
      <c r="BB54" s="5">
        <v>45539</v>
      </c>
      <c r="BC54" s="5">
        <v>45539</v>
      </c>
      <c r="BD54" s="5">
        <v>45540</v>
      </c>
      <c r="BE54" s="5">
        <v>45540</v>
      </c>
      <c r="BF54" s="4" t="s">
        <v>98</v>
      </c>
      <c r="BG54" s="4" t="s">
        <v>97</v>
      </c>
      <c r="BH54" s="4" t="s">
        <v>103</v>
      </c>
      <c r="BI54" s="4" t="s">
        <v>115</v>
      </c>
    </row>
    <row r="55" spans="1:61" x14ac:dyDescent="0.35">
      <c r="A55" s="8" t="str">
        <f t="shared" si="3"/>
        <v>Semaine 36-2024</v>
      </c>
      <c r="B55" s="8" t="str">
        <f t="shared" si="4"/>
        <v>2024</v>
      </c>
      <c r="C55" s="2" t="s">
        <v>20</v>
      </c>
      <c r="D55" s="6" t="str">
        <f t="shared" si="5"/>
        <v>Dakar</v>
      </c>
      <c r="E55" s="6">
        <f t="shared" si="6"/>
        <v>272276</v>
      </c>
      <c r="F55" s="6">
        <f t="shared" si="7"/>
        <v>4042240</v>
      </c>
      <c r="G55" s="4" t="s">
        <v>261</v>
      </c>
      <c r="H55" s="9" t="s">
        <v>265</v>
      </c>
      <c r="I55" s="9">
        <v>32</v>
      </c>
      <c r="J55" s="9" t="s">
        <v>114</v>
      </c>
      <c r="K55" s="9"/>
      <c r="L55" s="9"/>
      <c r="M55" s="9"/>
      <c r="N55" s="9"/>
      <c r="O55" s="9" t="s">
        <v>238</v>
      </c>
      <c r="P55" s="9" t="s">
        <v>97</v>
      </c>
      <c r="Q55" s="9" t="s">
        <v>97</v>
      </c>
      <c r="R55" s="14" t="s">
        <v>100</v>
      </c>
      <c r="S55" s="14" t="s">
        <v>100</v>
      </c>
      <c r="T55" s="14" t="s">
        <v>100</v>
      </c>
      <c r="U55" s="14" t="s">
        <v>283</v>
      </c>
      <c r="V55" s="14" t="s">
        <v>284</v>
      </c>
      <c r="W55" s="14"/>
      <c r="X55" s="14"/>
      <c r="Y55" s="5">
        <v>45538</v>
      </c>
      <c r="Z55" s="5">
        <v>45540</v>
      </c>
      <c r="AA55" s="5" t="s">
        <v>103</v>
      </c>
      <c r="AB55" s="5"/>
      <c r="AC55" s="5" t="s">
        <v>97</v>
      </c>
      <c r="AD55" s="5" t="s">
        <v>97</v>
      </c>
      <c r="AE55" s="5" t="s">
        <v>97</v>
      </c>
      <c r="AF55" s="5" t="s">
        <v>103</v>
      </c>
      <c r="AG55" s="5" t="s">
        <v>103</v>
      </c>
      <c r="AH55" s="5" t="s">
        <v>103</v>
      </c>
      <c r="AI55" s="5">
        <v>45538</v>
      </c>
      <c r="AJ55" s="5"/>
      <c r="AK55" s="5"/>
      <c r="AL55" s="5" t="s">
        <v>103</v>
      </c>
      <c r="AM55" s="5" t="s">
        <v>103</v>
      </c>
      <c r="AN55" s="5" t="s">
        <v>103</v>
      </c>
      <c r="AO55" s="5" t="s">
        <v>103</v>
      </c>
      <c r="AP55" s="5" t="s">
        <v>103</v>
      </c>
      <c r="AQ55" s="5" t="s">
        <v>97</v>
      </c>
      <c r="AR55" s="5" t="s">
        <v>97</v>
      </c>
      <c r="AS55" s="5" t="s">
        <v>97</v>
      </c>
      <c r="AT55" s="5" t="s">
        <v>266</v>
      </c>
      <c r="AU55" s="5"/>
      <c r="AV55" s="4" t="s">
        <v>103</v>
      </c>
      <c r="AW55" s="4" t="s">
        <v>97</v>
      </c>
      <c r="AX55" s="4" t="s">
        <v>97</v>
      </c>
      <c r="AY55" s="4" t="s">
        <v>97</v>
      </c>
      <c r="AZ55" s="4" t="s">
        <v>103</v>
      </c>
      <c r="BA55" s="4" t="s">
        <v>97</v>
      </c>
      <c r="BB55" s="5">
        <v>45540</v>
      </c>
      <c r="BC55" s="5">
        <v>45540</v>
      </c>
      <c r="BD55" s="5">
        <v>45540</v>
      </c>
      <c r="BE55" s="5">
        <v>45540</v>
      </c>
      <c r="BF55" s="4" t="s">
        <v>98</v>
      </c>
      <c r="BG55" s="4" t="s">
        <v>97</v>
      </c>
      <c r="BH55" s="4" t="s">
        <v>103</v>
      </c>
      <c r="BI55" s="4" t="s">
        <v>115</v>
      </c>
    </row>
    <row r="56" spans="1:61" x14ac:dyDescent="0.35">
      <c r="A56" s="8" t="str">
        <f t="shared" si="3"/>
        <v>Semaine 34-2024</v>
      </c>
      <c r="B56" s="8" t="str">
        <f t="shared" si="4"/>
        <v>2024</v>
      </c>
      <c r="C56" s="2" t="s">
        <v>21</v>
      </c>
      <c r="D56" s="6" t="str">
        <f t="shared" si="5"/>
        <v>Dakar</v>
      </c>
      <c r="E56" s="6">
        <f t="shared" si="6"/>
        <v>219872</v>
      </c>
      <c r="F56" s="6">
        <f t="shared" si="7"/>
        <v>4042240</v>
      </c>
      <c r="G56" s="4" t="s">
        <v>262</v>
      </c>
      <c r="H56" s="9" t="s">
        <v>267</v>
      </c>
      <c r="I56" s="9">
        <v>30</v>
      </c>
      <c r="J56" s="9" t="s">
        <v>114</v>
      </c>
      <c r="K56" s="9" t="s">
        <v>268</v>
      </c>
      <c r="L56" s="9"/>
      <c r="M56" s="9"/>
      <c r="N56" s="9"/>
      <c r="O56" s="9" t="s">
        <v>238</v>
      </c>
      <c r="P56" s="9" t="s">
        <v>97</v>
      </c>
      <c r="Q56" s="9" t="s">
        <v>97</v>
      </c>
      <c r="R56" s="14" t="s">
        <v>100</v>
      </c>
      <c r="S56" s="14" t="s">
        <v>100</v>
      </c>
      <c r="T56" s="14" t="s">
        <v>100</v>
      </c>
      <c r="U56" s="14" t="s">
        <v>287</v>
      </c>
      <c r="V56" s="14"/>
      <c r="W56" s="14"/>
      <c r="X56" s="14"/>
      <c r="Y56" s="5">
        <v>45526</v>
      </c>
      <c r="Z56" s="5">
        <v>45540</v>
      </c>
      <c r="AA56" s="5" t="s">
        <v>103</v>
      </c>
      <c r="AB56" s="5"/>
      <c r="AC56" s="5" t="s">
        <v>103</v>
      </c>
      <c r="AD56" s="5" t="s">
        <v>97</v>
      </c>
      <c r="AE56" s="5" t="s">
        <v>103</v>
      </c>
      <c r="AF56" s="5" t="s">
        <v>97</v>
      </c>
      <c r="AG56" s="5" t="s">
        <v>103</v>
      </c>
      <c r="AH56" s="5" t="s">
        <v>103</v>
      </c>
      <c r="AI56" s="5">
        <v>45526</v>
      </c>
      <c r="AJ56" s="5" t="s">
        <v>103</v>
      </c>
      <c r="AK56" s="5"/>
      <c r="AL56" s="5" t="s">
        <v>103</v>
      </c>
      <c r="AM56" s="5" t="s">
        <v>103</v>
      </c>
      <c r="AN56" s="5" t="s">
        <v>103</v>
      </c>
      <c r="AO56" s="5" t="s">
        <v>97</v>
      </c>
      <c r="AP56" s="5" t="s">
        <v>97</v>
      </c>
      <c r="AQ56" s="5" t="s">
        <v>103</v>
      </c>
      <c r="AR56" s="5" t="s">
        <v>97</v>
      </c>
      <c r="AS56" s="5" t="s">
        <v>103</v>
      </c>
      <c r="AT56" s="5"/>
      <c r="AU56" s="5" t="s">
        <v>269</v>
      </c>
      <c r="AV56" s="4" t="s">
        <v>103</v>
      </c>
      <c r="AW56" s="4" t="s">
        <v>97</v>
      </c>
      <c r="AX56" s="4" t="s">
        <v>103</v>
      </c>
      <c r="AY56" s="4" t="s">
        <v>97</v>
      </c>
      <c r="AZ56" s="4" t="s">
        <v>97</v>
      </c>
      <c r="BA56" s="4" t="s">
        <v>97</v>
      </c>
      <c r="BB56" s="5">
        <v>45540</v>
      </c>
      <c r="BC56" s="5">
        <v>45540</v>
      </c>
      <c r="BD56" s="5">
        <v>45540</v>
      </c>
      <c r="BE56" s="5">
        <v>45540</v>
      </c>
      <c r="BF56" s="4" t="s">
        <v>98</v>
      </c>
      <c r="BG56" s="4" t="s">
        <v>97</v>
      </c>
      <c r="BH56" s="4" t="s">
        <v>103</v>
      </c>
      <c r="BI56" s="4" t="s">
        <v>115</v>
      </c>
    </row>
    <row r="57" spans="1:61" x14ac:dyDescent="0.35">
      <c r="A57" s="8" t="str">
        <f t="shared" si="3"/>
        <v>Semaine 35-2024</v>
      </c>
      <c r="B57" s="8" t="str">
        <f t="shared" si="4"/>
        <v>2024</v>
      </c>
      <c r="C57" s="2" t="s">
        <v>32</v>
      </c>
      <c r="D57" s="6" t="str">
        <f t="shared" si="5"/>
        <v>Kaolack</v>
      </c>
      <c r="E57" s="6">
        <f t="shared" si="6"/>
        <v>151881</v>
      </c>
      <c r="F57" s="6">
        <f t="shared" si="7"/>
        <v>1267013</v>
      </c>
      <c r="G57" s="4" t="s">
        <v>270</v>
      </c>
      <c r="H57" s="9" t="s">
        <v>271</v>
      </c>
      <c r="I57" s="9">
        <v>5</v>
      </c>
      <c r="J57" s="9" t="s">
        <v>114</v>
      </c>
      <c r="K57" s="9"/>
      <c r="L57" s="9"/>
      <c r="M57" s="9"/>
      <c r="N57" s="9"/>
      <c r="O57" s="9" t="s">
        <v>238</v>
      </c>
      <c r="P57" s="9" t="s">
        <v>97</v>
      </c>
      <c r="Q57" s="9" t="s">
        <v>97</v>
      </c>
      <c r="R57" s="14" t="s">
        <v>100</v>
      </c>
      <c r="S57" s="14" t="s">
        <v>100</v>
      </c>
      <c r="T57" s="14" t="s">
        <v>100</v>
      </c>
      <c r="U57" s="14"/>
      <c r="V57" s="14"/>
      <c r="W57" s="14"/>
      <c r="X57" s="14"/>
      <c r="Y57" s="5">
        <v>45533</v>
      </c>
      <c r="Z57" s="5">
        <v>45538</v>
      </c>
      <c r="AA57" s="5" t="s">
        <v>103</v>
      </c>
      <c r="AB57" s="5" t="s">
        <v>272</v>
      </c>
      <c r="AC57" s="5" t="s">
        <v>97</v>
      </c>
      <c r="AD57" s="5" t="s">
        <v>103</v>
      </c>
      <c r="AE57" s="5" t="s">
        <v>97</v>
      </c>
      <c r="AF57" s="5" t="s">
        <v>97</v>
      </c>
      <c r="AG57" s="5" t="s">
        <v>97</v>
      </c>
      <c r="AH57" s="5" t="s">
        <v>103</v>
      </c>
      <c r="AI57" s="5">
        <v>45534</v>
      </c>
      <c r="AJ57" s="5" t="s">
        <v>103</v>
      </c>
      <c r="AK57" s="5" t="s">
        <v>103</v>
      </c>
      <c r="AL57" s="5" t="s">
        <v>97</v>
      </c>
      <c r="AM57" s="5" t="s">
        <v>103</v>
      </c>
      <c r="AN57" s="5" t="s">
        <v>103</v>
      </c>
      <c r="AO57" s="5" t="s">
        <v>97</v>
      </c>
      <c r="AP57" s="5" t="s">
        <v>97</v>
      </c>
      <c r="AQ57" s="5" t="s">
        <v>97</v>
      </c>
      <c r="AR57" s="5" t="s">
        <v>97</v>
      </c>
      <c r="AS57" s="5" t="s">
        <v>97</v>
      </c>
      <c r="AT57" s="5"/>
      <c r="AU57" s="5"/>
      <c r="AV57" s="4" t="s">
        <v>103</v>
      </c>
      <c r="AW57" s="4" t="s">
        <v>97</v>
      </c>
      <c r="AX57" s="4" t="s">
        <v>97</v>
      </c>
      <c r="AY57" s="4" t="s">
        <v>97</v>
      </c>
      <c r="AZ57" s="4" t="s">
        <v>97</v>
      </c>
      <c r="BA57" s="4" t="s">
        <v>97</v>
      </c>
      <c r="BB57" s="5">
        <v>45538</v>
      </c>
      <c r="BC57" s="5">
        <v>45539</v>
      </c>
      <c r="BD57" s="5">
        <v>45541</v>
      </c>
      <c r="BE57" s="5">
        <v>45541</v>
      </c>
      <c r="BF57" s="4" t="s">
        <v>98</v>
      </c>
      <c r="BG57" s="4" t="s">
        <v>97</v>
      </c>
      <c r="BH57" s="4" t="s">
        <v>103</v>
      </c>
      <c r="BI57" s="4" t="s">
        <v>115</v>
      </c>
    </row>
    <row r="58" spans="1:61" x14ac:dyDescent="0.35">
      <c r="A58" s="8" t="str">
        <f t="shared" si="3"/>
        <v>Semaine 35-2024</v>
      </c>
      <c r="B58" s="8" t="str">
        <f t="shared" si="4"/>
        <v>2024</v>
      </c>
      <c r="C58" s="2" t="s">
        <v>32</v>
      </c>
      <c r="D58" s="6" t="str">
        <f t="shared" si="5"/>
        <v>Kaolack</v>
      </c>
      <c r="E58" s="6">
        <f t="shared" si="6"/>
        <v>151881</v>
      </c>
      <c r="F58" s="6">
        <f t="shared" si="7"/>
        <v>1267013</v>
      </c>
      <c r="G58" s="4" t="s">
        <v>273</v>
      </c>
      <c r="H58" s="9" t="s">
        <v>275</v>
      </c>
      <c r="I58" s="9">
        <v>2</v>
      </c>
      <c r="J58" s="9" t="s">
        <v>96</v>
      </c>
      <c r="K58" s="9"/>
      <c r="L58" s="9"/>
      <c r="M58" s="9"/>
      <c r="N58" s="9"/>
      <c r="O58" s="9" t="s">
        <v>238</v>
      </c>
      <c r="P58" s="9" t="s">
        <v>97</v>
      </c>
      <c r="Q58" s="9" t="s">
        <v>97</v>
      </c>
      <c r="R58" s="14" t="s">
        <v>100</v>
      </c>
      <c r="S58" s="14" t="s">
        <v>100</v>
      </c>
      <c r="T58" s="14" t="s">
        <v>100</v>
      </c>
      <c r="U58" s="14"/>
      <c r="V58" s="14"/>
      <c r="W58" s="14"/>
      <c r="X58" s="14"/>
      <c r="Y58" s="5">
        <v>45532</v>
      </c>
      <c r="Z58" s="5">
        <v>45538</v>
      </c>
      <c r="AA58" s="5" t="s">
        <v>103</v>
      </c>
      <c r="AB58" s="5" t="s">
        <v>276</v>
      </c>
      <c r="AC58" s="5" t="s">
        <v>97</v>
      </c>
      <c r="AD58" s="5" t="s">
        <v>103</v>
      </c>
      <c r="AE58" s="5" t="s">
        <v>97</v>
      </c>
      <c r="AF58" s="5" t="s">
        <v>97</v>
      </c>
      <c r="AG58" s="5" t="s">
        <v>97</v>
      </c>
      <c r="AH58" s="5" t="s">
        <v>103</v>
      </c>
      <c r="AI58" s="5">
        <v>45533</v>
      </c>
      <c r="AJ58" s="5" t="s">
        <v>103</v>
      </c>
      <c r="AK58" s="5" t="s">
        <v>103</v>
      </c>
      <c r="AL58" s="5" t="s">
        <v>97</v>
      </c>
      <c r="AM58" s="5" t="s">
        <v>103</v>
      </c>
      <c r="AN58" s="5" t="s">
        <v>103</v>
      </c>
      <c r="AO58" s="5" t="s">
        <v>97</v>
      </c>
      <c r="AP58" s="5" t="s">
        <v>97</v>
      </c>
      <c r="AQ58" s="5" t="s">
        <v>97</v>
      </c>
      <c r="AR58" s="5" t="s">
        <v>97</v>
      </c>
      <c r="AS58" s="5" t="s">
        <v>97</v>
      </c>
      <c r="AT58" s="5"/>
      <c r="AU58" s="5"/>
      <c r="AV58" s="4" t="s">
        <v>103</v>
      </c>
      <c r="AW58" s="4" t="s">
        <v>97</v>
      </c>
      <c r="AX58" s="4" t="s">
        <v>97</v>
      </c>
      <c r="AY58" s="4" t="s">
        <v>97</v>
      </c>
      <c r="AZ58" s="4" t="s">
        <v>97</v>
      </c>
      <c r="BA58" s="4" t="s">
        <v>97</v>
      </c>
      <c r="BB58" s="5">
        <v>45538</v>
      </c>
      <c r="BC58" s="5">
        <v>45539</v>
      </c>
      <c r="BD58" s="5">
        <v>45541</v>
      </c>
      <c r="BE58" s="5">
        <v>45541</v>
      </c>
      <c r="BF58" s="4" t="s">
        <v>98</v>
      </c>
      <c r="BG58" s="4" t="s">
        <v>97</v>
      </c>
      <c r="BH58" s="4" t="s">
        <v>103</v>
      </c>
      <c r="BI58" s="4" t="s">
        <v>115</v>
      </c>
    </row>
    <row r="59" spans="1:61" x14ac:dyDescent="0.35">
      <c r="A59" s="8" t="str">
        <f t="shared" si="3"/>
        <v>Semaine 35-2024</v>
      </c>
      <c r="B59" s="8" t="str">
        <f t="shared" si="4"/>
        <v>2024</v>
      </c>
      <c r="C59" s="2" t="s">
        <v>32</v>
      </c>
      <c r="D59" s="6" t="str">
        <f t="shared" si="5"/>
        <v>Kaolack</v>
      </c>
      <c r="E59" s="6">
        <f t="shared" si="6"/>
        <v>151881</v>
      </c>
      <c r="F59" s="6">
        <f t="shared" si="7"/>
        <v>1267013</v>
      </c>
      <c r="G59" s="4" t="s">
        <v>274</v>
      </c>
      <c r="H59" s="9" t="s">
        <v>277</v>
      </c>
      <c r="I59" s="9">
        <v>2</v>
      </c>
      <c r="J59" s="9" t="s">
        <v>114</v>
      </c>
      <c r="K59" s="9"/>
      <c r="L59" s="9"/>
      <c r="M59" s="9"/>
      <c r="N59" s="9"/>
      <c r="O59" s="9" t="s">
        <v>238</v>
      </c>
      <c r="P59" s="9" t="s">
        <v>97</v>
      </c>
      <c r="Q59" s="9" t="s">
        <v>97</v>
      </c>
      <c r="R59" s="14" t="s">
        <v>100</v>
      </c>
      <c r="S59" s="14" t="s">
        <v>100</v>
      </c>
      <c r="T59" s="14" t="s">
        <v>100</v>
      </c>
      <c r="U59" s="14"/>
      <c r="V59" s="14"/>
      <c r="W59" s="14"/>
      <c r="X59" s="14"/>
      <c r="Y59" s="5">
        <v>45535</v>
      </c>
      <c r="Z59" s="5">
        <v>45537</v>
      </c>
      <c r="AA59" s="5" t="s">
        <v>103</v>
      </c>
      <c r="AB59" s="5"/>
      <c r="AC59" s="5" t="s">
        <v>97</v>
      </c>
      <c r="AD59" s="5" t="s">
        <v>97</v>
      </c>
      <c r="AE59" s="5" t="s">
        <v>97</v>
      </c>
      <c r="AF59" s="5" t="s">
        <v>97</v>
      </c>
      <c r="AG59" s="5" t="s">
        <v>97</v>
      </c>
      <c r="AH59" s="5" t="s">
        <v>103</v>
      </c>
      <c r="AI59" s="5">
        <v>45535</v>
      </c>
      <c r="AJ59" s="5" t="s">
        <v>103</v>
      </c>
      <c r="AK59" s="5" t="s">
        <v>103</v>
      </c>
      <c r="AL59" s="5" t="s">
        <v>97</v>
      </c>
      <c r="AM59" s="5" t="s">
        <v>103</v>
      </c>
      <c r="AN59" s="5" t="s">
        <v>103</v>
      </c>
      <c r="AO59" s="5" t="s">
        <v>97</v>
      </c>
      <c r="AP59" s="5" t="s">
        <v>97</v>
      </c>
      <c r="AQ59" s="5" t="s">
        <v>97</v>
      </c>
      <c r="AR59" s="5" t="s">
        <v>97</v>
      </c>
      <c r="AS59" s="5" t="s">
        <v>97</v>
      </c>
      <c r="AT59" s="5"/>
      <c r="AU59" s="5"/>
      <c r="AV59" s="4" t="s">
        <v>103</v>
      </c>
      <c r="AW59" s="4" t="s">
        <v>97</v>
      </c>
      <c r="AX59" s="4" t="s">
        <v>97</v>
      </c>
      <c r="AY59" s="4" t="s">
        <v>97</v>
      </c>
      <c r="AZ59" s="4" t="s">
        <v>97</v>
      </c>
      <c r="BA59" s="4" t="s">
        <v>97</v>
      </c>
      <c r="BB59" s="5">
        <v>45538</v>
      </c>
      <c r="BC59" s="5">
        <v>45539</v>
      </c>
      <c r="BD59" s="5">
        <v>45541</v>
      </c>
      <c r="BE59" s="5">
        <v>45541</v>
      </c>
      <c r="BF59" s="4" t="s">
        <v>98</v>
      </c>
      <c r="BG59" s="4" t="s">
        <v>97</v>
      </c>
      <c r="BH59" s="4" t="s">
        <v>103</v>
      </c>
      <c r="BI59" s="4" t="s">
        <v>115</v>
      </c>
    </row>
    <row r="60" spans="1:61" x14ac:dyDescent="0.35">
      <c r="A60" s="8" t="str">
        <f t="shared" si="3"/>
        <v>Semaine 34-2024</v>
      </c>
      <c r="B60" s="8" t="str">
        <f t="shared" si="4"/>
        <v>2024</v>
      </c>
      <c r="C60" s="2" t="s">
        <v>76</v>
      </c>
      <c r="D60" s="6" t="str">
        <f t="shared" si="5"/>
        <v>Kolda</v>
      </c>
      <c r="E60" s="6">
        <f t="shared" si="6"/>
        <v>367976</v>
      </c>
      <c r="F60" s="6">
        <f t="shared" si="7"/>
        <v>875661</v>
      </c>
      <c r="G60" s="4" t="s">
        <v>288</v>
      </c>
      <c r="H60" s="9" t="s">
        <v>293</v>
      </c>
      <c r="I60" s="9">
        <v>1</v>
      </c>
      <c r="J60" s="9" t="s">
        <v>114</v>
      </c>
      <c r="K60" s="9"/>
      <c r="L60" s="9"/>
      <c r="M60" s="9"/>
      <c r="N60" s="9"/>
      <c r="O60" s="9" t="s">
        <v>238</v>
      </c>
      <c r="P60" s="9" t="s">
        <v>97</v>
      </c>
      <c r="Q60" s="9" t="s">
        <v>97</v>
      </c>
      <c r="R60" s="14" t="s">
        <v>100</v>
      </c>
      <c r="S60" s="14" t="s">
        <v>100</v>
      </c>
      <c r="T60" s="14" t="s">
        <v>100</v>
      </c>
      <c r="U60" s="14"/>
      <c r="V60" s="14"/>
      <c r="W60" s="14"/>
      <c r="X60" s="14"/>
      <c r="Y60" s="5">
        <v>45527</v>
      </c>
      <c r="Z60" s="5">
        <v>45530</v>
      </c>
      <c r="AA60" s="5" t="s">
        <v>103</v>
      </c>
      <c r="AB60" s="5"/>
      <c r="AC60" s="5" t="s">
        <v>97</v>
      </c>
      <c r="AD60" s="5" t="s">
        <v>97</v>
      </c>
      <c r="AE60" s="5" t="s">
        <v>97</v>
      </c>
      <c r="AF60" s="5" t="s">
        <v>97</v>
      </c>
      <c r="AG60" s="5" t="s">
        <v>97</v>
      </c>
      <c r="AH60" s="5" t="s">
        <v>103</v>
      </c>
      <c r="AI60" s="5">
        <v>45527</v>
      </c>
      <c r="AJ60" s="5"/>
      <c r="AK60" s="5"/>
      <c r="AL60" s="5" t="s">
        <v>103</v>
      </c>
      <c r="AM60" s="5" t="s">
        <v>103</v>
      </c>
      <c r="AN60" s="5" t="s">
        <v>97</v>
      </c>
      <c r="AO60" s="5" t="s">
        <v>97</v>
      </c>
      <c r="AP60" s="5" t="s">
        <v>97</v>
      </c>
      <c r="AQ60" s="5" t="s">
        <v>97</v>
      </c>
      <c r="AR60" s="5" t="s">
        <v>97</v>
      </c>
      <c r="AS60" s="5" t="s">
        <v>97</v>
      </c>
      <c r="AT60" s="5"/>
      <c r="AU60" s="5"/>
      <c r="AV60" s="4" t="s">
        <v>97</v>
      </c>
      <c r="AW60" s="4" t="s">
        <v>97</v>
      </c>
      <c r="AX60" s="4" t="s">
        <v>97</v>
      </c>
      <c r="AY60" s="4" t="s">
        <v>97</v>
      </c>
      <c r="AZ60" s="4" t="s">
        <v>103</v>
      </c>
      <c r="BA60" s="4" t="s">
        <v>97</v>
      </c>
      <c r="BB60" s="5">
        <v>45530</v>
      </c>
      <c r="BC60" s="5">
        <v>45541</v>
      </c>
      <c r="BD60" s="5">
        <v>45542</v>
      </c>
      <c r="BE60" s="5">
        <v>45542</v>
      </c>
      <c r="BF60" s="4" t="s">
        <v>98</v>
      </c>
      <c r="BG60" s="4" t="s">
        <v>97</v>
      </c>
      <c r="BH60" s="4" t="s">
        <v>103</v>
      </c>
      <c r="BI60" s="4" t="s">
        <v>145</v>
      </c>
    </row>
    <row r="61" spans="1:61" x14ac:dyDescent="0.35">
      <c r="A61" s="8" t="str">
        <f t="shared" si="3"/>
        <v>Semaine 34-2024</v>
      </c>
      <c r="B61" s="8" t="str">
        <f t="shared" si="4"/>
        <v>2024</v>
      </c>
      <c r="C61" s="2" t="s">
        <v>76</v>
      </c>
      <c r="D61" s="6" t="str">
        <f t="shared" si="5"/>
        <v>Kolda</v>
      </c>
      <c r="E61" s="6">
        <f t="shared" si="6"/>
        <v>367976</v>
      </c>
      <c r="F61" s="6">
        <f t="shared" si="7"/>
        <v>875661</v>
      </c>
      <c r="G61" s="4" t="s">
        <v>289</v>
      </c>
      <c r="H61" s="9" t="s">
        <v>294</v>
      </c>
      <c r="I61" s="9">
        <v>2</v>
      </c>
      <c r="J61" s="9" t="s">
        <v>96</v>
      </c>
      <c r="K61" s="9"/>
      <c r="L61" s="9"/>
      <c r="M61" s="9"/>
      <c r="N61" s="9"/>
      <c r="O61" s="9" t="s">
        <v>238</v>
      </c>
      <c r="P61" s="9" t="s">
        <v>97</v>
      </c>
      <c r="Q61" s="9" t="s">
        <v>97</v>
      </c>
      <c r="R61" s="14" t="s">
        <v>100</v>
      </c>
      <c r="S61" s="14" t="s">
        <v>100</v>
      </c>
      <c r="T61" s="14" t="s">
        <v>100</v>
      </c>
      <c r="U61" s="14"/>
      <c r="V61" s="14"/>
      <c r="W61" s="14"/>
      <c r="X61" s="14"/>
      <c r="Y61" s="5">
        <v>45527</v>
      </c>
      <c r="Z61" s="5">
        <v>45530</v>
      </c>
      <c r="AA61" s="5" t="s">
        <v>103</v>
      </c>
      <c r="AB61" s="5"/>
      <c r="AC61" s="5" t="s">
        <v>97</v>
      </c>
      <c r="AD61" s="5" t="s">
        <v>103</v>
      </c>
      <c r="AE61" s="5" t="s">
        <v>97</v>
      </c>
      <c r="AF61" s="5" t="s">
        <v>97</v>
      </c>
      <c r="AG61" s="5" t="s">
        <v>97</v>
      </c>
      <c r="AH61" s="5" t="s">
        <v>103</v>
      </c>
      <c r="AI61" s="5">
        <v>45527</v>
      </c>
      <c r="AJ61" s="5"/>
      <c r="AK61" s="5"/>
      <c r="AL61" s="5" t="s">
        <v>103</v>
      </c>
      <c r="AM61" s="5" t="s">
        <v>103</v>
      </c>
      <c r="AN61" s="5" t="s">
        <v>97</v>
      </c>
      <c r="AO61" s="5" t="s">
        <v>97</v>
      </c>
      <c r="AP61" s="5" t="s">
        <v>97</v>
      </c>
      <c r="AQ61" s="5" t="s">
        <v>97</v>
      </c>
      <c r="AR61" s="5" t="s">
        <v>97</v>
      </c>
      <c r="AS61" s="5" t="s">
        <v>97</v>
      </c>
      <c r="AT61" s="5"/>
      <c r="AU61" s="5"/>
      <c r="AV61" s="4" t="s">
        <v>97</v>
      </c>
      <c r="AW61" s="4" t="s">
        <v>97</v>
      </c>
      <c r="AX61" s="4" t="s">
        <v>97</v>
      </c>
      <c r="AY61" s="4" t="s">
        <v>97</v>
      </c>
      <c r="AZ61" s="4" t="s">
        <v>103</v>
      </c>
      <c r="BA61" s="4" t="s">
        <v>97</v>
      </c>
      <c r="BB61" s="5">
        <v>45530</v>
      </c>
      <c r="BC61" s="5">
        <v>45541</v>
      </c>
      <c r="BD61" s="5">
        <v>45542</v>
      </c>
      <c r="BE61" s="5">
        <v>45542</v>
      </c>
      <c r="BF61" s="4" t="s">
        <v>98</v>
      </c>
      <c r="BG61" s="4" t="s">
        <v>97</v>
      </c>
      <c r="BH61" s="4" t="s">
        <v>103</v>
      </c>
      <c r="BI61" s="4" t="s">
        <v>145</v>
      </c>
    </row>
    <row r="62" spans="1:61" x14ac:dyDescent="0.35">
      <c r="A62" s="8" t="str">
        <f t="shared" si="3"/>
        <v>Semaine 34-2024</v>
      </c>
      <c r="B62" s="8" t="str">
        <f t="shared" si="4"/>
        <v>2024</v>
      </c>
      <c r="C62" s="2" t="s">
        <v>24</v>
      </c>
      <c r="D62" s="6" t="str">
        <f t="shared" si="5"/>
        <v>Tambacounda</v>
      </c>
      <c r="E62" s="6">
        <f t="shared" si="6"/>
        <v>57207</v>
      </c>
      <c r="F62" s="6">
        <f t="shared" si="7"/>
        <v>937181</v>
      </c>
      <c r="G62" s="4" t="s">
        <v>290</v>
      </c>
      <c r="H62" s="9" t="s">
        <v>295</v>
      </c>
      <c r="I62" s="9">
        <v>1</v>
      </c>
      <c r="J62" s="9" t="s">
        <v>96</v>
      </c>
      <c r="K62" s="9"/>
      <c r="L62" s="9"/>
      <c r="M62" s="9"/>
      <c r="N62" s="9"/>
      <c r="O62" s="9" t="s">
        <v>238</v>
      </c>
      <c r="P62" s="9" t="s">
        <v>97</v>
      </c>
      <c r="Q62" s="9" t="s">
        <v>97</v>
      </c>
      <c r="R62" s="14" t="s">
        <v>100</v>
      </c>
      <c r="S62" s="14" t="s">
        <v>100</v>
      </c>
      <c r="T62" s="14" t="s">
        <v>100</v>
      </c>
      <c r="U62" s="14"/>
      <c r="V62" s="14"/>
      <c r="W62" s="14"/>
      <c r="X62" s="14"/>
      <c r="Y62" s="5">
        <v>45527</v>
      </c>
      <c r="Z62" s="5">
        <v>45538</v>
      </c>
      <c r="AA62" s="5" t="s">
        <v>103</v>
      </c>
      <c r="AB62" s="5" t="s">
        <v>296</v>
      </c>
      <c r="AC62" s="5" t="s">
        <v>103</v>
      </c>
      <c r="AD62" s="5" t="s">
        <v>103</v>
      </c>
      <c r="AE62" s="5" t="s">
        <v>97</v>
      </c>
      <c r="AF62" s="5" t="s">
        <v>97</v>
      </c>
      <c r="AG62" s="5" t="s">
        <v>97</v>
      </c>
      <c r="AH62" s="5" t="s">
        <v>103</v>
      </c>
      <c r="AI62" s="5">
        <v>45536</v>
      </c>
      <c r="AJ62" s="5" t="s">
        <v>103</v>
      </c>
      <c r="AK62" s="5" t="s">
        <v>103</v>
      </c>
      <c r="AL62" s="5" t="s">
        <v>97</v>
      </c>
      <c r="AM62" s="5" t="s">
        <v>103</v>
      </c>
      <c r="AN62" s="5" t="s">
        <v>103</v>
      </c>
      <c r="AO62" s="5" t="s">
        <v>103</v>
      </c>
      <c r="AP62" s="5" t="s">
        <v>97</v>
      </c>
      <c r="AQ62" s="5" t="s">
        <v>97</v>
      </c>
      <c r="AR62" s="5" t="s">
        <v>97</v>
      </c>
      <c r="AS62" s="5" t="s">
        <v>97</v>
      </c>
      <c r="AT62" s="5"/>
      <c r="AU62" s="5"/>
      <c r="AV62" s="4" t="s">
        <v>97</v>
      </c>
      <c r="AW62" s="4" t="s">
        <v>97</v>
      </c>
      <c r="AX62" s="4" t="s">
        <v>97</v>
      </c>
      <c r="AY62" s="4" t="s">
        <v>97</v>
      </c>
      <c r="AZ62" s="4" t="s">
        <v>103</v>
      </c>
      <c r="BA62" s="4" t="s">
        <v>97</v>
      </c>
      <c r="BB62" s="5">
        <v>45538</v>
      </c>
      <c r="BC62" s="5">
        <v>45541</v>
      </c>
      <c r="BD62" s="5">
        <v>45542</v>
      </c>
      <c r="BE62" s="5">
        <v>45542</v>
      </c>
      <c r="BF62" s="4" t="s">
        <v>98</v>
      </c>
      <c r="BG62" s="4" t="s">
        <v>97</v>
      </c>
      <c r="BH62" s="4" t="s">
        <v>103</v>
      </c>
      <c r="BI62" s="4" t="s">
        <v>145</v>
      </c>
    </row>
    <row r="63" spans="1:61" x14ac:dyDescent="0.35">
      <c r="A63" s="8" t="str">
        <f t="shared" si="3"/>
        <v>Semaine 33-2024</v>
      </c>
      <c r="B63" s="8" t="str">
        <f t="shared" ref="B63:B126" si="8">RIGHT(A63,4)</f>
        <v>2024</v>
      </c>
      <c r="C63" s="2" t="s">
        <v>24</v>
      </c>
      <c r="D63" s="6" t="str">
        <f t="shared" ref="D63:D126" si="9">IF(C63="","",VLOOKUP(C63,district_region,2,FALSE))</f>
        <v>Tambacounda</v>
      </c>
      <c r="E63" s="6">
        <f t="shared" ref="E63:E126" si="10">IF(C63="","",VLOOKUP(C63,liste_pop,3,FALSE))</f>
        <v>57207</v>
      </c>
      <c r="F63" s="6">
        <f t="shared" ref="F63:F126" si="11">IF(D63="","",IF(D63="Dakar",4042240,VLOOKUP(D63,liste_pop,4,FALSE)))</f>
        <v>937181</v>
      </c>
      <c r="G63" s="4" t="s">
        <v>291</v>
      </c>
      <c r="H63" s="9" t="s">
        <v>297</v>
      </c>
      <c r="I63" s="9">
        <v>9</v>
      </c>
      <c r="J63" s="9" t="s">
        <v>96</v>
      </c>
      <c r="K63" s="9"/>
      <c r="L63" s="9"/>
      <c r="M63" s="9"/>
      <c r="N63" s="9"/>
      <c r="O63" s="9" t="s">
        <v>238</v>
      </c>
      <c r="P63" s="9" t="s">
        <v>97</v>
      </c>
      <c r="Q63" s="9" t="s">
        <v>97</v>
      </c>
      <c r="R63" s="14" t="s">
        <v>100</v>
      </c>
      <c r="S63" s="14" t="s">
        <v>100</v>
      </c>
      <c r="T63" s="14" t="s">
        <v>100</v>
      </c>
      <c r="U63" s="14"/>
      <c r="V63" s="14"/>
      <c r="W63" s="14"/>
      <c r="X63" s="14"/>
      <c r="Y63" s="5">
        <v>45516</v>
      </c>
      <c r="Z63" s="5">
        <v>45531</v>
      </c>
      <c r="AA63" s="5" t="s">
        <v>103</v>
      </c>
      <c r="AB63" s="5"/>
      <c r="AC63" s="5" t="s">
        <v>97</v>
      </c>
      <c r="AD63" s="5" t="s">
        <v>97</v>
      </c>
      <c r="AE63" s="5" t="s">
        <v>97</v>
      </c>
      <c r="AF63" s="5" t="s">
        <v>103</v>
      </c>
      <c r="AG63" s="5" t="s">
        <v>97</v>
      </c>
      <c r="AH63" s="5" t="s">
        <v>103</v>
      </c>
      <c r="AI63" s="5">
        <v>45524</v>
      </c>
      <c r="AJ63" s="5"/>
      <c r="AK63" s="5"/>
      <c r="AL63" s="5" t="s">
        <v>103</v>
      </c>
      <c r="AM63" s="5" t="s">
        <v>103</v>
      </c>
      <c r="AN63" s="5" t="s">
        <v>103</v>
      </c>
      <c r="AO63" s="5" t="s">
        <v>103</v>
      </c>
      <c r="AP63" s="5" t="s">
        <v>103</v>
      </c>
      <c r="AQ63" s="5" t="s">
        <v>97</v>
      </c>
      <c r="AR63" s="5" t="s">
        <v>97</v>
      </c>
      <c r="AS63" s="5" t="s">
        <v>97</v>
      </c>
      <c r="AT63" s="5" t="s">
        <v>298</v>
      </c>
      <c r="AU63" s="5"/>
      <c r="AV63" s="4" t="s">
        <v>97</v>
      </c>
      <c r="AW63" s="4" t="s">
        <v>97</v>
      </c>
      <c r="AX63" s="4" t="s">
        <v>97</v>
      </c>
      <c r="AY63" s="4" t="s">
        <v>97</v>
      </c>
      <c r="AZ63" s="4" t="s">
        <v>103</v>
      </c>
      <c r="BA63" s="4" t="s">
        <v>97</v>
      </c>
      <c r="BB63" s="5">
        <v>45531</v>
      </c>
      <c r="BC63" s="5">
        <v>45541</v>
      </c>
      <c r="BD63" s="5">
        <v>45542</v>
      </c>
      <c r="BE63" s="5">
        <v>45542</v>
      </c>
      <c r="BF63" s="4" t="s">
        <v>98</v>
      </c>
      <c r="BG63" s="4" t="s">
        <v>97</v>
      </c>
      <c r="BH63" s="4" t="s">
        <v>103</v>
      </c>
      <c r="BI63" s="4" t="s">
        <v>145</v>
      </c>
    </row>
    <row r="64" spans="1:61" x14ac:dyDescent="0.35">
      <c r="A64" s="8" t="str">
        <f t="shared" si="3"/>
        <v>Semaine 36-2024</v>
      </c>
      <c r="B64" s="8" t="str">
        <f t="shared" si="8"/>
        <v>2024</v>
      </c>
      <c r="C64" s="2" t="s">
        <v>58</v>
      </c>
      <c r="D64" s="6" t="str">
        <f t="shared" si="9"/>
        <v>Dakar</v>
      </c>
      <c r="E64" s="6">
        <f t="shared" si="10"/>
        <v>423495</v>
      </c>
      <c r="F64" s="6">
        <f t="shared" si="11"/>
        <v>4042240</v>
      </c>
      <c r="G64" s="4" t="s">
        <v>292</v>
      </c>
      <c r="H64" s="9" t="s">
        <v>299</v>
      </c>
      <c r="I64" s="9">
        <v>34</v>
      </c>
      <c r="J64" s="9" t="s">
        <v>114</v>
      </c>
      <c r="K64" s="9"/>
      <c r="L64" s="9"/>
      <c r="M64" s="9"/>
      <c r="N64" s="9"/>
      <c r="O64" s="9" t="s">
        <v>238</v>
      </c>
      <c r="P64" s="9" t="s">
        <v>97</v>
      </c>
      <c r="Q64" s="9" t="s">
        <v>97</v>
      </c>
      <c r="R64" s="14" t="s">
        <v>100</v>
      </c>
      <c r="S64" s="14" t="s">
        <v>100</v>
      </c>
      <c r="T64" s="14" t="s">
        <v>100</v>
      </c>
      <c r="U64" s="14" t="s">
        <v>285</v>
      </c>
      <c r="V64" s="14"/>
      <c r="W64" s="14"/>
      <c r="X64" s="14"/>
      <c r="Y64" s="5">
        <v>45537</v>
      </c>
      <c r="Z64" s="5">
        <v>45540</v>
      </c>
      <c r="AA64" s="5" t="s">
        <v>103</v>
      </c>
      <c r="AB64" s="5" t="s">
        <v>300</v>
      </c>
      <c r="AC64" s="5" t="s">
        <v>103</v>
      </c>
      <c r="AD64" s="5" t="s">
        <v>97</v>
      </c>
      <c r="AE64" s="5" t="s">
        <v>97</v>
      </c>
      <c r="AF64" s="5" t="s">
        <v>97</v>
      </c>
      <c r="AG64" s="5" t="s">
        <v>103</v>
      </c>
      <c r="AH64" s="5" t="s">
        <v>103</v>
      </c>
      <c r="AI64" s="5">
        <v>45537</v>
      </c>
      <c r="AJ64" s="5" t="s">
        <v>103</v>
      </c>
      <c r="AK64" s="5" t="s">
        <v>103</v>
      </c>
      <c r="AL64" s="5" t="s">
        <v>97</v>
      </c>
      <c r="AM64" s="5" t="s">
        <v>103</v>
      </c>
      <c r="AN64" s="5" t="s">
        <v>103</v>
      </c>
      <c r="AO64" s="5" t="s">
        <v>103</v>
      </c>
      <c r="AP64" s="5" t="s">
        <v>103</v>
      </c>
      <c r="AQ64" s="5" t="s">
        <v>97</v>
      </c>
      <c r="AR64" s="5" t="s">
        <v>97</v>
      </c>
      <c r="AS64" s="5" t="s">
        <v>97</v>
      </c>
      <c r="AT64" s="5"/>
      <c r="AU64" s="5"/>
      <c r="AV64" s="4" t="s">
        <v>103</v>
      </c>
      <c r="AW64" s="4" t="s">
        <v>97</v>
      </c>
      <c r="AX64" s="4" t="s">
        <v>97</v>
      </c>
      <c r="AY64" s="4" t="s">
        <v>97</v>
      </c>
      <c r="AZ64" s="4" t="s">
        <v>97</v>
      </c>
      <c r="BA64" s="4" t="s">
        <v>97</v>
      </c>
      <c r="BB64" s="5">
        <v>45540</v>
      </c>
      <c r="BC64" s="5">
        <v>45541</v>
      </c>
      <c r="BD64" s="5">
        <v>45542</v>
      </c>
      <c r="BE64" s="5">
        <v>45542</v>
      </c>
      <c r="BF64" s="4" t="s">
        <v>98</v>
      </c>
      <c r="BG64" s="4" t="s">
        <v>97</v>
      </c>
      <c r="BH64" s="4" t="s">
        <v>103</v>
      </c>
      <c r="BI64" s="4" t="s">
        <v>115</v>
      </c>
    </row>
    <row r="65" spans="1:61" x14ac:dyDescent="0.35">
      <c r="A65" s="8" t="str">
        <f t="shared" si="3"/>
        <v>Semaine 36-2024</v>
      </c>
      <c r="B65" s="8" t="str">
        <f t="shared" si="8"/>
        <v>2024</v>
      </c>
      <c r="C65" s="2" t="s">
        <v>1</v>
      </c>
      <c r="D65" s="6" t="str">
        <f t="shared" si="9"/>
        <v>Matam</v>
      </c>
      <c r="E65" s="6">
        <f t="shared" si="10"/>
        <v>110915</v>
      </c>
      <c r="F65" s="6">
        <f t="shared" si="11"/>
        <v>789215</v>
      </c>
      <c r="G65" s="4" t="s">
        <v>301</v>
      </c>
      <c r="H65" s="9" t="s">
        <v>302</v>
      </c>
      <c r="I65" s="9">
        <v>15</v>
      </c>
      <c r="J65" s="9" t="s">
        <v>96</v>
      </c>
      <c r="K65" s="9"/>
      <c r="L65" s="9"/>
      <c r="M65" s="9"/>
      <c r="N65" s="9"/>
      <c r="O65" s="9" t="s">
        <v>238</v>
      </c>
      <c r="P65" s="9" t="s">
        <v>97</v>
      </c>
      <c r="Q65" s="9" t="s">
        <v>97</v>
      </c>
      <c r="R65" s="14" t="s">
        <v>100</v>
      </c>
      <c r="S65" s="14" t="s">
        <v>100</v>
      </c>
      <c r="T65" s="14" t="s">
        <v>100</v>
      </c>
      <c r="U65" s="14"/>
      <c r="V65" s="14"/>
      <c r="W65" s="14"/>
      <c r="X65" s="14"/>
      <c r="Y65" s="5">
        <v>45537</v>
      </c>
      <c r="Z65" s="5">
        <v>45541</v>
      </c>
      <c r="AA65" s="5" t="s">
        <v>103</v>
      </c>
      <c r="AB65" s="5" t="s">
        <v>303</v>
      </c>
      <c r="AC65" s="5" t="s">
        <v>103</v>
      </c>
      <c r="AD65" s="5" t="s">
        <v>97</v>
      </c>
      <c r="AE65" s="5" t="s">
        <v>97</v>
      </c>
      <c r="AF65" s="5" t="s">
        <v>97</v>
      </c>
      <c r="AG65" s="5" t="s">
        <v>97</v>
      </c>
      <c r="AH65" s="5" t="s">
        <v>103</v>
      </c>
      <c r="AI65" s="5">
        <v>45537</v>
      </c>
      <c r="AJ65" s="5" t="s">
        <v>97</v>
      </c>
      <c r="AK65" s="5" t="s">
        <v>97</v>
      </c>
      <c r="AL65" s="5" t="s">
        <v>97</v>
      </c>
      <c r="AM65" s="5" t="s">
        <v>103</v>
      </c>
      <c r="AN65" s="5" t="s">
        <v>103</v>
      </c>
      <c r="AO65" s="5" t="s">
        <v>103</v>
      </c>
      <c r="AP65" s="5" t="s">
        <v>103</v>
      </c>
      <c r="AQ65" s="5" t="s">
        <v>103</v>
      </c>
      <c r="AR65" s="5" t="s">
        <v>103</v>
      </c>
      <c r="AS65" s="5" t="s">
        <v>103</v>
      </c>
      <c r="AT65" s="5" t="s">
        <v>304</v>
      </c>
      <c r="AU65" s="5"/>
      <c r="AV65" s="4" t="s">
        <v>103</v>
      </c>
      <c r="AW65" s="4" t="s">
        <v>97</v>
      </c>
      <c r="AX65" s="4" t="s">
        <v>97</v>
      </c>
      <c r="AY65" s="4" t="s">
        <v>97</v>
      </c>
      <c r="AZ65" s="4" t="s">
        <v>103</v>
      </c>
      <c r="BA65" s="4" t="s">
        <v>97</v>
      </c>
      <c r="BB65" s="5">
        <v>45541</v>
      </c>
      <c r="BC65" s="5">
        <v>45542</v>
      </c>
      <c r="BD65" s="5">
        <v>45543</v>
      </c>
      <c r="BE65" s="5">
        <v>45543</v>
      </c>
      <c r="BF65" s="4" t="s">
        <v>98</v>
      </c>
      <c r="BG65" s="4" t="s">
        <v>103</v>
      </c>
      <c r="BH65" s="4" t="s">
        <v>103</v>
      </c>
      <c r="BI65" s="4" t="s">
        <v>115</v>
      </c>
    </row>
    <row r="66" spans="1:61" x14ac:dyDescent="0.35">
      <c r="A66" s="8" t="str">
        <f t="shared" si="3"/>
        <v>Semaine 36-2024</v>
      </c>
      <c r="B66" s="8" t="str">
        <f t="shared" si="8"/>
        <v>2024</v>
      </c>
      <c r="C66" s="2" t="s">
        <v>63</v>
      </c>
      <c r="D66" s="6" t="str">
        <f t="shared" si="9"/>
        <v>Saint-Louis</v>
      </c>
      <c r="E66" s="6">
        <f t="shared" si="10"/>
        <v>205977</v>
      </c>
      <c r="F66" s="6">
        <f t="shared" si="11"/>
        <v>1150065</v>
      </c>
      <c r="G66" s="4" t="s">
        <v>305</v>
      </c>
      <c r="H66" s="9" t="s">
        <v>307</v>
      </c>
      <c r="I66" s="9">
        <v>28</v>
      </c>
      <c r="J66" s="9" t="s">
        <v>96</v>
      </c>
      <c r="K66" s="9"/>
      <c r="L66" s="9"/>
      <c r="M66" s="9"/>
      <c r="N66" s="9"/>
      <c r="O66" s="9" t="s">
        <v>238</v>
      </c>
      <c r="P66" s="9" t="s">
        <v>97</v>
      </c>
      <c r="Q66" s="9" t="s">
        <v>97</v>
      </c>
      <c r="R66" s="14" t="s">
        <v>100</v>
      </c>
      <c r="S66" s="14" t="s">
        <v>100</v>
      </c>
      <c r="T66" s="14" t="s">
        <v>100</v>
      </c>
      <c r="U66" s="14"/>
      <c r="V66" s="14"/>
      <c r="W66" s="14"/>
      <c r="X66" s="14"/>
      <c r="Y66" s="5">
        <v>45539</v>
      </c>
      <c r="Z66" s="5">
        <v>45540</v>
      </c>
      <c r="AA66" s="5" t="s">
        <v>103</v>
      </c>
      <c r="AB66" s="5"/>
      <c r="AC66" s="5" t="s">
        <v>97</v>
      </c>
      <c r="AD66" s="5" t="s">
        <v>103</v>
      </c>
      <c r="AE66" s="5" t="s">
        <v>97</v>
      </c>
      <c r="AF66" s="5" t="s">
        <v>97</v>
      </c>
      <c r="AG66" s="5" t="s">
        <v>103</v>
      </c>
      <c r="AH66" s="5" t="s">
        <v>103</v>
      </c>
      <c r="AI66" s="5">
        <v>45539</v>
      </c>
      <c r="AJ66" s="5" t="s">
        <v>103</v>
      </c>
      <c r="AK66" s="5"/>
      <c r="AL66" s="5" t="s">
        <v>103</v>
      </c>
      <c r="AM66" s="5" t="s">
        <v>103</v>
      </c>
      <c r="AN66" s="5" t="s">
        <v>103</v>
      </c>
      <c r="AO66" s="5" t="s">
        <v>103</v>
      </c>
      <c r="AP66" s="5" t="s">
        <v>103</v>
      </c>
      <c r="AQ66" s="5" t="s">
        <v>97</v>
      </c>
      <c r="AR66" s="5" t="s">
        <v>97</v>
      </c>
      <c r="AS66" s="5" t="s">
        <v>97</v>
      </c>
      <c r="AT66" s="5" t="s">
        <v>308</v>
      </c>
      <c r="AU66" s="5"/>
      <c r="AV66" s="4" t="s">
        <v>103</v>
      </c>
      <c r="AW66" s="4" t="s">
        <v>97</v>
      </c>
      <c r="AX66" s="4" t="s">
        <v>97</v>
      </c>
      <c r="AY66" s="4" t="s">
        <v>97</v>
      </c>
      <c r="AZ66" s="4" t="s">
        <v>103</v>
      </c>
      <c r="BA66" s="4" t="s">
        <v>97</v>
      </c>
      <c r="BB66" s="5">
        <v>45540</v>
      </c>
      <c r="BC66" s="5">
        <v>45543</v>
      </c>
      <c r="BD66" s="5">
        <v>45544</v>
      </c>
      <c r="BE66" s="5">
        <v>45544</v>
      </c>
      <c r="BF66" s="4" t="s">
        <v>98</v>
      </c>
      <c r="BG66" s="4" t="s">
        <v>103</v>
      </c>
      <c r="BH66" s="4" t="s">
        <v>103</v>
      </c>
      <c r="BI66" s="4" t="s">
        <v>115</v>
      </c>
    </row>
    <row r="67" spans="1:61" x14ac:dyDescent="0.35">
      <c r="A67" s="8" t="str">
        <f t="shared" si="3"/>
        <v>Semaine 36-2024</v>
      </c>
      <c r="B67" s="8" t="str">
        <f t="shared" si="8"/>
        <v>2024</v>
      </c>
      <c r="C67" s="2" t="s">
        <v>32</v>
      </c>
      <c r="D67" s="6" t="str">
        <f t="shared" si="9"/>
        <v>Kaolack</v>
      </c>
      <c r="E67" s="6">
        <f t="shared" si="10"/>
        <v>151881</v>
      </c>
      <c r="F67" s="6">
        <f t="shared" si="11"/>
        <v>1267013</v>
      </c>
      <c r="G67" s="4" t="s">
        <v>306</v>
      </c>
      <c r="H67" s="9" t="s">
        <v>309</v>
      </c>
      <c r="I67" s="9">
        <v>58</v>
      </c>
      <c r="J67" s="9" t="s">
        <v>114</v>
      </c>
      <c r="K67" s="9"/>
      <c r="L67" s="9"/>
      <c r="M67" s="9"/>
      <c r="N67" s="9"/>
      <c r="O67" s="9" t="s">
        <v>238</v>
      </c>
      <c r="P67" s="9" t="s">
        <v>97</v>
      </c>
      <c r="Q67" s="9" t="s">
        <v>97</v>
      </c>
      <c r="R67" s="14" t="s">
        <v>100</v>
      </c>
      <c r="S67" s="14" t="s">
        <v>100</v>
      </c>
      <c r="T67" s="14" t="s">
        <v>100</v>
      </c>
      <c r="U67" s="14"/>
      <c r="V67" s="14"/>
      <c r="W67" s="14"/>
      <c r="X67" s="14"/>
      <c r="Y67" s="5">
        <v>45539</v>
      </c>
      <c r="Z67" s="5">
        <v>45541</v>
      </c>
      <c r="AA67" s="5" t="s">
        <v>103</v>
      </c>
      <c r="AB67" s="5"/>
      <c r="AC67" s="5" t="s">
        <v>103</v>
      </c>
      <c r="AD67" s="5" t="s">
        <v>97</v>
      </c>
      <c r="AE67" s="5" t="s">
        <v>97</v>
      </c>
      <c r="AF67" s="5" t="s">
        <v>97</v>
      </c>
      <c r="AG67" s="5" t="s">
        <v>97</v>
      </c>
      <c r="AH67" s="5" t="s">
        <v>103</v>
      </c>
      <c r="AI67" s="5">
        <v>45539</v>
      </c>
      <c r="AJ67" s="5" t="s">
        <v>103</v>
      </c>
      <c r="AK67" s="5" t="s">
        <v>103</v>
      </c>
      <c r="AL67" s="5" t="s">
        <v>97</v>
      </c>
      <c r="AM67" s="5" t="s">
        <v>97</v>
      </c>
      <c r="AN67" s="5" t="s">
        <v>103</v>
      </c>
      <c r="AO67" s="5" t="s">
        <v>103</v>
      </c>
      <c r="AP67" s="5" t="s">
        <v>103</v>
      </c>
      <c r="AQ67" s="5" t="s">
        <v>97</v>
      </c>
      <c r="AR67" s="5" t="s">
        <v>97</v>
      </c>
      <c r="AS67" s="5" t="s">
        <v>97</v>
      </c>
      <c r="AT67" s="5"/>
      <c r="AU67" s="5"/>
      <c r="AV67" s="4" t="s">
        <v>103</v>
      </c>
      <c r="AW67" s="4" t="s">
        <v>97</v>
      </c>
      <c r="AX67" s="4" t="s">
        <v>97</v>
      </c>
      <c r="AY67" s="4" t="s">
        <v>97</v>
      </c>
      <c r="AZ67" s="4" t="s">
        <v>103</v>
      </c>
      <c r="BA67" s="4" t="s">
        <v>97</v>
      </c>
      <c r="BB67" s="5">
        <v>45541</v>
      </c>
      <c r="BC67" s="5">
        <v>45543</v>
      </c>
      <c r="BD67" s="5">
        <v>45544</v>
      </c>
      <c r="BE67" s="5">
        <v>45544</v>
      </c>
      <c r="BF67" s="4" t="s">
        <v>98</v>
      </c>
      <c r="BG67" s="4" t="s">
        <v>97</v>
      </c>
      <c r="BH67" s="4" t="s">
        <v>103</v>
      </c>
      <c r="BI67" s="4" t="s">
        <v>115</v>
      </c>
    </row>
    <row r="68" spans="1:61" x14ac:dyDescent="0.35">
      <c r="A68" s="8" t="str">
        <f t="shared" si="3"/>
        <v>Semaine 36-2024</v>
      </c>
      <c r="B68" s="8" t="str">
        <f t="shared" si="8"/>
        <v>2024</v>
      </c>
      <c r="C68" s="2" t="s">
        <v>17</v>
      </c>
      <c r="D68" s="6" t="str">
        <f t="shared" si="9"/>
        <v>Louga</v>
      </c>
      <c r="E68" s="6">
        <f t="shared" si="10"/>
        <v>169119</v>
      </c>
      <c r="F68" s="6">
        <f t="shared" si="11"/>
        <v>1121619</v>
      </c>
      <c r="G68" s="4" t="s">
        <v>310</v>
      </c>
      <c r="H68" s="9" t="s">
        <v>311</v>
      </c>
      <c r="I68" s="9">
        <v>46</v>
      </c>
      <c r="J68" s="9" t="s">
        <v>96</v>
      </c>
      <c r="K68" s="9"/>
      <c r="L68" s="9"/>
      <c r="M68" s="9"/>
      <c r="N68" s="9"/>
      <c r="O68" s="9" t="s">
        <v>238</v>
      </c>
      <c r="P68" s="9" t="s">
        <v>97</v>
      </c>
      <c r="Q68" s="9" t="s">
        <v>97</v>
      </c>
      <c r="R68" s="14" t="s">
        <v>100</v>
      </c>
      <c r="S68" s="14" t="s">
        <v>100</v>
      </c>
      <c r="T68" s="14" t="s">
        <v>100</v>
      </c>
      <c r="U68" s="14"/>
      <c r="V68" s="14"/>
      <c r="W68" s="14"/>
      <c r="X68" s="14"/>
      <c r="Y68" s="5">
        <v>45542</v>
      </c>
      <c r="Z68" s="5">
        <v>45544</v>
      </c>
      <c r="AA68" s="5" t="s">
        <v>103</v>
      </c>
      <c r="AB68" s="5"/>
      <c r="AC68" s="5" t="s">
        <v>97</v>
      </c>
      <c r="AD68" s="5" t="s">
        <v>103</v>
      </c>
      <c r="AE68" s="5" t="s">
        <v>97</v>
      </c>
      <c r="AF68" s="5" t="s">
        <v>97</v>
      </c>
      <c r="AG68" s="5" t="s">
        <v>97</v>
      </c>
      <c r="AH68" s="5" t="s">
        <v>103</v>
      </c>
      <c r="AI68" s="5">
        <v>45542</v>
      </c>
      <c r="AJ68" s="5" t="s">
        <v>103</v>
      </c>
      <c r="AK68" s="5"/>
      <c r="AL68" s="5" t="s">
        <v>103</v>
      </c>
      <c r="AM68" s="5" t="s">
        <v>97</v>
      </c>
      <c r="AN68" s="5" t="s">
        <v>103</v>
      </c>
      <c r="AO68" s="5" t="s">
        <v>97</v>
      </c>
      <c r="AP68" s="5" t="s">
        <v>97</v>
      </c>
      <c r="AQ68" s="5" t="s">
        <v>97</v>
      </c>
      <c r="AR68" s="5" t="s">
        <v>97</v>
      </c>
      <c r="AS68" s="5" t="s">
        <v>97</v>
      </c>
      <c r="AT68" s="5"/>
      <c r="AU68" s="5"/>
      <c r="AV68" s="4" t="s">
        <v>103</v>
      </c>
      <c r="AW68" s="4" t="s">
        <v>97</v>
      </c>
      <c r="AX68" s="4" t="s">
        <v>97</v>
      </c>
      <c r="AY68" s="4" t="s">
        <v>97</v>
      </c>
      <c r="AZ68" s="4" t="s">
        <v>103</v>
      </c>
      <c r="BA68" s="4" t="s">
        <v>97</v>
      </c>
      <c r="BB68" s="5">
        <v>45544</v>
      </c>
      <c r="BC68" s="5">
        <v>45545</v>
      </c>
      <c r="BD68" s="5">
        <v>45545</v>
      </c>
      <c r="BE68" s="5">
        <v>45545</v>
      </c>
      <c r="BF68" s="4" t="s">
        <v>98</v>
      </c>
      <c r="BG68" s="4" t="s">
        <v>97</v>
      </c>
      <c r="BH68" s="4" t="s">
        <v>103</v>
      </c>
      <c r="BI68" s="4" t="s">
        <v>115</v>
      </c>
    </row>
    <row r="69" spans="1:61" x14ac:dyDescent="0.35">
      <c r="A69" s="8" t="str">
        <f t="shared" ref="A69:A133" si="12">"Semaine " &amp; _xlfn.ISOWEEKNUM(Y69) &amp; "-" &amp; YEAR(Y69)</f>
        <v>Semaine 36-2024</v>
      </c>
      <c r="B69" s="8" t="str">
        <f t="shared" si="8"/>
        <v>2024</v>
      </c>
      <c r="C69" s="2" t="s">
        <v>48</v>
      </c>
      <c r="D69" s="6" t="str">
        <f t="shared" si="9"/>
        <v>Diourbel</v>
      </c>
      <c r="E69" s="6">
        <f t="shared" si="10"/>
        <v>233408</v>
      </c>
      <c r="F69" s="6">
        <f t="shared" si="11"/>
        <v>1980827</v>
      </c>
      <c r="G69" s="4" t="s">
        <v>312</v>
      </c>
      <c r="H69" s="9" t="s">
        <v>313</v>
      </c>
      <c r="I69" s="9">
        <v>20</v>
      </c>
      <c r="J69" s="9" t="s">
        <v>96</v>
      </c>
      <c r="K69" s="9"/>
      <c r="L69" s="9"/>
      <c r="M69" s="9"/>
      <c r="N69" s="9"/>
      <c r="O69" s="9" t="s">
        <v>238</v>
      </c>
      <c r="P69" s="9" t="s">
        <v>97</v>
      </c>
      <c r="Q69" s="9" t="s">
        <v>97</v>
      </c>
      <c r="R69" s="14" t="s">
        <v>100</v>
      </c>
      <c r="S69" s="14" t="s">
        <v>100</v>
      </c>
      <c r="T69" s="14" t="s">
        <v>100</v>
      </c>
      <c r="U69" s="14"/>
      <c r="V69" s="14"/>
      <c r="W69" s="14"/>
      <c r="X69" s="14"/>
      <c r="Y69" s="5">
        <v>45540</v>
      </c>
      <c r="Z69" s="5">
        <v>45547</v>
      </c>
      <c r="AA69" s="5" t="s">
        <v>103</v>
      </c>
      <c r="AB69" s="5" t="s">
        <v>314</v>
      </c>
      <c r="AC69" s="5" t="s">
        <v>103</v>
      </c>
      <c r="AD69" s="5" t="s">
        <v>103</v>
      </c>
      <c r="AE69" s="5" t="s">
        <v>97</v>
      </c>
      <c r="AF69" s="5" t="s">
        <v>103</v>
      </c>
      <c r="AG69" s="5" t="s">
        <v>103</v>
      </c>
      <c r="AH69" s="5" t="s">
        <v>103</v>
      </c>
      <c r="AI69" s="5">
        <v>45540</v>
      </c>
      <c r="AJ69" s="5"/>
      <c r="AK69" s="5"/>
      <c r="AL69" s="5" t="s">
        <v>97</v>
      </c>
      <c r="AM69" s="5" t="s">
        <v>103</v>
      </c>
      <c r="AN69" s="5" t="s">
        <v>103</v>
      </c>
      <c r="AO69" s="5" t="s">
        <v>97</v>
      </c>
      <c r="AP69" s="5" t="s">
        <v>103</v>
      </c>
      <c r="AQ69" s="5" t="s">
        <v>97</v>
      </c>
      <c r="AR69" s="5" t="s">
        <v>97</v>
      </c>
      <c r="AS69" s="5" t="s">
        <v>103</v>
      </c>
      <c r="AT69" s="5"/>
      <c r="AU69" s="5"/>
      <c r="AV69" s="4" t="s">
        <v>103</v>
      </c>
      <c r="AW69" s="4" t="s">
        <v>97</v>
      </c>
      <c r="AX69" s="4" t="s">
        <v>97</v>
      </c>
      <c r="AY69" s="4" t="s">
        <v>97</v>
      </c>
      <c r="AZ69" s="4" t="s">
        <v>103</v>
      </c>
      <c r="BA69" s="4" t="s">
        <v>97</v>
      </c>
      <c r="BB69" s="5">
        <v>45547</v>
      </c>
      <c r="BC69" s="5">
        <v>45547</v>
      </c>
      <c r="BD69" s="5">
        <v>45548</v>
      </c>
      <c r="BE69" s="5">
        <v>45548</v>
      </c>
      <c r="BF69" s="4" t="s">
        <v>98</v>
      </c>
      <c r="BG69" s="4" t="s">
        <v>97</v>
      </c>
      <c r="BH69" s="4" t="s">
        <v>103</v>
      </c>
      <c r="BI69" s="4" t="s">
        <v>115</v>
      </c>
    </row>
    <row r="70" spans="1:61" x14ac:dyDescent="0.35">
      <c r="A70" s="8" t="str">
        <f t="shared" si="12"/>
        <v>Semaine 36-2024</v>
      </c>
      <c r="B70" s="8" t="str">
        <f t="shared" si="8"/>
        <v>2024</v>
      </c>
      <c r="C70" s="2" t="s">
        <v>69</v>
      </c>
      <c r="D70" s="6" t="str">
        <f t="shared" si="9"/>
        <v>Sedhiou</v>
      </c>
      <c r="E70" s="6">
        <f t="shared" si="10"/>
        <v>204663</v>
      </c>
      <c r="F70" s="6">
        <f t="shared" si="11"/>
        <v>612650</v>
      </c>
      <c r="G70" s="4" t="s">
        <v>315</v>
      </c>
      <c r="H70" s="9" t="s">
        <v>316</v>
      </c>
      <c r="I70" s="9">
        <v>4</v>
      </c>
      <c r="J70" s="9" t="s">
        <v>114</v>
      </c>
      <c r="K70" s="9"/>
      <c r="L70" s="9"/>
      <c r="M70" s="9"/>
      <c r="N70" s="9"/>
      <c r="O70" s="9" t="s">
        <v>238</v>
      </c>
      <c r="P70" s="9" t="s">
        <v>97</v>
      </c>
      <c r="Q70" s="9" t="s">
        <v>97</v>
      </c>
      <c r="R70" s="14" t="s">
        <v>100</v>
      </c>
      <c r="S70" s="14" t="s">
        <v>100</v>
      </c>
      <c r="T70" s="14" t="s">
        <v>100</v>
      </c>
      <c r="U70" s="14"/>
      <c r="V70" s="14"/>
      <c r="W70" s="14"/>
      <c r="X70" s="14"/>
      <c r="Y70" s="5">
        <v>45543</v>
      </c>
      <c r="Z70" s="5">
        <v>45546</v>
      </c>
      <c r="AA70" s="5" t="s">
        <v>103</v>
      </c>
      <c r="AB70" s="5"/>
      <c r="AC70" s="5" t="s">
        <v>97</v>
      </c>
      <c r="AD70" s="5" t="s">
        <v>97</v>
      </c>
      <c r="AE70" s="5" t="s">
        <v>97</v>
      </c>
      <c r="AF70" s="5" t="s">
        <v>97</v>
      </c>
      <c r="AG70" s="5" t="s">
        <v>97</v>
      </c>
      <c r="AH70" s="5" t="s">
        <v>103</v>
      </c>
      <c r="AI70" s="5">
        <v>45543</v>
      </c>
      <c r="AJ70" s="5"/>
      <c r="AK70" s="5"/>
      <c r="AL70" s="5" t="s">
        <v>97</v>
      </c>
      <c r="AM70" s="5" t="s">
        <v>103</v>
      </c>
      <c r="AN70" s="5" t="s">
        <v>103</v>
      </c>
      <c r="AO70" s="5" t="s">
        <v>97</v>
      </c>
      <c r="AP70" s="5" t="s">
        <v>97</v>
      </c>
      <c r="AQ70" s="5" t="s">
        <v>97</v>
      </c>
      <c r="AR70" s="5" t="s">
        <v>97</v>
      </c>
      <c r="AS70" s="5" t="s">
        <v>97</v>
      </c>
      <c r="AT70" s="5"/>
      <c r="AU70" s="5"/>
      <c r="AV70" s="4" t="s">
        <v>103</v>
      </c>
      <c r="AW70" s="4" t="s">
        <v>97</v>
      </c>
      <c r="AX70" s="4" t="s">
        <v>97</v>
      </c>
      <c r="AY70" s="4" t="s">
        <v>97</v>
      </c>
      <c r="AZ70" s="4" t="s">
        <v>103</v>
      </c>
      <c r="BA70" s="4" t="s">
        <v>97</v>
      </c>
      <c r="BB70" s="5">
        <v>45546</v>
      </c>
      <c r="BC70" s="5">
        <v>45547</v>
      </c>
      <c r="BD70" s="5">
        <v>45548</v>
      </c>
      <c r="BE70" s="5">
        <v>45548</v>
      </c>
      <c r="BF70" s="4" t="s">
        <v>98</v>
      </c>
      <c r="BG70" s="4" t="s">
        <v>97</v>
      </c>
      <c r="BH70" s="4" t="s">
        <v>103</v>
      </c>
      <c r="BI70" s="4" t="s">
        <v>115</v>
      </c>
    </row>
    <row r="71" spans="1:61" x14ac:dyDescent="0.35">
      <c r="A71" s="8" t="str">
        <f t="shared" si="12"/>
        <v>Semaine 36-2024</v>
      </c>
      <c r="B71" s="8" t="str">
        <f t="shared" si="8"/>
        <v>2024</v>
      </c>
      <c r="C71" s="2" t="s">
        <v>41</v>
      </c>
      <c r="D71" s="6" t="str">
        <f t="shared" si="9"/>
        <v>Kolda</v>
      </c>
      <c r="E71" s="6">
        <f t="shared" si="10"/>
        <v>325160</v>
      </c>
      <c r="F71" s="6">
        <f t="shared" si="11"/>
        <v>875661</v>
      </c>
      <c r="G71" s="4" t="s">
        <v>317</v>
      </c>
      <c r="H71" s="9" t="s">
        <v>318</v>
      </c>
      <c r="I71" s="9">
        <v>55</v>
      </c>
      <c r="J71" s="9" t="s">
        <v>96</v>
      </c>
      <c r="K71" s="9"/>
      <c r="L71" s="9"/>
      <c r="M71" s="9"/>
      <c r="N71" s="9"/>
      <c r="O71" s="9" t="s">
        <v>238</v>
      </c>
      <c r="P71" s="9" t="s">
        <v>97</v>
      </c>
      <c r="Q71" s="9" t="s">
        <v>97</v>
      </c>
      <c r="R71" s="14" t="s">
        <v>100</v>
      </c>
      <c r="S71" s="14" t="s">
        <v>100</v>
      </c>
      <c r="T71" s="14" t="s">
        <v>100</v>
      </c>
      <c r="U71" s="14"/>
      <c r="V71" s="14"/>
      <c r="W71" s="14"/>
      <c r="X71" s="14"/>
      <c r="Y71" s="5">
        <v>45542</v>
      </c>
      <c r="Z71" s="5">
        <v>45545</v>
      </c>
      <c r="AA71" s="5" t="s">
        <v>103</v>
      </c>
      <c r="AB71" s="5"/>
      <c r="AC71" s="5" t="s">
        <v>97</v>
      </c>
      <c r="AD71" s="5" t="s">
        <v>97</v>
      </c>
      <c r="AE71" s="5" t="s">
        <v>97</v>
      </c>
      <c r="AF71" s="5" t="s">
        <v>97</v>
      </c>
      <c r="AG71" s="5" t="s">
        <v>97</v>
      </c>
      <c r="AH71" s="5" t="s">
        <v>103</v>
      </c>
      <c r="AI71" s="5">
        <v>45542</v>
      </c>
      <c r="AJ71" s="5"/>
      <c r="AK71" s="5"/>
      <c r="AL71" s="5" t="s">
        <v>97</v>
      </c>
      <c r="AM71" s="5" t="s">
        <v>97</v>
      </c>
      <c r="AN71" s="5" t="s">
        <v>97</v>
      </c>
      <c r="AO71" s="5" t="s">
        <v>103</v>
      </c>
      <c r="AP71" s="5" t="s">
        <v>103</v>
      </c>
      <c r="AQ71" s="5" t="s">
        <v>97</v>
      </c>
      <c r="AR71" s="5" t="s">
        <v>97</v>
      </c>
      <c r="AS71" s="5" t="s">
        <v>97</v>
      </c>
      <c r="AT71" s="5" t="s">
        <v>343</v>
      </c>
      <c r="AU71" s="5"/>
      <c r="AV71" s="4" t="s">
        <v>97</v>
      </c>
      <c r="AW71" s="4" t="s">
        <v>97</v>
      </c>
      <c r="AX71" s="4" t="s">
        <v>97</v>
      </c>
      <c r="AY71" s="4" t="s">
        <v>97</v>
      </c>
      <c r="AZ71" s="4" t="s">
        <v>103</v>
      </c>
      <c r="BA71" s="4" t="s">
        <v>97</v>
      </c>
      <c r="BB71" s="5">
        <v>45545</v>
      </c>
      <c r="BC71" s="5">
        <v>45546</v>
      </c>
      <c r="BD71" s="5">
        <v>45548</v>
      </c>
      <c r="BE71" s="5">
        <v>45548</v>
      </c>
      <c r="BF71" s="4" t="s">
        <v>98</v>
      </c>
      <c r="BG71" s="4" t="s">
        <v>97</v>
      </c>
      <c r="BH71" s="4" t="s">
        <v>103</v>
      </c>
      <c r="BI71" s="4" t="s">
        <v>145</v>
      </c>
    </row>
    <row r="72" spans="1:61" x14ac:dyDescent="0.35">
      <c r="A72" s="8" t="str">
        <f t="shared" si="12"/>
        <v>Semaine 37-2024</v>
      </c>
      <c r="B72" s="8" t="str">
        <f t="shared" si="8"/>
        <v>2024</v>
      </c>
      <c r="C72" s="2" t="s">
        <v>44</v>
      </c>
      <c r="D72" s="6" t="str">
        <f t="shared" si="9"/>
        <v>Louga</v>
      </c>
      <c r="E72" s="6">
        <f t="shared" si="10"/>
        <v>141243</v>
      </c>
      <c r="F72" s="6">
        <f t="shared" si="11"/>
        <v>1121619</v>
      </c>
      <c r="G72" s="4" t="s">
        <v>319</v>
      </c>
      <c r="H72" s="9" t="s">
        <v>321</v>
      </c>
      <c r="I72" s="9">
        <v>1</v>
      </c>
      <c r="J72" s="9" t="s">
        <v>96</v>
      </c>
      <c r="K72" s="9"/>
      <c r="L72" s="9"/>
      <c r="M72" s="9"/>
      <c r="N72" s="9"/>
      <c r="O72" s="9" t="s">
        <v>238</v>
      </c>
      <c r="P72" s="9" t="s">
        <v>97</v>
      </c>
      <c r="Q72" s="9" t="s">
        <v>97</v>
      </c>
      <c r="R72" s="14" t="s">
        <v>100</v>
      </c>
      <c r="S72" s="14" t="s">
        <v>100</v>
      </c>
      <c r="T72" s="14" t="s">
        <v>100</v>
      </c>
      <c r="U72" s="14" t="s">
        <v>285</v>
      </c>
      <c r="V72" s="14"/>
      <c r="W72" s="14"/>
      <c r="X72" s="14"/>
      <c r="Y72" s="5">
        <v>45545</v>
      </c>
      <c r="Z72" s="5">
        <v>45548</v>
      </c>
      <c r="AA72" s="5" t="s">
        <v>103</v>
      </c>
      <c r="AB72" s="5"/>
      <c r="AC72" s="5" t="s">
        <v>103</v>
      </c>
      <c r="AD72" s="5" t="s">
        <v>97</v>
      </c>
      <c r="AE72" s="5" t="s">
        <v>97</v>
      </c>
      <c r="AF72" s="5" t="s">
        <v>97</v>
      </c>
      <c r="AG72" s="5" t="s">
        <v>97</v>
      </c>
      <c r="AH72" s="5" t="s">
        <v>103</v>
      </c>
      <c r="AI72" s="5">
        <v>45545</v>
      </c>
      <c r="AJ72" s="5"/>
      <c r="AK72" s="5"/>
      <c r="AL72" s="5" t="s">
        <v>103</v>
      </c>
      <c r="AM72" s="5" t="s">
        <v>103</v>
      </c>
      <c r="AN72" s="5" t="s">
        <v>103</v>
      </c>
      <c r="AO72" s="5" t="s">
        <v>103</v>
      </c>
      <c r="AP72" s="5" t="s">
        <v>103</v>
      </c>
      <c r="AQ72" s="5" t="s">
        <v>97</v>
      </c>
      <c r="AR72" s="5" t="s">
        <v>97</v>
      </c>
      <c r="AS72" s="5" t="s">
        <v>97</v>
      </c>
      <c r="AT72" s="5"/>
      <c r="AU72" s="5"/>
      <c r="AV72" s="4" t="s">
        <v>103</v>
      </c>
      <c r="AW72" s="4" t="s">
        <v>97</v>
      </c>
      <c r="AX72" s="4" t="s">
        <v>97</v>
      </c>
      <c r="AY72" s="4" t="s">
        <v>97</v>
      </c>
      <c r="AZ72" s="4" t="s">
        <v>97</v>
      </c>
      <c r="BA72" s="4" t="s">
        <v>97</v>
      </c>
      <c r="BB72" s="5">
        <v>45548</v>
      </c>
      <c r="BC72" s="5">
        <v>45548</v>
      </c>
      <c r="BD72" s="5">
        <v>45549</v>
      </c>
      <c r="BE72" s="5">
        <v>45549</v>
      </c>
      <c r="BF72" s="4" t="s">
        <v>98</v>
      </c>
      <c r="BG72" s="4" t="s">
        <v>97</v>
      </c>
      <c r="BH72" s="4" t="s">
        <v>103</v>
      </c>
      <c r="BI72" s="4" t="s">
        <v>115</v>
      </c>
    </row>
    <row r="73" spans="1:61" x14ac:dyDescent="0.35">
      <c r="A73" s="8" t="str">
        <f t="shared" si="12"/>
        <v>Semaine 36-2024</v>
      </c>
      <c r="B73" s="8" t="str">
        <f t="shared" si="8"/>
        <v>2024</v>
      </c>
      <c r="C73" s="2" t="s">
        <v>44</v>
      </c>
      <c r="D73" s="6" t="str">
        <f t="shared" si="9"/>
        <v>Louga</v>
      </c>
      <c r="E73" s="6">
        <f t="shared" si="10"/>
        <v>141243</v>
      </c>
      <c r="F73" s="6">
        <f t="shared" si="11"/>
        <v>1121619</v>
      </c>
      <c r="G73" s="4" t="s">
        <v>320</v>
      </c>
      <c r="H73" s="9" t="s">
        <v>322</v>
      </c>
      <c r="I73" s="9">
        <v>18</v>
      </c>
      <c r="J73" s="9" t="s">
        <v>96</v>
      </c>
      <c r="K73" s="9"/>
      <c r="L73" s="9"/>
      <c r="M73" s="9"/>
      <c r="N73" s="9"/>
      <c r="O73" s="9" t="s">
        <v>238</v>
      </c>
      <c r="P73" s="9" t="s">
        <v>97</v>
      </c>
      <c r="Q73" s="9" t="s">
        <v>97</v>
      </c>
      <c r="R73" s="14" t="s">
        <v>100</v>
      </c>
      <c r="S73" s="14" t="s">
        <v>100</v>
      </c>
      <c r="T73" s="14" t="s">
        <v>100</v>
      </c>
      <c r="U73" s="14"/>
      <c r="V73" s="14"/>
      <c r="W73" s="14"/>
      <c r="X73" s="14"/>
      <c r="Y73" s="5">
        <v>45543</v>
      </c>
      <c r="Z73" s="5">
        <v>45548</v>
      </c>
      <c r="AA73" s="5" t="s">
        <v>103</v>
      </c>
      <c r="AB73" s="5"/>
      <c r="AC73" s="5" t="s">
        <v>103</v>
      </c>
      <c r="AD73" s="5" t="s">
        <v>97</v>
      </c>
      <c r="AE73" s="5" t="s">
        <v>97</v>
      </c>
      <c r="AF73" s="5" t="s">
        <v>103</v>
      </c>
      <c r="AG73" s="5" t="s">
        <v>97</v>
      </c>
      <c r="AH73" s="5" t="s">
        <v>103</v>
      </c>
      <c r="AI73" s="5">
        <v>45543</v>
      </c>
      <c r="AJ73" s="5"/>
      <c r="AK73" s="5"/>
      <c r="AL73" s="5" t="s">
        <v>103</v>
      </c>
      <c r="AM73" s="5" t="s">
        <v>103</v>
      </c>
      <c r="AN73" s="5" t="s">
        <v>103</v>
      </c>
      <c r="AO73" s="5" t="s">
        <v>103</v>
      </c>
      <c r="AP73" s="5" t="s">
        <v>103</v>
      </c>
      <c r="AQ73" s="5" t="s">
        <v>97</v>
      </c>
      <c r="AR73" s="5" t="s">
        <v>97</v>
      </c>
      <c r="AS73" s="5" t="s">
        <v>97</v>
      </c>
      <c r="AT73" s="5"/>
      <c r="AU73" s="5"/>
      <c r="AV73" s="4" t="s">
        <v>103</v>
      </c>
      <c r="AW73" s="4" t="s">
        <v>97</v>
      </c>
      <c r="AX73" s="4" t="s">
        <v>97</v>
      </c>
      <c r="AY73" s="4" t="s">
        <v>97</v>
      </c>
      <c r="AZ73" s="4" t="s">
        <v>97</v>
      </c>
      <c r="BA73" s="4" t="s">
        <v>97</v>
      </c>
      <c r="BB73" s="5">
        <v>45548</v>
      </c>
      <c r="BC73" s="5">
        <v>45548</v>
      </c>
      <c r="BD73" s="5">
        <v>45549</v>
      </c>
      <c r="BE73" s="5">
        <v>45549</v>
      </c>
      <c r="BF73" s="4" t="s">
        <v>98</v>
      </c>
      <c r="BG73" s="4" t="s">
        <v>97</v>
      </c>
      <c r="BH73" s="4" t="s">
        <v>103</v>
      </c>
      <c r="BI73" s="4" t="s">
        <v>115</v>
      </c>
    </row>
    <row r="74" spans="1:61" x14ac:dyDescent="0.35">
      <c r="A74" s="8" t="str">
        <f t="shared" si="12"/>
        <v>Semaine 35-2024</v>
      </c>
      <c r="B74" s="8" t="str">
        <f t="shared" si="8"/>
        <v>2024</v>
      </c>
      <c r="C74" s="2" t="s">
        <v>42</v>
      </c>
      <c r="D74" s="6" t="str">
        <f t="shared" si="9"/>
        <v>Kaffrine</v>
      </c>
      <c r="E74" s="6">
        <f t="shared" si="10"/>
        <v>176666</v>
      </c>
      <c r="F74" s="6">
        <f t="shared" si="11"/>
        <v>782275</v>
      </c>
      <c r="G74" s="4" t="s">
        <v>323</v>
      </c>
      <c r="H74" s="9" t="s">
        <v>325</v>
      </c>
      <c r="I74" s="9">
        <v>1</v>
      </c>
      <c r="J74" s="9" t="s">
        <v>114</v>
      </c>
      <c r="K74" s="9"/>
      <c r="L74" s="9"/>
      <c r="M74" s="9"/>
      <c r="N74" s="9"/>
      <c r="O74" s="9" t="s">
        <v>238</v>
      </c>
      <c r="P74" s="9" t="s">
        <v>97</v>
      </c>
      <c r="Q74" s="9" t="s">
        <v>97</v>
      </c>
      <c r="R74" s="14" t="s">
        <v>100</v>
      </c>
      <c r="S74" s="14" t="s">
        <v>100</v>
      </c>
      <c r="T74" s="14" t="s">
        <v>100</v>
      </c>
      <c r="U74" s="14"/>
      <c r="V74" s="14"/>
      <c r="W74" s="14"/>
      <c r="X74" s="14"/>
      <c r="Y74" s="5">
        <v>45536</v>
      </c>
      <c r="Z74" s="5">
        <v>45546</v>
      </c>
      <c r="AA74" s="5" t="s">
        <v>103</v>
      </c>
      <c r="AB74" s="5"/>
      <c r="AC74" s="5" t="s">
        <v>97</v>
      </c>
      <c r="AD74" s="5" t="s">
        <v>97</v>
      </c>
      <c r="AE74" s="5" t="s">
        <v>97</v>
      </c>
      <c r="AF74" s="5" t="s">
        <v>97</v>
      </c>
      <c r="AG74" s="5" t="s">
        <v>97</v>
      </c>
      <c r="AH74" s="5" t="s">
        <v>103</v>
      </c>
      <c r="AI74" s="5">
        <v>45546</v>
      </c>
      <c r="AJ74" s="5"/>
      <c r="AK74" s="5"/>
      <c r="AL74" s="5" t="s">
        <v>103</v>
      </c>
      <c r="AM74" s="5" t="s">
        <v>97</v>
      </c>
      <c r="AN74" s="5" t="s">
        <v>103</v>
      </c>
      <c r="AO74" s="5" t="s">
        <v>103</v>
      </c>
      <c r="AP74" s="5" t="s">
        <v>103</v>
      </c>
      <c r="AQ74" s="5" t="s">
        <v>97</v>
      </c>
      <c r="AR74" s="5" t="s">
        <v>97</v>
      </c>
      <c r="AS74" s="5" t="s">
        <v>97</v>
      </c>
      <c r="AT74" s="5"/>
      <c r="AU74" s="5"/>
      <c r="AV74" s="4" t="s">
        <v>97</v>
      </c>
      <c r="AW74" s="4" t="s">
        <v>97</v>
      </c>
      <c r="AX74" s="4" t="s">
        <v>97</v>
      </c>
      <c r="AY74" s="4" t="s">
        <v>97</v>
      </c>
      <c r="AZ74" s="4" t="s">
        <v>103</v>
      </c>
      <c r="BA74" s="4" t="s">
        <v>97</v>
      </c>
      <c r="BB74" s="5">
        <v>45546</v>
      </c>
      <c r="BC74" s="5">
        <v>45547</v>
      </c>
      <c r="BD74" s="5">
        <v>45552</v>
      </c>
      <c r="BE74" s="5">
        <v>45552</v>
      </c>
      <c r="BF74" s="4" t="s">
        <v>98</v>
      </c>
      <c r="BG74" s="4" t="s">
        <v>97</v>
      </c>
      <c r="BH74" s="4" t="s">
        <v>103</v>
      </c>
      <c r="BI74" s="4" t="s">
        <v>145</v>
      </c>
    </row>
    <row r="75" spans="1:61" x14ac:dyDescent="0.35">
      <c r="A75" s="8" t="str">
        <f t="shared" si="12"/>
        <v>Semaine 35-2024</v>
      </c>
      <c r="B75" s="8" t="str">
        <f t="shared" si="8"/>
        <v>2024</v>
      </c>
      <c r="C75" s="2" t="s">
        <v>42</v>
      </c>
      <c r="D75" s="6" t="str">
        <f t="shared" si="9"/>
        <v>Kaffrine</v>
      </c>
      <c r="E75" s="6">
        <f t="shared" si="10"/>
        <v>176666</v>
      </c>
      <c r="F75" s="6">
        <f t="shared" si="11"/>
        <v>782275</v>
      </c>
      <c r="G75" s="4" t="s">
        <v>324</v>
      </c>
      <c r="H75" s="9" t="s">
        <v>326</v>
      </c>
      <c r="I75" s="9">
        <v>2</v>
      </c>
      <c r="J75" s="9" t="s">
        <v>96</v>
      </c>
      <c r="K75" s="9"/>
      <c r="L75" s="9"/>
      <c r="M75" s="9"/>
      <c r="N75" s="9"/>
      <c r="O75" s="9" t="s">
        <v>238</v>
      </c>
      <c r="P75" s="9" t="s">
        <v>97</v>
      </c>
      <c r="Q75" s="9" t="s">
        <v>97</v>
      </c>
      <c r="R75" s="14" t="s">
        <v>100</v>
      </c>
      <c r="S75" s="14" t="s">
        <v>100</v>
      </c>
      <c r="T75" s="14" t="s">
        <v>100</v>
      </c>
      <c r="U75" s="14" t="s">
        <v>327</v>
      </c>
      <c r="V75" s="14"/>
      <c r="W75" s="14"/>
      <c r="X75" s="14"/>
      <c r="Y75" s="5">
        <v>45536</v>
      </c>
      <c r="Z75" s="5">
        <v>45546</v>
      </c>
      <c r="AA75" s="5" t="s">
        <v>97</v>
      </c>
      <c r="AB75" s="5"/>
      <c r="AC75" s="5" t="s">
        <v>97</v>
      </c>
      <c r="AD75" s="5" t="s">
        <v>97</v>
      </c>
      <c r="AE75" s="5" t="s">
        <v>97</v>
      </c>
      <c r="AF75" s="5" t="s">
        <v>97</v>
      </c>
      <c r="AG75" s="5" t="s">
        <v>97</v>
      </c>
      <c r="AH75" s="5" t="s">
        <v>103</v>
      </c>
      <c r="AI75" s="5">
        <v>45546</v>
      </c>
      <c r="AJ75" s="5"/>
      <c r="AK75" s="5"/>
      <c r="AL75" s="5" t="s">
        <v>103</v>
      </c>
      <c r="AM75" s="5" t="s">
        <v>97</v>
      </c>
      <c r="AN75" s="5" t="s">
        <v>103</v>
      </c>
      <c r="AO75" s="5" t="s">
        <v>103</v>
      </c>
      <c r="AP75" s="5" t="s">
        <v>103</v>
      </c>
      <c r="AQ75" s="5" t="s">
        <v>97</v>
      </c>
      <c r="AR75" s="5" t="s">
        <v>97</v>
      </c>
      <c r="AS75" s="5" t="s">
        <v>97</v>
      </c>
      <c r="AT75" s="5"/>
      <c r="AU75" s="5"/>
      <c r="AV75" s="4" t="s">
        <v>97</v>
      </c>
      <c r="AW75" s="4" t="s">
        <v>97</v>
      </c>
      <c r="AX75" s="4" t="s">
        <v>97</v>
      </c>
      <c r="AY75" s="4" t="s">
        <v>97</v>
      </c>
      <c r="AZ75" s="4" t="s">
        <v>103</v>
      </c>
      <c r="BA75" s="4" t="s">
        <v>97</v>
      </c>
      <c r="BB75" s="5">
        <v>45546</v>
      </c>
      <c r="BC75" s="5">
        <v>45547</v>
      </c>
      <c r="BD75" s="5">
        <v>45552</v>
      </c>
      <c r="BE75" s="5">
        <v>45552</v>
      </c>
      <c r="BF75" s="4" t="s">
        <v>98</v>
      </c>
      <c r="BG75" s="4" t="s">
        <v>97</v>
      </c>
      <c r="BH75" s="4" t="s">
        <v>103</v>
      </c>
      <c r="BI75" s="4" t="s">
        <v>145</v>
      </c>
    </row>
    <row r="76" spans="1:61" x14ac:dyDescent="0.35">
      <c r="A76" s="8" t="str">
        <f t="shared" si="12"/>
        <v>Semaine 37-2024</v>
      </c>
      <c r="B76" s="8" t="str">
        <f t="shared" si="8"/>
        <v>2024</v>
      </c>
      <c r="C76" s="2" t="s">
        <v>91</v>
      </c>
      <c r="D76" s="6" t="str">
        <f t="shared" si="9"/>
        <v>Dakar</v>
      </c>
      <c r="E76" s="6">
        <f t="shared" si="10"/>
        <v>179835</v>
      </c>
      <c r="F76" s="6">
        <f t="shared" si="11"/>
        <v>4042240</v>
      </c>
      <c r="G76" s="4" t="s">
        <v>329</v>
      </c>
      <c r="H76" s="9" t="s">
        <v>333</v>
      </c>
      <c r="I76" s="9">
        <v>49</v>
      </c>
      <c r="J76" s="9" t="s">
        <v>114</v>
      </c>
      <c r="K76" s="9"/>
      <c r="L76" s="9"/>
      <c r="M76" s="9"/>
      <c r="N76" s="9"/>
      <c r="O76" s="9" t="s">
        <v>238</v>
      </c>
      <c r="P76" s="9" t="s">
        <v>97</v>
      </c>
      <c r="Q76" s="9" t="s">
        <v>97</v>
      </c>
      <c r="R76" s="14" t="s">
        <v>100</v>
      </c>
      <c r="S76" s="14" t="s">
        <v>100</v>
      </c>
      <c r="T76" s="14" t="s">
        <v>100</v>
      </c>
      <c r="U76" s="14"/>
      <c r="V76" s="14"/>
      <c r="W76" s="14"/>
      <c r="X76" s="14"/>
      <c r="Y76" s="5">
        <v>45549</v>
      </c>
      <c r="Z76" s="5">
        <v>45552</v>
      </c>
      <c r="AA76" s="5" t="s">
        <v>103</v>
      </c>
      <c r="AB76" s="5" t="s">
        <v>303</v>
      </c>
      <c r="AC76" s="5" t="s">
        <v>103</v>
      </c>
      <c r="AD76" s="5" t="s">
        <v>97</v>
      </c>
      <c r="AE76" s="5" t="s">
        <v>97</v>
      </c>
      <c r="AF76" s="5" t="s">
        <v>97</v>
      </c>
      <c r="AG76" s="5" t="s">
        <v>97</v>
      </c>
      <c r="AH76" s="5" t="s">
        <v>103</v>
      </c>
      <c r="AI76" s="5">
        <v>45550</v>
      </c>
      <c r="AJ76" s="5" t="s">
        <v>103</v>
      </c>
      <c r="AK76" s="5" t="s">
        <v>103</v>
      </c>
      <c r="AL76" s="5" t="s">
        <v>97</v>
      </c>
      <c r="AM76" s="5" t="s">
        <v>103</v>
      </c>
      <c r="AN76" s="5" t="s">
        <v>103</v>
      </c>
      <c r="AO76" s="5" t="s">
        <v>97</v>
      </c>
      <c r="AP76" s="5" t="s">
        <v>103</v>
      </c>
      <c r="AQ76" s="5" t="s">
        <v>97</v>
      </c>
      <c r="AR76" s="5" t="s">
        <v>97</v>
      </c>
      <c r="AS76" s="5" t="s">
        <v>103</v>
      </c>
      <c r="AT76" s="5"/>
      <c r="AU76" s="5"/>
      <c r="AV76" s="4" t="s">
        <v>103</v>
      </c>
      <c r="AW76" s="4" t="s">
        <v>97</v>
      </c>
      <c r="AX76" s="4" t="s">
        <v>103</v>
      </c>
      <c r="AY76" s="4" t="s">
        <v>97</v>
      </c>
      <c r="AZ76" s="4" t="s">
        <v>97</v>
      </c>
      <c r="BA76" s="4" t="s">
        <v>97</v>
      </c>
      <c r="BB76" s="5">
        <v>45552</v>
      </c>
      <c r="BC76" s="5">
        <v>45552</v>
      </c>
      <c r="BD76" s="5">
        <v>45553</v>
      </c>
      <c r="BE76" s="5">
        <v>45558</v>
      </c>
      <c r="BF76" s="4" t="s">
        <v>98</v>
      </c>
      <c r="BG76" s="4" t="s">
        <v>97</v>
      </c>
      <c r="BH76" s="4" t="s">
        <v>103</v>
      </c>
      <c r="BI76" s="4" t="s">
        <v>115</v>
      </c>
    </row>
    <row r="77" spans="1:61" x14ac:dyDescent="0.35">
      <c r="A77" s="8" t="str">
        <f t="shared" si="12"/>
        <v>Semaine 38-2024</v>
      </c>
      <c r="B77" s="8" t="str">
        <f t="shared" si="8"/>
        <v>2024</v>
      </c>
      <c r="C77" s="2" t="s">
        <v>18</v>
      </c>
      <c r="D77" s="6" t="str">
        <f t="shared" si="9"/>
        <v>Dakar</v>
      </c>
      <c r="E77" s="6">
        <f t="shared" si="10"/>
        <v>419489</v>
      </c>
      <c r="F77" s="6">
        <f t="shared" si="11"/>
        <v>4042240</v>
      </c>
      <c r="G77" s="4" t="s">
        <v>330</v>
      </c>
      <c r="H77" s="9" t="s">
        <v>334</v>
      </c>
      <c r="I77" s="9">
        <v>57</v>
      </c>
      <c r="J77" s="9" t="s">
        <v>114</v>
      </c>
      <c r="K77" s="9"/>
      <c r="L77" s="9"/>
      <c r="M77" s="9"/>
      <c r="N77" s="9"/>
      <c r="O77" s="9" t="s">
        <v>238</v>
      </c>
      <c r="P77" s="9" t="s">
        <v>97</v>
      </c>
      <c r="Q77" s="9" t="s">
        <v>97</v>
      </c>
      <c r="R77" s="14" t="s">
        <v>100</v>
      </c>
      <c r="S77" s="14" t="s">
        <v>100</v>
      </c>
      <c r="T77" s="14" t="s">
        <v>100</v>
      </c>
      <c r="U77" s="14"/>
      <c r="V77" s="14"/>
      <c r="W77" s="14"/>
      <c r="X77" s="14"/>
      <c r="Y77" s="5">
        <v>45551</v>
      </c>
      <c r="Z77" s="5">
        <v>45555</v>
      </c>
      <c r="AA77" s="5" t="s">
        <v>103</v>
      </c>
      <c r="AB77" s="5"/>
      <c r="AC77" s="5" t="s">
        <v>103</v>
      </c>
      <c r="AD77" s="5" t="s">
        <v>97</v>
      </c>
      <c r="AE77" s="5" t="s">
        <v>97</v>
      </c>
      <c r="AF77" s="5" t="s">
        <v>97</v>
      </c>
      <c r="AG77" s="5" t="s">
        <v>103</v>
      </c>
      <c r="AH77" s="5" t="s">
        <v>97</v>
      </c>
      <c r="AI77" s="5"/>
      <c r="AJ77" s="5"/>
      <c r="AK77" s="5"/>
      <c r="AL77" s="5"/>
      <c r="AM77" s="5"/>
      <c r="AN77" s="5"/>
      <c r="AO77" s="5"/>
      <c r="AP77" s="5"/>
      <c r="AQ77" s="5"/>
      <c r="AR77" s="5"/>
      <c r="AS77" s="5"/>
      <c r="AT77" s="5" t="s">
        <v>342</v>
      </c>
      <c r="AU77" s="5"/>
      <c r="AV77" s="4" t="s">
        <v>97</v>
      </c>
      <c r="AW77" s="4" t="s">
        <v>97</v>
      </c>
      <c r="AX77" s="4" t="s">
        <v>97</v>
      </c>
      <c r="AY77" s="4" t="s">
        <v>97</v>
      </c>
      <c r="AZ77" s="4" t="s">
        <v>103</v>
      </c>
      <c r="BA77" s="4" t="s">
        <v>97</v>
      </c>
      <c r="BB77" s="5">
        <v>45555</v>
      </c>
      <c r="BC77" s="5">
        <v>45558</v>
      </c>
      <c r="BD77" s="5">
        <v>45558</v>
      </c>
      <c r="BE77" s="5">
        <v>45558</v>
      </c>
      <c r="BF77" s="4" t="s">
        <v>98</v>
      </c>
      <c r="BG77" s="4" t="s">
        <v>97</v>
      </c>
      <c r="BH77" s="4" t="s">
        <v>103</v>
      </c>
      <c r="BI77" s="4" t="s">
        <v>145</v>
      </c>
    </row>
    <row r="78" spans="1:61" x14ac:dyDescent="0.35">
      <c r="A78" s="8" t="str">
        <f t="shared" si="12"/>
        <v>Semaine 38-2024</v>
      </c>
      <c r="B78" s="8" t="str">
        <f t="shared" si="8"/>
        <v>2024</v>
      </c>
      <c r="C78" s="2" t="s">
        <v>18</v>
      </c>
      <c r="D78" s="6" t="str">
        <f t="shared" si="9"/>
        <v>Dakar</v>
      </c>
      <c r="E78" s="6">
        <f t="shared" si="10"/>
        <v>419489</v>
      </c>
      <c r="F78" s="6">
        <f t="shared" si="11"/>
        <v>4042240</v>
      </c>
      <c r="G78" s="4" t="s">
        <v>331</v>
      </c>
      <c r="H78" s="9" t="s">
        <v>335</v>
      </c>
      <c r="I78" s="9">
        <v>1</v>
      </c>
      <c r="J78" s="9" t="s">
        <v>96</v>
      </c>
      <c r="K78" s="9"/>
      <c r="L78" s="9"/>
      <c r="M78" s="9"/>
      <c r="N78" s="9"/>
      <c r="O78" s="9" t="s">
        <v>238</v>
      </c>
      <c r="P78" s="9" t="s">
        <v>97</v>
      </c>
      <c r="Q78" s="9" t="s">
        <v>97</v>
      </c>
      <c r="R78" s="14" t="s">
        <v>100</v>
      </c>
      <c r="S78" s="14" t="s">
        <v>100</v>
      </c>
      <c r="T78" s="14" t="s">
        <v>100</v>
      </c>
      <c r="U78" s="14"/>
      <c r="V78" s="14"/>
      <c r="W78" s="14"/>
      <c r="X78" s="14"/>
      <c r="Y78" s="5">
        <v>45551</v>
      </c>
      <c r="Z78" s="5">
        <v>45558</v>
      </c>
      <c r="AA78" s="5" t="s">
        <v>103</v>
      </c>
      <c r="AB78" s="5"/>
      <c r="AC78" s="5" t="s">
        <v>97</v>
      </c>
      <c r="AD78" s="5" t="s">
        <v>97</v>
      </c>
      <c r="AE78" s="5" t="s">
        <v>97</v>
      </c>
      <c r="AF78" s="5" t="s">
        <v>103</v>
      </c>
      <c r="AG78" s="5" t="s">
        <v>97</v>
      </c>
      <c r="AH78" s="5" t="s">
        <v>103</v>
      </c>
      <c r="AI78" s="5">
        <v>45551</v>
      </c>
      <c r="AJ78" s="5" t="s">
        <v>103</v>
      </c>
      <c r="AK78" s="5" t="s">
        <v>103</v>
      </c>
      <c r="AL78" s="5" t="s">
        <v>97</v>
      </c>
      <c r="AM78" s="5" t="s">
        <v>103</v>
      </c>
      <c r="AN78" s="5" t="s">
        <v>103</v>
      </c>
      <c r="AO78" s="5" t="s">
        <v>103</v>
      </c>
      <c r="AP78" s="5" t="s">
        <v>103</v>
      </c>
      <c r="AQ78" s="5" t="s">
        <v>97</v>
      </c>
      <c r="AR78" s="5" t="s">
        <v>97</v>
      </c>
      <c r="AS78" s="5" t="s">
        <v>103</v>
      </c>
      <c r="AT78" s="5"/>
      <c r="AU78" s="5"/>
      <c r="AV78" s="4" t="s">
        <v>97</v>
      </c>
      <c r="AW78" s="4" t="s">
        <v>103</v>
      </c>
      <c r="AX78" s="4" t="s">
        <v>97</v>
      </c>
      <c r="AY78" s="4" t="s">
        <v>97</v>
      </c>
      <c r="AZ78" s="4" t="s">
        <v>97</v>
      </c>
      <c r="BA78" s="4" t="s">
        <v>97</v>
      </c>
      <c r="BB78" s="5">
        <v>45558</v>
      </c>
      <c r="BC78" s="5">
        <v>45558</v>
      </c>
      <c r="BD78" s="5">
        <v>45558</v>
      </c>
      <c r="BE78" s="5">
        <v>45558</v>
      </c>
      <c r="BF78" s="4" t="s">
        <v>98</v>
      </c>
      <c r="BG78" s="4" t="s">
        <v>97</v>
      </c>
      <c r="BH78" s="4" t="s">
        <v>103</v>
      </c>
      <c r="BI78" s="4" t="s">
        <v>145</v>
      </c>
    </row>
    <row r="79" spans="1:61" x14ac:dyDescent="0.35">
      <c r="A79" s="8" t="str">
        <f t="shared" si="12"/>
        <v>Semaine 38-2024</v>
      </c>
      <c r="B79" s="8" t="str">
        <f t="shared" si="8"/>
        <v>2024</v>
      </c>
      <c r="C79" s="2" t="s">
        <v>18</v>
      </c>
      <c r="D79" s="6" t="str">
        <f t="shared" si="9"/>
        <v>Dakar</v>
      </c>
      <c r="E79" s="6">
        <f t="shared" si="10"/>
        <v>419489</v>
      </c>
      <c r="F79" s="6">
        <f t="shared" si="11"/>
        <v>4042240</v>
      </c>
      <c r="G79" s="4" t="s">
        <v>332</v>
      </c>
      <c r="H79" s="9" t="s">
        <v>336</v>
      </c>
      <c r="I79" s="9">
        <v>1</v>
      </c>
      <c r="J79" s="9" t="s">
        <v>96</v>
      </c>
      <c r="K79" s="9"/>
      <c r="L79" s="9"/>
      <c r="M79" s="9"/>
      <c r="N79" s="9"/>
      <c r="O79" s="9" t="s">
        <v>238</v>
      </c>
      <c r="P79" s="9" t="s">
        <v>97</v>
      </c>
      <c r="Q79" s="9" t="s">
        <v>97</v>
      </c>
      <c r="R79" s="14" t="s">
        <v>100</v>
      </c>
      <c r="S79" s="14" t="s">
        <v>100</v>
      </c>
      <c r="T79" s="14" t="s">
        <v>100</v>
      </c>
      <c r="U79" s="14"/>
      <c r="V79" s="14"/>
      <c r="W79" s="14"/>
      <c r="X79" s="14"/>
      <c r="Y79" s="5">
        <v>45551</v>
      </c>
      <c r="Z79" s="5">
        <v>45558</v>
      </c>
      <c r="AA79" s="5" t="s">
        <v>103</v>
      </c>
      <c r="AB79" s="5"/>
      <c r="AC79" s="5" t="s">
        <v>97</v>
      </c>
      <c r="AD79" s="5" t="s">
        <v>97</v>
      </c>
      <c r="AE79" s="5" t="s">
        <v>103</v>
      </c>
      <c r="AF79" s="5" t="s">
        <v>97</v>
      </c>
      <c r="AG79" s="5" t="s">
        <v>97</v>
      </c>
      <c r="AH79" s="5" t="s">
        <v>103</v>
      </c>
      <c r="AI79" s="5">
        <v>45551</v>
      </c>
      <c r="AJ79" s="5" t="s">
        <v>103</v>
      </c>
      <c r="AK79" s="5" t="s">
        <v>103</v>
      </c>
      <c r="AL79" s="5" t="s">
        <v>97</v>
      </c>
      <c r="AM79" s="5" t="s">
        <v>103</v>
      </c>
      <c r="AN79" s="5" t="s">
        <v>103</v>
      </c>
      <c r="AO79" s="5" t="s">
        <v>103</v>
      </c>
      <c r="AP79" s="5" t="s">
        <v>103</v>
      </c>
      <c r="AQ79" s="5" t="s">
        <v>97</v>
      </c>
      <c r="AR79" s="5" t="s">
        <v>97</v>
      </c>
      <c r="AS79" s="5" t="s">
        <v>103</v>
      </c>
      <c r="AT79" s="5"/>
      <c r="AU79" s="5"/>
      <c r="AV79" s="4" t="s">
        <v>103</v>
      </c>
      <c r="AW79" s="4" t="s">
        <v>97</v>
      </c>
      <c r="AX79" s="4" t="s">
        <v>97</v>
      </c>
      <c r="AY79" s="4" t="s">
        <v>97</v>
      </c>
      <c r="AZ79" s="4" t="s">
        <v>97</v>
      </c>
      <c r="BA79" s="4" t="s">
        <v>97</v>
      </c>
      <c r="BB79" s="5">
        <v>45558</v>
      </c>
      <c r="BC79" s="5">
        <v>45558</v>
      </c>
      <c r="BD79" s="5">
        <v>45558</v>
      </c>
      <c r="BE79" s="5">
        <v>45558</v>
      </c>
      <c r="BF79" s="4" t="s">
        <v>98</v>
      </c>
      <c r="BG79" s="4" t="s">
        <v>97</v>
      </c>
      <c r="BH79" s="4" t="s">
        <v>103</v>
      </c>
      <c r="BI79" s="4" t="s">
        <v>145</v>
      </c>
    </row>
    <row r="80" spans="1:61" x14ac:dyDescent="0.35">
      <c r="A80" s="8" t="str">
        <f t="shared" si="12"/>
        <v>Semaine 37-2024</v>
      </c>
      <c r="B80" s="8" t="str">
        <f t="shared" si="8"/>
        <v>2024</v>
      </c>
      <c r="C80" s="2" t="s">
        <v>9</v>
      </c>
      <c r="D80" s="6" t="str">
        <f t="shared" si="9"/>
        <v>Tambacounda</v>
      </c>
      <c r="E80" s="6">
        <f t="shared" si="10"/>
        <v>317016</v>
      </c>
      <c r="F80" s="6">
        <f t="shared" si="11"/>
        <v>937181</v>
      </c>
      <c r="G80" s="4" t="s">
        <v>337</v>
      </c>
      <c r="H80" s="9" t="s">
        <v>339</v>
      </c>
      <c r="I80" s="9">
        <v>34</v>
      </c>
      <c r="J80" s="9" t="s">
        <v>114</v>
      </c>
      <c r="K80" s="9"/>
      <c r="L80" s="9"/>
      <c r="M80" s="9"/>
      <c r="N80" s="9"/>
      <c r="O80" s="9" t="s">
        <v>238</v>
      </c>
      <c r="P80" s="9" t="s">
        <v>97</v>
      </c>
      <c r="Q80" s="9" t="s">
        <v>97</v>
      </c>
      <c r="R80" s="14" t="s">
        <v>100</v>
      </c>
      <c r="S80" s="14" t="s">
        <v>100</v>
      </c>
      <c r="T80" s="14" t="s">
        <v>100</v>
      </c>
      <c r="U80" s="14" t="s">
        <v>285</v>
      </c>
      <c r="V80" s="14" t="s">
        <v>287</v>
      </c>
      <c r="W80" s="14"/>
      <c r="X80" s="14"/>
      <c r="Y80" s="5">
        <v>45550</v>
      </c>
      <c r="Z80" s="5">
        <v>45557</v>
      </c>
      <c r="AA80" s="5" t="s">
        <v>103</v>
      </c>
      <c r="AB80" s="5"/>
      <c r="AC80" s="5" t="s">
        <v>103</v>
      </c>
      <c r="AD80" s="5" t="s">
        <v>97</v>
      </c>
      <c r="AE80" s="5" t="s">
        <v>97</v>
      </c>
      <c r="AF80" s="5" t="s">
        <v>97</v>
      </c>
      <c r="AG80" s="5" t="s">
        <v>97</v>
      </c>
      <c r="AH80" s="5" t="s">
        <v>103</v>
      </c>
      <c r="AI80" s="5">
        <v>45550</v>
      </c>
      <c r="AJ80" s="5"/>
      <c r="AK80" s="5"/>
      <c r="AL80" s="5" t="s">
        <v>103</v>
      </c>
      <c r="AM80" s="5" t="s">
        <v>103</v>
      </c>
      <c r="AN80" s="5" t="s">
        <v>97</v>
      </c>
      <c r="AO80" s="5" t="s">
        <v>103</v>
      </c>
      <c r="AP80" s="5" t="s">
        <v>103</v>
      </c>
      <c r="AQ80" s="5" t="s">
        <v>97</v>
      </c>
      <c r="AR80" s="5" t="s">
        <v>97</v>
      </c>
      <c r="AS80" s="5" t="s">
        <v>97</v>
      </c>
      <c r="AT80" s="5" t="s">
        <v>340</v>
      </c>
      <c r="AU80" s="5"/>
      <c r="AV80" s="4" t="s">
        <v>103</v>
      </c>
      <c r="AW80" s="4" t="s">
        <v>97</v>
      </c>
      <c r="AX80" s="4" t="s">
        <v>97</v>
      </c>
      <c r="AY80" s="4" t="s">
        <v>97</v>
      </c>
      <c r="AZ80" s="4" t="s">
        <v>97</v>
      </c>
      <c r="BA80" s="4" t="s">
        <v>97</v>
      </c>
      <c r="BB80" s="5">
        <v>45557</v>
      </c>
      <c r="BC80" s="5">
        <v>45558</v>
      </c>
      <c r="BD80" s="5">
        <v>45559</v>
      </c>
      <c r="BE80" s="5">
        <v>45559</v>
      </c>
      <c r="BF80" s="4" t="s">
        <v>98</v>
      </c>
      <c r="BG80" s="4" t="s">
        <v>103</v>
      </c>
      <c r="BH80" s="4" t="s">
        <v>103</v>
      </c>
      <c r="BI80" s="4" t="s">
        <v>115</v>
      </c>
    </row>
    <row r="81" spans="1:61" x14ac:dyDescent="0.35">
      <c r="A81" s="8" t="str">
        <f t="shared" si="12"/>
        <v>Semaine 38-2024</v>
      </c>
      <c r="B81" s="8" t="str">
        <f t="shared" si="8"/>
        <v>2024</v>
      </c>
      <c r="C81" s="2" t="s">
        <v>78</v>
      </c>
      <c r="D81" s="6" t="str">
        <f t="shared" si="9"/>
        <v>Ziguinchor</v>
      </c>
      <c r="E81" s="6">
        <f t="shared" si="10"/>
        <v>330001</v>
      </c>
      <c r="F81" s="6">
        <f t="shared" si="11"/>
        <v>729952</v>
      </c>
      <c r="G81" s="4" t="s">
        <v>338</v>
      </c>
      <c r="H81" s="9" t="s">
        <v>341</v>
      </c>
      <c r="I81" s="9">
        <v>20</v>
      </c>
      <c r="J81" s="9" t="s">
        <v>96</v>
      </c>
      <c r="K81" s="9"/>
      <c r="L81" s="9"/>
      <c r="M81" s="9"/>
      <c r="N81" s="9"/>
      <c r="O81" s="9" t="s">
        <v>238</v>
      </c>
      <c r="P81" s="9" t="s">
        <v>97</v>
      </c>
      <c r="Q81" s="9" t="s">
        <v>97</v>
      </c>
      <c r="R81" s="14" t="s">
        <v>100</v>
      </c>
      <c r="S81" s="14" t="s">
        <v>100</v>
      </c>
      <c r="T81" s="14" t="s">
        <v>100</v>
      </c>
      <c r="U81" s="14"/>
      <c r="V81" s="14"/>
      <c r="W81" s="14"/>
      <c r="X81" s="14"/>
      <c r="Y81" s="5">
        <v>45555</v>
      </c>
      <c r="Z81" s="5">
        <v>45558</v>
      </c>
      <c r="AA81" s="5" t="s">
        <v>103</v>
      </c>
      <c r="AB81" s="5"/>
      <c r="AC81" s="5" t="s">
        <v>103</v>
      </c>
      <c r="AD81" s="5" t="s">
        <v>97</v>
      </c>
      <c r="AE81" s="5" t="s">
        <v>97</v>
      </c>
      <c r="AF81" s="5" t="s">
        <v>97</v>
      </c>
      <c r="AG81" s="5" t="s">
        <v>103</v>
      </c>
      <c r="AH81" s="5" t="s">
        <v>103</v>
      </c>
      <c r="AI81" s="5">
        <v>45555</v>
      </c>
      <c r="AJ81" s="5" t="s">
        <v>103</v>
      </c>
      <c r="AK81" s="5"/>
      <c r="AL81" s="5" t="s">
        <v>103</v>
      </c>
      <c r="AM81" s="5" t="s">
        <v>103</v>
      </c>
      <c r="AN81" s="5" t="s">
        <v>103</v>
      </c>
      <c r="AO81" s="5" t="s">
        <v>103</v>
      </c>
      <c r="AP81" s="5" t="s">
        <v>103</v>
      </c>
      <c r="AQ81" s="5" t="s">
        <v>97</v>
      </c>
      <c r="AR81" s="5" t="s">
        <v>97</v>
      </c>
      <c r="AS81" s="5" t="s">
        <v>97</v>
      </c>
      <c r="AT81" s="5" t="s">
        <v>347</v>
      </c>
      <c r="AU81" s="5"/>
      <c r="AV81" s="4" t="s">
        <v>103</v>
      </c>
      <c r="AW81" s="4" t="s">
        <v>97</v>
      </c>
      <c r="AX81" s="4" t="s">
        <v>97</v>
      </c>
      <c r="AY81" s="4" t="s">
        <v>97</v>
      </c>
      <c r="AZ81" s="4" t="s">
        <v>103</v>
      </c>
      <c r="BA81" s="4" t="s">
        <v>97</v>
      </c>
      <c r="BB81" s="5">
        <v>45558</v>
      </c>
      <c r="BC81" s="5">
        <v>45559</v>
      </c>
      <c r="BD81" s="5">
        <v>45559</v>
      </c>
      <c r="BE81" s="5">
        <v>45560</v>
      </c>
      <c r="BF81" s="4" t="s">
        <v>98</v>
      </c>
      <c r="BG81" s="4" t="s">
        <v>97</v>
      </c>
      <c r="BH81" s="4" t="s">
        <v>103</v>
      </c>
      <c r="BI81" s="4" t="s">
        <v>145</v>
      </c>
    </row>
    <row r="82" spans="1:61" x14ac:dyDescent="0.35">
      <c r="A82" s="8" t="str">
        <f t="shared" si="12"/>
        <v>Semaine 38-2024</v>
      </c>
      <c r="B82" s="8" t="str">
        <f t="shared" si="8"/>
        <v>2024</v>
      </c>
      <c r="C82" s="2" t="s">
        <v>0</v>
      </c>
      <c r="D82" s="6" t="str">
        <f t="shared" si="9"/>
        <v>Matam</v>
      </c>
      <c r="E82" s="6">
        <f t="shared" si="10"/>
        <v>271560</v>
      </c>
      <c r="F82" s="6">
        <f t="shared" si="11"/>
        <v>789215</v>
      </c>
      <c r="G82" s="4" t="s">
        <v>348</v>
      </c>
      <c r="H82" s="9" t="s">
        <v>349</v>
      </c>
      <c r="I82" s="9">
        <v>67</v>
      </c>
      <c r="J82" s="9" t="s">
        <v>114</v>
      </c>
      <c r="K82" s="9" t="s">
        <v>350</v>
      </c>
      <c r="L82" s="9"/>
      <c r="M82" s="9"/>
      <c r="N82" s="9"/>
      <c r="O82" s="9" t="s">
        <v>238</v>
      </c>
      <c r="P82" s="9" t="s">
        <v>97</v>
      </c>
      <c r="Q82" s="9" t="s">
        <v>97</v>
      </c>
      <c r="R82" s="14" t="s">
        <v>100</v>
      </c>
      <c r="S82" s="14" t="s">
        <v>100</v>
      </c>
      <c r="T82" s="14" t="s">
        <v>100</v>
      </c>
      <c r="U82" s="14"/>
      <c r="V82" s="14"/>
      <c r="W82" s="14"/>
      <c r="X82" s="14"/>
      <c r="Y82" s="5">
        <v>45553</v>
      </c>
      <c r="Z82" s="5">
        <v>45562</v>
      </c>
      <c r="AA82" s="5" t="s">
        <v>97</v>
      </c>
      <c r="AB82" s="5"/>
      <c r="AC82" s="5" t="s">
        <v>97</v>
      </c>
      <c r="AD82" s="5" t="s">
        <v>97</v>
      </c>
      <c r="AE82" s="5" t="s">
        <v>97</v>
      </c>
      <c r="AF82" s="5" t="s">
        <v>97</v>
      </c>
      <c r="AG82" s="5" t="s">
        <v>97</v>
      </c>
      <c r="AH82" s="5" t="s">
        <v>103</v>
      </c>
      <c r="AI82" s="5">
        <v>45553</v>
      </c>
      <c r="AJ82" s="5" t="s">
        <v>97</v>
      </c>
      <c r="AK82" s="5" t="s">
        <v>97</v>
      </c>
      <c r="AL82" s="5" t="s">
        <v>97</v>
      </c>
      <c r="AM82" s="5" t="s">
        <v>97</v>
      </c>
      <c r="AN82" s="5" t="s">
        <v>103</v>
      </c>
      <c r="AO82" s="5" t="s">
        <v>97</v>
      </c>
      <c r="AP82" s="5" t="s">
        <v>97</v>
      </c>
      <c r="AQ82" s="5" t="s">
        <v>97</v>
      </c>
      <c r="AR82" s="5" t="s">
        <v>97</v>
      </c>
      <c r="AS82" s="5" t="s">
        <v>97</v>
      </c>
      <c r="AT82" s="5"/>
      <c r="AU82" s="5"/>
      <c r="AV82" s="4" t="s">
        <v>103</v>
      </c>
      <c r="AW82" s="4" t="s">
        <v>97</v>
      </c>
      <c r="AX82" s="4" t="s">
        <v>97</v>
      </c>
      <c r="AY82" s="4" t="s">
        <v>97</v>
      </c>
      <c r="AZ82" s="4" t="s">
        <v>103</v>
      </c>
      <c r="BA82" s="4" t="s">
        <v>97</v>
      </c>
      <c r="BB82" s="5">
        <v>45562</v>
      </c>
      <c r="BC82" s="5">
        <v>45563</v>
      </c>
      <c r="BD82" s="5">
        <v>45563</v>
      </c>
      <c r="BE82" s="5">
        <v>45565</v>
      </c>
      <c r="BF82" s="4" t="s">
        <v>98</v>
      </c>
      <c r="BG82" s="4" t="s">
        <v>103</v>
      </c>
      <c r="BH82" s="4" t="s">
        <v>103</v>
      </c>
      <c r="BI82" s="4" t="s">
        <v>115</v>
      </c>
    </row>
    <row r="83" spans="1:61" x14ac:dyDescent="0.35">
      <c r="A83" s="8" t="str">
        <f t="shared" si="12"/>
        <v>Semaine 39-2024</v>
      </c>
      <c r="B83" s="8" t="str">
        <f t="shared" si="8"/>
        <v>2024</v>
      </c>
      <c r="C83" s="2" t="s">
        <v>78</v>
      </c>
      <c r="D83" s="6" t="str">
        <f t="shared" si="9"/>
        <v>Ziguinchor</v>
      </c>
      <c r="E83" s="6">
        <f t="shared" si="10"/>
        <v>330001</v>
      </c>
      <c r="F83" s="6">
        <f t="shared" si="11"/>
        <v>729952</v>
      </c>
      <c r="G83" s="4" t="s">
        <v>351</v>
      </c>
      <c r="H83" s="9" t="s">
        <v>354</v>
      </c>
      <c r="I83" s="9">
        <v>48</v>
      </c>
      <c r="J83" s="9" t="s">
        <v>114</v>
      </c>
      <c r="K83" s="9"/>
      <c r="L83" s="9"/>
      <c r="M83" s="9"/>
      <c r="N83" s="9"/>
      <c r="O83" s="9" t="s">
        <v>238</v>
      </c>
      <c r="P83" s="9" t="s">
        <v>97</v>
      </c>
      <c r="Q83" s="9" t="s">
        <v>97</v>
      </c>
      <c r="R83" s="14" t="s">
        <v>100</v>
      </c>
      <c r="S83" s="14" t="s">
        <v>100</v>
      </c>
      <c r="T83" s="14" t="s">
        <v>100</v>
      </c>
      <c r="U83" s="14" t="s">
        <v>285</v>
      </c>
      <c r="V83" s="14"/>
      <c r="W83" s="14"/>
      <c r="X83" s="14"/>
      <c r="Y83" s="5">
        <v>45560</v>
      </c>
      <c r="Z83" s="5">
        <v>45562</v>
      </c>
      <c r="AA83" s="5" t="s">
        <v>103</v>
      </c>
      <c r="AB83" s="5"/>
      <c r="AC83" s="5" t="s">
        <v>103</v>
      </c>
      <c r="AD83" s="5" t="s">
        <v>103</v>
      </c>
      <c r="AE83" s="5" t="s">
        <v>97</v>
      </c>
      <c r="AF83" s="5" t="s">
        <v>103</v>
      </c>
      <c r="AG83" s="5" t="s">
        <v>97</v>
      </c>
      <c r="AH83" s="5" t="s">
        <v>103</v>
      </c>
      <c r="AI83" s="5">
        <v>45560</v>
      </c>
      <c r="AJ83" s="5"/>
      <c r="AK83" s="5"/>
      <c r="AL83" s="5" t="s">
        <v>103</v>
      </c>
      <c r="AM83" s="5" t="s">
        <v>103</v>
      </c>
      <c r="AN83" s="5" t="s">
        <v>103</v>
      </c>
      <c r="AO83" s="5" t="s">
        <v>103</v>
      </c>
      <c r="AP83" s="5" t="s">
        <v>103</v>
      </c>
      <c r="AQ83" s="5" t="s">
        <v>97</v>
      </c>
      <c r="AR83" s="5" t="s">
        <v>97</v>
      </c>
      <c r="AS83" s="5" t="s">
        <v>97</v>
      </c>
      <c r="AT83" s="5" t="s">
        <v>355</v>
      </c>
      <c r="AU83" s="5"/>
      <c r="AV83" s="4" t="s">
        <v>103</v>
      </c>
      <c r="AW83" s="4" t="s">
        <v>97</v>
      </c>
      <c r="AX83" s="4" t="s">
        <v>97</v>
      </c>
      <c r="AY83" s="4" t="s">
        <v>97</v>
      </c>
      <c r="AZ83" s="4" t="s">
        <v>103</v>
      </c>
      <c r="BA83" s="4" t="s">
        <v>97</v>
      </c>
      <c r="BB83" s="5">
        <v>45562</v>
      </c>
      <c r="BC83" s="5">
        <v>45562</v>
      </c>
      <c r="BD83" s="5">
        <v>45563</v>
      </c>
      <c r="BE83" s="5">
        <v>45566</v>
      </c>
      <c r="BF83" s="4" t="s">
        <v>98</v>
      </c>
      <c r="BG83" s="4" t="s">
        <v>103</v>
      </c>
      <c r="BH83" s="4" t="s">
        <v>103</v>
      </c>
      <c r="BI83" s="4" t="s">
        <v>115</v>
      </c>
    </row>
    <row r="84" spans="1:61" x14ac:dyDescent="0.35">
      <c r="A84" s="8" t="str">
        <f t="shared" si="12"/>
        <v>Semaine 37-2024</v>
      </c>
      <c r="B84" s="8" t="str">
        <f t="shared" si="8"/>
        <v>2024</v>
      </c>
      <c r="C84" s="2" t="s">
        <v>67</v>
      </c>
      <c r="D84" s="6" t="str">
        <f t="shared" si="9"/>
        <v>Kedougou</v>
      </c>
      <c r="E84" s="6">
        <f t="shared" si="10"/>
        <v>29759</v>
      </c>
      <c r="F84" s="6">
        <f t="shared" si="11"/>
        <v>203720</v>
      </c>
      <c r="G84" s="4" t="s">
        <v>352</v>
      </c>
      <c r="H84" s="9" t="s">
        <v>356</v>
      </c>
      <c r="I84" s="9">
        <v>5</v>
      </c>
      <c r="J84" s="9" t="s">
        <v>114</v>
      </c>
      <c r="K84" s="9"/>
      <c r="L84" s="9"/>
      <c r="M84" s="9"/>
      <c r="N84" s="9"/>
      <c r="O84" s="9" t="s">
        <v>238</v>
      </c>
      <c r="P84" s="9" t="s">
        <v>97</v>
      </c>
      <c r="Q84" s="9" t="s">
        <v>97</v>
      </c>
      <c r="R84" s="14" t="s">
        <v>100</v>
      </c>
      <c r="S84" s="14" t="s">
        <v>100</v>
      </c>
      <c r="T84" s="14" t="s">
        <v>100</v>
      </c>
      <c r="U84" s="14" t="s">
        <v>287</v>
      </c>
      <c r="V84" s="14"/>
      <c r="W84" s="14"/>
      <c r="X84" s="14"/>
      <c r="Y84" s="5">
        <v>45547</v>
      </c>
      <c r="Z84" s="5">
        <v>45558</v>
      </c>
      <c r="AA84" s="5" t="s">
        <v>103</v>
      </c>
      <c r="AB84" s="5"/>
      <c r="AC84" s="5" t="s">
        <v>97</v>
      </c>
      <c r="AD84" s="5" t="s">
        <v>97</v>
      </c>
      <c r="AE84" s="5" t="s">
        <v>97</v>
      </c>
      <c r="AF84" s="5" t="s">
        <v>97</v>
      </c>
      <c r="AG84" s="5" t="s">
        <v>97</v>
      </c>
      <c r="AH84" s="5" t="s">
        <v>103</v>
      </c>
      <c r="AI84" s="5">
        <v>45548</v>
      </c>
      <c r="AJ84" s="5"/>
      <c r="AK84" s="5"/>
      <c r="AL84" s="5" t="s">
        <v>97</v>
      </c>
      <c r="AM84" s="5" t="s">
        <v>97</v>
      </c>
      <c r="AN84" s="5" t="s">
        <v>103</v>
      </c>
      <c r="AO84" s="5" t="s">
        <v>97</v>
      </c>
      <c r="AP84" s="5" t="s">
        <v>97</v>
      </c>
      <c r="AQ84" s="5" t="s">
        <v>97</v>
      </c>
      <c r="AR84" s="5" t="s">
        <v>97</v>
      </c>
      <c r="AS84" s="5" t="s">
        <v>97</v>
      </c>
      <c r="AT84" s="5"/>
      <c r="AU84" s="5"/>
      <c r="AV84" s="4" t="s">
        <v>103</v>
      </c>
      <c r="AW84" s="4" t="s">
        <v>97</v>
      </c>
      <c r="AX84" s="4" t="s">
        <v>97</v>
      </c>
      <c r="AY84" s="4" t="s">
        <v>97</v>
      </c>
      <c r="AZ84" s="4" t="s">
        <v>97</v>
      </c>
      <c r="BA84" s="4" t="s">
        <v>97</v>
      </c>
      <c r="BB84" s="5">
        <v>45558</v>
      </c>
      <c r="BC84" s="5">
        <v>45562</v>
      </c>
      <c r="BD84" s="5">
        <v>45562</v>
      </c>
      <c r="BE84" s="5">
        <v>45566</v>
      </c>
      <c r="BF84" s="4" t="s">
        <v>98</v>
      </c>
      <c r="BG84" s="4" t="s">
        <v>97</v>
      </c>
      <c r="BH84" s="4" t="s">
        <v>103</v>
      </c>
      <c r="BI84" s="4" t="s">
        <v>115</v>
      </c>
    </row>
    <row r="85" spans="1:61" x14ac:dyDescent="0.35">
      <c r="A85" s="8" t="str">
        <f t="shared" si="12"/>
        <v>Semaine 38-2024</v>
      </c>
      <c r="B85" s="8" t="str">
        <f t="shared" si="8"/>
        <v>2024</v>
      </c>
      <c r="C85" s="2" t="s">
        <v>67</v>
      </c>
      <c r="D85" s="6" t="str">
        <f t="shared" si="9"/>
        <v>Kedougou</v>
      </c>
      <c r="E85" s="6">
        <f t="shared" si="10"/>
        <v>29759</v>
      </c>
      <c r="F85" s="6">
        <f t="shared" si="11"/>
        <v>203720</v>
      </c>
      <c r="G85" s="4" t="s">
        <v>353</v>
      </c>
      <c r="H85" s="9" t="s">
        <v>357</v>
      </c>
      <c r="I85" s="9">
        <v>3</v>
      </c>
      <c r="J85" s="9" t="s">
        <v>114</v>
      </c>
      <c r="K85" s="9"/>
      <c r="L85" s="9"/>
      <c r="M85" s="9"/>
      <c r="N85" s="9"/>
      <c r="O85" s="9" t="s">
        <v>238</v>
      </c>
      <c r="P85" s="9" t="s">
        <v>97</v>
      </c>
      <c r="Q85" s="9" t="s">
        <v>97</v>
      </c>
      <c r="R85" s="14" t="s">
        <v>100</v>
      </c>
      <c r="S85" s="14" t="s">
        <v>100</v>
      </c>
      <c r="T85" s="14" t="s">
        <v>100</v>
      </c>
      <c r="U85" s="14" t="s">
        <v>285</v>
      </c>
      <c r="V85" s="14"/>
      <c r="W85" s="14"/>
      <c r="X85" s="14"/>
      <c r="Y85" s="5">
        <v>45556</v>
      </c>
      <c r="Z85" s="5">
        <v>45558</v>
      </c>
      <c r="AA85" s="5" t="s">
        <v>97</v>
      </c>
      <c r="AB85" s="5"/>
      <c r="AC85" s="5" t="s">
        <v>97</v>
      </c>
      <c r="AD85" s="5" t="s">
        <v>103</v>
      </c>
      <c r="AE85" s="5" t="s">
        <v>97</v>
      </c>
      <c r="AF85" s="5" t="s">
        <v>97</v>
      </c>
      <c r="AG85" s="5" t="s">
        <v>97</v>
      </c>
      <c r="AH85" s="5" t="s">
        <v>103</v>
      </c>
      <c r="AI85" s="5">
        <v>45556</v>
      </c>
      <c r="AJ85" s="5"/>
      <c r="AK85" s="5"/>
      <c r="AL85" s="5" t="s">
        <v>97</v>
      </c>
      <c r="AM85" s="5" t="s">
        <v>103</v>
      </c>
      <c r="AN85" s="5" t="s">
        <v>103</v>
      </c>
      <c r="AO85" s="5" t="s">
        <v>97</v>
      </c>
      <c r="AP85" s="5" t="s">
        <v>97</v>
      </c>
      <c r="AQ85" s="5" t="s">
        <v>97</v>
      </c>
      <c r="AR85" s="5" t="s">
        <v>97</v>
      </c>
      <c r="AS85" s="5" t="s">
        <v>97</v>
      </c>
      <c r="AT85" s="5"/>
      <c r="AU85" s="5"/>
      <c r="AV85" s="4" t="s">
        <v>97</v>
      </c>
      <c r="AW85" s="4" t="s">
        <v>97</v>
      </c>
      <c r="AX85" s="4" t="s">
        <v>97</v>
      </c>
      <c r="AY85" s="4" t="s">
        <v>97</v>
      </c>
      <c r="AZ85" s="4" t="s">
        <v>103</v>
      </c>
      <c r="BA85" s="4" t="s">
        <v>97</v>
      </c>
      <c r="BB85" s="5">
        <v>45558</v>
      </c>
      <c r="BC85" s="5">
        <v>45562</v>
      </c>
      <c r="BD85" s="5">
        <v>45562</v>
      </c>
      <c r="BE85" s="5">
        <v>45566</v>
      </c>
      <c r="BF85" s="4" t="s">
        <v>98</v>
      </c>
      <c r="BG85" s="4" t="s">
        <v>97</v>
      </c>
      <c r="BH85" s="4" t="s">
        <v>103</v>
      </c>
      <c r="BI85" s="4" t="s">
        <v>145</v>
      </c>
    </row>
    <row r="86" spans="1:61" x14ac:dyDescent="0.35">
      <c r="A86" s="8" t="str">
        <f t="shared" si="12"/>
        <v>Semaine 39-2024</v>
      </c>
      <c r="B86" s="8" t="str">
        <f t="shared" si="8"/>
        <v>2024</v>
      </c>
      <c r="C86" s="2" t="s">
        <v>60</v>
      </c>
      <c r="D86" s="6" t="str">
        <f t="shared" si="9"/>
        <v>Thies</v>
      </c>
      <c r="E86" s="6">
        <f t="shared" si="10"/>
        <v>92691</v>
      </c>
      <c r="F86" s="6">
        <f t="shared" si="11"/>
        <v>2280463</v>
      </c>
      <c r="G86" s="4" t="s">
        <v>358</v>
      </c>
      <c r="H86" s="4" t="s">
        <v>359</v>
      </c>
      <c r="I86" s="4">
        <v>16</v>
      </c>
      <c r="J86" s="4" t="s">
        <v>96</v>
      </c>
      <c r="K86" s="4"/>
      <c r="L86" s="4"/>
      <c r="M86" s="4"/>
      <c r="N86" s="4"/>
      <c r="O86" s="9" t="s">
        <v>238</v>
      </c>
      <c r="P86" s="4" t="s">
        <v>97</v>
      </c>
      <c r="Q86" s="4" t="s">
        <v>97</v>
      </c>
      <c r="R86" s="14" t="s">
        <v>100</v>
      </c>
      <c r="S86" s="14" t="s">
        <v>100</v>
      </c>
      <c r="T86" s="14" t="s">
        <v>100</v>
      </c>
      <c r="U86" s="14"/>
      <c r="V86" s="14"/>
      <c r="W86" s="14"/>
      <c r="X86" s="14"/>
      <c r="Y86" s="5">
        <v>45558</v>
      </c>
      <c r="Z86" s="5">
        <v>45565</v>
      </c>
      <c r="AA86" s="5" t="s">
        <v>103</v>
      </c>
      <c r="AB86" s="5"/>
      <c r="AC86" s="5" t="s">
        <v>97</v>
      </c>
      <c r="AD86" s="5" t="s">
        <v>97</v>
      </c>
      <c r="AE86" s="5" t="s">
        <v>97</v>
      </c>
      <c r="AF86" s="5" t="s">
        <v>97</v>
      </c>
      <c r="AG86" s="5" t="s">
        <v>97</v>
      </c>
      <c r="AH86" s="5" t="s">
        <v>103</v>
      </c>
      <c r="AI86" s="5">
        <v>45558</v>
      </c>
      <c r="AJ86" s="5"/>
      <c r="AK86" s="5"/>
      <c r="AL86" s="5" t="s">
        <v>103</v>
      </c>
      <c r="AM86" s="5" t="s">
        <v>97</v>
      </c>
      <c r="AN86" s="5" t="s">
        <v>103</v>
      </c>
      <c r="AO86" s="5" t="s">
        <v>103</v>
      </c>
      <c r="AP86" s="5" t="s">
        <v>103</v>
      </c>
      <c r="AQ86" s="5" t="s">
        <v>97</v>
      </c>
      <c r="AR86" s="5" t="s">
        <v>97</v>
      </c>
      <c r="AS86" s="5" t="s">
        <v>97</v>
      </c>
      <c r="AT86" s="5"/>
      <c r="AU86" s="5"/>
      <c r="AV86" s="4" t="s">
        <v>103</v>
      </c>
      <c r="AW86" s="4" t="s">
        <v>97</v>
      </c>
      <c r="AX86" s="4" t="s">
        <v>103</v>
      </c>
      <c r="AY86" s="4" t="s">
        <v>97</v>
      </c>
      <c r="AZ86" s="4" t="s">
        <v>103</v>
      </c>
      <c r="BA86" s="4" t="s">
        <v>97</v>
      </c>
      <c r="BB86" s="5">
        <v>45567</v>
      </c>
      <c r="BC86" s="5">
        <v>45567</v>
      </c>
      <c r="BD86" s="5">
        <v>45567</v>
      </c>
      <c r="BE86" s="5">
        <v>45567</v>
      </c>
      <c r="BF86" s="4" t="s">
        <v>98</v>
      </c>
      <c r="BG86" s="5" t="s">
        <v>97</v>
      </c>
      <c r="BH86" s="5" t="s">
        <v>103</v>
      </c>
      <c r="BI86" s="5" t="s">
        <v>360</v>
      </c>
    </row>
    <row r="87" spans="1:61" x14ac:dyDescent="0.35">
      <c r="A87" s="8" t="str">
        <f t="shared" si="12"/>
        <v>Semaine 36-2024</v>
      </c>
      <c r="B87" s="8" t="str">
        <f t="shared" si="8"/>
        <v>2024</v>
      </c>
      <c r="C87" s="2" t="s">
        <v>0</v>
      </c>
      <c r="D87" s="6" t="str">
        <f t="shared" si="9"/>
        <v>Matam</v>
      </c>
      <c r="E87" s="6">
        <f t="shared" si="10"/>
        <v>271560</v>
      </c>
      <c r="F87" s="6">
        <f t="shared" si="11"/>
        <v>789215</v>
      </c>
      <c r="G87" s="4" t="s">
        <v>361</v>
      </c>
      <c r="H87" s="4" t="s">
        <v>362</v>
      </c>
      <c r="I87" s="4">
        <v>30</v>
      </c>
      <c r="J87" s="4" t="s">
        <v>114</v>
      </c>
      <c r="K87" s="4"/>
      <c r="L87" s="4"/>
      <c r="M87" s="4"/>
      <c r="N87" s="4"/>
      <c r="O87" s="9" t="s">
        <v>238</v>
      </c>
      <c r="P87" s="4" t="s">
        <v>97</v>
      </c>
      <c r="Q87" s="4" t="s">
        <v>97</v>
      </c>
      <c r="R87" s="14" t="s">
        <v>100</v>
      </c>
      <c r="S87" s="14" t="s">
        <v>100</v>
      </c>
      <c r="T87" s="14" t="s">
        <v>100</v>
      </c>
      <c r="U87" s="14"/>
      <c r="V87" s="14"/>
      <c r="W87" s="14"/>
      <c r="X87" s="14"/>
      <c r="Y87" s="5">
        <v>45540</v>
      </c>
      <c r="Z87" s="5">
        <v>45570</v>
      </c>
      <c r="AA87" s="5" t="s">
        <v>103</v>
      </c>
      <c r="AB87" s="5"/>
      <c r="AC87" s="5" t="s">
        <v>97</v>
      </c>
      <c r="AD87" s="5" t="s">
        <v>97</v>
      </c>
      <c r="AE87" s="5" t="s">
        <v>97</v>
      </c>
      <c r="AF87" s="5" t="s">
        <v>97</v>
      </c>
      <c r="AG87" s="5" t="s">
        <v>97</v>
      </c>
      <c r="AH87" s="5" t="s">
        <v>103</v>
      </c>
      <c r="AI87" s="5">
        <v>45540</v>
      </c>
      <c r="AJ87" s="5"/>
      <c r="AK87" s="5"/>
      <c r="AL87" s="5" t="s">
        <v>103</v>
      </c>
      <c r="AM87" s="5" t="s">
        <v>97</v>
      </c>
      <c r="AN87" s="5" t="s">
        <v>103</v>
      </c>
      <c r="AO87" s="5" t="s">
        <v>97</v>
      </c>
      <c r="AP87" s="5" t="s">
        <v>97</v>
      </c>
      <c r="AQ87" s="5" t="s">
        <v>97</v>
      </c>
      <c r="AR87" s="5" t="s">
        <v>97</v>
      </c>
      <c r="AS87" s="5" t="s">
        <v>103</v>
      </c>
      <c r="AT87" s="5"/>
      <c r="AU87" s="5"/>
      <c r="AV87" s="4" t="s">
        <v>103</v>
      </c>
      <c r="AW87" s="4" t="s">
        <v>97</v>
      </c>
      <c r="AX87" s="4" t="s">
        <v>97</v>
      </c>
      <c r="AY87" s="4" t="s">
        <v>97</v>
      </c>
      <c r="AZ87" s="4" t="s">
        <v>103</v>
      </c>
      <c r="BA87" s="4" t="s">
        <v>97</v>
      </c>
      <c r="BB87" s="5">
        <v>45540</v>
      </c>
      <c r="BC87" s="5">
        <v>45572</v>
      </c>
      <c r="BD87" s="5">
        <v>45573</v>
      </c>
      <c r="BE87" s="5">
        <v>45574</v>
      </c>
      <c r="BF87" s="4" t="s">
        <v>98</v>
      </c>
      <c r="BG87" s="5" t="s">
        <v>103</v>
      </c>
      <c r="BH87" s="5" t="s">
        <v>103</v>
      </c>
      <c r="BI87" s="5" t="s">
        <v>115</v>
      </c>
    </row>
    <row r="88" spans="1:61" x14ac:dyDescent="0.35">
      <c r="A88" s="8" t="str">
        <f t="shared" si="12"/>
        <v>Semaine 42-2024</v>
      </c>
      <c r="B88" s="8" t="str">
        <f t="shared" si="8"/>
        <v>2024</v>
      </c>
      <c r="C88" s="2" t="s">
        <v>26</v>
      </c>
      <c r="D88" s="6" t="str">
        <f t="shared" si="9"/>
        <v>Diourbel</v>
      </c>
      <c r="E88" s="6">
        <f t="shared" si="10"/>
        <v>354792</v>
      </c>
      <c r="F88" s="6">
        <f t="shared" si="11"/>
        <v>1980827</v>
      </c>
      <c r="G88" s="4" t="s">
        <v>363</v>
      </c>
      <c r="H88" s="4" t="s">
        <v>364</v>
      </c>
      <c r="I88" s="4">
        <v>15</v>
      </c>
      <c r="J88" s="4" t="s">
        <v>114</v>
      </c>
      <c r="K88" s="4"/>
      <c r="L88" s="4"/>
      <c r="M88" s="4"/>
      <c r="N88" s="4"/>
      <c r="O88" s="4" t="s">
        <v>238</v>
      </c>
      <c r="P88" s="4" t="s">
        <v>97</v>
      </c>
      <c r="Q88" s="4" t="s">
        <v>97</v>
      </c>
      <c r="R88" s="14" t="s">
        <v>100</v>
      </c>
      <c r="S88" s="14" t="s">
        <v>100</v>
      </c>
      <c r="T88" s="14" t="s">
        <v>100</v>
      </c>
      <c r="U88" s="14"/>
      <c r="V88" s="14"/>
      <c r="W88" s="14"/>
      <c r="X88" s="14"/>
      <c r="Y88" s="5">
        <v>45582</v>
      </c>
      <c r="Z88" s="5">
        <v>45584</v>
      </c>
      <c r="AA88" s="5" t="s">
        <v>103</v>
      </c>
      <c r="AB88" s="5" t="s">
        <v>365</v>
      </c>
      <c r="AC88" s="5" t="s">
        <v>103</v>
      </c>
      <c r="AD88" s="5" t="s">
        <v>103</v>
      </c>
      <c r="AE88" s="5" t="s">
        <v>97</v>
      </c>
      <c r="AF88" s="5" t="s">
        <v>103</v>
      </c>
      <c r="AG88" s="5" t="s">
        <v>103</v>
      </c>
      <c r="AH88" s="5" t="s">
        <v>103</v>
      </c>
      <c r="AI88" s="5">
        <v>45584</v>
      </c>
      <c r="AJ88" s="5"/>
      <c r="AK88" s="5"/>
      <c r="AL88" s="5" t="s">
        <v>103</v>
      </c>
      <c r="AM88" s="5" t="s">
        <v>103</v>
      </c>
      <c r="AN88" s="5" t="s">
        <v>103</v>
      </c>
      <c r="AO88" s="5" t="s">
        <v>103</v>
      </c>
      <c r="AP88" s="5" t="s">
        <v>103</v>
      </c>
      <c r="AQ88" s="5" t="s">
        <v>97</v>
      </c>
      <c r="AR88" s="5" t="s">
        <v>97</v>
      </c>
      <c r="AS88" s="5" t="s">
        <v>97</v>
      </c>
      <c r="AT88" s="5" t="s">
        <v>304</v>
      </c>
      <c r="AU88" s="5"/>
      <c r="AV88" s="4" t="s">
        <v>103</v>
      </c>
      <c r="AW88" s="4" t="s">
        <v>97</v>
      </c>
      <c r="AX88" s="4" t="s">
        <v>97</v>
      </c>
      <c r="AY88" s="4" t="s">
        <v>97</v>
      </c>
      <c r="AZ88" s="4" t="s">
        <v>103</v>
      </c>
      <c r="BA88" s="4" t="s">
        <v>97</v>
      </c>
      <c r="BB88" s="5">
        <v>45584</v>
      </c>
      <c r="BC88" s="5">
        <v>45585</v>
      </c>
      <c r="BD88" s="5">
        <v>45585</v>
      </c>
      <c r="BE88" s="5">
        <v>45585</v>
      </c>
      <c r="BF88" s="5" t="s">
        <v>98</v>
      </c>
      <c r="BG88" s="5" t="s">
        <v>103</v>
      </c>
      <c r="BH88" s="5" t="s">
        <v>103</v>
      </c>
      <c r="BI88" s="5" t="s">
        <v>115</v>
      </c>
    </row>
    <row r="89" spans="1:61" x14ac:dyDescent="0.35">
      <c r="A89" s="8" t="str">
        <f t="shared" si="12"/>
        <v>Semaine 42-2024</v>
      </c>
      <c r="B89" s="8" t="str">
        <f t="shared" si="8"/>
        <v>2024</v>
      </c>
      <c r="C89" s="2" t="s">
        <v>56</v>
      </c>
      <c r="D89" s="6" t="str">
        <f t="shared" si="9"/>
        <v>Fatick</v>
      </c>
      <c r="E89" s="6">
        <f t="shared" si="10"/>
        <v>110521</v>
      </c>
      <c r="F89" s="6">
        <f t="shared" si="11"/>
        <v>965914</v>
      </c>
      <c r="G89" s="4" t="s">
        <v>366</v>
      </c>
      <c r="H89" s="4" t="s">
        <v>367</v>
      </c>
      <c r="I89" s="4">
        <v>7</v>
      </c>
      <c r="J89" s="4" t="s">
        <v>114</v>
      </c>
      <c r="K89" s="4"/>
      <c r="L89" s="4"/>
      <c r="M89" s="4"/>
      <c r="N89" s="4"/>
      <c r="O89" s="4" t="s">
        <v>238</v>
      </c>
      <c r="P89" s="4" t="s">
        <v>97</v>
      </c>
      <c r="Q89" s="4" t="s">
        <v>97</v>
      </c>
      <c r="R89" s="14" t="s">
        <v>100</v>
      </c>
      <c r="S89" s="14" t="s">
        <v>100</v>
      </c>
      <c r="T89" s="14" t="s">
        <v>100</v>
      </c>
      <c r="U89" s="14"/>
      <c r="V89" s="14"/>
      <c r="W89" s="14"/>
      <c r="X89" s="14"/>
      <c r="Y89" s="5">
        <v>45579</v>
      </c>
      <c r="Z89" s="5">
        <v>45581</v>
      </c>
      <c r="AA89" s="5" t="s">
        <v>103</v>
      </c>
      <c r="AB89" s="5" t="s">
        <v>272</v>
      </c>
      <c r="AC89" s="5" t="s">
        <v>97</v>
      </c>
      <c r="AD89" s="5" t="s">
        <v>97</v>
      </c>
      <c r="AE89" s="5" t="s">
        <v>97</v>
      </c>
      <c r="AF89" s="5" t="s">
        <v>97</v>
      </c>
      <c r="AG89" s="5" t="s">
        <v>97</v>
      </c>
      <c r="AH89" s="5" t="s">
        <v>103</v>
      </c>
      <c r="AI89" s="5">
        <v>45581</v>
      </c>
      <c r="AJ89" s="5"/>
      <c r="AK89" s="5"/>
      <c r="AL89" s="5" t="s">
        <v>103</v>
      </c>
      <c r="AM89" s="5" t="s">
        <v>103</v>
      </c>
      <c r="AN89" s="5" t="s">
        <v>103</v>
      </c>
      <c r="AO89" s="5" t="s">
        <v>103</v>
      </c>
      <c r="AP89" s="5" t="s">
        <v>103</v>
      </c>
      <c r="AQ89" s="5" t="s">
        <v>97</v>
      </c>
      <c r="AR89" s="5" t="s">
        <v>97</v>
      </c>
      <c r="AS89" s="5" t="s">
        <v>97</v>
      </c>
      <c r="AT89" s="5" t="s">
        <v>368</v>
      </c>
      <c r="AU89" s="5"/>
      <c r="AV89" s="4" t="s">
        <v>97</v>
      </c>
      <c r="AW89" s="4" t="s">
        <v>97</v>
      </c>
      <c r="AX89" s="4" t="s">
        <v>97</v>
      </c>
      <c r="AY89" s="4" t="s">
        <v>97</v>
      </c>
      <c r="AZ89" s="4" t="s">
        <v>103</v>
      </c>
      <c r="BA89" s="4" t="s">
        <v>97</v>
      </c>
      <c r="BB89" s="5">
        <v>45581</v>
      </c>
      <c r="BC89" s="5">
        <v>45582</v>
      </c>
      <c r="BD89" s="5">
        <v>45582</v>
      </c>
      <c r="BE89" s="5">
        <v>45585</v>
      </c>
      <c r="BF89" s="5" t="s">
        <v>98</v>
      </c>
      <c r="BG89" s="5" t="s">
        <v>97</v>
      </c>
      <c r="BH89" s="5" t="s">
        <v>103</v>
      </c>
      <c r="BI89" s="4" t="s">
        <v>145</v>
      </c>
    </row>
    <row r="90" spans="1:61" x14ac:dyDescent="0.35">
      <c r="A90" s="8" t="str">
        <f t="shared" si="12"/>
        <v>Semaine 42-2024</v>
      </c>
      <c r="B90" s="8" t="str">
        <f t="shared" si="8"/>
        <v>2024</v>
      </c>
      <c r="C90" s="2" t="s">
        <v>41</v>
      </c>
      <c r="D90" s="6" t="str">
        <f t="shared" si="9"/>
        <v>Kolda</v>
      </c>
      <c r="E90" s="6">
        <f t="shared" si="10"/>
        <v>325160</v>
      </c>
      <c r="F90" s="6">
        <f t="shared" si="11"/>
        <v>875661</v>
      </c>
      <c r="G90" s="4" t="s">
        <v>369</v>
      </c>
      <c r="H90" s="4" t="s">
        <v>370</v>
      </c>
      <c r="I90" s="4">
        <v>67</v>
      </c>
      <c r="J90" s="4" t="s">
        <v>96</v>
      </c>
      <c r="K90" s="4"/>
      <c r="L90" s="4"/>
      <c r="M90" s="4"/>
      <c r="N90" s="4"/>
      <c r="O90" s="4" t="s">
        <v>238</v>
      </c>
      <c r="P90" s="4" t="s">
        <v>97</v>
      </c>
      <c r="Q90" s="4" t="s">
        <v>97</v>
      </c>
      <c r="R90" s="14" t="s">
        <v>100</v>
      </c>
      <c r="S90" s="14" t="s">
        <v>100</v>
      </c>
      <c r="T90" s="14" t="s">
        <v>100</v>
      </c>
      <c r="U90" s="14"/>
      <c r="V90" s="14"/>
      <c r="W90" s="14"/>
      <c r="X90" s="14"/>
      <c r="Y90" s="5">
        <v>45583</v>
      </c>
      <c r="Z90" s="5">
        <v>45584</v>
      </c>
      <c r="AA90" s="5" t="s">
        <v>103</v>
      </c>
      <c r="AB90" s="5"/>
      <c r="AC90" s="5" t="s">
        <v>97</v>
      </c>
      <c r="AD90" s="5" t="s">
        <v>97</v>
      </c>
      <c r="AE90" s="5" t="s">
        <v>97</v>
      </c>
      <c r="AF90" s="5" t="s">
        <v>97</v>
      </c>
      <c r="AG90" s="5" t="s">
        <v>103</v>
      </c>
      <c r="AH90" s="5" t="s">
        <v>103</v>
      </c>
      <c r="AI90" s="5">
        <v>45583</v>
      </c>
      <c r="AJ90" s="5"/>
      <c r="AK90" s="5"/>
      <c r="AL90" s="5" t="s">
        <v>103</v>
      </c>
      <c r="AM90" s="5" t="s">
        <v>97</v>
      </c>
      <c r="AN90" s="5" t="s">
        <v>103</v>
      </c>
      <c r="AO90" s="5" t="s">
        <v>103</v>
      </c>
      <c r="AP90" s="5" t="s">
        <v>103</v>
      </c>
      <c r="AQ90" s="5" t="s">
        <v>97</v>
      </c>
      <c r="AR90" s="5" t="s">
        <v>97</v>
      </c>
      <c r="AS90" s="5" t="s">
        <v>97</v>
      </c>
      <c r="AT90" s="5"/>
      <c r="AU90" s="5"/>
      <c r="AV90" s="4" t="s">
        <v>103</v>
      </c>
      <c r="AW90" s="4" t="s">
        <v>97</v>
      </c>
      <c r="AX90" s="4" t="s">
        <v>97</v>
      </c>
      <c r="AY90" s="4" t="s">
        <v>97</v>
      </c>
      <c r="AZ90" s="4" t="s">
        <v>97</v>
      </c>
      <c r="BA90" s="4" t="s">
        <v>97</v>
      </c>
      <c r="BB90" s="5">
        <v>45584</v>
      </c>
      <c r="BC90" s="5">
        <v>45586</v>
      </c>
      <c r="BD90" s="5">
        <v>45587</v>
      </c>
      <c r="BE90" s="5">
        <v>45588</v>
      </c>
      <c r="BF90" s="5" t="s">
        <v>98</v>
      </c>
      <c r="BG90" s="5" t="s">
        <v>103</v>
      </c>
      <c r="BH90" s="5" t="s">
        <v>103</v>
      </c>
      <c r="BI90" s="5" t="s">
        <v>115</v>
      </c>
    </row>
    <row r="91" spans="1:61" x14ac:dyDescent="0.35">
      <c r="A91" s="8" t="str">
        <f t="shared" si="12"/>
        <v>Semaine 40-2024</v>
      </c>
      <c r="B91" s="8" t="str">
        <f t="shared" si="8"/>
        <v>2024</v>
      </c>
      <c r="C91" s="2" t="s">
        <v>20</v>
      </c>
      <c r="D91" s="6" t="str">
        <f t="shared" si="9"/>
        <v>Dakar</v>
      </c>
      <c r="E91" s="6">
        <f t="shared" si="10"/>
        <v>272276</v>
      </c>
      <c r="F91" s="6">
        <f t="shared" si="11"/>
        <v>4042240</v>
      </c>
      <c r="G91" s="4" t="s">
        <v>371</v>
      </c>
      <c r="H91" s="4" t="s">
        <v>372</v>
      </c>
      <c r="I91" s="4">
        <v>7</v>
      </c>
      <c r="J91" s="4" t="s">
        <v>96</v>
      </c>
      <c r="K91" s="4"/>
      <c r="L91" s="4"/>
      <c r="M91" s="4"/>
      <c r="N91" s="4"/>
      <c r="O91" s="4" t="s">
        <v>238</v>
      </c>
      <c r="P91" s="4" t="s">
        <v>97</v>
      </c>
      <c r="Q91" s="4" t="s">
        <v>97</v>
      </c>
      <c r="R91" s="14" t="s">
        <v>100</v>
      </c>
      <c r="S91" s="14" t="s">
        <v>100</v>
      </c>
      <c r="T91" s="14" t="s">
        <v>100</v>
      </c>
      <c r="U91" s="14"/>
      <c r="V91" s="14"/>
      <c r="W91" s="14"/>
      <c r="X91" s="14"/>
      <c r="Y91" s="5">
        <v>45570</v>
      </c>
      <c r="Z91" s="5">
        <v>45572</v>
      </c>
      <c r="AA91" s="5" t="s">
        <v>103</v>
      </c>
      <c r="AB91" s="5"/>
      <c r="AC91" s="5" t="s">
        <v>103</v>
      </c>
      <c r="AD91" s="5" t="s">
        <v>97</v>
      </c>
      <c r="AE91" s="5" t="s">
        <v>97</v>
      </c>
      <c r="AF91" s="5" t="s">
        <v>103</v>
      </c>
      <c r="AG91" s="5" t="s">
        <v>97</v>
      </c>
      <c r="AH91" s="5" t="s">
        <v>103</v>
      </c>
      <c r="AI91" s="5">
        <v>45570</v>
      </c>
      <c r="AJ91" s="5"/>
      <c r="AK91" s="5"/>
      <c r="AL91" s="5" t="s">
        <v>103</v>
      </c>
      <c r="AM91" s="5" t="s">
        <v>97</v>
      </c>
      <c r="AN91" s="5" t="s">
        <v>97</v>
      </c>
      <c r="AO91" s="5" t="s">
        <v>103</v>
      </c>
      <c r="AP91" s="5" t="s">
        <v>103</v>
      </c>
      <c r="AQ91" s="5" t="s">
        <v>97</v>
      </c>
      <c r="AR91" s="5" t="s">
        <v>97</v>
      </c>
      <c r="AS91" s="5" t="s">
        <v>97</v>
      </c>
      <c r="AT91" s="5"/>
      <c r="AU91" s="5"/>
      <c r="AV91" s="4" t="s">
        <v>103</v>
      </c>
      <c r="AW91" s="4" t="s">
        <v>97</v>
      </c>
      <c r="AX91" s="4" t="s">
        <v>97</v>
      </c>
      <c r="AY91" s="4" t="s">
        <v>97</v>
      </c>
      <c r="AZ91" s="4" t="s">
        <v>103</v>
      </c>
      <c r="BA91" s="4" t="s">
        <v>97</v>
      </c>
      <c r="BB91" s="5">
        <v>45572</v>
      </c>
      <c r="BC91" s="5">
        <v>45572</v>
      </c>
      <c r="BD91" s="5">
        <v>45572</v>
      </c>
      <c r="BE91" s="5">
        <v>45591</v>
      </c>
      <c r="BF91" s="5" t="s">
        <v>98</v>
      </c>
      <c r="BG91" s="5" t="s">
        <v>97</v>
      </c>
      <c r="BH91" s="5" t="s">
        <v>103</v>
      </c>
      <c r="BI91" s="5" t="s">
        <v>115</v>
      </c>
    </row>
    <row r="92" spans="1:61" x14ac:dyDescent="0.35">
      <c r="A92" s="8" t="str">
        <f t="shared" si="12"/>
        <v>Semaine 43-2024</v>
      </c>
      <c r="B92" s="8" t="str">
        <f t="shared" si="8"/>
        <v>2024</v>
      </c>
      <c r="C92" s="2" t="s">
        <v>62</v>
      </c>
      <c r="D92" s="6" t="str">
        <f t="shared" si="9"/>
        <v>Matam</v>
      </c>
      <c r="E92" s="6">
        <f t="shared" si="10"/>
        <v>71989</v>
      </c>
      <c r="F92" s="6">
        <f t="shared" si="11"/>
        <v>789215</v>
      </c>
      <c r="G92" s="4" t="s">
        <v>373</v>
      </c>
      <c r="H92" s="4" t="s">
        <v>376</v>
      </c>
      <c r="I92" s="4">
        <v>8</v>
      </c>
      <c r="J92" s="4" t="s">
        <v>96</v>
      </c>
      <c r="K92" s="4"/>
      <c r="L92" s="4"/>
      <c r="M92" s="4"/>
      <c r="N92" s="4"/>
      <c r="O92" s="4" t="s">
        <v>238</v>
      </c>
      <c r="P92" s="4" t="s">
        <v>97</v>
      </c>
      <c r="Q92" s="4" t="s">
        <v>97</v>
      </c>
      <c r="R92" s="14" t="s">
        <v>100</v>
      </c>
      <c r="S92" s="14" t="s">
        <v>100</v>
      </c>
      <c r="T92" s="14" t="s">
        <v>100</v>
      </c>
      <c r="U92" s="14"/>
      <c r="V92" s="14"/>
      <c r="W92" s="14"/>
      <c r="X92" s="14"/>
      <c r="Y92" s="5">
        <v>45589</v>
      </c>
      <c r="Z92" s="5">
        <v>45593</v>
      </c>
      <c r="AA92" s="5" t="s">
        <v>103</v>
      </c>
      <c r="AB92" s="5" t="s">
        <v>272</v>
      </c>
      <c r="AC92" s="5" t="s">
        <v>97</v>
      </c>
      <c r="AD92" s="5" t="s">
        <v>97</v>
      </c>
      <c r="AE92" s="5" t="s">
        <v>97</v>
      </c>
      <c r="AF92" s="5" t="s">
        <v>97</v>
      </c>
      <c r="AG92" s="5" t="s">
        <v>97</v>
      </c>
      <c r="AH92" s="5" t="s">
        <v>103</v>
      </c>
      <c r="AI92" s="5">
        <v>45589</v>
      </c>
      <c r="AJ92" s="5" t="s">
        <v>103</v>
      </c>
      <c r="AK92" s="5" t="s">
        <v>103</v>
      </c>
      <c r="AL92" s="5" t="s">
        <v>97</v>
      </c>
      <c r="AM92" s="5" t="s">
        <v>97</v>
      </c>
      <c r="AN92" s="5" t="s">
        <v>103</v>
      </c>
      <c r="AO92" s="5" t="s">
        <v>97</v>
      </c>
      <c r="AP92" s="5" t="s">
        <v>97</v>
      </c>
      <c r="AQ92" s="5" t="s">
        <v>97</v>
      </c>
      <c r="AR92" s="5" t="s">
        <v>97</v>
      </c>
      <c r="AS92" s="5" t="s">
        <v>97</v>
      </c>
      <c r="AT92" s="5"/>
      <c r="AU92" s="5"/>
      <c r="AV92" s="4" t="s">
        <v>103</v>
      </c>
      <c r="AW92" s="4" t="s">
        <v>97</v>
      </c>
      <c r="AX92" s="4" t="s">
        <v>97</v>
      </c>
      <c r="AY92" s="4" t="s">
        <v>97</v>
      </c>
      <c r="AZ92" s="4" t="s">
        <v>103</v>
      </c>
      <c r="BA92" s="4" t="s">
        <v>97</v>
      </c>
      <c r="BB92" s="5">
        <v>45593</v>
      </c>
      <c r="BC92" s="5">
        <v>45594</v>
      </c>
      <c r="BD92" s="5">
        <v>45595</v>
      </c>
      <c r="BE92" s="5">
        <v>45596</v>
      </c>
      <c r="BF92" s="5" t="s">
        <v>98</v>
      </c>
      <c r="BG92" s="5" t="s">
        <v>97</v>
      </c>
      <c r="BH92" s="5" t="s">
        <v>103</v>
      </c>
      <c r="BI92" s="5" t="s">
        <v>115</v>
      </c>
    </row>
    <row r="93" spans="1:61" x14ac:dyDescent="0.35">
      <c r="A93" s="8" t="str">
        <f t="shared" si="12"/>
        <v>Semaine 43-2024</v>
      </c>
      <c r="B93" s="8" t="str">
        <f t="shared" si="8"/>
        <v>2024</v>
      </c>
      <c r="C93" s="2" t="s">
        <v>75</v>
      </c>
      <c r="D93" s="6" t="str">
        <f t="shared" si="9"/>
        <v>Diourbel</v>
      </c>
      <c r="E93" s="6">
        <f t="shared" si="10"/>
        <v>996481</v>
      </c>
      <c r="F93" s="6">
        <f t="shared" si="11"/>
        <v>1980827</v>
      </c>
      <c r="G93" s="4" t="s">
        <v>374</v>
      </c>
      <c r="H93" s="4" t="s">
        <v>377</v>
      </c>
      <c r="I93" s="4">
        <v>1</v>
      </c>
      <c r="J93" s="4" t="s">
        <v>114</v>
      </c>
      <c r="K93" s="4"/>
      <c r="L93" s="4"/>
      <c r="M93" s="4"/>
      <c r="N93" s="4"/>
      <c r="O93" s="4" t="s">
        <v>238</v>
      </c>
      <c r="P93" s="4" t="s">
        <v>97</v>
      </c>
      <c r="Q93" s="4" t="s">
        <v>97</v>
      </c>
      <c r="R93" s="14" t="s">
        <v>100</v>
      </c>
      <c r="S93" s="14" t="s">
        <v>100</v>
      </c>
      <c r="T93" s="14" t="s">
        <v>100</v>
      </c>
      <c r="U93" s="14"/>
      <c r="V93" s="14"/>
      <c r="W93" s="14"/>
      <c r="X93" s="14"/>
      <c r="Y93" s="5">
        <v>45586</v>
      </c>
      <c r="Z93" s="5">
        <v>45595</v>
      </c>
      <c r="AA93" s="5" t="s">
        <v>103</v>
      </c>
      <c r="AB93" s="5"/>
      <c r="AC93" s="5" t="s">
        <v>97</v>
      </c>
      <c r="AD93" s="5" t="s">
        <v>97</v>
      </c>
      <c r="AE93" s="5" t="s">
        <v>97</v>
      </c>
      <c r="AF93" s="5" t="s">
        <v>97</v>
      </c>
      <c r="AG93" s="5" t="s">
        <v>97</v>
      </c>
      <c r="AH93" s="5" t="s">
        <v>103</v>
      </c>
      <c r="AI93" s="5">
        <v>45591</v>
      </c>
      <c r="AJ93" s="5" t="s">
        <v>103</v>
      </c>
      <c r="AK93" s="5" t="s">
        <v>103</v>
      </c>
      <c r="AL93" s="5" t="s">
        <v>97</v>
      </c>
      <c r="AM93" s="5" t="s">
        <v>103</v>
      </c>
      <c r="AN93" s="5" t="s">
        <v>103</v>
      </c>
      <c r="AO93" s="5" t="s">
        <v>103</v>
      </c>
      <c r="AP93" s="5" t="s">
        <v>103</v>
      </c>
      <c r="AQ93" s="5" t="s">
        <v>97</v>
      </c>
      <c r="AR93" s="5" t="s">
        <v>97</v>
      </c>
      <c r="AS93" s="5" t="s">
        <v>97</v>
      </c>
      <c r="AT93" s="5"/>
      <c r="AU93" s="5"/>
      <c r="AV93" s="4" t="s">
        <v>103</v>
      </c>
      <c r="AW93" s="4" t="s">
        <v>97</v>
      </c>
      <c r="AX93" s="4" t="s">
        <v>97</v>
      </c>
      <c r="AY93" s="4" t="s">
        <v>97</v>
      </c>
      <c r="AZ93" s="4" t="s">
        <v>97</v>
      </c>
      <c r="BA93" s="4" t="s">
        <v>97</v>
      </c>
      <c r="BB93" s="5">
        <v>45595</v>
      </c>
      <c r="BC93" s="5">
        <v>45595</v>
      </c>
      <c r="BD93" s="5">
        <v>45595</v>
      </c>
      <c r="BE93" s="5">
        <v>45596</v>
      </c>
      <c r="BF93" s="5" t="s">
        <v>98</v>
      </c>
      <c r="BG93" s="5" t="s">
        <v>97</v>
      </c>
      <c r="BH93" s="5" t="s">
        <v>103</v>
      </c>
      <c r="BI93" s="5" t="s">
        <v>115</v>
      </c>
    </row>
    <row r="94" spans="1:61" x14ac:dyDescent="0.35">
      <c r="A94" s="8" t="str">
        <f t="shared" si="12"/>
        <v>Semaine 43-2024</v>
      </c>
      <c r="B94" s="8" t="str">
        <f t="shared" si="8"/>
        <v>2024</v>
      </c>
      <c r="C94" s="2" t="s">
        <v>40</v>
      </c>
      <c r="D94" s="6" t="str">
        <f t="shared" si="9"/>
        <v>Tambacounda</v>
      </c>
      <c r="E94" s="6">
        <f t="shared" si="10"/>
        <v>74367</v>
      </c>
      <c r="F94" s="6">
        <f t="shared" si="11"/>
        <v>937181</v>
      </c>
      <c r="G94" s="4" t="s">
        <v>375</v>
      </c>
      <c r="H94" s="4" t="s">
        <v>378</v>
      </c>
      <c r="I94" s="4">
        <v>35</v>
      </c>
      <c r="J94" s="4" t="s">
        <v>114</v>
      </c>
      <c r="K94" s="4"/>
      <c r="L94" s="4"/>
      <c r="M94" s="4"/>
      <c r="N94" s="4"/>
      <c r="O94" s="4" t="s">
        <v>238</v>
      </c>
      <c r="P94" s="4" t="s">
        <v>97</v>
      </c>
      <c r="Q94" s="4" t="s">
        <v>97</v>
      </c>
      <c r="R94" s="14" t="s">
        <v>100</v>
      </c>
      <c r="S94" s="14" t="s">
        <v>100</v>
      </c>
      <c r="T94" s="14" t="s">
        <v>100</v>
      </c>
      <c r="U94" s="14"/>
      <c r="V94" s="14"/>
      <c r="W94" s="14"/>
      <c r="X94" s="14"/>
      <c r="Y94" s="5">
        <v>45589</v>
      </c>
      <c r="Z94" s="5">
        <v>45591</v>
      </c>
      <c r="AA94" s="5" t="s">
        <v>103</v>
      </c>
      <c r="AB94" s="5"/>
      <c r="AC94" s="5" t="s">
        <v>103</v>
      </c>
      <c r="AD94" s="5" t="s">
        <v>103</v>
      </c>
      <c r="AE94" s="5" t="s">
        <v>97</v>
      </c>
      <c r="AF94" s="5" t="s">
        <v>103</v>
      </c>
      <c r="AG94" s="5" t="s">
        <v>103</v>
      </c>
      <c r="AH94" s="5" t="s">
        <v>103</v>
      </c>
      <c r="AI94" s="5">
        <v>45589</v>
      </c>
      <c r="AJ94" s="5"/>
      <c r="AK94" s="5"/>
      <c r="AL94" s="5" t="s">
        <v>103</v>
      </c>
      <c r="AM94" s="5" t="s">
        <v>103</v>
      </c>
      <c r="AN94" s="5" t="s">
        <v>103</v>
      </c>
      <c r="AO94" s="5" t="s">
        <v>103</v>
      </c>
      <c r="AP94" s="5" t="s">
        <v>103</v>
      </c>
      <c r="AQ94" s="5" t="s">
        <v>97</v>
      </c>
      <c r="AR94" s="5" t="s">
        <v>97</v>
      </c>
      <c r="AS94" s="5" t="s">
        <v>97</v>
      </c>
      <c r="AT94" s="5"/>
      <c r="AU94" s="5"/>
      <c r="AV94" s="4" t="s">
        <v>103</v>
      </c>
      <c r="AW94" s="4" t="s">
        <v>97</v>
      </c>
      <c r="AX94" s="4" t="s">
        <v>97</v>
      </c>
      <c r="AY94" s="4" t="s">
        <v>97</v>
      </c>
      <c r="AZ94" s="4" t="s">
        <v>103</v>
      </c>
      <c r="BA94" s="4" t="s">
        <v>97</v>
      </c>
      <c r="BB94" s="5">
        <v>45592</v>
      </c>
      <c r="BC94" s="5">
        <v>45594</v>
      </c>
      <c r="BD94" s="5">
        <v>45595</v>
      </c>
      <c r="BE94" s="5">
        <v>45596</v>
      </c>
      <c r="BF94" s="5" t="s">
        <v>98</v>
      </c>
      <c r="BG94" s="5" t="s">
        <v>97</v>
      </c>
      <c r="BH94" s="5" t="s">
        <v>103</v>
      </c>
      <c r="BI94" s="5" t="s">
        <v>115</v>
      </c>
    </row>
    <row r="95" spans="1:61" x14ac:dyDescent="0.35">
      <c r="A95" s="8" t="str">
        <f t="shared" si="12"/>
        <v>Semaine 44-2024</v>
      </c>
      <c r="B95" s="8" t="str">
        <f t="shared" si="8"/>
        <v>2024</v>
      </c>
      <c r="C95" s="2" t="s">
        <v>20</v>
      </c>
      <c r="D95" s="6" t="str">
        <f t="shared" si="9"/>
        <v>Dakar</v>
      </c>
      <c r="E95" s="6">
        <f t="shared" si="10"/>
        <v>272276</v>
      </c>
      <c r="F95" s="6">
        <f t="shared" si="11"/>
        <v>4042240</v>
      </c>
      <c r="G95" s="4" t="s">
        <v>379</v>
      </c>
      <c r="H95" s="4" t="s">
        <v>380</v>
      </c>
      <c r="I95" s="4">
        <v>9</v>
      </c>
      <c r="J95" s="4" t="s">
        <v>114</v>
      </c>
      <c r="K95" s="4"/>
      <c r="L95" s="4"/>
      <c r="M95" s="4"/>
      <c r="N95" s="4"/>
      <c r="O95" s="4" t="s">
        <v>238</v>
      </c>
      <c r="P95" s="4" t="s">
        <v>97</v>
      </c>
      <c r="Q95" s="4" t="s">
        <v>97</v>
      </c>
      <c r="R95" s="14" t="s">
        <v>100</v>
      </c>
      <c r="S95" s="14" t="s">
        <v>100</v>
      </c>
      <c r="T95" s="14" t="s">
        <v>100</v>
      </c>
      <c r="U95" s="14"/>
      <c r="V95" s="14"/>
      <c r="W95" s="14"/>
      <c r="X95" s="14"/>
      <c r="Y95" s="5">
        <v>45595</v>
      </c>
      <c r="Z95" s="5">
        <v>45596</v>
      </c>
      <c r="AA95" s="5" t="s">
        <v>103</v>
      </c>
      <c r="AB95" s="5"/>
      <c r="AC95" s="5" t="s">
        <v>103</v>
      </c>
      <c r="AD95" s="5" t="s">
        <v>97</v>
      </c>
      <c r="AE95" s="5" t="s">
        <v>97</v>
      </c>
      <c r="AF95" s="5" t="s">
        <v>103</v>
      </c>
      <c r="AG95" s="5" t="s">
        <v>97</v>
      </c>
      <c r="AH95" s="5" t="s">
        <v>103</v>
      </c>
      <c r="AI95" s="5">
        <v>45595</v>
      </c>
      <c r="AJ95" s="5"/>
      <c r="AK95" s="5"/>
      <c r="AL95" s="5" t="s">
        <v>103</v>
      </c>
      <c r="AM95" s="5" t="s">
        <v>103</v>
      </c>
      <c r="AN95" s="5" t="s">
        <v>103</v>
      </c>
      <c r="AO95" s="5" t="s">
        <v>103</v>
      </c>
      <c r="AP95" s="5" t="s">
        <v>103</v>
      </c>
      <c r="AQ95" s="5" t="s">
        <v>97</v>
      </c>
      <c r="AR95" s="5" t="s">
        <v>97</v>
      </c>
      <c r="AS95" s="5" t="s">
        <v>97</v>
      </c>
      <c r="AT95" s="5" t="s">
        <v>382</v>
      </c>
      <c r="AU95" s="5"/>
      <c r="AV95" s="4" t="s">
        <v>97</v>
      </c>
      <c r="AW95" s="4" t="s">
        <v>97</v>
      </c>
      <c r="AX95" s="4" t="s">
        <v>97</v>
      </c>
      <c r="AY95" s="4" t="s">
        <v>97</v>
      </c>
      <c r="AZ95" s="4" t="s">
        <v>103</v>
      </c>
      <c r="BA95" s="4" t="s">
        <v>97</v>
      </c>
      <c r="BB95" s="5">
        <v>45595</v>
      </c>
      <c r="BC95" s="5">
        <v>45596</v>
      </c>
      <c r="BD95" s="5">
        <v>45596</v>
      </c>
      <c r="BE95" s="5">
        <v>45597</v>
      </c>
      <c r="BF95" s="5" t="s">
        <v>98</v>
      </c>
      <c r="BG95" s="5" t="s">
        <v>97</v>
      </c>
      <c r="BH95" s="5" t="s">
        <v>103</v>
      </c>
      <c r="BI95" s="5" t="s">
        <v>381</v>
      </c>
    </row>
    <row r="96" spans="1:61" x14ac:dyDescent="0.35">
      <c r="A96" s="8" t="str">
        <f t="shared" si="12"/>
        <v>Semaine 28-2024</v>
      </c>
      <c r="B96" s="8" t="str">
        <f t="shared" si="8"/>
        <v>2024</v>
      </c>
      <c r="C96" s="2" t="s">
        <v>67</v>
      </c>
      <c r="D96" s="6" t="str">
        <f t="shared" si="9"/>
        <v>Kedougou</v>
      </c>
      <c r="E96" s="6">
        <f t="shared" si="10"/>
        <v>29759</v>
      </c>
      <c r="F96" s="6">
        <f t="shared" si="11"/>
        <v>203720</v>
      </c>
      <c r="G96" s="4" t="s">
        <v>384</v>
      </c>
      <c r="H96" s="4" t="s">
        <v>385</v>
      </c>
      <c r="I96" s="4">
        <v>45</v>
      </c>
      <c r="J96" s="4" t="s">
        <v>114</v>
      </c>
      <c r="K96" s="9" t="s">
        <v>256</v>
      </c>
      <c r="L96" s="19">
        <v>45540</v>
      </c>
      <c r="M96" s="4"/>
      <c r="N96" s="4"/>
      <c r="O96" s="4" t="s">
        <v>238</v>
      </c>
      <c r="P96" s="4" t="s">
        <v>97</v>
      </c>
      <c r="Q96" s="4" t="s">
        <v>97</v>
      </c>
      <c r="R96" s="14" t="s">
        <v>100</v>
      </c>
      <c r="S96" s="14" t="s">
        <v>100</v>
      </c>
      <c r="T96" s="14" t="s">
        <v>100</v>
      </c>
      <c r="U96" s="14"/>
      <c r="V96" s="14"/>
      <c r="W96" s="14"/>
      <c r="X96" s="14"/>
      <c r="Y96" s="5">
        <v>45483</v>
      </c>
      <c r="Z96" s="5">
        <v>45569</v>
      </c>
      <c r="AA96" s="5" t="s">
        <v>103</v>
      </c>
      <c r="AB96" s="5"/>
      <c r="AC96" s="5" t="s">
        <v>103</v>
      </c>
      <c r="AD96" s="5" t="s">
        <v>97</v>
      </c>
      <c r="AE96" s="5" t="s">
        <v>97</v>
      </c>
      <c r="AF96" s="5" t="s">
        <v>97</v>
      </c>
      <c r="AG96" s="5" t="s">
        <v>103</v>
      </c>
      <c r="AH96" s="5" t="s">
        <v>103</v>
      </c>
      <c r="AI96" s="5">
        <v>45483</v>
      </c>
      <c r="AJ96" s="5"/>
      <c r="AK96" s="5"/>
      <c r="AL96" s="5" t="s">
        <v>103</v>
      </c>
      <c r="AM96" s="5" t="s">
        <v>103</v>
      </c>
      <c r="AN96" s="5" t="s">
        <v>103</v>
      </c>
      <c r="AO96" s="5" t="s">
        <v>97</v>
      </c>
      <c r="AP96" s="5" t="s">
        <v>97</v>
      </c>
      <c r="AQ96" s="5" t="s">
        <v>103</v>
      </c>
      <c r="AR96" s="5" t="s">
        <v>103</v>
      </c>
      <c r="AS96" s="5" t="s">
        <v>103</v>
      </c>
      <c r="AT96" s="5"/>
      <c r="AU96" s="5"/>
      <c r="AV96" s="4" t="s">
        <v>103</v>
      </c>
      <c r="AW96" s="4" t="s">
        <v>97</v>
      </c>
      <c r="AX96" s="4" t="s">
        <v>97</v>
      </c>
      <c r="AY96" s="4" t="s">
        <v>97</v>
      </c>
      <c r="AZ96" s="4" t="s">
        <v>103</v>
      </c>
      <c r="BA96" s="4" t="s">
        <v>97</v>
      </c>
      <c r="BB96" s="5">
        <v>45569</v>
      </c>
      <c r="BC96" s="5">
        <v>45569</v>
      </c>
      <c r="BD96" s="5">
        <v>45572</v>
      </c>
      <c r="BE96" s="5">
        <v>45601</v>
      </c>
      <c r="BF96" s="5" t="s">
        <v>98</v>
      </c>
      <c r="BG96" s="5" t="s">
        <v>97</v>
      </c>
      <c r="BH96" s="5" t="s">
        <v>103</v>
      </c>
      <c r="BI96" s="5" t="s">
        <v>115</v>
      </c>
    </row>
    <row r="97" spans="1:61" x14ac:dyDescent="0.35">
      <c r="A97" s="8" t="str">
        <f t="shared" si="12"/>
        <v>Semaine 42-2024</v>
      </c>
      <c r="B97" s="8" t="str">
        <f t="shared" si="8"/>
        <v>2024</v>
      </c>
      <c r="C97" s="2" t="s">
        <v>63</v>
      </c>
      <c r="D97" s="6" t="str">
        <f t="shared" si="9"/>
        <v>Saint-Louis</v>
      </c>
      <c r="E97" s="6">
        <f t="shared" si="10"/>
        <v>205977</v>
      </c>
      <c r="F97" s="6">
        <f t="shared" si="11"/>
        <v>1150065</v>
      </c>
      <c r="G97" s="4" t="s">
        <v>383</v>
      </c>
      <c r="H97" s="4" t="s">
        <v>386</v>
      </c>
      <c r="I97" s="4">
        <v>35</v>
      </c>
      <c r="J97" s="4" t="s">
        <v>96</v>
      </c>
      <c r="K97" s="4"/>
      <c r="L97" s="4"/>
      <c r="M97" s="4"/>
      <c r="N97" s="4"/>
      <c r="O97" s="4" t="s">
        <v>238</v>
      </c>
      <c r="P97" s="4" t="s">
        <v>97</v>
      </c>
      <c r="Q97" s="4" t="s">
        <v>97</v>
      </c>
      <c r="R97" s="14" t="s">
        <v>100</v>
      </c>
      <c r="S97" s="14" t="s">
        <v>100</v>
      </c>
      <c r="T97" s="14" t="s">
        <v>100</v>
      </c>
      <c r="U97" s="14"/>
      <c r="V97" s="14"/>
      <c r="W97" s="14"/>
      <c r="X97" s="14"/>
      <c r="Y97" s="5">
        <v>45583</v>
      </c>
      <c r="Z97" s="5">
        <v>45586</v>
      </c>
      <c r="AA97" s="5" t="s">
        <v>103</v>
      </c>
      <c r="AB97" s="5" t="s">
        <v>387</v>
      </c>
      <c r="AC97" s="5" t="s">
        <v>103</v>
      </c>
      <c r="AD97" s="5" t="s">
        <v>97</v>
      </c>
      <c r="AE97" s="5" t="s">
        <v>103</v>
      </c>
      <c r="AF97" s="5" t="s">
        <v>103</v>
      </c>
      <c r="AG97" s="5" t="s">
        <v>97</v>
      </c>
      <c r="AH97" s="5" t="s">
        <v>103</v>
      </c>
      <c r="AI97" s="5">
        <v>45583</v>
      </c>
      <c r="AJ97" s="5" t="s">
        <v>103</v>
      </c>
      <c r="AK97" s="5" t="s">
        <v>103</v>
      </c>
      <c r="AL97" s="5" t="s">
        <v>97</v>
      </c>
      <c r="AM97" s="5" t="s">
        <v>97</v>
      </c>
      <c r="AN97" s="5" t="s">
        <v>97</v>
      </c>
      <c r="AO97" s="5" t="s">
        <v>97</v>
      </c>
      <c r="AP97" s="5" t="s">
        <v>97</v>
      </c>
      <c r="AQ97" s="5" t="s">
        <v>103</v>
      </c>
      <c r="AR97" s="5" t="s">
        <v>97</v>
      </c>
      <c r="AS97" s="5" t="s">
        <v>97</v>
      </c>
      <c r="AT97" s="5"/>
      <c r="AU97" s="5"/>
      <c r="AV97" s="4" t="s">
        <v>103</v>
      </c>
      <c r="AW97" s="4" t="s">
        <v>97</v>
      </c>
      <c r="AX97" s="4" t="s">
        <v>97</v>
      </c>
      <c r="AY97" s="4" t="s">
        <v>97</v>
      </c>
      <c r="AZ97" s="4" t="s">
        <v>103</v>
      </c>
      <c r="BA97" s="4" t="s">
        <v>97</v>
      </c>
      <c r="BB97" s="5">
        <v>45586</v>
      </c>
      <c r="BC97" s="5">
        <v>45586</v>
      </c>
      <c r="BD97" s="5">
        <v>45600</v>
      </c>
      <c r="BE97" s="5">
        <v>45601</v>
      </c>
      <c r="BF97" s="5" t="s">
        <v>98</v>
      </c>
      <c r="BG97" s="5" t="s">
        <v>97</v>
      </c>
      <c r="BH97" s="5" t="s">
        <v>103</v>
      </c>
      <c r="BI97" s="5" t="s">
        <v>115</v>
      </c>
    </row>
    <row r="98" spans="1:61" x14ac:dyDescent="0.35">
      <c r="A98" s="8" t="str">
        <f t="shared" si="12"/>
        <v>Semaine 44-2024</v>
      </c>
      <c r="B98" s="8" t="str">
        <f t="shared" si="8"/>
        <v>2024</v>
      </c>
      <c r="C98" s="2" t="s">
        <v>71</v>
      </c>
      <c r="D98" s="6" t="str">
        <f t="shared" si="9"/>
        <v>Thies</v>
      </c>
      <c r="E98" s="6">
        <f t="shared" si="10"/>
        <v>195082</v>
      </c>
      <c r="F98" s="6">
        <f t="shared" si="11"/>
        <v>2280463</v>
      </c>
      <c r="G98" s="4" t="s">
        <v>388</v>
      </c>
      <c r="H98" s="4" t="s">
        <v>389</v>
      </c>
      <c r="I98" s="4">
        <v>4</v>
      </c>
      <c r="J98" s="4" t="s">
        <v>114</v>
      </c>
      <c r="K98" s="4"/>
      <c r="L98" s="4"/>
      <c r="M98" s="4"/>
      <c r="N98" s="4"/>
      <c r="O98" s="4" t="s">
        <v>238</v>
      </c>
      <c r="P98" s="4" t="s">
        <v>97</v>
      </c>
      <c r="Q98" s="4" t="s">
        <v>97</v>
      </c>
      <c r="R98" s="14" t="s">
        <v>100</v>
      </c>
      <c r="S98" s="14" t="s">
        <v>100</v>
      </c>
      <c r="T98" s="14" t="s">
        <v>100</v>
      </c>
      <c r="U98" s="14"/>
      <c r="V98" s="14"/>
      <c r="W98" s="14"/>
      <c r="X98" s="14"/>
      <c r="Y98" s="5">
        <v>45596</v>
      </c>
      <c r="Z98" s="5">
        <v>45600</v>
      </c>
      <c r="AA98" s="5" t="s">
        <v>97</v>
      </c>
      <c r="AB98" s="5" t="s">
        <v>392</v>
      </c>
      <c r="AC98" s="5" t="s">
        <v>97</v>
      </c>
      <c r="AD98" s="5" t="s">
        <v>97</v>
      </c>
      <c r="AE98" s="5" t="s">
        <v>97</v>
      </c>
      <c r="AF98" s="5" t="s">
        <v>97</v>
      </c>
      <c r="AG98" s="5" t="s">
        <v>97</v>
      </c>
      <c r="AH98" s="5" t="s">
        <v>103</v>
      </c>
      <c r="AI98" s="5">
        <v>45596</v>
      </c>
      <c r="AJ98" s="5" t="s">
        <v>103</v>
      </c>
      <c r="AK98" s="5" t="s">
        <v>103</v>
      </c>
      <c r="AL98" s="5" t="s">
        <v>97</v>
      </c>
      <c r="AM98" s="5" t="s">
        <v>103</v>
      </c>
      <c r="AN98" s="5" t="s">
        <v>97</v>
      </c>
      <c r="AO98" s="5" t="s">
        <v>97</v>
      </c>
      <c r="AP98" s="5" t="s">
        <v>97</v>
      </c>
      <c r="AQ98" s="5" t="s">
        <v>97</v>
      </c>
      <c r="AR98" s="5" t="s">
        <v>97</v>
      </c>
      <c r="AS98" s="5" t="s">
        <v>97</v>
      </c>
      <c r="AT98" s="5"/>
      <c r="AU98" s="5"/>
      <c r="AV98" s="4" t="s">
        <v>97</v>
      </c>
      <c r="AW98" s="4" t="s">
        <v>97</v>
      </c>
      <c r="AX98" s="4" t="s">
        <v>97</v>
      </c>
      <c r="AY98" s="4" t="s">
        <v>97</v>
      </c>
      <c r="AZ98" s="4" t="s">
        <v>103</v>
      </c>
      <c r="BA98" s="4" t="s">
        <v>97</v>
      </c>
      <c r="BB98" s="5">
        <v>45602</v>
      </c>
      <c r="BC98" s="5">
        <v>45603</v>
      </c>
      <c r="BD98" s="5">
        <v>45603</v>
      </c>
      <c r="BE98" s="5">
        <v>45603</v>
      </c>
      <c r="BF98" s="5" t="s">
        <v>98</v>
      </c>
      <c r="BG98" s="5" t="s">
        <v>97</v>
      </c>
      <c r="BH98" s="5" t="s">
        <v>103</v>
      </c>
      <c r="BI98" s="5" t="s">
        <v>360</v>
      </c>
    </row>
    <row r="99" spans="1:61" x14ac:dyDescent="0.35">
      <c r="A99" s="8" t="str">
        <f t="shared" si="12"/>
        <v>Semaine 43-2024</v>
      </c>
      <c r="B99" s="8" t="str">
        <f t="shared" si="8"/>
        <v>2024</v>
      </c>
      <c r="C99" s="2" t="s">
        <v>4</v>
      </c>
      <c r="D99" s="6" t="str">
        <f t="shared" si="9"/>
        <v>Thies</v>
      </c>
      <c r="E99" s="6">
        <f t="shared" si="10"/>
        <v>462449</v>
      </c>
      <c r="F99" s="6">
        <f t="shared" si="11"/>
        <v>2280463</v>
      </c>
      <c r="G99" s="4" t="s">
        <v>390</v>
      </c>
      <c r="H99" s="4" t="s">
        <v>393</v>
      </c>
      <c r="I99" s="4">
        <v>4</v>
      </c>
      <c r="J99" s="4" t="s">
        <v>96</v>
      </c>
      <c r="K99" s="4"/>
      <c r="L99" s="4"/>
      <c r="M99" s="4"/>
      <c r="N99" s="4"/>
      <c r="O99" s="4" t="s">
        <v>238</v>
      </c>
      <c r="P99" s="4" t="s">
        <v>97</v>
      </c>
      <c r="Q99" s="4" t="s">
        <v>97</v>
      </c>
      <c r="R99" s="14" t="s">
        <v>100</v>
      </c>
      <c r="S99" s="14" t="s">
        <v>100</v>
      </c>
      <c r="T99" s="14" t="s">
        <v>100</v>
      </c>
      <c r="U99" s="14"/>
      <c r="V99" s="14"/>
      <c r="W99" s="14"/>
      <c r="X99" s="14"/>
      <c r="Y99" s="5">
        <v>45588</v>
      </c>
      <c r="Z99" s="5">
        <v>45602</v>
      </c>
      <c r="AA99" s="5" t="s">
        <v>103</v>
      </c>
      <c r="AB99" s="5" t="s">
        <v>257</v>
      </c>
      <c r="AC99" s="5" t="s">
        <v>97</v>
      </c>
      <c r="AD99" s="5" t="s">
        <v>97</v>
      </c>
      <c r="AE99" s="5" t="s">
        <v>97</v>
      </c>
      <c r="AF99" s="5" t="s">
        <v>97</v>
      </c>
      <c r="AG99" s="5" t="s">
        <v>97</v>
      </c>
      <c r="AH99" s="5" t="s">
        <v>103</v>
      </c>
      <c r="AI99" s="5">
        <v>45588</v>
      </c>
      <c r="AJ99" s="5" t="s">
        <v>103</v>
      </c>
      <c r="AK99" s="5"/>
      <c r="AL99" s="5" t="s">
        <v>103</v>
      </c>
      <c r="AM99" s="5" t="s">
        <v>97</v>
      </c>
      <c r="AN99" s="5" t="s">
        <v>103</v>
      </c>
      <c r="AO99" s="5" t="s">
        <v>97</v>
      </c>
      <c r="AP99" s="5" t="s">
        <v>97</v>
      </c>
      <c r="AQ99" s="5" t="s">
        <v>97</v>
      </c>
      <c r="AR99" s="5" t="s">
        <v>97</v>
      </c>
      <c r="AS99" s="5" t="s">
        <v>97</v>
      </c>
      <c r="AT99" s="5" t="s">
        <v>394</v>
      </c>
      <c r="AU99" s="5"/>
      <c r="AV99" s="4" t="s">
        <v>103</v>
      </c>
      <c r="AW99" s="4" t="s">
        <v>97</v>
      </c>
      <c r="AX99" s="4" t="s">
        <v>103</v>
      </c>
      <c r="AY99" s="4" t="s">
        <v>97</v>
      </c>
      <c r="AZ99" s="4" t="s">
        <v>103</v>
      </c>
      <c r="BA99" s="4" t="s">
        <v>97</v>
      </c>
      <c r="BB99" s="5">
        <v>45602</v>
      </c>
      <c r="BC99" s="5">
        <v>45602</v>
      </c>
      <c r="BD99" s="5">
        <v>45603</v>
      </c>
      <c r="BE99" s="5">
        <v>45603</v>
      </c>
      <c r="BF99" s="5" t="s">
        <v>98</v>
      </c>
      <c r="BG99" s="5" t="s">
        <v>97</v>
      </c>
      <c r="BH99" s="5" t="s">
        <v>103</v>
      </c>
      <c r="BI99" s="5" t="s">
        <v>360</v>
      </c>
    </row>
    <row r="100" spans="1:61" x14ac:dyDescent="0.35">
      <c r="A100" s="8" t="str">
        <f t="shared" si="12"/>
        <v>Semaine 44-2024</v>
      </c>
      <c r="B100" s="8" t="str">
        <f t="shared" si="8"/>
        <v>2024</v>
      </c>
      <c r="C100" s="2" t="s">
        <v>71</v>
      </c>
      <c r="D100" s="6" t="str">
        <f t="shared" si="9"/>
        <v>Thies</v>
      </c>
      <c r="E100" s="6">
        <f t="shared" si="10"/>
        <v>195082</v>
      </c>
      <c r="F100" s="6">
        <f t="shared" si="11"/>
        <v>2280463</v>
      </c>
      <c r="G100" s="4" t="s">
        <v>391</v>
      </c>
      <c r="H100" s="4" t="s">
        <v>395</v>
      </c>
      <c r="I100" s="4">
        <v>8</v>
      </c>
      <c r="J100" s="4" t="s">
        <v>96</v>
      </c>
      <c r="K100" s="4"/>
      <c r="L100" s="4"/>
      <c r="M100" s="4"/>
      <c r="N100" s="4"/>
      <c r="O100" s="4" t="s">
        <v>238</v>
      </c>
      <c r="P100" s="4" t="s">
        <v>97</v>
      </c>
      <c r="Q100" s="4" t="s">
        <v>97</v>
      </c>
      <c r="R100" s="14" t="s">
        <v>100</v>
      </c>
      <c r="S100" s="14" t="s">
        <v>100</v>
      </c>
      <c r="T100" s="14" t="s">
        <v>100</v>
      </c>
      <c r="U100" s="14"/>
      <c r="V100" s="14"/>
      <c r="W100" s="14"/>
      <c r="X100" s="14"/>
      <c r="Y100" s="5">
        <v>45596</v>
      </c>
      <c r="Z100" s="5">
        <v>45600</v>
      </c>
      <c r="AA100" s="5" t="s">
        <v>97</v>
      </c>
      <c r="AB100" s="5" t="s">
        <v>396</v>
      </c>
      <c r="AC100" s="5" t="s">
        <v>97</v>
      </c>
      <c r="AD100" s="5" t="s">
        <v>97</v>
      </c>
      <c r="AE100" s="5" t="s">
        <v>97</v>
      </c>
      <c r="AF100" s="5" t="s">
        <v>97</v>
      </c>
      <c r="AG100" s="5" t="s">
        <v>97</v>
      </c>
      <c r="AH100" s="5" t="s">
        <v>103</v>
      </c>
      <c r="AI100" s="5">
        <v>45596</v>
      </c>
      <c r="AJ100" s="5" t="s">
        <v>103</v>
      </c>
      <c r="AK100" s="5" t="s">
        <v>103</v>
      </c>
      <c r="AL100" s="5" t="s">
        <v>97</v>
      </c>
      <c r="AM100" s="5" t="s">
        <v>103</v>
      </c>
      <c r="AN100" s="5" t="s">
        <v>103</v>
      </c>
      <c r="AO100" s="5" t="s">
        <v>97</v>
      </c>
      <c r="AP100" s="5" t="s">
        <v>97</v>
      </c>
      <c r="AQ100" s="5" t="s">
        <v>97</v>
      </c>
      <c r="AR100" s="5" t="s">
        <v>97</v>
      </c>
      <c r="AS100" s="5" t="s">
        <v>97</v>
      </c>
      <c r="AT100" s="5"/>
      <c r="AU100" s="5"/>
      <c r="AV100" s="4" t="s">
        <v>97</v>
      </c>
      <c r="AW100" s="4" t="s">
        <v>97</v>
      </c>
      <c r="AX100" s="4" t="s">
        <v>97</v>
      </c>
      <c r="AY100" s="4" t="s">
        <v>97</v>
      </c>
      <c r="AZ100" s="4" t="s">
        <v>103</v>
      </c>
      <c r="BA100" s="4" t="s">
        <v>97</v>
      </c>
      <c r="BB100" s="5">
        <v>45602</v>
      </c>
      <c r="BC100" s="5">
        <v>45603</v>
      </c>
      <c r="BD100" s="5">
        <v>45603</v>
      </c>
      <c r="BE100" s="5">
        <v>45603</v>
      </c>
      <c r="BF100" s="5" t="s">
        <v>98</v>
      </c>
      <c r="BG100" s="5" t="s">
        <v>97</v>
      </c>
      <c r="BH100" s="5" t="s">
        <v>103</v>
      </c>
      <c r="BI100" s="5" t="s">
        <v>360</v>
      </c>
    </row>
    <row r="101" spans="1:61" x14ac:dyDescent="0.35">
      <c r="A101" s="8" t="str">
        <f t="shared" si="12"/>
        <v>Semaine 45-2024</v>
      </c>
      <c r="B101" s="8" t="str">
        <f t="shared" si="8"/>
        <v>2024</v>
      </c>
      <c r="C101" s="2" t="s">
        <v>60</v>
      </c>
      <c r="D101" s="6" t="str">
        <f t="shared" si="9"/>
        <v>Thies</v>
      </c>
      <c r="E101" s="6">
        <f t="shared" si="10"/>
        <v>92691</v>
      </c>
      <c r="F101" s="6">
        <f t="shared" si="11"/>
        <v>2280463</v>
      </c>
      <c r="G101" s="4" t="s">
        <v>397</v>
      </c>
      <c r="H101" s="4" t="s">
        <v>398</v>
      </c>
      <c r="I101" s="4">
        <v>5</v>
      </c>
      <c r="J101" s="4" t="s">
        <v>114</v>
      </c>
      <c r="K101" s="9" t="s">
        <v>256</v>
      </c>
      <c r="L101" s="19">
        <v>45603</v>
      </c>
      <c r="M101" s="4"/>
      <c r="N101" s="4"/>
      <c r="O101" s="4" t="s">
        <v>238</v>
      </c>
      <c r="P101" s="4" t="s">
        <v>97</v>
      </c>
      <c r="Q101" s="4" t="s">
        <v>97</v>
      </c>
      <c r="R101" s="14" t="s">
        <v>100</v>
      </c>
      <c r="S101" s="14" t="s">
        <v>100</v>
      </c>
      <c r="T101" s="14" t="s">
        <v>100</v>
      </c>
      <c r="U101" s="14" t="s">
        <v>285</v>
      </c>
      <c r="V101" s="14" t="s">
        <v>399</v>
      </c>
      <c r="W101" s="14"/>
      <c r="X101" s="14"/>
      <c r="Y101" s="5">
        <v>45601</v>
      </c>
      <c r="Z101" s="5">
        <v>45603</v>
      </c>
      <c r="AA101" s="5" t="s">
        <v>97</v>
      </c>
      <c r="AB101" s="5"/>
      <c r="AC101" s="5" t="s">
        <v>97</v>
      </c>
      <c r="AD101" s="5" t="s">
        <v>103</v>
      </c>
      <c r="AE101" s="5" t="s">
        <v>97</v>
      </c>
      <c r="AF101" s="5" t="s">
        <v>97</v>
      </c>
      <c r="AG101" s="5" t="s">
        <v>97</v>
      </c>
      <c r="AH101" s="5" t="s">
        <v>103</v>
      </c>
      <c r="AI101" s="5">
        <v>45601</v>
      </c>
      <c r="AJ101" s="5"/>
      <c r="AK101" s="5"/>
      <c r="AL101" s="5" t="s">
        <v>97</v>
      </c>
      <c r="AM101" s="5" t="s">
        <v>103</v>
      </c>
      <c r="AN101" s="5" t="s">
        <v>103</v>
      </c>
      <c r="AO101" s="5" t="s">
        <v>103</v>
      </c>
      <c r="AP101" s="5" t="s">
        <v>103</v>
      </c>
      <c r="AQ101" s="5" t="s">
        <v>97</v>
      </c>
      <c r="AR101" s="5" t="s">
        <v>97</v>
      </c>
      <c r="AS101" s="5" t="s">
        <v>97</v>
      </c>
      <c r="AT101" s="5"/>
      <c r="AU101" s="5"/>
      <c r="AV101" s="4" t="s">
        <v>103</v>
      </c>
      <c r="AW101" s="4" t="s">
        <v>103</v>
      </c>
      <c r="AX101" s="4" t="s">
        <v>97</v>
      </c>
      <c r="AY101" s="4" t="s">
        <v>97</v>
      </c>
      <c r="AZ101" s="4" t="s">
        <v>97</v>
      </c>
      <c r="BA101" s="4" t="s">
        <v>97</v>
      </c>
      <c r="BB101" s="5">
        <v>45603</v>
      </c>
      <c r="BC101" s="5">
        <v>45603</v>
      </c>
      <c r="BD101" s="5">
        <v>45603</v>
      </c>
      <c r="BE101" s="5">
        <v>45603</v>
      </c>
      <c r="BF101" s="5" t="s">
        <v>98</v>
      </c>
      <c r="BG101" s="5" t="s">
        <v>97</v>
      </c>
      <c r="BH101" s="5" t="s">
        <v>103</v>
      </c>
      <c r="BI101" s="5" t="s">
        <v>115</v>
      </c>
    </row>
    <row r="102" spans="1:61" x14ac:dyDescent="0.35">
      <c r="A102" s="8" t="str">
        <f t="shared" si="12"/>
        <v>Semaine 45-2024</v>
      </c>
      <c r="B102" s="8" t="str">
        <f t="shared" si="8"/>
        <v>2024</v>
      </c>
      <c r="C102" s="2" t="s">
        <v>18</v>
      </c>
      <c r="D102" s="6" t="str">
        <f t="shared" si="9"/>
        <v>Dakar</v>
      </c>
      <c r="E102" s="6">
        <f t="shared" si="10"/>
        <v>419489</v>
      </c>
      <c r="F102" s="6">
        <f t="shared" si="11"/>
        <v>4042240</v>
      </c>
      <c r="G102" s="4" t="s">
        <v>400</v>
      </c>
      <c r="H102" s="4" t="s">
        <v>401</v>
      </c>
      <c r="I102" s="4">
        <v>1</v>
      </c>
      <c r="J102" s="4" t="s">
        <v>114</v>
      </c>
      <c r="K102" s="4"/>
      <c r="L102" s="4"/>
      <c r="M102" s="4"/>
      <c r="N102" s="4"/>
      <c r="O102" s="4" t="s">
        <v>238</v>
      </c>
      <c r="P102" s="4" t="s">
        <v>97</v>
      </c>
      <c r="Q102" s="4" t="s">
        <v>97</v>
      </c>
      <c r="R102" s="14" t="s">
        <v>100</v>
      </c>
      <c r="S102" s="14" t="s">
        <v>100</v>
      </c>
      <c r="T102" s="14" t="s">
        <v>100</v>
      </c>
      <c r="U102" s="14"/>
      <c r="V102" s="14"/>
      <c r="W102" s="14"/>
      <c r="X102" s="14"/>
      <c r="Y102" s="5">
        <v>45603</v>
      </c>
      <c r="Z102" s="5">
        <v>45609</v>
      </c>
      <c r="AA102" s="5" t="s">
        <v>103</v>
      </c>
      <c r="AB102" s="5"/>
      <c r="AC102" s="5" t="s">
        <v>97</v>
      </c>
      <c r="AD102" s="5" t="s">
        <v>97</v>
      </c>
      <c r="AE102" s="5" t="s">
        <v>97</v>
      </c>
      <c r="AF102" s="5" t="s">
        <v>97</v>
      </c>
      <c r="AG102" s="5" t="s">
        <v>97</v>
      </c>
      <c r="AH102" s="5" t="s">
        <v>103</v>
      </c>
      <c r="AI102" s="5">
        <v>45603</v>
      </c>
      <c r="AJ102" s="5"/>
      <c r="AK102" s="5"/>
      <c r="AL102" s="5" t="s">
        <v>103</v>
      </c>
      <c r="AM102" s="5" t="s">
        <v>103</v>
      </c>
      <c r="AN102" s="5" t="s">
        <v>103</v>
      </c>
      <c r="AO102" s="5" t="s">
        <v>103</v>
      </c>
      <c r="AP102" s="5" t="s">
        <v>103</v>
      </c>
      <c r="AQ102" s="5" t="s">
        <v>97</v>
      </c>
      <c r="AR102" s="5" t="s">
        <v>97</v>
      </c>
      <c r="AS102" s="5" t="s">
        <v>97</v>
      </c>
      <c r="AT102" s="5"/>
      <c r="AU102" s="5"/>
      <c r="AV102" s="4" t="s">
        <v>103</v>
      </c>
      <c r="AW102" s="4" t="s">
        <v>97</v>
      </c>
      <c r="AX102" s="4" t="s">
        <v>97</v>
      </c>
      <c r="AY102" s="4" t="s">
        <v>97</v>
      </c>
      <c r="AZ102" s="4" t="s">
        <v>97</v>
      </c>
      <c r="BA102" s="4" t="s">
        <v>97</v>
      </c>
      <c r="BB102" s="5">
        <v>45609</v>
      </c>
      <c r="BC102" s="5">
        <v>45610</v>
      </c>
      <c r="BD102" s="5">
        <v>45610</v>
      </c>
      <c r="BE102" s="5">
        <v>45611</v>
      </c>
      <c r="BF102" s="5" t="s">
        <v>98</v>
      </c>
      <c r="BG102" s="5" t="s">
        <v>97</v>
      </c>
      <c r="BH102" s="5" t="s">
        <v>103</v>
      </c>
      <c r="BI102" s="5" t="s">
        <v>115</v>
      </c>
    </row>
    <row r="103" spans="1:61" x14ac:dyDescent="0.35">
      <c r="A103" s="8" t="str">
        <f t="shared" si="12"/>
        <v>Semaine 47-2024</v>
      </c>
      <c r="B103" s="8" t="str">
        <f t="shared" si="8"/>
        <v>2024</v>
      </c>
      <c r="C103" s="2" t="s">
        <v>73</v>
      </c>
      <c r="D103" s="6" t="str">
        <f t="shared" si="9"/>
        <v>Ziguinchor</v>
      </c>
      <c r="E103" s="6">
        <f t="shared" si="10"/>
        <v>54332</v>
      </c>
      <c r="F103" s="6">
        <f t="shared" si="11"/>
        <v>729952</v>
      </c>
      <c r="G103" s="4" t="s">
        <v>402</v>
      </c>
      <c r="H103" s="4" t="s">
        <v>404</v>
      </c>
      <c r="I103" s="4">
        <v>18</v>
      </c>
      <c r="J103" s="4" t="s">
        <v>114</v>
      </c>
      <c r="K103" s="4" t="s">
        <v>213</v>
      </c>
      <c r="L103" s="4"/>
      <c r="M103" s="4"/>
      <c r="N103" s="4"/>
      <c r="O103" s="4" t="s">
        <v>238</v>
      </c>
      <c r="P103" s="4" t="s">
        <v>97</v>
      </c>
      <c r="Q103" s="4" t="s">
        <v>97</v>
      </c>
      <c r="R103" s="14" t="s">
        <v>100</v>
      </c>
      <c r="S103" s="14" t="s">
        <v>100</v>
      </c>
      <c r="T103" s="14" t="s">
        <v>100</v>
      </c>
      <c r="U103" s="14"/>
      <c r="V103" s="14"/>
      <c r="W103" s="14"/>
      <c r="X103" s="14"/>
      <c r="Y103" s="5">
        <v>45617</v>
      </c>
      <c r="Z103" s="5">
        <v>45624</v>
      </c>
      <c r="AA103" s="5" t="s">
        <v>103</v>
      </c>
      <c r="AB103" s="5" t="s">
        <v>405</v>
      </c>
      <c r="AC103" s="5" t="s">
        <v>103</v>
      </c>
      <c r="AD103" s="5" t="s">
        <v>103</v>
      </c>
      <c r="AE103" s="5" t="s">
        <v>97</v>
      </c>
      <c r="AF103" s="5" t="s">
        <v>103</v>
      </c>
      <c r="AG103" s="5" t="s">
        <v>103</v>
      </c>
      <c r="AH103" s="5" t="s">
        <v>103</v>
      </c>
      <c r="AI103" s="5">
        <v>45617</v>
      </c>
      <c r="AJ103" s="5"/>
      <c r="AK103" s="5"/>
      <c r="AL103" s="5" t="s">
        <v>103</v>
      </c>
      <c r="AM103" s="5" t="s">
        <v>97</v>
      </c>
      <c r="AN103" s="5" t="s">
        <v>103</v>
      </c>
      <c r="AO103" s="5" t="s">
        <v>103</v>
      </c>
      <c r="AP103" s="5" t="s">
        <v>97</v>
      </c>
      <c r="AQ103" s="5" t="s">
        <v>97</v>
      </c>
      <c r="AR103" s="5" t="s">
        <v>97</v>
      </c>
      <c r="AS103" s="5" t="s">
        <v>97</v>
      </c>
      <c r="AT103" s="5" t="s">
        <v>409</v>
      </c>
      <c r="AU103" s="5"/>
      <c r="AV103" s="4" t="s">
        <v>97</v>
      </c>
      <c r="AW103" s="4" t="s">
        <v>97</v>
      </c>
      <c r="AX103" s="4" t="s">
        <v>97</v>
      </c>
      <c r="AY103" s="4" t="s">
        <v>97</v>
      </c>
      <c r="AZ103" s="4" t="s">
        <v>103</v>
      </c>
      <c r="BA103" s="4" t="s">
        <v>97</v>
      </c>
      <c r="BB103" s="5">
        <v>45624</v>
      </c>
      <c r="BC103" s="5">
        <v>45625</v>
      </c>
      <c r="BD103" s="5">
        <v>45628</v>
      </c>
      <c r="BE103" s="5">
        <v>45646</v>
      </c>
      <c r="BF103" s="5" t="s">
        <v>98</v>
      </c>
      <c r="BG103" s="5" t="s">
        <v>97</v>
      </c>
      <c r="BH103" s="5" t="s">
        <v>103</v>
      </c>
      <c r="BI103" s="5" t="s">
        <v>381</v>
      </c>
    </row>
    <row r="104" spans="1:61" x14ac:dyDescent="0.35">
      <c r="A104" s="8" t="str">
        <f t="shared" si="12"/>
        <v>Semaine 49-2024</v>
      </c>
      <c r="B104" s="8" t="str">
        <f t="shared" si="8"/>
        <v>2024</v>
      </c>
      <c r="C104" s="2" t="s">
        <v>75</v>
      </c>
      <c r="D104" s="6" t="str">
        <f t="shared" si="9"/>
        <v>Diourbel</v>
      </c>
      <c r="E104" s="6">
        <f t="shared" si="10"/>
        <v>996481</v>
      </c>
      <c r="F104" s="6">
        <f t="shared" si="11"/>
        <v>1980827</v>
      </c>
      <c r="G104" s="4" t="s">
        <v>403</v>
      </c>
      <c r="H104" s="4" t="s">
        <v>406</v>
      </c>
      <c r="I104" s="4">
        <v>2</v>
      </c>
      <c r="J104" s="4" t="s">
        <v>114</v>
      </c>
      <c r="K104" s="4"/>
      <c r="L104" s="4"/>
      <c r="M104" s="4"/>
      <c r="N104" s="4"/>
      <c r="O104" s="4" t="s">
        <v>238</v>
      </c>
      <c r="P104" s="4" t="s">
        <v>97</v>
      </c>
      <c r="Q104" s="4" t="s">
        <v>97</v>
      </c>
      <c r="R104" s="14" t="s">
        <v>100</v>
      </c>
      <c r="S104" s="14" t="s">
        <v>100</v>
      </c>
      <c r="T104" s="14" t="s">
        <v>100</v>
      </c>
      <c r="U104" s="14"/>
      <c r="V104" s="14"/>
      <c r="W104" s="14"/>
      <c r="X104" s="14"/>
      <c r="Y104" s="5">
        <v>45633</v>
      </c>
      <c r="Z104" s="5">
        <v>45639</v>
      </c>
      <c r="AA104" s="5" t="s">
        <v>103</v>
      </c>
      <c r="AB104" s="5"/>
      <c r="AC104" s="5" t="s">
        <v>97</v>
      </c>
      <c r="AD104" s="5" t="s">
        <v>97</v>
      </c>
      <c r="AE104" s="5" t="s">
        <v>97</v>
      </c>
      <c r="AF104" s="5" t="s">
        <v>103</v>
      </c>
      <c r="AG104" s="5" t="s">
        <v>97</v>
      </c>
      <c r="AH104" s="5" t="s">
        <v>103</v>
      </c>
      <c r="AI104" s="5">
        <v>45637</v>
      </c>
      <c r="AJ104" s="5" t="s">
        <v>103</v>
      </c>
      <c r="AK104" s="5" t="s">
        <v>103</v>
      </c>
      <c r="AL104" s="5" t="s">
        <v>97</v>
      </c>
      <c r="AM104" s="5" t="s">
        <v>103</v>
      </c>
      <c r="AN104" s="5" t="s">
        <v>103</v>
      </c>
      <c r="AO104" s="5" t="s">
        <v>103</v>
      </c>
      <c r="AP104" s="5" t="s">
        <v>103</v>
      </c>
      <c r="AQ104" s="5" t="s">
        <v>103</v>
      </c>
      <c r="AR104" s="5" t="s">
        <v>103</v>
      </c>
      <c r="AS104" s="5" t="s">
        <v>97</v>
      </c>
      <c r="AT104" s="5"/>
      <c r="AU104" s="5"/>
      <c r="AV104" s="4" t="s">
        <v>103</v>
      </c>
      <c r="AW104" s="4" t="s">
        <v>97</v>
      </c>
      <c r="AX104" s="4" t="s">
        <v>97</v>
      </c>
      <c r="AY104" s="4" t="s">
        <v>97</v>
      </c>
      <c r="AZ104" s="4" t="s">
        <v>97</v>
      </c>
      <c r="BA104" s="4" t="s">
        <v>97</v>
      </c>
      <c r="BB104" s="5">
        <v>45639</v>
      </c>
      <c r="BC104" s="5">
        <v>45640</v>
      </c>
      <c r="BD104" s="5">
        <v>45640</v>
      </c>
      <c r="BE104" s="5">
        <v>45646</v>
      </c>
      <c r="BF104" s="5" t="s">
        <v>98</v>
      </c>
      <c r="BG104" s="5" t="s">
        <v>97</v>
      </c>
      <c r="BH104" s="5" t="s">
        <v>103</v>
      </c>
      <c r="BI104" s="5" t="s">
        <v>115</v>
      </c>
    </row>
    <row r="105" spans="1:61" x14ac:dyDescent="0.35">
      <c r="A105" s="8" t="str">
        <f t="shared" si="12"/>
        <v>Semaine 51-2024</v>
      </c>
      <c r="B105" s="8" t="str">
        <f t="shared" si="8"/>
        <v>2024</v>
      </c>
      <c r="C105" s="2" t="s">
        <v>18</v>
      </c>
      <c r="D105" s="6" t="str">
        <f t="shared" si="9"/>
        <v>Dakar</v>
      </c>
      <c r="E105" s="6">
        <f t="shared" si="10"/>
        <v>419489</v>
      </c>
      <c r="F105" s="6">
        <f t="shared" si="11"/>
        <v>4042240</v>
      </c>
      <c r="G105" s="4" t="s">
        <v>407</v>
      </c>
      <c r="H105" s="4" t="s">
        <v>408</v>
      </c>
      <c r="I105" s="4">
        <v>28</v>
      </c>
      <c r="J105" s="4" t="s">
        <v>114</v>
      </c>
      <c r="K105" s="4"/>
      <c r="L105" s="4"/>
      <c r="M105" s="4"/>
      <c r="N105" s="4"/>
      <c r="O105" s="4" t="s">
        <v>238</v>
      </c>
      <c r="P105" s="4" t="s">
        <v>97</v>
      </c>
      <c r="Q105" s="4" t="s">
        <v>97</v>
      </c>
      <c r="R105" s="14" t="s">
        <v>100</v>
      </c>
      <c r="S105" s="14" t="s">
        <v>100</v>
      </c>
      <c r="T105" s="14" t="s">
        <v>100</v>
      </c>
      <c r="U105" s="14"/>
      <c r="V105" s="14"/>
      <c r="W105" s="14"/>
      <c r="X105" s="14"/>
      <c r="Y105" s="5">
        <v>45642</v>
      </c>
      <c r="Z105" s="5">
        <v>45643</v>
      </c>
      <c r="AA105" s="5" t="s">
        <v>103</v>
      </c>
      <c r="AB105" s="5"/>
      <c r="AC105" s="5" t="s">
        <v>103</v>
      </c>
      <c r="AD105" s="5" t="s">
        <v>97</v>
      </c>
      <c r="AE105" s="5" t="s">
        <v>97</v>
      </c>
      <c r="AF105" s="5" t="s">
        <v>97</v>
      </c>
      <c r="AG105" s="5" t="s">
        <v>97</v>
      </c>
      <c r="AH105" s="5" t="s">
        <v>103</v>
      </c>
      <c r="AI105" s="5">
        <v>45642</v>
      </c>
      <c r="AJ105" s="5"/>
      <c r="AK105" s="5" t="s">
        <v>103</v>
      </c>
      <c r="AL105" s="5" t="s">
        <v>97</v>
      </c>
      <c r="AM105" s="5" t="s">
        <v>103</v>
      </c>
      <c r="AN105" s="5" t="s">
        <v>103</v>
      </c>
      <c r="AO105" s="5" t="s">
        <v>97</v>
      </c>
      <c r="AP105" s="5" t="s">
        <v>97</v>
      </c>
      <c r="AQ105" s="5" t="s">
        <v>97</v>
      </c>
      <c r="AR105" s="5" t="s">
        <v>97</v>
      </c>
      <c r="AS105" s="5" t="s">
        <v>97</v>
      </c>
      <c r="AT105" s="5" t="s">
        <v>409</v>
      </c>
      <c r="AU105" s="5"/>
      <c r="AV105" s="4" t="s">
        <v>103</v>
      </c>
      <c r="AW105" s="4" t="s">
        <v>97</v>
      </c>
      <c r="AX105" s="4" t="s">
        <v>97</v>
      </c>
      <c r="AY105" s="4" t="s">
        <v>97</v>
      </c>
      <c r="AZ105" s="4" t="s">
        <v>103</v>
      </c>
      <c r="BA105" s="4" t="s">
        <v>97</v>
      </c>
      <c r="BB105" s="5">
        <v>45643</v>
      </c>
      <c r="BC105" s="5">
        <v>45644</v>
      </c>
      <c r="BD105" s="5">
        <v>45645</v>
      </c>
      <c r="BE105" s="5">
        <v>45646</v>
      </c>
      <c r="BF105" s="5" t="s">
        <v>98</v>
      </c>
      <c r="BG105" s="5" t="s">
        <v>103</v>
      </c>
      <c r="BH105" s="5" t="s">
        <v>103</v>
      </c>
      <c r="BI105" s="5" t="s">
        <v>115</v>
      </c>
    </row>
    <row r="106" spans="1:61" x14ac:dyDescent="0.35">
      <c r="A106" s="8" t="str">
        <f t="shared" si="12"/>
        <v>Semaine 1-2025</v>
      </c>
      <c r="B106" s="8" t="str">
        <f t="shared" si="8"/>
        <v>2025</v>
      </c>
      <c r="C106" s="2" t="s">
        <v>75</v>
      </c>
      <c r="D106" s="6" t="str">
        <f t="shared" si="9"/>
        <v>Diourbel</v>
      </c>
      <c r="E106" s="6">
        <f t="shared" si="10"/>
        <v>996481</v>
      </c>
      <c r="F106" s="6">
        <f t="shared" si="11"/>
        <v>1980827</v>
      </c>
      <c r="G106" s="4" t="s">
        <v>410</v>
      </c>
      <c r="H106" s="4" t="s">
        <v>411</v>
      </c>
      <c r="I106" s="4">
        <v>1</v>
      </c>
      <c r="J106" s="4" t="s">
        <v>96</v>
      </c>
      <c r="K106" s="4"/>
      <c r="L106" s="4"/>
      <c r="M106" s="4"/>
      <c r="N106" s="4"/>
      <c r="O106" s="4" t="s">
        <v>238</v>
      </c>
      <c r="P106" s="4" t="s">
        <v>97</v>
      </c>
      <c r="Q106" s="4" t="s">
        <v>97</v>
      </c>
      <c r="R106" s="14" t="s">
        <v>100</v>
      </c>
      <c r="S106" s="14" t="s">
        <v>100</v>
      </c>
      <c r="T106" s="14" t="s">
        <v>100</v>
      </c>
      <c r="U106" s="14"/>
      <c r="V106" s="14"/>
      <c r="W106" s="14"/>
      <c r="X106" s="14"/>
      <c r="Y106" s="5">
        <v>45659</v>
      </c>
      <c r="Z106" s="5">
        <v>45666</v>
      </c>
      <c r="AA106" s="5" t="s">
        <v>97</v>
      </c>
      <c r="AB106" s="5"/>
      <c r="AC106" s="5" t="s">
        <v>97</v>
      </c>
      <c r="AD106" s="5" t="s">
        <v>97</v>
      </c>
      <c r="AE106" s="5" t="s">
        <v>97</v>
      </c>
      <c r="AF106" s="5" t="s">
        <v>97</v>
      </c>
      <c r="AG106" s="5" t="s">
        <v>97</v>
      </c>
      <c r="AH106" s="5" t="s">
        <v>103</v>
      </c>
      <c r="AI106" s="5">
        <v>45659</v>
      </c>
      <c r="AJ106" s="5" t="s">
        <v>103</v>
      </c>
      <c r="AK106" s="5" t="s">
        <v>103</v>
      </c>
      <c r="AL106" s="5" t="s">
        <v>103</v>
      </c>
      <c r="AM106" s="5" t="s">
        <v>103</v>
      </c>
      <c r="AN106" s="5" t="s">
        <v>103</v>
      </c>
      <c r="AO106" s="5" t="s">
        <v>103</v>
      </c>
      <c r="AP106" s="5" t="s">
        <v>103</v>
      </c>
      <c r="AQ106" s="5" t="s">
        <v>97</v>
      </c>
      <c r="AR106" s="5" t="s">
        <v>97</v>
      </c>
      <c r="AS106" s="5" t="s">
        <v>97</v>
      </c>
      <c r="AT106" s="5"/>
      <c r="AU106" s="5"/>
      <c r="AV106" s="4" t="s">
        <v>103</v>
      </c>
      <c r="AW106" s="4" t="s">
        <v>97</v>
      </c>
      <c r="AX106" s="4" t="s">
        <v>97</v>
      </c>
      <c r="AY106" s="4" t="s">
        <v>97</v>
      </c>
      <c r="AZ106" s="4" t="s">
        <v>97</v>
      </c>
      <c r="BA106" s="4" t="s">
        <v>97</v>
      </c>
      <c r="BB106" s="5">
        <v>45666</v>
      </c>
      <c r="BC106" s="5">
        <v>45666</v>
      </c>
      <c r="BD106" s="5">
        <v>45666</v>
      </c>
      <c r="BE106" s="5">
        <v>45667</v>
      </c>
      <c r="BF106" s="5" t="s">
        <v>98</v>
      </c>
      <c r="BG106" s="5" t="s">
        <v>103</v>
      </c>
      <c r="BH106" s="5" t="s">
        <v>103</v>
      </c>
      <c r="BI106" s="5" t="s">
        <v>115</v>
      </c>
    </row>
    <row r="107" spans="1:61" x14ac:dyDescent="0.35">
      <c r="A107" s="8" t="str">
        <f t="shared" si="12"/>
        <v>Semaine 4-2025</v>
      </c>
      <c r="B107" s="8" t="str">
        <f t="shared" si="8"/>
        <v>2025</v>
      </c>
      <c r="C107" s="2" t="s">
        <v>75</v>
      </c>
      <c r="D107" s="6" t="str">
        <f t="shared" si="9"/>
        <v>Diourbel</v>
      </c>
      <c r="E107" s="6">
        <f t="shared" si="10"/>
        <v>996481</v>
      </c>
      <c r="F107" s="6">
        <f t="shared" si="11"/>
        <v>1980827</v>
      </c>
      <c r="G107" s="4" t="s">
        <v>412</v>
      </c>
      <c r="H107" s="4" t="s">
        <v>416</v>
      </c>
      <c r="I107" s="4">
        <v>18</v>
      </c>
      <c r="J107" s="4" t="s">
        <v>96</v>
      </c>
      <c r="K107" s="4"/>
      <c r="L107" s="4"/>
      <c r="M107" s="4"/>
      <c r="N107" s="4"/>
      <c r="O107" s="4" t="s">
        <v>238</v>
      </c>
      <c r="P107" s="4" t="s">
        <v>97</v>
      </c>
      <c r="Q107" s="4" t="s">
        <v>97</v>
      </c>
      <c r="R107" s="14" t="s">
        <v>100</v>
      </c>
      <c r="S107" s="14" t="s">
        <v>100</v>
      </c>
      <c r="T107" s="14" t="s">
        <v>100</v>
      </c>
      <c r="U107" s="14"/>
      <c r="V107" s="14"/>
      <c r="W107" s="14"/>
      <c r="X107" s="14"/>
      <c r="Y107" s="5">
        <v>45681</v>
      </c>
      <c r="Z107" s="5">
        <v>45683</v>
      </c>
      <c r="AA107" s="5" t="s">
        <v>103</v>
      </c>
      <c r="AB107" s="5" t="s">
        <v>413</v>
      </c>
      <c r="AC107" s="5" t="s">
        <v>97</v>
      </c>
      <c r="AD107" s="5" t="s">
        <v>97</v>
      </c>
      <c r="AE107" s="5" t="s">
        <v>97</v>
      </c>
      <c r="AF107" s="5" t="s">
        <v>97</v>
      </c>
      <c r="AG107" s="5" t="s">
        <v>97</v>
      </c>
      <c r="AH107" s="5" t="s">
        <v>103</v>
      </c>
      <c r="AI107" s="5">
        <v>45683</v>
      </c>
      <c r="AJ107" s="5" t="s">
        <v>103</v>
      </c>
      <c r="AK107" s="5" t="s">
        <v>103</v>
      </c>
      <c r="AL107" s="5" t="s">
        <v>97</v>
      </c>
      <c r="AM107" s="5" t="s">
        <v>103</v>
      </c>
      <c r="AN107" s="5" t="s">
        <v>103</v>
      </c>
      <c r="AO107" s="5" t="s">
        <v>97</v>
      </c>
      <c r="AP107" s="5" t="s">
        <v>97</v>
      </c>
      <c r="AQ107" s="5" t="s">
        <v>103</v>
      </c>
      <c r="AR107" s="5" t="s">
        <v>97</v>
      </c>
      <c r="AS107" s="5" t="s">
        <v>97</v>
      </c>
      <c r="AT107" s="5"/>
      <c r="AU107" s="5"/>
      <c r="AV107" s="4" t="s">
        <v>103</v>
      </c>
      <c r="AW107" s="4" t="s">
        <v>97</v>
      </c>
      <c r="AX107" s="4" t="s">
        <v>103</v>
      </c>
      <c r="AY107" s="4" t="s">
        <v>97</v>
      </c>
      <c r="AZ107" s="4" t="s">
        <v>97</v>
      </c>
      <c r="BA107" s="4" t="s">
        <v>97</v>
      </c>
      <c r="BB107" s="5">
        <v>45683</v>
      </c>
      <c r="BC107" s="5">
        <v>45683</v>
      </c>
      <c r="BD107" s="5">
        <v>45684</v>
      </c>
      <c r="BE107" s="5">
        <v>45684</v>
      </c>
      <c r="BF107" s="5" t="s">
        <v>98</v>
      </c>
      <c r="BG107" s="5" t="s">
        <v>103</v>
      </c>
      <c r="BH107" s="5" t="s">
        <v>103</v>
      </c>
      <c r="BI107" s="5" t="s">
        <v>115</v>
      </c>
    </row>
    <row r="108" spans="1:61" x14ac:dyDescent="0.35">
      <c r="A108" s="8" t="str">
        <f t="shared" si="12"/>
        <v>Semaine 4-2025</v>
      </c>
      <c r="B108" s="8" t="str">
        <f t="shared" si="8"/>
        <v>2025</v>
      </c>
      <c r="C108" s="2" t="s">
        <v>91</v>
      </c>
      <c r="D108" s="6" t="str">
        <f t="shared" si="9"/>
        <v>Dakar</v>
      </c>
      <c r="E108" s="6">
        <f t="shared" si="10"/>
        <v>179835</v>
      </c>
      <c r="F108" s="6">
        <f t="shared" si="11"/>
        <v>4042240</v>
      </c>
      <c r="G108" s="4" t="s">
        <v>414</v>
      </c>
      <c r="H108" s="4" t="s">
        <v>415</v>
      </c>
      <c r="I108" s="4">
        <v>20</v>
      </c>
      <c r="J108" s="4" t="s">
        <v>96</v>
      </c>
      <c r="K108" s="4"/>
      <c r="L108" s="4"/>
      <c r="M108" s="4"/>
      <c r="N108" s="4"/>
      <c r="O108" s="4" t="s">
        <v>238</v>
      </c>
      <c r="P108" s="4" t="s">
        <v>97</v>
      </c>
      <c r="Q108" s="4" t="s">
        <v>97</v>
      </c>
      <c r="R108" s="14" t="s">
        <v>100</v>
      </c>
      <c r="S108" s="14" t="s">
        <v>100</v>
      </c>
      <c r="T108" s="14" t="s">
        <v>100</v>
      </c>
      <c r="U108" s="14"/>
      <c r="V108" s="14"/>
      <c r="W108" s="14"/>
      <c r="X108" s="14"/>
      <c r="Y108" s="5">
        <v>45678</v>
      </c>
      <c r="Z108" s="5">
        <v>45681</v>
      </c>
      <c r="AA108" s="5" t="s">
        <v>103</v>
      </c>
      <c r="AB108" s="5" t="s">
        <v>257</v>
      </c>
      <c r="AC108" s="5" t="s">
        <v>103</v>
      </c>
      <c r="AD108" s="5" t="s">
        <v>97</v>
      </c>
      <c r="AE108" s="5" t="s">
        <v>97</v>
      </c>
      <c r="AF108" s="5" t="s">
        <v>97</v>
      </c>
      <c r="AG108" s="5" t="s">
        <v>97</v>
      </c>
      <c r="AH108" s="5" t="s">
        <v>103</v>
      </c>
      <c r="AI108" s="5">
        <v>45681</v>
      </c>
      <c r="AJ108" s="5"/>
      <c r="AK108" s="5"/>
      <c r="AL108" s="5" t="s">
        <v>97</v>
      </c>
      <c r="AM108" s="5" t="s">
        <v>103</v>
      </c>
      <c r="AN108" s="5" t="s">
        <v>97</v>
      </c>
      <c r="AO108" s="5" t="s">
        <v>97</v>
      </c>
      <c r="AP108" s="5" t="s">
        <v>97</v>
      </c>
      <c r="AQ108" s="5" t="s">
        <v>97</v>
      </c>
      <c r="AR108" s="5" t="s">
        <v>97</v>
      </c>
      <c r="AS108" s="5" t="s">
        <v>97</v>
      </c>
      <c r="AT108" s="5"/>
      <c r="AU108" s="5"/>
      <c r="AV108" s="4" t="s">
        <v>103</v>
      </c>
      <c r="AW108" s="4" t="s">
        <v>97</v>
      </c>
      <c r="AX108" s="4" t="s">
        <v>97</v>
      </c>
      <c r="AY108" s="4" t="s">
        <v>97</v>
      </c>
      <c r="AZ108" s="4" t="s">
        <v>103</v>
      </c>
      <c r="BA108" s="4" t="s">
        <v>97</v>
      </c>
      <c r="BB108" s="5">
        <v>45681</v>
      </c>
      <c r="BC108" s="5">
        <v>45683</v>
      </c>
      <c r="BD108" s="5">
        <v>45684</v>
      </c>
      <c r="BE108" s="5">
        <v>45684</v>
      </c>
      <c r="BF108" s="5" t="s">
        <v>98</v>
      </c>
      <c r="BG108" s="5" t="s">
        <v>103</v>
      </c>
      <c r="BH108" s="5" t="s">
        <v>103</v>
      </c>
      <c r="BI108" s="5" t="s">
        <v>115</v>
      </c>
    </row>
    <row r="109" spans="1:61" x14ac:dyDescent="0.35">
      <c r="A109" s="8" t="str">
        <f t="shared" si="12"/>
        <v>Semaine 5-2025</v>
      </c>
      <c r="B109" s="8" t="str">
        <f t="shared" si="8"/>
        <v>2025</v>
      </c>
      <c r="C109" s="2" t="s">
        <v>52</v>
      </c>
      <c r="D109" s="6" t="str">
        <f t="shared" si="9"/>
        <v>Kaolack</v>
      </c>
      <c r="E109" s="6">
        <f t="shared" si="10"/>
        <v>231613</v>
      </c>
      <c r="F109" s="6">
        <f t="shared" si="11"/>
        <v>1267013</v>
      </c>
      <c r="G109" s="4" t="s">
        <v>417</v>
      </c>
      <c r="H109" s="4" t="s">
        <v>418</v>
      </c>
      <c r="I109" s="4">
        <v>52</v>
      </c>
      <c r="J109" s="4" t="s">
        <v>96</v>
      </c>
      <c r="K109" s="4"/>
      <c r="L109" s="4"/>
      <c r="M109" s="4"/>
      <c r="N109" s="4"/>
      <c r="O109" s="4" t="s">
        <v>238</v>
      </c>
      <c r="P109" s="4" t="s">
        <v>97</v>
      </c>
      <c r="Q109" s="4" t="s">
        <v>97</v>
      </c>
      <c r="R109" s="14" t="s">
        <v>100</v>
      </c>
      <c r="S109" s="14" t="s">
        <v>100</v>
      </c>
      <c r="T109" s="14" t="s">
        <v>100</v>
      </c>
      <c r="U109" s="14"/>
      <c r="V109" s="14"/>
      <c r="W109" s="14"/>
      <c r="X109" s="14"/>
      <c r="Y109" s="5">
        <v>45685</v>
      </c>
      <c r="Z109" s="5">
        <v>45688</v>
      </c>
      <c r="AA109" s="5" t="s">
        <v>97</v>
      </c>
      <c r="AB109" s="5" t="s">
        <v>419</v>
      </c>
      <c r="AC109" s="5" t="s">
        <v>97</v>
      </c>
      <c r="AD109" s="5" t="s">
        <v>97</v>
      </c>
      <c r="AE109" s="5" t="s">
        <v>97</v>
      </c>
      <c r="AF109" s="5" t="s">
        <v>103</v>
      </c>
      <c r="AG109" s="5" t="s">
        <v>103</v>
      </c>
      <c r="AH109" s="5" t="s">
        <v>103</v>
      </c>
      <c r="AI109" s="5">
        <v>45686</v>
      </c>
      <c r="AJ109" s="5" t="s">
        <v>103</v>
      </c>
      <c r="AK109" s="5" t="s">
        <v>103</v>
      </c>
      <c r="AL109" s="5" t="s">
        <v>97</v>
      </c>
      <c r="AM109" s="5" t="s">
        <v>103</v>
      </c>
      <c r="AN109" s="5" t="s">
        <v>103</v>
      </c>
      <c r="AO109" s="5" t="s">
        <v>97</v>
      </c>
      <c r="AP109" s="5" t="s">
        <v>97</v>
      </c>
      <c r="AQ109" s="5" t="s">
        <v>103</v>
      </c>
      <c r="AR109" s="5" t="s">
        <v>103</v>
      </c>
      <c r="AS109" s="5" t="s">
        <v>103</v>
      </c>
      <c r="AT109" s="5" t="s">
        <v>308</v>
      </c>
      <c r="AU109" s="5"/>
      <c r="AV109" s="4" t="s">
        <v>103</v>
      </c>
      <c r="AW109" s="4" t="s">
        <v>103</v>
      </c>
      <c r="AX109" s="4" t="s">
        <v>97</v>
      </c>
      <c r="AY109" s="4" t="s">
        <v>97</v>
      </c>
      <c r="AZ109" s="4" t="s">
        <v>103</v>
      </c>
      <c r="BA109" s="4" t="s">
        <v>97</v>
      </c>
      <c r="BB109" s="5">
        <v>45688</v>
      </c>
      <c r="BC109" s="5">
        <v>45688</v>
      </c>
      <c r="BD109" s="5">
        <v>45688</v>
      </c>
      <c r="BE109" s="5">
        <v>45693</v>
      </c>
      <c r="BF109" s="5" t="s">
        <v>98</v>
      </c>
      <c r="BG109" s="5" t="s">
        <v>103</v>
      </c>
      <c r="BH109" s="5" t="s">
        <v>103</v>
      </c>
      <c r="BI109" s="5" t="s">
        <v>115</v>
      </c>
    </row>
    <row r="110" spans="1:61" x14ac:dyDescent="0.35">
      <c r="A110" s="8" t="str">
        <f t="shared" si="12"/>
        <v>Semaine 6-2025</v>
      </c>
      <c r="B110" s="8" t="str">
        <f t="shared" si="8"/>
        <v>2025</v>
      </c>
      <c r="C110" s="2" t="s">
        <v>18</v>
      </c>
      <c r="D110" s="6" t="str">
        <f t="shared" si="9"/>
        <v>Dakar</v>
      </c>
      <c r="E110" s="6">
        <f t="shared" si="10"/>
        <v>419489</v>
      </c>
      <c r="F110" s="6">
        <f t="shared" si="11"/>
        <v>4042240</v>
      </c>
      <c r="G110" s="4" t="s">
        <v>420</v>
      </c>
      <c r="H110" s="4" t="s">
        <v>421</v>
      </c>
      <c r="I110" s="4">
        <v>26</v>
      </c>
      <c r="J110" s="4" t="s">
        <v>114</v>
      </c>
      <c r="K110" s="4" t="s">
        <v>422</v>
      </c>
      <c r="L110" s="5">
        <v>45691</v>
      </c>
      <c r="M110" s="4"/>
      <c r="N110" s="4"/>
      <c r="O110" s="4" t="s">
        <v>238</v>
      </c>
      <c r="P110" s="4" t="s">
        <v>97</v>
      </c>
      <c r="Q110" s="4" t="s">
        <v>97</v>
      </c>
      <c r="R110" s="14" t="s">
        <v>100</v>
      </c>
      <c r="S110" s="14" t="s">
        <v>100</v>
      </c>
      <c r="T110" s="14" t="s">
        <v>100</v>
      </c>
      <c r="U110" s="14"/>
      <c r="V110" s="14"/>
      <c r="W110" s="14"/>
      <c r="X110" s="14"/>
      <c r="Y110" s="5">
        <v>45692</v>
      </c>
      <c r="Z110" s="5">
        <v>45697</v>
      </c>
      <c r="AA110" s="5" t="s">
        <v>97</v>
      </c>
      <c r="AB110" s="5"/>
      <c r="AC110" s="5" t="s">
        <v>103</v>
      </c>
      <c r="AD110" s="5" t="s">
        <v>103</v>
      </c>
      <c r="AE110" s="5" t="s">
        <v>103</v>
      </c>
      <c r="AF110" s="5" t="s">
        <v>97</v>
      </c>
      <c r="AG110" s="5" t="s">
        <v>103</v>
      </c>
      <c r="AH110" s="5" t="s">
        <v>103</v>
      </c>
      <c r="AI110" s="5">
        <v>45692</v>
      </c>
      <c r="AJ110" s="5"/>
      <c r="AK110" s="5"/>
      <c r="AL110" s="5" t="s">
        <v>97</v>
      </c>
      <c r="AM110" s="5" t="s">
        <v>103</v>
      </c>
      <c r="AN110" s="5" t="s">
        <v>103</v>
      </c>
      <c r="AO110" s="5" t="s">
        <v>103</v>
      </c>
      <c r="AP110" s="5" t="s">
        <v>103</v>
      </c>
      <c r="AQ110" s="5" t="s">
        <v>97</v>
      </c>
      <c r="AR110" s="5" t="s">
        <v>97</v>
      </c>
      <c r="AS110" s="5" t="s">
        <v>97</v>
      </c>
      <c r="AT110" s="5"/>
      <c r="AU110" s="5"/>
      <c r="AV110" s="4" t="s">
        <v>97</v>
      </c>
      <c r="AW110" s="4" t="s">
        <v>97</v>
      </c>
      <c r="AX110" s="4" t="s">
        <v>97</v>
      </c>
      <c r="AY110" s="4" t="s">
        <v>97</v>
      </c>
      <c r="AZ110" s="4" t="s">
        <v>103</v>
      </c>
      <c r="BA110" s="4" t="s">
        <v>97</v>
      </c>
      <c r="BB110" s="5">
        <v>45697</v>
      </c>
      <c r="BC110" s="5">
        <v>45702</v>
      </c>
      <c r="BD110" s="5">
        <v>45702</v>
      </c>
      <c r="BE110" s="5">
        <v>45702</v>
      </c>
      <c r="BF110" s="5" t="s">
        <v>98</v>
      </c>
      <c r="BG110" s="5" t="s">
        <v>103</v>
      </c>
      <c r="BH110" s="5" t="s">
        <v>103</v>
      </c>
      <c r="BI110" s="5" t="s">
        <v>381</v>
      </c>
    </row>
    <row r="111" spans="1:61" x14ac:dyDescent="0.35">
      <c r="A111" s="8" t="str">
        <f t="shared" si="12"/>
        <v>Semaine 7-2025</v>
      </c>
      <c r="B111" s="8" t="str">
        <f t="shared" si="8"/>
        <v>2025</v>
      </c>
      <c r="C111" s="2" t="s">
        <v>60</v>
      </c>
      <c r="D111" s="6" t="str">
        <f t="shared" si="9"/>
        <v>Thies</v>
      </c>
      <c r="E111" s="6">
        <f t="shared" si="10"/>
        <v>92691</v>
      </c>
      <c r="F111" s="6">
        <f t="shared" si="11"/>
        <v>2280463</v>
      </c>
      <c r="G111" s="4" t="s">
        <v>423</v>
      </c>
      <c r="H111" s="4" t="s">
        <v>424</v>
      </c>
      <c r="I111" s="4">
        <v>19</v>
      </c>
      <c r="J111" s="4" t="s">
        <v>114</v>
      </c>
      <c r="K111" s="4" t="s">
        <v>425</v>
      </c>
      <c r="L111" s="5">
        <v>45705</v>
      </c>
      <c r="M111" s="4"/>
      <c r="N111" s="4"/>
      <c r="O111" s="4" t="s">
        <v>238</v>
      </c>
      <c r="P111" s="4" t="s">
        <v>97</v>
      </c>
      <c r="Q111" s="4" t="s">
        <v>97</v>
      </c>
      <c r="R111" s="14" t="s">
        <v>100</v>
      </c>
      <c r="S111" s="14" t="s">
        <v>100</v>
      </c>
      <c r="T111" s="14" t="s">
        <v>100</v>
      </c>
      <c r="U111" s="14"/>
      <c r="V111" s="14"/>
      <c r="W111" s="14"/>
      <c r="X111" s="14"/>
      <c r="Y111" s="5">
        <v>45699</v>
      </c>
      <c r="Z111" s="5">
        <v>45705</v>
      </c>
      <c r="AA111" s="5" t="s">
        <v>97</v>
      </c>
      <c r="AB111" s="5"/>
      <c r="AC111" s="5" t="s">
        <v>97</v>
      </c>
      <c r="AD111" s="5" t="s">
        <v>97</v>
      </c>
      <c r="AE111" s="5" t="s">
        <v>97</v>
      </c>
      <c r="AF111" s="5" t="s">
        <v>97</v>
      </c>
      <c r="AG111" s="5" t="s">
        <v>103</v>
      </c>
      <c r="AH111" s="5" t="s">
        <v>103</v>
      </c>
      <c r="AI111" s="5">
        <v>45699</v>
      </c>
      <c r="AJ111" s="5"/>
      <c r="AK111" s="5"/>
      <c r="AL111" s="5" t="s">
        <v>103</v>
      </c>
      <c r="AM111" s="5" t="s">
        <v>103</v>
      </c>
      <c r="AN111" s="5" t="s">
        <v>103</v>
      </c>
      <c r="AO111" s="5" t="s">
        <v>103</v>
      </c>
      <c r="AP111" s="5" t="s">
        <v>103</v>
      </c>
      <c r="AQ111" s="5" t="s">
        <v>97</v>
      </c>
      <c r="AR111" s="5" t="s">
        <v>97</v>
      </c>
      <c r="AS111" s="5" t="s">
        <v>97</v>
      </c>
      <c r="AT111" s="5" t="s">
        <v>426</v>
      </c>
      <c r="AU111" s="5"/>
      <c r="AV111" s="4" t="s">
        <v>103</v>
      </c>
      <c r="AW111" s="4" t="s">
        <v>103</v>
      </c>
      <c r="AX111" s="4" t="s">
        <v>97</v>
      </c>
      <c r="AY111" s="4" t="s">
        <v>97</v>
      </c>
      <c r="AZ111" s="4" t="s">
        <v>103</v>
      </c>
      <c r="BA111" s="4" t="s">
        <v>97</v>
      </c>
      <c r="BB111" s="5">
        <v>45705</v>
      </c>
      <c r="BC111" s="5">
        <v>45705</v>
      </c>
      <c r="BD111" s="5">
        <v>45705</v>
      </c>
      <c r="BE111" s="5">
        <v>45705</v>
      </c>
      <c r="BF111" s="5" t="s">
        <v>98</v>
      </c>
      <c r="BG111" s="5" t="s">
        <v>97</v>
      </c>
      <c r="BH111" s="5" t="s">
        <v>97</v>
      </c>
      <c r="BI111" s="5" t="s">
        <v>115</v>
      </c>
    </row>
    <row r="112" spans="1:61" x14ac:dyDescent="0.35">
      <c r="A112" s="8" t="str">
        <f t="shared" si="12"/>
        <v>Semaine 8-2025</v>
      </c>
      <c r="B112" s="8" t="str">
        <f t="shared" si="8"/>
        <v>2025</v>
      </c>
      <c r="C112" s="2" t="s">
        <v>21</v>
      </c>
      <c r="D112" s="6" t="str">
        <f t="shared" si="9"/>
        <v>Dakar</v>
      </c>
      <c r="E112" s="6">
        <f t="shared" si="10"/>
        <v>219872</v>
      </c>
      <c r="F112" s="6">
        <f t="shared" si="11"/>
        <v>4042240</v>
      </c>
      <c r="G112" s="4" t="s">
        <v>427</v>
      </c>
      <c r="H112" s="4" t="s">
        <v>428</v>
      </c>
      <c r="I112" s="4">
        <v>18</v>
      </c>
      <c r="J112" s="4" t="s">
        <v>114</v>
      </c>
      <c r="K112" s="4"/>
      <c r="L112" s="4"/>
      <c r="M112" s="4"/>
      <c r="N112" s="4"/>
      <c r="O112" s="4" t="s">
        <v>238</v>
      </c>
      <c r="P112" s="4" t="s">
        <v>97</v>
      </c>
      <c r="Q112" s="4" t="s">
        <v>97</v>
      </c>
      <c r="R112" s="14" t="s">
        <v>100</v>
      </c>
      <c r="S112" s="14" t="s">
        <v>100</v>
      </c>
      <c r="T112" s="14" t="s">
        <v>100</v>
      </c>
      <c r="U112" s="14"/>
      <c r="V112" s="14"/>
      <c r="W112" s="14"/>
      <c r="X112" s="14"/>
      <c r="Y112" s="5">
        <v>45707</v>
      </c>
      <c r="Z112" s="5">
        <v>45708</v>
      </c>
      <c r="AA112" s="5" t="s">
        <v>103</v>
      </c>
      <c r="AB112" s="5" t="s">
        <v>272</v>
      </c>
      <c r="AC112" s="5" t="s">
        <v>103</v>
      </c>
      <c r="AD112" s="5" t="s">
        <v>97</v>
      </c>
      <c r="AE112" s="5" t="s">
        <v>97</v>
      </c>
      <c r="AF112" s="5" t="s">
        <v>103</v>
      </c>
      <c r="AG112" s="5" t="s">
        <v>97</v>
      </c>
      <c r="AH112" s="5" t="s">
        <v>103</v>
      </c>
      <c r="AI112" s="5">
        <v>45706</v>
      </c>
      <c r="AJ112" s="5" t="s">
        <v>103</v>
      </c>
      <c r="AK112" s="5" t="s">
        <v>103</v>
      </c>
      <c r="AL112" s="5" t="s">
        <v>97</v>
      </c>
      <c r="AM112" s="5" t="s">
        <v>103</v>
      </c>
      <c r="AN112" s="5" t="s">
        <v>103</v>
      </c>
      <c r="AO112" s="5" t="s">
        <v>97</v>
      </c>
      <c r="AP112" s="5" t="s">
        <v>97</v>
      </c>
      <c r="AQ112" s="5" t="s">
        <v>97</v>
      </c>
      <c r="AR112" s="5" t="s">
        <v>97</v>
      </c>
      <c r="AS112" s="5" t="s">
        <v>97</v>
      </c>
      <c r="AT112" s="5"/>
      <c r="AU112" s="5"/>
      <c r="AV112" s="4" t="s">
        <v>103</v>
      </c>
      <c r="AW112" s="4" t="s">
        <v>97</v>
      </c>
      <c r="AX112" s="4" t="s">
        <v>97</v>
      </c>
      <c r="AY112" s="4" t="s">
        <v>97</v>
      </c>
      <c r="AZ112" s="4" t="s">
        <v>103</v>
      </c>
      <c r="BA112" s="4" t="s">
        <v>97</v>
      </c>
      <c r="BB112" s="5">
        <v>45708</v>
      </c>
      <c r="BC112" s="5">
        <v>45708</v>
      </c>
      <c r="BD112" s="5">
        <v>45708</v>
      </c>
      <c r="BE112" s="5">
        <v>45712</v>
      </c>
      <c r="BF112" s="5" t="s">
        <v>98</v>
      </c>
      <c r="BG112" s="5" t="s">
        <v>97</v>
      </c>
      <c r="BH112" s="5" t="s">
        <v>103</v>
      </c>
      <c r="BI112" s="5" t="s">
        <v>115</v>
      </c>
    </row>
    <row r="113" spans="1:61" x14ac:dyDescent="0.35">
      <c r="A113" s="8" t="str">
        <f t="shared" si="12"/>
        <v>Semaine 9-2025</v>
      </c>
      <c r="B113" s="8" t="str">
        <f t="shared" si="8"/>
        <v>2025</v>
      </c>
      <c r="C113" s="2" t="s">
        <v>72</v>
      </c>
      <c r="D113" s="6" t="str">
        <f t="shared" si="9"/>
        <v>Thies</v>
      </c>
      <c r="E113" s="6">
        <f t="shared" si="10"/>
        <v>520145</v>
      </c>
      <c r="F113" s="6">
        <f t="shared" si="11"/>
        <v>2280463</v>
      </c>
      <c r="G113" s="4" t="s">
        <v>429</v>
      </c>
      <c r="H113" s="4" t="s">
        <v>430</v>
      </c>
      <c r="I113" s="4">
        <v>5</v>
      </c>
      <c r="J113" s="4" t="s">
        <v>96</v>
      </c>
      <c r="K113" s="4"/>
      <c r="L113" s="4"/>
      <c r="M113" s="4"/>
      <c r="N113" s="4"/>
      <c r="O113" s="4" t="s">
        <v>238</v>
      </c>
      <c r="P113" s="4" t="s">
        <v>97</v>
      </c>
      <c r="Q113" s="4" t="s">
        <v>97</v>
      </c>
      <c r="R113" s="14" t="s">
        <v>100</v>
      </c>
      <c r="S113" s="14" t="s">
        <v>100</v>
      </c>
      <c r="T113" s="14" t="s">
        <v>100</v>
      </c>
      <c r="U113" s="14" t="s">
        <v>431</v>
      </c>
      <c r="V113" s="14"/>
      <c r="W113" s="14"/>
      <c r="X113" s="14"/>
      <c r="Y113" s="5">
        <v>45716</v>
      </c>
      <c r="Z113" s="5">
        <v>45717</v>
      </c>
      <c r="AA113" s="5" t="s">
        <v>103</v>
      </c>
      <c r="AB113" s="5" t="s">
        <v>432</v>
      </c>
      <c r="AC113" s="5" t="s">
        <v>97</v>
      </c>
      <c r="AD113" s="5" t="s">
        <v>103</v>
      </c>
      <c r="AE113" s="5" t="s">
        <v>97</v>
      </c>
      <c r="AF113" s="5" t="s">
        <v>97</v>
      </c>
      <c r="AG113" s="5" t="s">
        <v>97</v>
      </c>
      <c r="AH113" s="5" t="s">
        <v>103</v>
      </c>
      <c r="AI113" s="5">
        <v>45717</v>
      </c>
      <c r="AJ113" s="5" t="s">
        <v>103</v>
      </c>
      <c r="AK113" s="5"/>
      <c r="AL113" s="5" t="s">
        <v>103</v>
      </c>
      <c r="AM113" s="5" t="s">
        <v>103</v>
      </c>
      <c r="AN113" s="5" t="s">
        <v>97</v>
      </c>
      <c r="AO113" s="5" t="s">
        <v>103</v>
      </c>
      <c r="AP113" s="5" t="s">
        <v>103</v>
      </c>
      <c r="AQ113" s="5" t="s">
        <v>103</v>
      </c>
      <c r="AR113" s="5" t="s">
        <v>97</v>
      </c>
      <c r="AS113" s="5" t="s">
        <v>97</v>
      </c>
      <c r="AT113" s="5"/>
      <c r="AU113" s="5"/>
      <c r="AV113" s="4" t="s">
        <v>103</v>
      </c>
      <c r="AW113" s="4" t="s">
        <v>103</v>
      </c>
      <c r="AX113" s="4" t="s">
        <v>97</v>
      </c>
      <c r="AY113" s="4" t="s">
        <v>97</v>
      </c>
      <c r="AZ113" s="4" t="s">
        <v>97</v>
      </c>
      <c r="BA113" s="4" t="s">
        <v>97</v>
      </c>
      <c r="BB113" s="5">
        <v>45726</v>
      </c>
      <c r="BC113" s="5">
        <v>45726</v>
      </c>
      <c r="BD113" s="5">
        <v>45726</v>
      </c>
      <c r="BE113" s="5">
        <v>45728</v>
      </c>
      <c r="BF113" s="5" t="s">
        <v>433</v>
      </c>
      <c r="BG113" s="5" t="s">
        <v>103</v>
      </c>
      <c r="BH113" s="5" t="s">
        <v>97</v>
      </c>
      <c r="BI113" s="5" t="s">
        <v>115</v>
      </c>
    </row>
    <row r="114" spans="1:61" x14ac:dyDescent="0.35">
      <c r="A114" s="8" t="str">
        <f t="shared" si="12"/>
        <v>Semaine 14-2025</v>
      </c>
      <c r="B114" s="8" t="str">
        <f t="shared" si="8"/>
        <v>2025</v>
      </c>
      <c r="C114" s="2" t="s">
        <v>1</v>
      </c>
      <c r="D114" s="6" t="str">
        <f t="shared" si="9"/>
        <v>Matam</v>
      </c>
      <c r="E114" s="6">
        <f t="shared" si="10"/>
        <v>110915</v>
      </c>
      <c r="F114" s="6">
        <f t="shared" si="11"/>
        <v>789215</v>
      </c>
      <c r="G114" s="4" t="s">
        <v>434</v>
      </c>
      <c r="H114" s="4" t="s">
        <v>436</v>
      </c>
      <c r="I114" s="4">
        <v>11</v>
      </c>
      <c r="J114" s="10" t="s">
        <v>114</v>
      </c>
      <c r="K114" s="10" t="s">
        <v>437</v>
      </c>
      <c r="L114" s="10"/>
      <c r="M114" s="10"/>
      <c r="N114" s="10"/>
      <c r="O114" s="10" t="s">
        <v>238</v>
      </c>
      <c r="P114" s="10" t="s">
        <v>97</v>
      </c>
      <c r="Q114" s="10" t="s">
        <v>97</v>
      </c>
      <c r="R114" s="14" t="s">
        <v>100</v>
      </c>
      <c r="S114" s="14" t="s">
        <v>100</v>
      </c>
      <c r="T114" s="14" t="s">
        <v>100</v>
      </c>
      <c r="U114" s="14"/>
      <c r="V114" s="14"/>
      <c r="W114" s="14"/>
      <c r="X114" s="14"/>
      <c r="Y114" s="5">
        <v>45750</v>
      </c>
      <c r="Z114" s="5">
        <v>45755</v>
      </c>
      <c r="AA114" s="5" t="s">
        <v>97</v>
      </c>
      <c r="AB114" s="5"/>
      <c r="AC114" s="5" t="s">
        <v>97</v>
      </c>
      <c r="AD114" s="5" t="s">
        <v>97</v>
      </c>
      <c r="AE114" s="5" t="s">
        <v>97</v>
      </c>
      <c r="AF114" s="5" t="s">
        <v>103</v>
      </c>
      <c r="AG114" s="5" t="s">
        <v>97</v>
      </c>
      <c r="AH114" s="5" t="s">
        <v>103</v>
      </c>
      <c r="AI114" s="5">
        <v>45750</v>
      </c>
      <c r="AJ114" s="5" t="s">
        <v>103</v>
      </c>
      <c r="AK114" s="5" t="s">
        <v>103</v>
      </c>
      <c r="AL114" s="5" t="s">
        <v>97</v>
      </c>
      <c r="AM114" s="5" t="s">
        <v>103</v>
      </c>
      <c r="AN114" s="5" t="s">
        <v>103</v>
      </c>
      <c r="AO114" s="5" t="s">
        <v>103</v>
      </c>
      <c r="AP114" s="5" t="s">
        <v>103</v>
      </c>
      <c r="AQ114" s="5" t="s">
        <v>103</v>
      </c>
      <c r="AR114" s="5" t="s">
        <v>103</v>
      </c>
      <c r="AS114" s="5" t="s">
        <v>103</v>
      </c>
      <c r="AT114" s="5"/>
      <c r="AU114" s="5"/>
      <c r="AV114" s="4" t="s">
        <v>103</v>
      </c>
      <c r="AW114" s="4" t="s">
        <v>97</v>
      </c>
      <c r="AX114" s="4" t="s">
        <v>97</v>
      </c>
      <c r="AY114" s="4" t="s">
        <v>97</v>
      </c>
      <c r="AZ114" s="4" t="s">
        <v>103</v>
      </c>
      <c r="BA114" s="4" t="s">
        <v>97</v>
      </c>
      <c r="BB114" s="5">
        <v>45755</v>
      </c>
      <c r="BC114" s="5">
        <v>45755</v>
      </c>
      <c r="BD114" s="5">
        <v>45756</v>
      </c>
      <c r="BE114" s="5">
        <v>45757</v>
      </c>
      <c r="BF114" s="5" t="s">
        <v>98</v>
      </c>
      <c r="BG114" s="5" t="s">
        <v>103</v>
      </c>
      <c r="BH114" s="5" t="s">
        <v>103</v>
      </c>
      <c r="BI114" s="5" t="s">
        <v>115</v>
      </c>
    </row>
    <row r="115" spans="1:61" x14ac:dyDescent="0.35">
      <c r="A115" s="8" t="str">
        <f t="shared" si="12"/>
        <v>Semaine 13-2025</v>
      </c>
      <c r="B115" s="8" t="str">
        <f t="shared" si="8"/>
        <v>2025</v>
      </c>
      <c r="C115" s="2" t="s">
        <v>44</v>
      </c>
      <c r="D115" s="6" t="str">
        <f t="shared" si="9"/>
        <v>Louga</v>
      </c>
      <c r="E115" s="6">
        <f t="shared" si="10"/>
        <v>141243</v>
      </c>
      <c r="F115" s="6">
        <f t="shared" si="11"/>
        <v>1121619</v>
      </c>
      <c r="G115" s="4" t="s">
        <v>435</v>
      </c>
      <c r="H115" s="4" t="s">
        <v>438</v>
      </c>
      <c r="I115" s="4">
        <v>19</v>
      </c>
      <c r="J115" s="4" t="s">
        <v>114</v>
      </c>
      <c r="K115" s="4"/>
      <c r="L115" s="4"/>
      <c r="M115" s="4"/>
      <c r="N115" s="4"/>
      <c r="O115" s="4" t="s">
        <v>238</v>
      </c>
      <c r="P115" s="4" t="s">
        <v>97</v>
      </c>
      <c r="Q115" s="4" t="s">
        <v>97</v>
      </c>
      <c r="R115" s="14" t="s">
        <v>100</v>
      </c>
      <c r="S115" s="14" t="s">
        <v>100</v>
      </c>
      <c r="T115" s="14" t="s">
        <v>100</v>
      </c>
      <c r="U115" s="14"/>
      <c r="V115" s="14"/>
      <c r="W115" s="14"/>
      <c r="X115" s="14"/>
      <c r="Y115" s="5">
        <v>45746</v>
      </c>
      <c r="Z115" s="5">
        <v>45751</v>
      </c>
      <c r="AA115" s="5" t="s">
        <v>103</v>
      </c>
      <c r="AB115" s="5" t="s">
        <v>439</v>
      </c>
      <c r="AC115" s="5" t="s">
        <v>103</v>
      </c>
      <c r="AD115" s="5" t="s">
        <v>97</v>
      </c>
      <c r="AE115" s="5" t="s">
        <v>97</v>
      </c>
      <c r="AF115" s="5" t="s">
        <v>103</v>
      </c>
      <c r="AG115" s="5" t="s">
        <v>103</v>
      </c>
      <c r="AH115" s="5" t="s">
        <v>103</v>
      </c>
      <c r="AI115" s="5">
        <v>45750</v>
      </c>
      <c r="AJ115" s="5" t="s">
        <v>103</v>
      </c>
      <c r="AK115" s="5" t="s">
        <v>103</v>
      </c>
      <c r="AL115" s="5" t="s">
        <v>97</v>
      </c>
      <c r="AM115" s="5" t="s">
        <v>103</v>
      </c>
      <c r="AN115" s="5" t="s">
        <v>103</v>
      </c>
      <c r="AO115" s="5" t="s">
        <v>103</v>
      </c>
      <c r="AP115" s="5" t="s">
        <v>103</v>
      </c>
      <c r="AQ115" s="5" t="s">
        <v>97</v>
      </c>
      <c r="AR115" s="5" t="s">
        <v>97</v>
      </c>
      <c r="AS115" s="5" t="s">
        <v>97</v>
      </c>
      <c r="AT115" s="5"/>
      <c r="AU115" s="5"/>
      <c r="AV115" s="4" t="s">
        <v>103</v>
      </c>
      <c r="AW115" s="4" t="s">
        <v>97</v>
      </c>
      <c r="AX115" s="4" t="s">
        <v>97</v>
      </c>
      <c r="AY115" s="4" t="s">
        <v>97</v>
      </c>
      <c r="AZ115" s="4" t="s">
        <v>103</v>
      </c>
      <c r="BA115" s="4" t="s">
        <v>97</v>
      </c>
      <c r="BB115" s="5">
        <v>45751</v>
      </c>
      <c r="BC115" s="5">
        <v>45754</v>
      </c>
      <c r="BD115" s="5">
        <v>45755</v>
      </c>
      <c r="BE115" s="5">
        <v>45757</v>
      </c>
      <c r="BF115" s="5" t="s">
        <v>98</v>
      </c>
      <c r="BG115" s="5" t="s">
        <v>103</v>
      </c>
      <c r="BH115" s="5" t="s">
        <v>103</v>
      </c>
      <c r="BI115" s="5" t="s">
        <v>115</v>
      </c>
    </row>
    <row r="116" spans="1:61" x14ac:dyDescent="0.35">
      <c r="A116" s="8" t="str">
        <f t="shared" si="12"/>
        <v>Semaine 15-2025</v>
      </c>
      <c r="B116" s="8" t="str">
        <f t="shared" si="8"/>
        <v>2025</v>
      </c>
      <c r="C116" s="2" t="s">
        <v>58</v>
      </c>
      <c r="D116" s="6" t="str">
        <f t="shared" si="9"/>
        <v>Dakar</v>
      </c>
      <c r="E116" s="6">
        <f t="shared" si="10"/>
        <v>423495</v>
      </c>
      <c r="F116" s="6">
        <f t="shared" si="11"/>
        <v>4042240</v>
      </c>
      <c r="G116" s="4" t="s">
        <v>440</v>
      </c>
      <c r="H116" s="4" t="s">
        <v>441</v>
      </c>
      <c r="I116" s="4">
        <v>19</v>
      </c>
      <c r="J116" s="4" t="s">
        <v>114</v>
      </c>
      <c r="K116" s="4"/>
      <c r="L116" s="4"/>
      <c r="M116" s="4"/>
      <c r="N116" s="4"/>
      <c r="O116" s="4" t="s">
        <v>238</v>
      </c>
      <c r="P116" s="4" t="s">
        <v>97</v>
      </c>
      <c r="Q116" s="4" t="s">
        <v>97</v>
      </c>
      <c r="R116" s="14" t="s">
        <v>100</v>
      </c>
      <c r="S116" s="14" t="s">
        <v>100</v>
      </c>
      <c r="T116" s="14" t="s">
        <v>100</v>
      </c>
      <c r="U116" s="14"/>
      <c r="V116" s="14"/>
      <c r="W116" s="14"/>
      <c r="X116" s="14"/>
      <c r="Y116" s="5">
        <v>45758</v>
      </c>
      <c r="Z116" s="5">
        <v>45762</v>
      </c>
      <c r="AA116" s="5" t="s">
        <v>103</v>
      </c>
      <c r="AB116" s="5" t="s">
        <v>296</v>
      </c>
      <c r="AC116" s="5" t="s">
        <v>103</v>
      </c>
      <c r="AD116" s="5" t="s">
        <v>103</v>
      </c>
      <c r="AE116" s="5" t="s">
        <v>103</v>
      </c>
      <c r="AF116" s="5" t="s">
        <v>97</v>
      </c>
      <c r="AG116" s="5" t="s">
        <v>103</v>
      </c>
      <c r="AH116" s="5" t="s">
        <v>103</v>
      </c>
      <c r="AI116" s="5">
        <v>45758</v>
      </c>
      <c r="AJ116" s="5" t="s">
        <v>103</v>
      </c>
      <c r="AK116" s="5" t="s">
        <v>103</v>
      </c>
      <c r="AL116" s="5" t="s">
        <v>103</v>
      </c>
      <c r="AM116" s="5" t="s">
        <v>103</v>
      </c>
      <c r="AN116" s="5" t="s">
        <v>103</v>
      </c>
      <c r="AO116" s="5" t="s">
        <v>97</v>
      </c>
      <c r="AP116" s="5" t="s">
        <v>97</v>
      </c>
      <c r="AQ116" s="5" t="s">
        <v>103</v>
      </c>
      <c r="AR116" s="5" t="s">
        <v>97</v>
      </c>
      <c r="AS116" s="5" t="s">
        <v>103</v>
      </c>
      <c r="AT116" s="5"/>
      <c r="AU116" s="5"/>
      <c r="AV116" s="4" t="s">
        <v>103</v>
      </c>
      <c r="AW116" s="4" t="s">
        <v>97</v>
      </c>
      <c r="AX116" s="4" t="s">
        <v>97</v>
      </c>
      <c r="AY116" s="4" t="s">
        <v>97</v>
      </c>
      <c r="AZ116" s="4" t="s">
        <v>103</v>
      </c>
      <c r="BA116" s="4" t="s">
        <v>97</v>
      </c>
      <c r="BB116" s="5">
        <v>45762</v>
      </c>
      <c r="BC116" s="5">
        <v>45762</v>
      </c>
      <c r="BD116" s="5">
        <v>45763</v>
      </c>
      <c r="BE116" s="5">
        <v>45763</v>
      </c>
      <c r="BF116" s="5" t="s">
        <v>98</v>
      </c>
      <c r="BG116" s="5" t="s">
        <v>97</v>
      </c>
      <c r="BH116" s="5" t="s">
        <v>103</v>
      </c>
      <c r="BI116" s="5" t="s">
        <v>115</v>
      </c>
    </row>
    <row r="117" spans="1:61" x14ac:dyDescent="0.35">
      <c r="A117" s="8" t="str">
        <f t="shared" si="12"/>
        <v>Semaine 22-2025</v>
      </c>
      <c r="B117" s="8" t="str">
        <f t="shared" si="8"/>
        <v>2025</v>
      </c>
      <c r="C117" s="2" t="s">
        <v>3</v>
      </c>
      <c r="D117" s="6" t="str">
        <f t="shared" si="9"/>
        <v>Kaolack</v>
      </c>
      <c r="E117" s="6">
        <f t="shared" si="10"/>
        <v>412872</v>
      </c>
      <c r="F117" s="6">
        <f t="shared" si="11"/>
        <v>1267013</v>
      </c>
      <c r="G117" s="4" t="s">
        <v>442</v>
      </c>
      <c r="H117" s="4" t="s">
        <v>443</v>
      </c>
      <c r="I117" s="4">
        <v>25</v>
      </c>
      <c r="J117" s="4" t="s">
        <v>114</v>
      </c>
      <c r="K117" s="4"/>
      <c r="L117" s="4"/>
      <c r="M117" s="4"/>
      <c r="N117" s="4"/>
      <c r="O117" s="4" t="s">
        <v>238</v>
      </c>
      <c r="P117" s="4" t="s">
        <v>97</v>
      </c>
      <c r="Q117" s="4" t="s">
        <v>97</v>
      </c>
      <c r="R117" s="14" t="s">
        <v>100</v>
      </c>
      <c r="S117" s="14" t="s">
        <v>100</v>
      </c>
      <c r="T117" s="14" t="s">
        <v>100</v>
      </c>
      <c r="U117" s="14"/>
      <c r="V117" s="14"/>
      <c r="W117" s="14"/>
      <c r="X117" s="14"/>
      <c r="Y117" s="5">
        <v>45809</v>
      </c>
      <c r="Z117" s="5">
        <v>45811</v>
      </c>
      <c r="AA117" s="5" t="s">
        <v>103</v>
      </c>
      <c r="AB117" s="5"/>
      <c r="AC117" s="5" t="s">
        <v>103</v>
      </c>
      <c r="AD117" s="5" t="s">
        <v>103</v>
      </c>
      <c r="AE117" s="5" t="s">
        <v>103</v>
      </c>
      <c r="AF117" s="5" t="s">
        <v>103</v>
      </c>
      <c r="AG117" s="5" t="s">
        <v>103</v>
      </c>
      <c r="AH117" s="5" t="s">
        <v>103</v>
      </c>
      <c r="AI117" s="5">
        <v>45809</v>
      </c>
      <c r="AJ117" s="5"/>
      <c r="AK117" s="5"/>
      <c r="AL117" s="5" t="s">
        <v>103</v>
      </c>
      <c r="AM117" s="5" t="s">
        <v>103</v>
      </c>
      <c r="AN117" s="5" t="s">
        <v>103</v>
      </c>
      <c r="AO117" s="5" t="s">
        <v>103</v>
      </c>
      <c r="AP117" s="5" t="s">
        <v>103</v>
      </c>
      <c r="AQ117" s="5" t="s">
        <v>97</v>
      </c>
      <c r="AR117" s="5" t="s">
        <v>97</v>
      </c>
      <c r="AS117" s="5" t="s">
        <v>97</v>
      </c>
      <c r="AT117" s="5"/>
      <c r="AU117" s="5"/>
      <c r="AV117" s="4" t="s">
        <v>103</v>
      </c>
      <c r="AW117" s="4" t="s">
        <v>97</v>
      </c>
      <c r="AX117" s="4" t="s">
        <v>97</v>
      </c>
      <c r="AY117" s="4" t="s">
        <v>97</v>
      </c>
      <c r="AZ117" s="4" t="s">
        <v>103</v>
      </c>
      <c r="BA117" s="4" t="s">
        <v>97</v>
      </c>
      <c r="BB117" s="5">
        <v>45811</v>
      </c>
      <c r="BC117" s="5">
        <v>45815</v>
      </c>
      <c r="BD117" s="5">
        <v>45818</v>
      </c>
      <c r="BE117" s="5">
        <v>45820</v>
      </c>
      <c r="BF117" s="5" t="s">
        <v>98</v>
      </c>
      <c r="BG117" s="5" t="s">
        <v>97</v>
      </c>
      <c r="BH117" s="5" t="s">
        <v>103</v>
      </c>
      <c r="BI117" s="5" t="s">
        <v>115</v>
      </c>
    </row>
    <row r="118" spans="1:61" x14ac:dyDescent="0.35">
      <c r="A118" s="8" t="str">
        <f t="shared" si="12"/>
        <v>Semaine 26-2025</v>
      </c>
      <c r="B118" s="8" t="str">
        <f t="shared" si="8"/>
        <v>2025</v>
      </c>
      <c r="C118" s="2" t="s">
        <v>26</v>
      </c>
      <c r="D118" s="6" t="str">
        <f t="shared" si="9"/>
        <v>Diourbel</v>
      </c>
      <c r="E118" s="6">
        <f t="shared" si="10"/>
        <v>354792</v>
      </c>
      <c r="F118" s="6">
        <f t="shared" si="11"/>
        <v>1980827</v>
      </c>
      <c r="G118" s="4" t="s">
        <v>444</v>
      </c>
      <c r="H118" s="4" t="s">
        <v>445</v>
      </c>
      <c r="I118" s="4">
        <v>9</v>
      </c>
      <c r="J118" s="4" t="s">
        <v>114</v>
      </c>
      <c r="K118" s="4"/>
      <c r="L118" s="4"/>
      <c r="M118" s="4"/>
      <c r="N118" s="4"/>
      <c r="O118" s="4" t="s">
        <v>238</v>
      </c>
      <c r="P118" s="4" t="s">
        <v>97</v>
      </c>
      <c r="Q118" s="4" t="s">
        <v>97</v>
      </c>
      <c r="R118" s="14" t="s">
        <v>100</v>
      </c>
      <c r="S118" s="14" t="s">
        <v>100</v>
      </c>
      <c r="T118" s="14" t="s">
        <v>100</v>
      </c>
      <c r="U118" s="14"/>
      <c r="V118" s="14"/>
      <c r="W118" s="14"/>
      <c r="X118" s="14"/>
      <c r="Y118" s="5">
        <v>45832</v>
      </c>
      <c r="Z118" s="5">
        <v>45834</v>
      </c>
      <c r="AA118" s="5" t="s">
        <v>103</v>
      </c>
      <c r="AB118" s="5"/>
      <c r="AC118" s="5" t="s">
        <v>97</v>
      </c>
      <c r="AD118" s="5" t="s">
        <v>97</v>
      </c>
      <c r="AE118" s="5" t="s">
        <v>97</v>
      </c>
      <c r="AF118" s="5" t="s">
        <v>97</v>
      </c>
      <c r="AG118" s="5" t="s">
        <v>97</v>
      </c>
      <c r="AH118" s="5" t="s">
        <v>103</v>
      </c>
      <c r="AI118" s="5">
        <v>45832</v>
      </c>
      <c r="AJ118" s="5"/>
      <c r="AK118" s="5"/>
      <c r="AL118" s="5" t="s">
        <v>103</v>
      </c>
      <c r="AM118" s="5" t="s">
        <v>103</v>
      </c>
      <c r="AN118" s="5" t="s">
        <v>97</v>
      </c>
      <c r="AO118" s="5" t="s">
        <v>97</v>
      </c>
      <c r="AP118" s="5" t="s">
        <v>97</v>
      </c>
      <c r="AQ118" s="5" t="s">
        <v>97</v>
      </c>
      <c r="AR118" s="5" t="s">
        <v>97</v>
      </c>
      <c r="AS118" s="5" t="s">
        <v>97</v>
      </c>
      <c r="AT118" s="5"/>
      <c r="AU118" s="5"/>
      <c r="AV118" s="4" t="s">
        <v>103</v>
      </c>
      <c r="AW118" s="4" t="s">
        <v>97</v>
      </c>
      <c r="AX118" s="4" t="s">
        <v>97</v>
      </c>
      <c r="AY118" s="4" t="s">
        <v>97</v>
      </c>
      <c r="AZ118" s="4" t="s">
        <v>103</v>
      </c>
      <c r="BA118" s="4" t="s">
        <v>97</v>
      </c>
      <c r="BB118" s="5">
        <v>45834</v>
      </c>
      <c r="BC118" s="5">
        <v>45834</v>
      </c>
      <c r="BD118" s="5">
        <v>45835</v>
      </c>
      <c r="BE118" s="5">
        <v>45836</v>
      </c>
      <c r="BF118" s="5" t="s">
        <v>98</v>
      </c>
      <c r="BG118" s="5" t="s">
        <v>103</v>
      </c>
      <c r="BH118" s="5" t="s">
        <v>103</v>
      </c>
      <c r="BI118" s="5" t="s">
        <v>115</v>
      </c>
    </row>
    <row r="119" spans="1:61" x14ac:dyDescent="0.35">
      <c r="A119" s="8" t="str">
        <f t="shared" si="12"/>
        <v>Semaine 26-2025</v>
      </c>
      <c r="B119" s="8" t="str">
        <f t="shared" si="8"/>
        <v>2025</v>
      </c>
      <c r="C119" s="2" t="s">
        <v>19</v>
      </c>
      <c r="D119" s="6" t="str">
        <f t="shared" si="9"/>
        <v>Dakar</v>
      </c>
      <c r="E119" s="6">
        <f t="shared" si="10"/>
        <v>565040</v>
      </c>
      <c r="F119" s="6">
        <f t="shared" si="11"/>
        <v>4042240</v>
      </c>
      <c r="G119" s="4" t="s">
        <v>446</v>
      </c>
      <c r="H119" s="4" t="s">
        <v>449</v>
      </c>
      <c r="I119" s="4">
        <v>5</v>
      </c>
      <c r="J119" s="4" t="s">
        <v>96</v>
      </c>
      <c r="K119" s="4" t="s">
        <v>213</v>
      </c>
      <c r="L119" s="5">
        <v>45840</v>
      </c>
      <c r="M119" s="4"/>
      <c r="N119" s="4"/>
      <c r="O119" s="4" t="s">
        <v>238</v>
      </c>
      <c r="P119" s="4" t="s">
        <v>97</v>
      </c>
      <c r="Q119" s="4" t="s">
        <v>97</v>
      </c>
      <c r="R119" s="14" t="s">
        <v>100</v>
      </c>
      <c r="S119" s="14" t="s">
        <v>100</v>
      </c>
      <c r="T119" s="14" t="s">
        <v>100</v>
      </c>
      <c r="U119" s="14"/>
      <c r="V119" s="14"/>
      <c r="W119" s="14"/>
      <c r="X119" s="14"/>
      <c r="Y119" s="5">
        <v>45836</v>
      </c>
      <c r="Z119" s="5">
        <v>45840</v>
      </c>
      <c r="AA119" s="5" t="s">
        <v>103</v>
      </c>
      <c r="AB119" s="5" t="s">
        <v>303</v>
      </c>
      <c r="AC119" s="5" t="s">
        <v>97</v>
      </c>
      <c r="AD119" s="5" t="s">
        <v>97</v>
      </c>
      <c r="AE119" s="5" t="s">
        <v>97</v>
      </c>
      <c r="AF119" s="5" t="s">
        <v>97</v>
      </c>
      <c r="AG119" s="5" t="s">
        <v>103</v>
      </c>
      <c r="AH119" s="5" t="s">
        <v>103</v>
      </c>
      <c r="AI119" s="5">
        <v>45836</v>
      </c>
      <c r="AJ119" s="5" t="s">
        <v>103</v>
      </c>
      <c r="AK119" s="5" t="s">
        <v>97</v>
      </c>
      <c r="AL119" s="5" t="s">
        <v>103</v>
      </c>
      <c r="AM119" s="5" t="s">
        <v>103</v>
      </c>
      <c r="AN119" s="5" t="s">
        <v>103</v>
      </c>
      <c r="AO119" s="5" t="s">
        <v>103</v>
      </c>
      <c r="AP119" s="5" t="s">
        <v>103</v>
      </c>
      <c r="AQ119" s="5" t="s">
        <v>97</v>
      </c>
      <c r="AR119" s="5" t="s">
        <v>103</v>
      </c>
      <c r="AS119" s="5" t="s">
        <v>103</v>
      </c>
      <c r="AT119" s="5"/>
      <c r="AU119" s="5"/>
      <c r="AV119" s="4" t="s">
        <v>103</v>
      </c>
      <c r="AW119" s="4" t="s">
        <v>97</v>
      </c>
      <c r="AX119" s="4" t="s">
        <v>97</v>
      </c>
      <c r="AY119" s="4" t="s">
        <v>97</v>
      </c>
      <c r="AZ119" s="4" t="s">
        <v>103</v>
      </c>
      <c r="BA119" s="4" t="s">
        <v>97</v>
      </c>
      <c r="BB119" s="5">
        <v>45841</v>
      </c>
      <c r="BC119" s="5">
        <v>45841</v>
      </c>
      <c r="BD119" s="5">
        <v>45841</v>
      </c>
      <c r="BE119" s="5">
        <v>45842</v>
      </c>
      <c r="BF119" s="5" t="s">
        <v>98</v>
      </c>
      <c r="BG119" s="5" t="s">
        <v>103</v>
      </c>
      <c r="BH119" s="5" t="s">
        <v>103</v>
      </c>
      <c r="BI119" s="5" t="s">
        <v>115</v>
      </c>
    </row>
    <row r="120" spans="1:61" x14ac:dyDescent="0.35">
      <c r="A120" s="8" t="str">
        <f t="shared" si="12"/>
        <v>Semaine 27-2025</v>
      </c>
      <c r="B120" s="8" t="str">
        <f t="shared" si="8"/>
        <v>2025</v>
      </c>
      <c r="C120" s="2" t="s">
        <v>0</v>
      </c>
      <c r="D120" s="6" t="str">
        <f t="shared" si="9"/>
        <v>Matam</v>
      </c>
      <c r="E120" s="6">
        <f t="shared" si="10"/>
        <v>271560</v>
      </c>
      <c r="F120" s="6">
        <f t="shared" si="11"/>
        <v>789215</v>
      </c>
      <c r="G120" s="4" t="s">
        <v>447</v>
      </c>
      <c r="H120" s="4" t="s">
        <v>448</v>
      </c>
      <c r="I120" s="4">
        <v>38</v>
      </c>
      <c r="J120" s="4" t="s">
        <v>96</v>
      </c>
      <c r="K120" s="4"/>
      <c r="L120" s="4"/>
      <c r="M120" s="4"/>
      <c r="N120" s="4"/>
      <c r="O120" s="4" t="s">
        <v>238</v>
      </c>
      <c r="P120" s="4" t="s">
        <v>97</v>
      </c>
      <c r="Q120" s="4" t="s">
        <v>97</v>
      </c>
      <c r="R120" s="14" t="s">
        <v>100</v>
      </c>
      <c r="S120" s="14" t="s">
        <v>100</v>
      </c>
      <c r="T120" s="14" t="s">
        <v>100</v>
      </c>
      <c r="U120" s="14"/>
      <c r="V120" s="14"/>
      <c r="W120" s="14"/>
      <c r="X120" s="14"/>
      <c r="Y120" s="5">
        <v>45840</v>
      </c>
      <c r="Z120" s="5">
        <v>45844</v>
      </c>
      <c r="AA120" s="5" t="s">
        <v>103</v>
      </c>
      <c r="AB120" s="5"/>
      <c r="AC120" s="5" t="s">
        <v>97</v>
      </c>
      <c r="AD120" s="5" t="s">
        <v>103</v>
      </c>
      <c r="AE120" s="5" t="s">
        <v>97</v>
      </c>
      <c r="AF120" s="5" t="s">
        <v>97</v>
      </c>
      <c r="AG120" s="5" t="s">
        <v>97</v>
      </c>
      <c r="AH120" s="5" t="s">
        <v>103</v>
      </c>
      <c r="AI120" s="5">
        <v>45840</v>
      </c>
      <c r="AJ120" s="5" t="s">
        <v>103</v>
      </c>
      <c r="AK120" s="5" t="s">
        <v>97</v>
      </c>
      <c r="AL120" s="5" t="s">
        <v>103</v>
      </c>
      <c r="AM120" s="5" t="s">
        <v>103</v>
      </c>
      <c r="AN120" s="5" t="s">
        <v>103</v>
      </c>
      <c r="AO120" s="5" t="s">
        <v>97</v>
      </c>
      <c r="AP120" s="5" t="s">
        <v>97</v>
      </c>
      <c r="AQ120" s="5" t="s">
        <v>97</v>
      </c>
      <c r="AR120" s="5" t="s">
        <v>97</v>
      </c>
      <c r="AS120" s="5" t="s">
        <v>97</v>
      </c>
      <c r="AT120" s="5"/>
      <c r="AU120" s="5"/>
      <c r="AV120" s="4" t="s">
        <v>97</v>
      </c>
      <c r="AW120" s="4" t="s">
        <v>97</v>
      </c>
      <c r="AX120" s="4" t="s">
        <v>97</v>
      </c>
      <c r="AY120" s="4" t="s">
        <v>97</v>
      </c>
      <c r="AZ120" s="4" t="s">
        <v>103</v>
      </c>
      <c r="BA120" s="4" t="s">
        <v>97</v>
      </c>
      <c r="BB120" s="5">
        <v>45844</v>
      </c>
      <c r="BC120" s="5">
        <v>45845</v>
      </c>
      <c r="BD120" s="5">
        <v>45846</v>
      </c>
      <c r="BE120" s="5">
        <v>45848</v>
      </c>
      <c r="BF120" s="5" t="s">
        <v>98</v>
      </c>
      <c r="BG120" s="5" t="s">
        <v>103</v>
      </c>
      <c r="BH120" s="5" t="s">
        <v>103</v>
      </c>
      <c r="BI120" s="4" t="s">
        <v>145</v>
      </c>
    </row>
    <row r="121" spans="1:61" x14ac:dyDescent="0.35">
      <c r="A121" s="8" t="str">
        <f t="shared" si="12"/>
        <v>Semaine 28-2025</v>
      </c>
      <c r="B121" s="8" t="str">
        <f t="shared" si="8"/>
        <v>2025</v>
      </c>
      <c r="C121" s="2" t="s">
        <v>61</v>
      </c>
      <c r="D121" s="6" t="str">
        <f t="shared" si="9"/>
        <v>Thies</v>
      </c>
      <c r="E121" s="6">
        <f t="shared" si="10"/>
        <v>153582</v>
      </c>
      <c r="F121" s="6">
        <f t="shared" si="11"/>
        <v>2280463</v>
      </c>
      <c r="G121" s="4" t="s">
        <v>450</v>
      </c>
      <c r="H121" s="4" t="s">
        <v>451</v>
      </c>
      <c r="I121" s="4">
        <v>11</v>
      </c>
      <c r="J121" s="4" t="s">
        <v>96</v>
      </c>
      <c r="K121" s="4"/>
      <c r="L121" s="4"/>
      <c r="M121" s="4"/>
      <c r="N121" s="4"/>
      <c r="O121" s="4" t="s">
        <v>238</v>
      </c>
      <c r="P121" s="4" t="s">
        <v>97</v>
      </c>
      <c r="Q121" s="4" t="s">
        <v>97</v>
      </c>
      <c r="R121" s="14" t="s">
        <v>100</v>
      </c>
      <c r="S121" s="14" t="s">
        <v>100</v>
      </c>
      <c r="T121" s="14" t="s">
        <v>100</v>
      </c>
      <c r="U121" s="14" t="s">
        <v>431</v>
      </c>
      <c r="V121" s="14"/>
      <c r="W121" s="14"/>
      <c r="X121" s="14"/>
      <c r="Y121" s="5">
        <v>45850</v>
      </c>
      <c r="Z121" s="5">
        <v>45854</v>
      </c>
      <c r="AA121" s="5" t="s">
        <v>103</v>
      </c>
      <c r="AB121" s="5" t="s">
        <v>272</v>
      </c>
      <c r="AC121" s="5" t="s">
        <v>97</v>
      </c>
      <c r="AD121" s="5" t="s">
        <v>97</v>
      </c>
      <c r="AE121" s="5" t="s">
        <v>97</v>
      </c>
      <c r="AF121" s="5" t="s">
        <v>97</v>
      </c>
      <c r="AG121" s="5" t="s">
        <v>103</v>
      </c>
      <c r="AH121" s="5" t="s">
        <v>103</v>
      </c>
      <c r="AI121" s="5">
        <v>45850</v>
      </c>
      <c r="AJ121" s="5" t="s">
        <v>103</v>
      </c>
      <c r="AK121" s="5" t="s">
        <v>103</v>
      </c>
      <c r="AL121" s="5"/>
      <c r="AM121" s="5" t="s">
        <v>103</v>
      </c>
      <c r="AN121" s="5" t="s">
        <v>103</v>
      </c>
      <c r="AO121" s="5" t="s">
        <v>97</v>
      </c>
      <c r="AP121" s="5" t="s">
        <v>97</v>
      </c>
      <c r="AQ121" s="5" t="s">
        <v>97</v>
      </c>
      <c r="AR121" s="5" t="s">
        <v>97</v>
      </c>
      <c r="AS121" s="5" t="s">
        <v>97</v>
      </c>
      <c r="AT121" s="5"/>
      <c r="AU121" s="5"/>
      <c r="AV121" s="4" t="s">
        <v>103</v>
      </c>
      <c r="AW121" s="4" t="s">
        <v>97</v>
      </c>
      <c r="AX121" s="4" t="s">
        <v>103</v>
      </c>
      <c r="AY121" s="4" t="s">
        <v>97</v>
      </c>
      <c r="AZ121" s="4" t="s">
        <v>103</v>
      </c>
      <c r="BA121" s="4" t="s">
        <v>97</v>
      </c>
      <c r="BB121" s="5">
        <v>45854</v>
      </c>
      <c r="BC121" s="5">
        <v>45855</v>
      </c>
      <c r="BD121" s="5">
        <v>45856</v>
      </c>
      <c r="BE121" s="5">
        <v>45856</v>
      </c>
      <c r="BF121" s="5" t="s">
        <v>98</v>
      </c>
      <c r="BG121" s="5" t="s">
        <v>97</v>
      </c>
      <c r="BH121" s="5" t="s">
        <v>103</v>
      </c>
      <c r="BI121" s="5" t="s">
        <v>360</v>
      </c>
    </row>
    <row r="122" spans="1:61" x14ac:dyDescent="0.35">
      <c r="A122" s="8" t="str">
        <f t="shared" si="12"/>
        <v>Semaine 29-2025</v>
      </c>
      <c r="B122" s="8" t="str">
        <f t="shared" si="8"/>
        <v>2025</v>
      </c>
      <c r="C122" s="2" t="s">
        <v>19</v>
      </c>
      <c r="D122" s="6" t="str">
        <f t="shared" si="9"/>
        <v>Dakar</v>
      </c>
      <c r="E122" s="6">
        <f t="shared" si="10"/>
        <v>565040</v>
      </c>
      <c r="F122" s="6">
        <f t="shared" si="11"/>
        <v>4042240</v>
      </c>
      <c r="G122" s="4" t="s">
        <v>452</v>
      </c>
      <c r="H122" s="4" t="s">
        <v>223</v>
      </c>
      <c r="I122" s="4">
        <v>23</v>
      </c>
      <c r="J122" s="4" t="s">
        <v>114</v>
      </c>
      <c r="K122" s="4"/>
      <c r="L122" s="4"/>
      <c r="M122" s="4"/>
      <c r="N122" s="4"/>
      <c r="O122" s="4" t="s">
        <v>238</v>
      </c>
      <c r="P122" s="4" t="s">
        <v>97</v>
      </c>
      <c r="Q122" s="4" t="s">
        <v>97</v>
      </c>
      <c r="R122" s="14" t="s">
        <v>100</v>
      </c>
      <c r="S122" s="14" t="s">
        <v>100</v>
      </c>
      <c r="T122" s="14" t="s">
        <v>100</v>
      </c>
      <c r="U122" s="14"/>
      <c r="V122" s="14"/>
      <c r="W122" s="14"/>
      <c r="X122" s="14"/>
      <c r="Y122" s="5">
        <v>45856</v>
      </c>
      <c r="Z122" s="5">
        <v>45859</v>
      </c>
      <c r="AA122" s="5" t="s">
        <v>103</v>
      </c>
      <c r="AB122" s="5"/>
      <c r="AC122" s="5" t="s">
        <v>97</v>
      </c>
      <c r="AD122" s="5" t="s">
        <v>97</v>
      </c>
      <c r="AE122" s="5" t="s">
        <v>97</v>
      </c>
      <c r="AF122" s="5" t="s">
        <v>103</v>
      </c>
      <c r="AG122" s="5" t="s">
        <v>97</v>
      </c>
      <c r="AH122" s="5" t="s">
        <v>103</v>
      </c>
      <c r="AI122" s="5">
        <v>45856</v>
      </c>
      <c r="AJ122" s="5" t="s">
        <v>103</v>
      </c>
      <c r="AK122" s="5" t="s">
        <v>97</v>
      </c>
      <c r="AL122" s="5" t="s">
        <v>103</v>
      </c>
      <c r="AM122" s="5" t="s">
        <v>103</v>
      </c>
      <c r="AN122" s="5" t="s">
        <v>103</v>
      </c>
      <c r="AO122" s="5" t="s">
        <v>103</v>
      </c>
      <c r="AP122" s="5" t="s">
        <v>103</v>
      </c>
      <c r="AQ122" s="5" t="s">
        <v>97</v>
      </c>
      <c r="AR122" s="5" t="s">
        <v>97</v>
      </c>
      <c r="AS122" s="5" t="s">
        <v>97</v>
      </c>
      <c r="AT122" s="5"/>
      <c r="AU122" s="5"/>
      <c r="AV122" s="4" t="s">
        <v>103</v>
      </c>
      <c r="AW122" s="4" t="s">
        <v>97</v>
      </c>
      <c r="AX122" s="4" t="s">
        <v>97</v>
      </c>
      <c r="AY122" s="4" t="s">
        <v>97</v>
      </c>
      <c r="AZ122" s="4" t="s">
        <v>97</v>
      </c>
      <c r="BA122" s="4" t="s">
        <v>97</v>
      </c>
      <c r="BB122" s="5">
        <v>45859</v>
      </c>
      <c r="BC122" s="5">
        <v>45859</v>
      </c>
      <c r="BD122" s="5">
        <v>45859</v>
      </c>
      <c r="BE122" s="5">
        <v>45860</v>
      </c>
      <c r="BF122" s="5" t="s">
        <v>98</v>
      </c>
      <c r="BG122" s="5" t="s">
        <v>97</v>
      </c>
      <c r="BH122" s="5" t="s">
        <v>103</v>
      </c>
      <c r="BI122" s="5" t="s">
        <v>115</v>
      </c>
    </row>
    <row r="123" spans="1:61" x14ac:dyDescent="0.35">
      <c r="A123" s="8" t="str">
        <f t="shared" si="12"/>
        <v>Semaine 29-2025</v>
      </c>
      <c r="B123" s="8" t="str">
        <f t="shared" si="8"/>
        <v>2025</v>
      </c>
      <c r="C123" s="2" t="s">
        <v>21</v>
      </c>
      <c r="D123" s="6" t="str">
        <f t="shared" si="9"/>
        <v>Dakar</v>
      </c>
      <c r="E123" s="6">
        <f t="shared" si="10"/>
        <v>219872</v>
      </c>
      <c r="F123" s="6">
        <f t="shared" si="11"/>
        <v>4042240</v>
      </c>
      <c r="G123" s="4" t="s">
        <v>453</v>
      </c>
      <c r="H123" s="4" t="s">
        <v>454</v>
      </c>
      <c r="I123" s="4">
        <v>12</v>
      </c>
      <c r="J123" s="4" t="s">
        <v>114</v>
      </c>
      <c r="K123" s="4" t="s">
        <v>256</v>
      </c>
      <c r="L123" s="4"/>
      <c r="M123" s="4"/>
      <c r="N123" s="4"/>
      <c r="O123" s="4" t="s">
        <v>238</v>
      </c>
      <c r="P123" s="4" t="s">
        <v>97</v>
      </c>
      <c r="Q123" s="4" t="s">
        <v>97</v>
      </c>
      <c r="R123" s="14" t="s">
        <v>100</v>
      </c>
      <c r="S123" s="14" t="s">
        <v>100</v>
      </c>
      <c r="T123" s="14" t="s">
        <v>100</v>
      </c>
      <c r="U123" s="14"/>
      <c r="V123" s="14"/>
      <c r="W123" s="14"/>
      <c r="X123" s="14"/>
      <c r="Y123" s="5">
        <v>45854</v>
      </c>
      <c r="Z123" s="5">
        <v>45858</v>
      </c>
      <c r="AA123" s="5" t="s">
        <v>103</v>
      </c>
      <c r="AB123" s="5"/>
      <c r="AC123" s="5" t="s">
        <v>103</v>
      </c>
      <c r="AD123" s="5" t="s">
        <v>103</v>
      </c>
      <c r="AE123" s="5" t="s">
        <v>97</v>
      </c>
      <c r="AF123" s="5" t="s">
        <v>103</v>
      </c>
      <c r="AG123" s="5" t="s">
        <v>103</v>
      </c>
      <c r="AH123" s="5" t="s">
        <v>103</v>
      </c>
      <c r="AI123" s="5">
        <v>45858</v>
      </c>
      <c r="AJ123" s="5" t="s">
        <v>103</v>
      </c>
      <c r="AK123" s="5" t="s">
        <v>97</v>
      </c>
      <c r="AL123" s="5" t="s">
        <v>103</v>
      </c>
      <c r="AM123" s="5" t="s">
        <v>103</v>
      </c>
      <c r="AN123" s="5" t="s">
        <v>103</v>
      </c>
      <c r="AO123" s="5" t="s">
        <v>103</v>
      </c>
      <c r="AP123" s="5" t="s">
        <v>103</v>
      </c>
      <c r="AQ123" s="5" t="s">
        <v>97</v>
      </c>
      <c r="AR123" s="5" t="s">
        <v>97</v>
      </c>
      <c r="AS123" s="5" t="s">
        <v>97</v>
      </c>
      <c r="AT123" s="5"/>
      <c r="AU123" s="5"/>
      <c r="AV123" s="4" t="s">
        <v>103</v>
      </c>
      <c r="AW123" s="4" t="s">
        <v>97</v>
      </c>
      <c r="AX123" s="4" t="s">
        <v>97</v>
      </c>
      <c r="AY123" s="4" t="s">
        <v>97</v>
      </c>
      <c r="AZ123" s="4" t="s">
        <v>103</v>
      </c>
      <c r="BA123" s="4" t="s">
        <v>97</v>
      </c>
      <c r="BB123" s="5">
        <v>45858</v>
      </c>
      <c r="BC123" s="5">
        <v>45863</v>
      </c>
      <c r="BD123" s="5">
        <v>45863</v>
      </c>
      <c r="BE123" s="5">
        <v>45864</v>
      </c>
      <c r="BF123" s="5" t="s">
        <v>98</v>
      </c>
      <c r="BG123" s="5" t="s">
        <v>103</v>
      </c>
      <c r="BH123" s="5" t="s">
        <v>103</v>
      </c>
      <c r="BI123" s="5" t="s">
        <v>115</v>
      </c>
    </row>
    <row r="124" spans="1:61" x14ac:dyDescent="0.35">
      <c r="A124" s="8" t="str">
        <f t="shared" si="12"/>
        <v>Semaine 29-2025</v>
      </c>
      <c r="B124" s="8" t="str">
        <f t="shared" si="8"/>
        <v>2025</v>
      </c>
      <c r="C124" s="2" t="s">
        <v>2</v>
      </c>
      <c r="D124" s="6" t="str">
        <f t="shared" si="9"/>
        <v>Fatick</v>
      </c>
      <c r="E124" s="6">
        <f t="shared" si="10"/>
        <v>151740</v>
      </c>
      <c r="F124" s="6">
        <f t="shared" si="11"/>
        <v>965914</v>
      </c>
      <c r="G124" s="4" t="s">
        <v>455</v>
      </c>
      <c r="H124" s="4" t="s">
        <v>456</v>
      </c>
      <c r="I124" s="4">
        <v>11</v>
      </c>
      <c r="J124" s="4" t="s">
        <v>96</v>
      </c>
      <c r="K124" s="4"/>
      <c r="L124" s="4"/>
      <c r="M124" s="4"/>
      <c r="N124" s="4"/>
      <c r="O124" s="4" t="s">
        <v>238</v>
      </c>
      <c r="P124" s="4" t="s">
        <v>97</v>
      </c>
      <c r="Q124" s="4" t="s">
        <v>97</v>
      </c>
      <c r="R124" s="14" t="s">
        <v>100</v>
      </c>
      <c r="S124" s="14" t="s">
        <v>100</v>
      </c>
      <c r="T124" s="14" t="s">
        <v>100</v>
      </c>
      <c r="U124" s="14"/>
      <c r="V124" s="14"/>
      <c r="W124" s="14"/>
      <c r="X124" s="14"/>
      <c r="Y124" s="5">
        <v>45853</v>
      </c>
      <c r="Z124" s="5">
        <v>45856</v>
      </c>
      <c r="AA124" s="5" t="s">
        <v>103</v>
      </c>
      <c r="AB124" s="5"/>
      <c r="AC124" s="5" t="s">
        <v>97</v>
      </c>
      <c r="AD124" s="5" t="s">
        <v>103</v>
      </c>
      <c r="AE124" s="5" t="s">
        <v>97</v>
      </c>
      <c r="AF124" s="5" t="s">
        <v>103</v>
      </c>
      <c r="AG124" s="5" t="s">
        <v>97</v>
      </c>
      <c r="AH124" s="5" t="s">
        <v>103</v>
      </c>
      <c r="AI124" s="5">
        <v>45853</v>
      </c>
      <c r="AJ124" s="5" t="s">
        <v>103</v>
      </c>
      <c r="AK124" s="5" t="s">
        <v>103</v>
      </c>
      <c r="AL124" s="5" t="s">
        <v>97</v>
      </c>
      <c r="AM124" s="5" t="s">
        <v>103</v>
      </c>
      <c r="AN124" s="5" t="s">
        <v>103</v>
      </c>
      <c r="AO124" s="5" t="s">
        <v>97</v>
      </c>
      <c r="AP124" s="5" t="s">
        <v>97</v>
      </c>
      <c r="AQ124" s="5" t="s">
        <v>97</v>
      </c>
      <c r="AR124" s="5" t="s">
        <v>97</v>
      </c>
      <c r="AS124" s="5" t="s">
        <v>97</v>
      </c>
      <c r="AT124" s="5"/>
      <c r="AU124" s="5"/>
      <c r="AV124" s="4" t="s">
        <v>103</v>
      </c>
      <c r="AW124" s="4" t="s">
        <v>97</v>
      </c>
      <c r="AX124" s="4" t="s">
        <v>97</v>
      </c>
      <c r="AY124" s="4" t="s">
        <v>97</v>
      </c>
      <c r="AZ124" s="4" t="s">
        <v>103</v>
      </c>
      <c r="BA124" s="4" t="s">
        <v>97</v>
      </c>
      <c r="BB124" s="5">
        <v>45856</v>
      </c>
      <c r="BC124" s="5">
        <v>45862</v>
      </c>
      <c r="BD124" s="5">
        <v>45863</v>
      </c>
      <c r="BE124" s="5">
        <v>45864</v>
      </c>
      <c r="BF124" s="5" t="s">
        <v>98</v>
      </c>
      <c r="BG124" s="5" t="s">
        <v>97</v>
      </c>
      <c r="BH124" s="5" t="s">
        <v>103</v>
      </c>
      <c r="BI124" s="5" t="s">
        <v>115</v>
      </c>
    </row>
    <row r="125" spans="1:61" x14ac:dyDescent="0.35">
      <c r="A125" s="8" t="str">
        <f t="shared" si="12"/>
        <v>Semaine 29-2025</v>
      </c>
      <c r="B125" s="8" t="str">
        <f t="shared" si="8"/>
        <v>2025</v>
      </c>
      <c r="C125" s="2" t="s">
        <v>18</v>
      </c>
      <c r="D125" s="6" t="str">
        <f t="shared" si="9"/>
        <v>Dakar</v>
      </c>
      <c r="E125" s="6">
        <f t="shared" si="10"/>
        <v>419489</v>
      </c>
      <c r="F125" s="6">
        <f t="shared" si="11"/>
        <v>4042240</v>
      </c>
      <c r="G125" s="4" t="s">
        <v>458</v>
      </c>
      <c r="H125" s="4" t="s">
        <v>459</v>
      </c>
      <c r="I125" s="4">
        <v>30</v>
      </c>
      <c r="J125" s="4" t="s">
        <v>114</v>
      </c>
      <c r="K125" s="4"/>
      <c r="L125" s="4"/>
      <c r="M125" s="4"/>
      <c r="N125" s="4"/>
      <c r="O125" s="4" t="s">
        <v>238</v>
      </c>
      <c r="P125" s="4" t="s">
        <v>97</v>
      </c>
      <c r="Q125" s="4" t="s">
        <v>97</v>
      </c>
      <c r="R125" s="14" t="s">
        <v>100</v>
      </c>
      <c r="S125" s="14" t="s">
        <v>100</v>
      </c>
      <c r="T125" s="14" t="s">
        <v>100</v>
      </c>
      <c r="U125" s="14"/>
      <c r="V125" s="14"/>
      <c r="W125" s="14"/>
      <c r="X125" s="14"/>
      <c r="Y125" s="5">
        <v>45856</v>
      </c>
      <c r="Z125" s="5">
        <v>45863</v>
      </c>
      <c r="AA125" s="5" t="s">
        <v>103</v>
      </c>
      <c r="AB125" s="5"/>
      <c r="AC125" s="5" t="s">
        <v>97</v>
      </c>
      <c r="AD125" s="5" t="s">
        <v>97</v>
      </c>
      <c r="AE125" s="5" t="s">
        <v>97</v>
      </c>
      <c r="AF125" s="5" t="s">
        <v>103</v>
      </c>
      <c r="AG125" s="5" t="s">
        <v>103</v>
      </c>
      <c r="AH125" s="5" t="s">
        <v>103</v>
      </c>
      <c r="AI125" s="5">
        <v>45861</v>
      </c>
      <c r="AJ125" s="5"/>
      <c r="AK125" s="5"/>
      <c r="AL125" s="5"/>
      <c r="AM125" s="5" t="s">
        <v>103</v>
      </c>
      <c r="AN125" s="5" t="s">
        <v>103</v>
      </c>
      <c r="AO125" s="5" t="s">
        <v>103</v>
      </c>
      <c r="AP125" s="5" t="s">
        <v>103</v>
      </c>
      <c r="AQ125" s="5" t="s">
        <v>97</v>
      </c>
      <c r="AR125" s="5" t="s">
        <v>97</v>
      </c>
      <c r="AS125" s="5" t="s">
        <v>97</v>
      </c>
      <c r="AT125" s="5"/>
      <c r="AU125" s="5"/>
      <c r="AV125" s="4" t="s">
        <v>103</v>
      </c>
      <c r="AW125" s="4" t="s">
        <v>97</v>
      </c>
      <c r="AX125" s="4" t="s">
        <v>97</v>
      </c>
      <c r="AY125" s="4" t="s">
        <v>103</v>
      </c>
      <c r="AZ125" s="4" t="s">
        <v>103</v>
      </c>
      <c r="BA125" s="4" t="s">
        <v>97</v>
      </c>
      <c r="BB125" s="5">
        <v>45863</v>
      </c>
      <c r="BC125" s="5">
        <v>45864</v>
      </c>
      <c r="BD125" s="5">
        <v>45864</v>
      </c>
      <c r="BE125" s="5">
        <v>45865</v>
      </c>
      <c r="BF125" s="5" t="s">
        <v>98</v>
      </c>
      <c r="BG125" s="5" t="s">
        <v>97</v>
      </c>
      <c r="BH125" s="5" t="s">
        <v>103</v>
      </c>
      <c r="BI125" s="5" t="s">
        <v>115</v>
      </c>
    </row>
    <row r="126" spans="1:61" x14ac:dyDescent="0.35">
      <c r="A126" s="8" t="str">
        <f t="shared" si="12"/>
        <v>Semaine 30-2025</v>
      </c>
      <c r="B126" s="8" t="str">
        <f t="shared" si="8"/>
        <v>2025</v>
      </c>
      <c r="C126" s="2" t="s">
        <v>2</v>
      </c>
      <c r="D126" s="6" t="str">
        <f t="shared" si="9"/>
        <v>Fatick</v>
      </c>
      <c r="E126" s="6">
        <f t="shared" si="10"/>
        <v>151740</v>
      </c>
      <c r="F126" s="6">
        <f t="shared" si="11"/>
        <v>965914</v>
      </c>
      <c r="G126" s="4" t="s">
        <v>460</v>
      </c>
      <c r="H126" s="4" t="s">
        <v>462</v>
      </c>
      <c r="I126" s="4">
        <v>21</v>
      </c>
      <c r="J126" s="4" t="s">
        <v>114</v>
      </c>
      <c r="K126" s="4"/>
      <c r="L126" s="4"/>
      <c r="M126" s="4"/>
      <c r="N126" s="4"/>
      <c r="O126" s="4" t="s">
        <v>238</v>
      </c>
      <c r="P126" s="4" t="s">
        <v>97</v>
      </c>
      <c r="Q126" s="4" t="s">
        <v>97</v>
      </c>
      <c r="R126" s="14" t="s">
        <v>100</v>
      </c>
      <c r="S126" s="14" t="s">
        <v>100</v>
      </c>
      <c r="T126" s="14" t="s">
        <v>100</v>
      </c>
      <c r="U126" s="14"/>
      <c r="V126" s="14"/>
      <c r="W126" s="14"/>
      <c r="X126" s="14"/>
      <c r="Y126" s="5">
        <v>45860</v>
      </c>
      <c r="Z126" s="5">
        <v>45865</v>
      </c>
      <c r="AA126" s="5" t="s">
        <v>103</v>
      </c>
      <c r="AB126" s="5" t="s">
        <v>463</v>
      </c>
      <c r="AC126" s="5" t="s">
        <v>97</v>
      </c>
      <c r="AD126" s="5" t="s">
        <v>97</v>
      </c>
      <c r="AE126" s="5" t="s">
        <v>97</v>
      </c>
      <c r="AF126" s="5" t="s">
        <v>103</v>
      </c>
      <c r="AG126" s="5" t="s">
        <v>103</v>
      </c>
      <c r="AH126" s="5" t="s">
        <v>103</v>
      </c>
      <c r="AI126" s="5">
        <v>45860</v>
      </c>
      <c r="AJ126" s="5" t="s">
        <v>103</v>
      </c>
      <c r="AK126" s="5" t="s">
        <v>103</v>
      </c>
      <c r="AL126" s="5" t="s">
        <v>97</v>
      </c>
      <c r="AM126" s="5" t="s">
        <v>103</v>
      </c>
      <c r="AN126" s="5" t="s">
        <v>103</v>
      </c>
      <c r="AO126" s="5" t="s">
        <v>97</v>
      </c>
      <c r="AP126" s="5" t="s">
        <v>97</v>
      </c>
      <c r="AQ126" s="5" t="s">
        <v>97</v>
      </c>
      <c r="AR126" s="5" t="s">
        <v>97</v>
      </c>
      <c r="AS126" s="5" t="s">
        <v>103</v>
      </c>
      <c r="AT126" s="5"/>
      <c r="AU126" s="5"/>
      <c r="AV126" s="4" t="s">
        <v>103</v>
      </c>
      <c r="AW126" s="4" t="s">
        <v>97</v>
      </c>
      <c r="AX126" s="4" t="s">
        <v>97</v>
      </c>
      <c r="AY126" s="4" t="s">
        <v>97</v>
      </c>
      <c r="AZ126" s="4" t="s">
        <v>103</v>
      </c>
      <c r="BA126" s="4" t="s">
        <v>97</v>
      </c>
      <c r="BB126" s="5">
        <v>45866</v>
      </c>
      <c r="BC126" s="5">
        <v>45867</v>
      </c>
      <c r="BD126" s="5">
        <v>45867</v>
      </c>
      <c r="BE126" s="5">
        <v>45867</v>
      </c>
      <c r="BF126" s="5" t="s">
        <v>98</v>
      </c>
      <c r="BG126" s="5" t="s">
        <v>103</v>
      </c>
      <c r="BH126" s="5" t="s">
        <v>103</v>
      </c>
      <c r="BI126" s="5" t="s">
        <v>115</v>
      </c>
    </row>
    <row r="127" spans="1:61" x14ac:dyDescent="0.35">
      <c r="A127" s="8" t="str">
        <f t="shared" si="12"/>
        <v>Semaine 30-2025</v>
      </c>
      <c r="B127" s="8" t="str">
        <f t="shared" ref="B127:B190" si="13">RIGHT(A127,4)</f>
        <v>2025</v>
      </c>
      <c r="C127" s="2" t="s">
        <v>66</v>
      </c>
      <c r="D127" s="6" t="str">
        <f t="shared" ref="D127:D190" si="14">IF(C127="","",VLOOKUP(C127,district_region,2,FALSE))</f>
        <v>Louga</v>
      </c>
      <c r="E127" s="6">
        <f t="shared" ref="E127:E190" si="15">IF(C127="","",VLOOKUP(C127,liste_pop,3,FALSE))</f>
        <v>91992</v>
      </c>
      <c r="F127" s="6">
        <f t="shared" ref="F127:F190" si="16">IF(D127="","",IF(D127="Dakar",4042240,VLOOKUP(D127,liste_pop,4,FALSE)))</f>
        <v>1121619</v>
      </c>
      <c r="G127" s="4" t="s">
        <v>461</v>
      </c>
      <c r="H127" s="4" t="s">
        <v>464</v>
      </c>
      <c r="I127" s="4">
        <v>20</v>
      </c>
      <c r="J127" s="4" t="s">
        <v>114</v>
      </c>
      <c r="K127" s="4"/>
      <c r="L127" s="4"/>
      <c r="M127" s="4"/>
      <c r="N127" s="4"/>
      <c r="O127" s="4" t="s">
        <v>238</v>
      </c>
      <c r="P127" s="4" t="s">
        <v>97</v>
      </c>
      <c r="Q127" s="4" t="s">
        <v>97</v>
      </c>
      <c r="R127" s="14" t="s">
        <v>100</v>
      </c>
      <c r="S127" s="14" t="s">
        <v>100</v>
      </c>
      <c r="T127" s="14" t="s">
        <v>100</v>
      </c>
      <c r="U127" s="14"/>
      <c r="V127" s="14"/>
      <c r="W127" s="14"/>
      <c r="X127" s="14"/>
      <c r="Y127" s="5">
        <v>45861</v>
      </c>
      <c r="Z127" s="5">
        <v>45864</v>
      </c>
      <c r="AA127" s="5" t="s">
        <v>103</v>
      </c>
      <c r="AB127" s="5" t="s">
        <v>272</v>
      </c>
      <c r="AC127" s="5" t="s">
        <v>97</v>
      </c>
      <c r="AD127" s="5" t="s">
        <v>103</v>
      </c>
      <c r="AE127" s="5" t="s">
        <v>97</v>
      </c>
      <c r="AF127" s="5" t="s">
        <v>97</v>
      </c>
      <c r="AG127" s="5" t="s">
        <v>97</v>
      </c>
      <c r="AH127" s="5" t="s">
        <v>103</v>
      </c>
      <c r="AI127" s="5">
        <v>45861</v>
      </c>
      <c r="AJ127" s="5" t="s">
        <v>103</v>
      </c>
      <c r="AK127" s="5" t="s">
        <v>103</v>
      </c>
      <c r="AL127" s="5"/>
      <c r="AM127" s="5" t="s">
        <v>103</v>
      </c>
      <c r="AN127" s="5" t="s">
        <v>103</v>
      </c>
      <c r="AO127" s="5" t="s">
        <v>97</v>
      </c>
      <c r="AP127" s="5" t="s">
        <v>97</v>
      </c>
      <c r="AQ127" s="5" t="s">
        <v>97</v>
      </c>
      <c r="AR127" s="5" t="s">
        <v>97</v>
      </c>
      <c r="AS127" s="5" t="s">
        <v>97</v>
      </c>
      <c r="AT127" s="5"/>
      <c r="AU127" s="5"/>
      <c r="AV127" s="4" t="s">
        <v>103</v>
      </c>
      <c r="AW127" s="4" t="s">
        <v>97</v>
      </c>
      <c r="AX127" s="4" t="s">
        <v>97</v>
      </c>
      <c r="AY127" s="4" t="s">
        <v>97</v>
      </c>
      <c r="AZ127" s="4" t="s">
        <v>103</v>
      </c>
      <c r="BA127" s="4" t="s">
        <v>97</v>
      </c>
      <c r="BB127" s="5">
        <v>45864</v>
      </c>
      <c r="BC127" s="5">
        <v>45865</v>
      </c>
      <c r="BD127" s="5">
        <v>45867</v>
      </c>
      <c r="BE127" s="5">
        <v>45867</v>
      </c>
      <c r="BF127" s="5" t="s">
        <v>98</v>
      </c>
      <c r="BG127" s="5" t="s">
        <v>97</v>
      </c>
      <c r="BH127" s="5" t="s">
        <v>103</v>
      </c>
      <c r="BI127" s="5" t="s">
        <v>115</v>
      </c>
    </row>
    <row r="128" spans="1:61" x14ac:dyDescent="0.35">
      <c r="A128" s="8" t="str">
        <f t="shared" si="12"/>
        <v>Semaine 31-2025</v>
      </c>
      <c r="B128" s="8" t="str">
        <f t="shared" si="13"/>
        <v>2025</v>
      </c>
      <c r="C128" s="2" t="s">
        <v>75</v>
      </c>
      <c r="D128" s="6" t="str">
        <f t="shared" si="14"/>
        <v>Diourbel</v>
      </c>
      <c r="E128" s="6">
        <f t="shared" si="15"/>
        <v>996481</v>
      </c>
      <c r="F128" s="6">
        <f t="shared" si="16"/>
        <v>1980827</v>
      </c>
      <c r="G128" s="4" t="s">
        <v>465</v>
      </c>
      <c r="H128" s="4" t="s">
        <v>466</v>
      </c>
      <c r="I128" s="4">
        <v>19</v>
      </c>
      <c r="J128" s="4" t="s">
        <v>114</v>
      </c>
      <c r="K128" s="4"/>
      <c r="L128" s="4"/>
      <c r="M128" s="4"/>
      <c r="N128" s="4"/>
      <c r="O128" s="4" t="s">
        <v>238</v>
      </c>
      <c r="P128" s="4" t="s">
        <v>97</v>
      </c>
      <c r="Q128" s="4" t="s">
        <v>97</v>
      </c>
      <c r="R128" s="14" t="s">
        <v>100</v>
      </c>
      <c r="S128" s="14" t="s">
        <v>100</v>
      </c>
      <c r="T128" s="14" t="s">
        <v>100</v>
      </c>
      <c r="U128" s="14"/>
      <c r="V128" s="14"/>
      <c r="W128" s="14"/>
      <c r="X128" s="14"/>
      <c r="Y128" s="5">
        <v>45869</v>
      </c>
      <c r="Z128" s="5">
        <v>45873</v>
      </c>
      <c r="AA128" s="5" t="s">
        <v>103</v>
      </c>
      <c r="AB128" s="5"/>
      <c r="AC128" s="5" t="s">
        <v>103</v>
      </c>
      <c r="AD128" s="5" t="s">
        <v>103</v>
      </c>
      <c r="AE128" s="5" t="s">
        <v>97</v>
      </c>
      <c r="AF128" s="5" t="s">
        <v>103</v>
      </c>
      <c r="AG128" s="5" t="s">
        <v>103</v>
      </c>
      <c r="AH128" s="5" t="s">
        <v>103</v>
      </c>
      <c r="AI128" s="5">
        <v>45869</v>
      </c>
      <c r="AJ128" s="5" t="s">
        <v>103</v>
      </c>
      <c r="AK128" s="5"/>
      <c r="AL128" s="5"/>
      <c r="AM128" s="5" t="s">
        <v>97</v>
      </c>
      <c r="AN128" s="5" t="s">
        <v>97</v>
      </c>
      <c r="AO128" s="5" t="s">
        <v>103</v>
      </c>
      <c r="AP128" s="5" t="s">
        <v>97</v>
      </c>
      <c r="AQ128" s="5" t="s">
        <v>97</v>
      </c>
      <c r="AR128" s="5" t="s">
        <v>97</v>
      </c>
      <c r="AS128" s="5" t="s">
        <v>97</v>
      </c>
      <c r="AT128" s="5"/>
      <c r="AU128" s="5"/>
      <c r="AV128" s="4" t="s">
        <v>103</v>
      </c>
      <c r="AW128" s="4" t="s">
        <v>97</v>
      </c>
      <c r="AX128" s="4" t="s">
        <v>97</v>
      </c>
      <c r="AY128" s="4" t="s">
        <v>97</v>
      </c>
      <c r="AZ128" s="4" t="s">
        <v>97</v>
      </c>
      <c r="BA128" s="4" t="s">
        <v>97</v>
      </c>
      <c r="BB128" s="5">
        <v>45873</v>
      </c>
      <c r="BC128" s="5">
        <v>45874</v>
      </c>
      <c r="BD128" s="5">
        <v>45874</v>
      </c>
      <c r="BE128" s="5">
        <v>45875</v>
      </c>
      <c r="BF128" s="5" t="s">
        <v>98</v>
      </c>
      <c r="BG128" s="5" t="s">
        <v>97</v>
      </c>
      <c r="BH128" s="5" t="s">
        <v>103</v>
      </c>
      <c r="BI128" s="5" t="s">
        <v>115</v>
      </c>
    </row>
    <row r="129" spans="1:61" x14ac:dyDescent="0.35">
      <c r="A129" s="8" t="str">
        <f t="shared" si="12"/>
        <v>Semaine 31-2025</v>
      </c>
      <c r="B129" s="8" t="str">
        <f t="shared" si="13"/>
        <v>2025</v>
      </c>
      <c r="C129" s="2" t="s">
        <v>75</v>
      </c>
      <c r="D129" s="6" t="str">
        <f t="shared" si="14"/>
        <v>Diourbel</v>
      </c>
      <c r="E129" s="6">
        <f t="shared" si="15"/>
        <v>996481</v>
      </c>
      <c r="F129" s="6">
        <f t="shared" si="16"/>
        <v>1980827</v>
      </c>
      <c r="G129" s="4" t="s">
        <v>467</v>
      </c>
      <c r="H129" s="4" t="s">
        <v>468</v>
      </c>
      <c r="I129" s="4">
        <v>3</v>
      </c>
      <c r="J129" s="4" t="s">
        <v>114</v>
      </c>
      <c r="K129" s="4"/>
      <c r="L129" s="4"/>
      <c r="M129" s="4"/>
      <c r="N129" s="4"/>
      <c r="O129" s="4" t="s">
        <v>238</v>
      </c>
      <c r="P129" s="4" t="s">
        <v>97</v>
      </c>
      <c r="Q129" s="4" t="s">
        <v>97</v>
      </c>
      <c r="R129" s="14" t="s">
        <v>100</v>
      </c>
      <c r="S129" s="14" t="s">
        <v>100</v>
      </c>
      <c r="T129" s="14" t="s">
        <v>100</v>
      </c>
      <c r="U129" s="14"/>
      <c r="V129" s="14"/>
      <c r="W129" s="14"/>
      <c r="X129" s="14"/>
      <c r="Y129" s="5">
        <v>45867</v>
      </c>
      <c r="Z129" s="5">
        <v>45869</v>
      </c>
      <c r="AA129" s="5" t="s">
        <v>103</v>
      </c>
      <c r="AB129" s="5"/>
      <c r="AC129" s="5" t="s">
        <v>97</v>
      </c>
      <c r="AD129" s="5" t="s">
        <v>97</v>
      </c>
      <c r="AE129" s="5" t="s">
        <v>97</v>
      </c>
      <c r="AF129" s="5" t="s">
        <v>97</v>
      </c>
      <c r="AG129" s="5" t="s">
        <v>97</v>
      </c>
      <c r="AH129" s="5" t="s">
        <v>103</v>
      </c>
      <c r="AI129" s="5">
        <v>45867</v>
      </c>
      <c r="AJ129" s="5" t="s">
        <v>103</v>
      </c>
      <c r="AK129" s="5"/>
      <c r="AL129" s="5"/>
      <c r="AM129" s="5" t="s">
        <v>103</v>
      </c>
      <c r="AN129" s="5" t="s">
        <v>103</v>
      </c>
      <c r="AO129" s="5" t="s">
        <v>103</v>
      </c>
      <c r="AP129" s="5" t="s">
        <v>103</v>
      </c>
      <c r="AQ129" s="5" t="s">
        <v>97</v>
      </c>
      <c r="AR129" s="5" t="s">
        <v>97</v>
      </c>
      <c r="AS129" s="5" t="s">
        <v>97</v>
      </c>
      <c r="AT129" s="5"/>
      <c r="AU129" s="5"/>
      <c r="AV129" s="4" t="s">
        <v>103</v>
      </c>
      <c r="AW129" s="4" t="s">
        <v>97</v>
      </c>
      <c r="AX129" s="4" t="s">
        <v>97</v>
      </c>
      <c r="AY129" s="4" t="s">
        <v>97</v>
      </c>
      <c r="AZ129" s="4" t="s">
        <v>97</v>
      </c>
      <c r="BA129" s="4" t="s">
        <v>97</v>
      </c>
      <c r="BB129" s="5">
        <v>45870</v>
      </c>
      <c r="BC129" s="5">
        <v>45874</v>
      </c>
      <c r="BD129" s="5">
        <v>45874</v>
      </c>
      <c r="BE129" s="5">
        <v>45875</v>
      </c>
      <c r="BF129" s="5" t="s">
        <v>98</v>
      </c>
      <c r="BG129" s="5" t="s">
        <v>97</v>
      </c>
      <c r="BH129" s="5" t="s">
        <v>103</v>
      </c>
      <c r="BI129" s="5" t="s">
        <v>115</v>
      </c>
    </row>
    <row r="130" spans="1:61" x14ac:dyDescent="0.35">
      <c r="A130" s="8" t="str">
        <f t="shared" si="12"/>
        <v>Semaine 31-2025</v>
      </c>
      <c r="B130" s="8" t="str">
        <f t="shared" si="13"/>
        <v>2025</v>
      </c>
      <c r="C130" s="2" t="s">
        <v>4</v>
      </c>
      <c r="D130" s="6" t="str">
        <f t="shared" si="14"/>
        <v>Thies</v>
      </c>
      <c r="E130" s="6">
        <f t="shared" si="15"/>
        <v>462449</v>
      </c>
      <c r="F130" s="6">
        <f t="shared" si="16"/>
        <v>2280463</v>
      </c>
      <c r="G130" s="4" t="s">
        <v>469</v>
      </c>
      <c r="H130" s="4" t="s">
        <v>470</v>
      </c>
      <c r="I130" s="4">
        <v>19</v>
      </c>
      <c r="J130" s="4" t="s">
        <v>114</v>
      </c>
      <c r="K130" s="4"/>
      <c r="L130" s="4"/>
      <c r="M130" s="4"/>
      <c r="N130" s="4"/>
      <c r="O130" s="4" t="s">
        <v>238</v>
      </c>
      <c r="P130" s="4" t="s">
        <v>97</v>
      </c>
      <c r="Q130" s="4" t="s">
        <v>97</v>
      </c>
      <c r="R130" s="14" t="s">
        <v>100</v>
      </c>
      <c r="S130" s="14" t="s">
        <v>100</v>
      </c>
      <c r="T130" s="14" t="s">
        <v>100</v>
      </c>
      <c r="U130" s="14" t="s">
        <v>431</v>
      </c>
      <c r="V130" s="14"/>
      <c r="W130" s="14"/>
      <c r="X130" s="14"/>
      <c r="Y130" s="5">
        <v>45866</v>
      </c>
      <c r="Z130" s="5">
        <v>45870</v>
      </c>
      <c r="AA130" s="5" t="s">
        <v>97</v>
      </c>
      <c r="AB130" s="5"/>
      <c r="AC130" s="5" t="s">
        <v>103</v>
      </c>
      <c r="AD130" s="5" t="s">
        <v>103</v>
      </c>
      <c r="AE130" s="5" t="s">
        <v>97</v>
      </c>
      <c r="AF130" s="5" t="s">
        <v>97</v>
      </c>
      <c r="AG130" s="5" t="s">
        <v>103</v>
      </c>
      <c r="AH130" s="5" t="s">
        <v>103</v>
      </c>
      <c r="AI130" s="5">
        <v>45866</v>
      </c>
      <c r="AJ130" s="5" t="s">
        <v>103</v>
      </c>
      <c r="AK130" s="5" t="s">
        <v>103</v>
      </c>
      <c r="AL130" s="5" t="s">
        <v>97</v>
      </c>
      <c r="AM130" s="5" t="s">
        <v>97</v>
      </c>
      <c r="AN130" s="5" t="s">
        <v>103</v>
      </c>
      <c r="AO130" s="5" t="s">
        <v>103</v>
      </c>
      <c r="AP130" s="5" t="s">
        <v>103</v>
      </c>
      <c r="AQ130" s="5" t="s">
        <v>103</v>
      </c>
      <c r="AR130" s="5" t="s">
        <v>97</v>
      </c>
      <c r="AS130" s="5" t="s">
        <v>97</v>
      </c>
      <c r="AT130" s="5"/>
      <c r="AU130" s="5"/>
      <c r="AV130" s="4" t="s">
        <v>103</v>
      </c>
      <c r="AW130" s="4" t="s">
        <v>97</v>
      </c>
      <c r="AX130" s="4" t="s">
        <v>97</v>
      </c>
      <c r="AY130" s="4" t="s">
        <v>97</v>
      </c>
      <c r="AZ130" s="4" t="s">
        <v>103</v>
      </c>
      <c r="BA130" s="4" t="s">
        <v>97</v>
      </c>
      <c r="BB130" s="5">
        <v>45870</v>
      </c>
      <c r="BC130" s="5">
        <v>45873</v>
      </c>
      <c r="BD130" s="5">
        <v>45873</v>
      </c>
      <c r="BE130" s="5">
        <v>45873</v>
      </c>
      <c r="BF130" s="5" t="s">
        <v>98</v>
      </c>
      <c r="BG130" s="5" t="s">
        <v>97</v>
      </c>
      <c r="BH130" s="5" t="s">
        <v>103</v>
      </c>
      <c r="BI130" s="5" t="s">
        <v>360</v>
      </c>
    </row>
    <row r="131" spans="1:61" x14ac:dyDescent="0.35">
      <c r="A131" s="8" t="str">
        <f t="shared" si="12"/>
        <v>Semaine 32-2025</v>
      </c>
      <c r="B131" s="8" t="str">
        <f t="shared" si="13"/>
        <v>2025</v>
      </c>
      <c r="C131" s="2" t="s">
        <v>21</v>
      </c>
      <c r="D131" s="6" t="str">
        <f t="shared" si="14"/>
        <v>Dakar</v>
      </c>
      <c r="E131" s="6">
        <f t="shared" si="15"/>
        <v>219872</v>
      </c>
      <c r="F131" s="6">
        <f t="shared" si="16"/>
        <v>4042240</v>
      </c>
      <c r="G131" s="4" t="s">
        <v>471</v>
      </c>
      <c r="H131" s="4" t="s">
        <v>472</v>
      </c>
      <c r="I131" s="4">
        <v>32</v>
      </c>
      <c r="J131" s="4" t="s">
        <v>114</v>
      </c>
      <c r="K131" s="4"/>
      <c r="L131" s="4"/>
      <c r="M131" s="4"/>
      <c r="N131" s="4"/>
      <c r="O131" s="4" t="s">
        <v>238</v>
      </c>
      <c r="P131" s="4" t="s">
        <v>97</v>
      </c>
      <c r="Q131" s="4" t="s">
        <v>97</v>
      </c>
      <c r="R131" s="14" t="s">
        <v>100</v>
      </c>
      <c r="S131" s="14" t="s">
        <v>100</v>
      </c>
      <c r="T131" s="14" t="s">
        <v>100</v>
      </c>
      <c r="U131" s="14"/>
      <c r="V131" s="14"/>
      <c r="W131" s="14"/>
      <c r="X131" s="14"/>
      <c r="Y131" s="5">
        <v>45873</v>
      </c>
      <c r="Z131" s="5">
        <v>45875</v>
      </c>
      <c r="AA131" s="5" t="s">
        <v>103</v>
      </c>
      <c r="AB131" s="5"/>
      <c r="AC131" s="5" t="s">
        <v>103</v>
      </c>
      <c r="AD131" s="5" t="s">
        <v>97</v>
      </c>
      <c r="AE131" s="5" t="s">
        <v>97</v>
      </c>
      <c r="AF131" s="5" t="s">
        <v>103</v>
      </c>
      <c r="AG131" s="5" t="s">
        <v>97</v>
      </c>
      <c r="AH131" s="5" t="s">
        <v>97</v>
      </c>
      <c r="AI131" s="5">
        <v>45873</v>
      </c>
      <c r="AJ131" s="5"/>
      <c r="AK131" s="5"/>
      <c r="AL131" s="5"/>
      <c r="AM131" s="5" t="s">
        <v>103</v>
      </c>
      <c r="AN131" s="5" t="s">
        <v>103</v>
      </c>
      <c r="AO131" s="5" t="s">
        <v>103</v>
      </c>
      <c r="AP131" s="5" t="s">
        <v>103</v>
      </c>
      <c r="AQ131" s="5" t="s">
        <v>97</v>
      </c>
      <c r="AR131" s="5" t="s">
        <v>97</v>
      </c>
      <c r="AS131" s="5" t="s">
        <v>97</v>
      </c>
      <c r="AT131" s="5"/>
      <c r="AU131" s="5"/>
      <c r="AV131" s="4" t="s">
        <v>103</v>
      </c>
      <c r="AW131" s="4" t="s">
        <v>97</v>
      </c>
      <c r="AX131" s="4" t="s">
        <v>97</v>
      </c>
      <c r="AY131" s="4" t="s">
        <v>97</v>
      </c>
      <c r="AZ131" s="4" t="s">
        <v>103</v>
      </c>
      <c r="BA131" s="4" t="s">
        <v>97</v>
      </c>
      <c r="BB131" s="5">
        <v>45875</v>
      </c>
      <c r="BC131" s="5">
        <v>45875</v>
      </c>
      <c r="BD131" s="5">
        <v>45876</v>
      </c>
      <c r="BE131" s="5">
        <v>45877</v>
      </c>
      <c r="BF131" s="5" t="s">
        <v>98</v>
      </c>
      <c r="BG131" s="5" t="s">
        <v>97</v>
      </c>
      <c r="BH131" s="5" t="s">
        <v>103</v>
      </c>
      <c r="BI131" s="5" t="s">
        <v>115</v>
      </c>
    </row>
    <row r="132" spans="1:61" x14ac:dyDescent="0.35">
      <c r="A132" s="8" t="str">
        <f t="shared" si="12"/>
        <v>Semaine 32-2025</v>
      </c>
      <c r="B132" s="8" t="str">
        <f t="shared" si="13"/>
        <v>2025</v>
      </c>
      <c r="C132" s="2" t="s">
        <v>77</v>
      </c>
      <c r="D132" s="6" t="str">
        <f t="shared" si="14"/>
        <v>Dakar</v>
      </c>
      <c r="E132" s="6">
        <f t="shared" si="15"/>
        <v>341880</v>
      </c>
      <c r="F132" s="6">
        <f t="shared" si="16"/>
        <v>4042240</v>
      </c>
      <c r="G132" s="4" t="s">
        <v>473</v>
      </c>
      <c r="H132" s="4" t="s">
        <v>474</v>
      </c>
      <c r="I132" s="4">
        <v>11</v>
      </c>
      <c r="J132" s="4" t="s">
        <v>114</v>
      </c>
      <c r="K132" s="4"/>
      <c r="L132" s="4"/>
      <c r="M132" s="4"/>
      <c r="N132" s="4"/>
      <c r="O132" s="4" t="s">
        <v>238</v>
      </c>
      <c r="P132" s="4" t="s">
        <v>97</v>
      </c>
      <c r="Q132" s="4" t="s">
        <v>97</v>
      </c>
      <c r="R132" s="14" t="s">
        <v>100</v>
      </c>
      <c r="S132" s="14" t="s">
        <v>100</v>
      </c>
      <c r="T132" s="14" t="s">
        <v>100</v>
      </c>
      <c r="U132" s="14"/>
      <c r="V132" s="14"/>
      <c r="W132" s="14"/>
      <c r="X132" s="14"/>
      <c r="Y132" s="5">
        <v>45873</v>
      </c>
      <c r="Z132" s="5">
        <v>45879</v>
      </c>
      <c r="AA132" s="5" t="s">
        <v>103</v>
      </c>
      <c r="AB132" s="5" t="s">
        <v>314</v>
      </c>
      <c r="AC132" s="5" t="s">
        <v>97</v>
      </c>
      <c r="AD132" s="5" t="s">
        <v>97</v>
      </c>
      <c r="AE132" s="5" t="s">
        <v>97</v>
      </c>
      <c r="AF132" s="5" t="s">
        <v>103</v>
      </c>
      <c r="AG132" s="5" t="s">
        <v>97</v>
      </c>
      <c r="AH132" s="5" t="s">
        <v>97</v>
      </c>
      <c r="AI132" s="5">
        <v>45873</v>
      </c>
      <c r="AJ132" s="5"/>
      <c r="AK132" s="5"/>
      <c r="AL132" s="5"/>
      <c r="AM132" s="5" t="s">
        <v>103</v>
      </c>
      <c r="AN132" s="5" t="s">
        <v>103</v>
      </c>
      <c r="AO132" s="5" t="s">
        <v>103</v>
      </c>
      <c r="AP132" s="5" t="s">
        <v>103</v>
      </c>
      <c r="AQ132" s="5" t="s">
        <v>97</v>
      </c>
      <c r="AR132" s="5" t="s">
        <v>97</v>
      </c>
      <c r="AS132" s="5" t="s">
        <v>97</v>
      </c>
      <c r="AT132" s="5"/>
      <c r="AU132" s="5"/>
      <c r="AV132" s="4" t="s">
        <v>103</v>
      </c>
      <c r="AW132" s="4" t="s">
        <v>97</v>
      </c>
      <c r="AX132" s="4" t="s">
        <v>97</v>
      </c>
      <c r="AY132" s="4" t="s">
        <v>97</v>
      </c>
      <c r="AZ132" s="4" t="s">
        <v>103</v>
      </c>
      <c r="BA132" s="4" t="s">
        <v>97</v>
      </c>
      <c r="BB132" s="5">
        <v>45879</v>
      </c>
      <c r="BC132" s="5">
        <v>45880</v>
      </c>
      <c r="BD132" s="5">
        <v>45880</v>
      </c>
      <c r="BE132" s="5">
        <v>45881</v>
      </c>
      <c r="BF132" s="5" t="s">
        <v>98</v>
      </c>
      <c r="BG132" s="5" t="s">
        <v>103</v>
      </c>
      <c r="BH132" s="5" t="s">
        <v>103</v>
      </c>
      <c r="BI132" s="5" t="s">
        <v>115</v>
      </c>
    </row>
    <row r="133" spans="1:61" x14ac:dyDescent="0.35">
      <c r="A133" s="8" t="str">
        <f t="shared" si="12"/>
        <v>Semaine 33-2025</v>
      </c>
      <c r="B133" s="8" t="str">
        <f t="shared" si="13"/>
        <v>2025</v>
      </c>
      <c r="C133" s="2" t="s">
        <v>4</v>
      </c>
      <c r="D133" s="6" t="str">
        <f t="shared" si="14"/>
        <v>Thies</v>
      </c>
      <c r="E133" s="6">
        <f t="shared" si="15"/>
        <v>462449</v>
      </c>
      <c r="F133" s="6">
        <f t="shared" si="16"/>
        <v>2280463</v>
      </c>
      <c r="G133" s="4" t="s">
        <v>475</v>
      </c>
      <c r="H133" s="4" t="s">
        <v>476</v>
      </c>
      <c r="I133" s="4">
        <v>27</v>
      </c>
      <c r="J133" s="4" t="s">
        <v>114</v>
      </c>
      <c r="K133" s="4"/>
      <c r="L133" s="4"/>
      <c r="M133" s="4"/>
      <c r="N133" s="4"/>
      <c r="O133" s="4" t="s">
        <v>238</v>
      </c>
      <c r="P133" s="4" t="s">
        <v>97</v>
      </c>
      <c r="Q133" s="4" t="s">
        <v>97</v>
      </c>
      <c r="R133" s="14" t="s">
        <v>100</v>
      </c>
      <c r="S133" s="14" t="s">
        <v>100</v>
      </c>
      <c r="T133" s="14" t="s">
        <v>100</v>
      </c>
      <c r="U133" s="14" t="s">
        <v>431</v>
      </c>
      <c r="V133" s="14"/>
      <c r="W133" s="14"/>
      <c r="X133" s="14"/>
      <c r="Y133" s="5">
        <v>45884</v>
      </c>
      <c r="Z133" s="5">
        <v>45887</v>
      </c>
      <c r="AA133" s="5" t="s">
        <v>103</v>
      </c>
      <c r="AB133" s="5" t="s">
        <v>477</v>
      </c>
      <c r="AC133" s="5" t="s">
        <v>103</v>
      </c>
      <c r="AD133" s="5" t="s">
        <v>97</v>
      </c>
      <c r="AE133" s="5" t="s">
        <v>97</v>
      </c>
      <c r="AF133" s="5" t="s">
        <v>97</v>
      </c>
      <c r="AG133" s="5" t="s">
        <v>103</v>
      </c>
      <c r="AH133" s="5" t="s">
        <v>103</v>
      </c>
      <c r="AI133" s="5">
        <v>45884</v>
      </c>
      <c r="AJ133" s="5" t="s">
        <v>103</v>
      </c>
      <c r="AK133" s="5" t="s">
        <v>97</v>
      </c>
      <c r="AL133" s="5" t="s">
        <v>103</v>
      </c>
      <c r="AM133" s="5" t="s">
        <v>103</v>
      </c>
      <c r="AN133" s="5" t="s">
        <v>103</v>
      </c>
      <c r="AO133" s="5" t="s">
        <v>97</v>
      </c>
      <c r="AP133" s="5" t="s">
        <v>97</v>
      </c>
      <c r="AQ133" s="5" t="s">
        <v>97</v>
      </c>
      <c r="AR133" s="5" t="s">
        <v>97</v>
      </c>
      <c r="AS133" s="5" t="s">
        <v>97</v>
      </c>
      <c r="AT133" s="5"/>
      <c r="AU133" s="5"/>
      <c r="AV133" s="4" t="s">
        <v>103</v>
      </c>
      <c r="AW133" s="4" t="s">
        <v>97</v>
      </c>
      <c r="AX133" s="4" t="s">
        <v>97</v>
      </c>
      <c r="AY133" s="4" t="s">
        <v>97</v>
      </c>
      <c r="AZ133" s="4" t="s">
        <v>103</v>
      </c>
      <c r="BA133" s="4" t="s">
        <v>97</v>
      </c>
      <c r="BB133" s="5">
        <v>45888</v>
      </c>
      <c r="BC133" s="5">
        <v>45888</v>
      </c>
      <c r="BD133" s="5">
        <v>45888</v>
      </c>
      <c r="BE133" s="5">
        <v>45889</v>
      </c>
      <c r="BF133" s="5" t="s">
        <v>98</v>
      </c>
      <c r="BG133" s="5" t="s">
        <v>97</v>
      </c>
      <c r="BH133" s="5" t="s">
        <v>103</v>
      </c>
      <c r="BI133" s="5" t="s">
        <v>360</v>
      </c>
    </row>
    <row r="134" spans="1:61" x14ac:dyDescent="0.35">
      <c r="A134" s="8" t="str">
        <f t="shared" ref="A134:A197" si="17">"Semaine " &amp; _xlfn.ISOWEEKNUM(Y134) &amp; "-" &amp; YEAR(Y134)</f>
        <v>Semaine 33-2025</v>
      </c>
      <c r="B134" s="8" t="str">
        <f t="shared" si="13"/>
        <v>2025</v>
      </c>
      <c r="C134" s="2" t="s">
        <v>18</v>
      </c>
      <c r="D134" s="6" t="str">
        <f t="shared" si="14"/>
        <v>Dakar</v>
      </c>
      <c r="E134" s="6">
        <f t="shared" si="15"/>
        <v>419489</v>
      </c>
      <c r="F134" s="6">
        <f t="shared" si="16"/>
        <v>4042240</v>
      </c>
      <c r="G134" s="4" t="s">
        <v>478</v>
      </c>
      <c r="H134" s="4" t="s">
        <v>479</v>
      </c>
      <c r="I134" s="4">
        <v>28</v>
      </c>
      <c r="J134" s="4" t="s">
        <v>114</v>
      </c>
      <c r="K134" s="4" t="s">
        <v>480</v>
      </c>
      <c r="L134" s="5">
        <v>45887</v>
      </c>
      <c r="M134" s="4"/>
      <c r="N134" s="4"/>
      <c r="O134" s="4" t="s">
        <v>238</v>
      </c>
      <c r="P134" s="4" t="s">
        <v>97</v>
      </c>
      <c r="Q134" s="4" t="s">
        <v>97</v>
      </c>
      <c r="R134" s="14" t="s">
        <v>481</v>
      </c>
      <c r="S134" s="14" t="s">
        <v>100</v>
      </c>
      <c r="T134" s="14" t="s">
        <v>100</v>
      </c>
      <c r="U134"/>
      <c r="V134" s="14"/>
      <c r="W134" s="14"/>
      <c r="X134" t="s">
        <v>1136</v>
      </c>
      <c r="Y134" s="5">
        <v>45882</v>
      </c>
      <c r="Z134" s="5">
        <v>45889</v>
      </c>
      <c r="AA134" s="5" t="s">
        <v>103</v>
      </c>
      <c r="AB134" s="5" t="s">
        <v>272</v>
      </c>
      <c r="AC134" s="5" t="s">
        <v>103</v>
      </c>
      <c r="AD134" s="5" t="s">
        <v>103</v>
      </c>
      <c r="AE134" s="5" t="s">
        <v>97</v>
      </c>
      <c r="AF134" s="5" t="s">
        <v>103</v>
      </c>
      <c r="AG134" s="5" t="s">
        <v>103</v>
      </c>
      <c r="AH134" s="5" t="s">
        <v>103</v>
      </c>
      <c r="AI134" s="5">
        <v>45882</v>
      </c>
      <c r="AJ134" s="5" t="s">
        <v>103</v>
      </c>
      <c r="AK134" s="5" t="s">
        <v>97</v>
      </c>
      <c r="AL134" s="5" t="s">
        <v>103</v>
      </c>
      <c r="AM134" s="5" t="s">
        <v>103</v>
      </c>
      <c r="AN134" s="5" t="s">
        <v>103</v>
      </c>
      <c r="AO134" s="5" t="s">
        <v>103</v>
      </c>
      <c r="AP134" s="5" t="s">
        <v>97</v>
      </c>
      <c r="AQ134" s="5" t="s">
        <v>103</v>
      </c>
      <c r="AR134" s="5" t="s">
        <v>103</v>
      </c>
      <c r="AS134" s="5" t="s">
        <v>103</v>
      </c>
      <c r="AT134" s="5"/>
      <c r="AU134" s="5"/>
      <c r="AV134" s="4" t="s">
        <v>103</v>
      </c>
      <c r="AW134" s="4" t="s">
        <v>97</v>
      </c>
      <c r="AX134" s="4" t="s">
        <v>103</v>
      </c>
      <c r="AY134" s="4" t="s">
        <v>97</v>
      </c>
      <c r="AZ134" s="4" t="s">
        <v>103</v>
      </c>
      <c r="BA134" s="4" t="s">
        <v>97</v>
      </c>
      <c r="BB134" s="5">
        <v>45890</v>
      </c>
      <c r="BC134" s="5">
        <v>45890</v>
      </c>
      <c r="BD134" s="5">
        <v>45890</v>
      </c>
      <c r="BE134" s="5">
        <v>45891</v>
      </c>
      <c r="BF134" s="5" t="s">
        <v>98</v>
      </c>
      <c r="BG134" s="5" t="s">
        <v>103</v>
      </c>
      <c r="BH134" s="5" t="s">
        <v>103</v>
      </c>
      <c r="BI134" s="5" t="s">
        <v>482</v>
      </c>
    </row>
    <row r="135" spans="1:61" x14ac:dyDescent="0.35">
      <c r="A135" s="8" t="str">
        <f t="shared" si="17"/>
        <v>Semaine 34-2025</v>
      </c>
      <c r="B135" s="8" t="str">
        <f t="shared" si="13"/>
        <v>2025</v>
      </c>
      <c r="C135" s="2" t="s">
        <v>91</v>
      </c>
      <c r="D135" s="6" t="str">
        <f t="shared" si="14"/>
        <v>Dakar</v>
      </c>
      <c r="E135" s="6">
        <f t="shared" si="15"/>
        <v>179835</v>
      </c>
      <c r="F135" s="6">
        <f t="shared" si="16"/>
        <v>4042240</v>
      </c>
      <c r="G135" s="4" t="s">
        <v>483</v>
      </c>
      <c r="H135" s="4" t="s">
        <v>486</v>
      </c>
      <c r="I135" s="4">
        <v>18</v>
      </c>
      <c r="J135" s="4" t="s">
        <v>114</v>
      </c>
      <c r="K135" s="4"/>
      <c r="L135" s="4"/>
      <c r="M135" s="4"/>
      <c r="N135" s="4"/>
      <c r="O135" s="4" t="s">
        <v>238</v>
      </c>
      <c r="P135" s="4" t="s">
        <v>97</v>
      </c>
      <c r="Q135" s="4" t="s">
        <v>97</v>
      </c>
      <c r="R135" s="14" t="s">
        <v>100</v>
      </c>
      <c r="S135" s="14" t="s">
        <v>100</v>
      </c>
      <c r="T135" s="14" t="s">
        <v>100</v>
      </c>
      <c r="U135" s="8"/>
      <c r="V135" s="14"/>
      <c r="W135" s="14"/>
      <c r="X135" t="s">
        <v>1136</v>
      </c>
      <c r="Y135" s="5">
        <v>45889</v>
      </c>
      <c r="Z135" s="5">
        <v>45891</v>
      </c>
      <c r="AA135" s="5" t="s">
        <v>103</v>
      </c>
      <c r="AB135" s="5" t="s">
        <v>303</v>
      </c>
      <c r="AC135" s="5" t="s">
        <v>103</v>
      </c>
      <c r="AD135" s="5" t="s">
        <v>97</v>
      </c>
      <c r="AE135" s="5" t="s">
        <v>97</v>
      </c>
      <c r="AF135" s="5" t="s">
        <v>103</v>
      </c>
      <c r="AG135" s="5" t="s">
        <v>103</v>
      </c>
      <c r="AH135" s="5" t="s">
        <v>103</v>
      </c>
      <c r="AI135" s="5">
        <v>45889</v>
      </c>
      <c r="AJ135" s="5" t="s">
        <v>97</v>
      </c>
      <c r="AK135" s="5" t="s">
        <v>103</v>
      </c>
      <c r="AL135" s="5" t="s">
        <v>97</v>
      </c>
      <c r="AM135" s="5" t="s">
        <v>103</v>
      </c>
      <c r="AN135" s="5" t="s">
        <v>103</v>
      </c>
      <c r="AO135" s="5" t="s">
        <v>97</v>
      </c>
      <c r="AP135" s="5" t="s">
        <v>103</v>
      </c>
      <c r="AQ135" s="5" t="s">
        <v>103</v>
      </c>
      <c r="AR135" s="5" t="s">
        <v>103</v>
      </c>
      <c r="AS135" s="5" t="s">
        <v>103</v>
      </c>
      <c r="AT135" s="5"/>
      <c r="AU135" s="5"/>
      <c r="AV135" s="4" t="s">
        <v>97</v>
      </c>
      <c r="AW135" s="4" t="s">
        <v>97</v>
      </c>
      <c r="AX135" s="4" t="s">
        <v>97</v>
      </c>
      <c r="AY135" s="4" t="s">
        <v>97</v>
      </c>
      <c r="AZ135" s="4" t="s">
        <v>103</v>
      </c>
      <c r="BA135" s="4" t="s">
        <v>97</v>
      </c>
      <c r="BB135" s="5">
        <v>45891</v>
      </c>
      <c r="BC135" s="5">
        <v>45891</v>
      </c>
      <c r="BD135" s="5">
        <v>45892</v>
      </c>
      <c r="BE135" s="5">
        <v>45894</v>
      </c>
      <c r="BF135" s="5" t="s">
        <v>98</v>
      </c>
      <c r="BG135" s="5" t="s">
        <v>97</v>
      </c>
      <c r="BH135" s="5" t="s">
        <v>103</v>
      </c>
      <c r="BI135" s="5" t="s">
        <v>115</v>
      </c>
    </row>
    <row r="136" spans="1:61" x14ac:dyDescent="0.35">
      <c r="A136" s="8" t="str">
        <f t="shared" si="17"/>
        <v>Semaine 33-2025</v>
      </c>
      <c r="B136" s="8" t="str">
        <f t="shared" si="13"/>
        <v>2025</v>
      </c>
      <c r="C136" s="2" t="s">
        <v>75</v>
      </c>
      <c r="D136" s="6" t="str">
        <f t="shared" si="14"/>
        <v>Diourbel</v>
      </c>
      <c r="E136" s="6">
        <f t="shared" si="15"/>
        <v>996481</v>
      </c>
      <c r="F136" s="6">
        <f t="shared" si="16"/>
        <v>1980827</v>
      </c>
      <c r="G136" s="4" t="s">
        <v>484</v>
      </c>
      <c r="H136" s="4" t="s">
        <v>487</v>
      </c>
      <c r="I136" s="4">
        <v>43</v>
      </c>
      <c r="J136" s="4" t="s">
        <v>96</v>
      </c>
      <c r="K136" s="4"/>
      <c r="L136" s="4"/>
      <c r="M136" s="4"/>
      <c r="N136" s="4"/>
      <c r="O136" s="4" t="s">
        <v>238</v>
      </c>
      <c r="P136" s="4" t="s">
        <v>97</v>
      </c>
      <c r="Q136" s="4" t="s">
        <v>97</v>
      </c>
      <c r="R136" s="14" t="s">
        <v>100</v>
      </c>
      <c r="S136" s="14" t="s">
        <v>100</v>
      </c>
      <c r="T136" s="14" t="s">
        <v>100</v>
      </c>
      <c r="U136" s="8"/>
      <c r="V136" s="14"/>
      <c r="W136" s="14"/>
      <c r="X136" t="s">
        <v>1137</v>
      </c>
      <c r="Y136" s="5">
        <v>45880</v>
      </c>
      <c r="Z136" s="5">
        <v>45882</v>
      </c>
      <c r="AA136" s="5" t="s">
        <v>103</v>
      </c>
      <c r="AB136" s="5" t="s">
        <v>488</v>
      </c>
      <c r="AC136" s="5" t="s">
        <v>103</v>
      </c>
      <c r="AD136" s="5" t="s">
        <v>97</v>
      </c>
      <c r="AE136" s="5" t="s">
        <v>97</v>
      </c>
      <c r="AF136" s="5" t="s">
        <v>103</v>
      </c>
      <c r="AG136" s="5" t="s">
        <v>103</v>
      </c>
      <c r="AH136" s="5" t="s">
        <v>103</v>
      </c>
      <c r="AI136" s="5">
        <v>45880</v>
      </c>
      <c r="AJ136" s="5" t="s">
        <v>97</v>
      </c>
      <c r="AK136" s="5" t="s">
        <v>97</v>
      </c>
      <c r="AL136" s="5" t="s">
        <v>103</v>
      </c>
      <c r="AM136" s="5" t="s">
        <v>103</v>
      </c>
      <c r="AN136" s="5" t="s">
        <v>97</v>
      </c>
      <c r="AO136" s="5" t="s">
        <v>97</v>
      </c>
      <c r="AP136" s="5" t="s">
        <v>97</v>
      </c>
      <c r="AQ136" s="5" t="s">
        <v>97</v>
      </c>
      <c r="AR136" s="5" t="s">
        <v>97</v>
      </c>
      <c r="AS136" s="5" t="s">
        <v>97</v>
      </c>
      <c r="AT136" s="5" t="s">
        <v>489</v>
      </c>
      <c r="AU136" s="5"/>
      <c r="AV136" s="4" t="s">
        <v>103</v>
      </c>
      <c r="AW136" s="4" t="s">
        <v>97</v>
      </c>
      <c r="AX136" s="4" t="s">
        <v>97</v>
      </c>
      <c r="AY136" s="4" t="s">
        <v>97</v>
      </c>
      <c r="AZ136" s="4" t="s">
        <v>103</v>
      </c>
      <c r="BA136" s="4" t="s">
        <v>97</v>
      </c>
      <c r="BB136" s="5">
        <v>45882</v>
      </c>
      <c r="BC136" s="5">
        <v>45883</v>
      </c>
      <c r="BD136" s="5">
        <v>45886</v>
      </c>
      <c r="BE136" s="5">
        <v>45886</v>
      </c>
      <c r="BF136" s="5" t="s">
        <v>98</v>
      </c>
      <c r="BG136" s="5" t="s">
        <v>103</v>
      </c>
      <c r="BH136" s="5" t="s">
        <v>103</v>
      </c>
      <c r="BI136" s="5" t="s">
        <v>115</v>
      </c>
    </row>
    <row r="137" spans="1:61" x14ac:dyDescent="0.35">
      <c r="A137" s="8" t="str">
        <f t="shared" si="17"/>
        <v>Semaine 27-2025</v>
      </c>
      <c r="B137" s="8" t="str">
        <f t="shared" si="13"/>
        <v>2025</v>
      </c>
      <c r="C137" s="2" t="s">
        <v>75</v>
      </c>
      <c r="D137" s="6" t="str">
        <f t="shared" si="14"/>
        <v>Diourbel</v>
      </c>
      <c r="E137" s="6">
        <f t="shared" si="15"/>
        <v>996481</v>
      </c>
      <c r="F137" s="6">
        <f t="shared" si="16"/>
        <v>1980827</v>
      </c>
      <c r="G137" s="4" t="s">
        <v>485</v>
      </c>
      <c r="H137" s="4" t="s">
        <v>490</v>
      </c>
      <c r="I137" s="4">
        <v>43</v>
      </c>
      <c r="J137" s="4" t="s">
        <v>114</v>
      </c>
      <c r="K137" s="4"/>
      <c r="L137" s="4"/>
      <c r="M137" s="4"/>
      <c r="N137" s="4"/>
      <c r="O137" s="4" t="s">
        <v>238</v>
      </c>
      <c r="P137" s="4" t="s">
        <v>97</v>
      </c>
      <c r="Q137" s="4" t="s">
        <v>97</v>
      </c>
      <c r="R137" s="14" t="s">
        <v>100</v>
      </c>
      <c r="S137" s="14" t="s">
        <v>100</v>
      </c>
      <c r="T137" s="14" t="s">
        <v>100</v>
      </c>
      <c r="U137" s="8"/>
      <c r="V137" s="14"/>
      <c r="W137" s="14"/>
      <c r="X137" t="s">
        <v>1137</v>
      </c>
      <c r="Y137" s="5">
        <v>45839</v>
      </c>
      <c r="Z137" s="5">
        <v>45893</v>
      </c>
      <c r="AA137" s="5" t="s">
        <v>97</v>
      </c>
      <c r="AB137" s="5"/>
      <c r="AC137" s="5" t="s">
        <v>103</v>
      </c>
      <c r="AD137" s="5" t="s">
        <v>97</v>
      </c>
      <c r="AE137" s="5" t="s">
        <v>97</v>
      </c>
      <c r="AF137" s="5" t="s">
        <v>103</v>
      </c>
      <c r="AG137" s="5" t="s">
        <v>103</v>
      </c>
      <c r="AH137" s="5" t="s">
        <v>103</v>
      </c>
      <c r="AI137" s="5">
        <v>45839</v>
      </c>
      <c r="AJ137" s="5" t="s">
        <v>103</v>
      </c>
      <c r="AK137" s="5" t="s">
        <v>103</v>
      </c>
      <c r="AL137" s="5" t="s">
        <v>97</v>
      </c>
      <c r="AM137" s="5" t="s">
        <v>103</v>
      </c>
      <c r="AN137" s="5" t="s">
        <v>103</v>
      </c>
      <c r="AO137" s="5" t="s">
        <v>97</v>
      </c>
      <c r="AP137" s="5" t="s">
        <v>103</v>
      </c>
      <c r="AQ137" s="5" t="s">
        <v>97</v>
      </c>
      <c r="AR137" s="5" t="s">
        <v>97</v>
      </c>
      <c r="AS137" s="5" t="s">
        <v>97</v>
      </c>
      <c r="AT137" s="5"/>
      <c r="AU137" s="5"/>
      <c r="AV137" s="4" t="s">
        <v>103</v>
      </c>
      <c r="AW137" s="4" t="s">
        <v>97</v>
      </c>
      <c r="AX137" s="4" t="s">
        <v>97</v>
      </c>
      <c r="AY137" s="4" t="s">
        <v>97</v>
      </c>
      <c r="AZ137" s="4" t="s">
        <v>97</v>
      </c>
      <c r="BA137" s="4" t="s">
        <v>97</v>
      </c>
      <c r="BB137" s="5">
        <v>45893</v>
      </c>
      <c r="BC137" s="5">
        <v>45893</v>
      </c>
      <c r="BD137" s="5">
        <v>45893</v>
      </c>
      <c r="BE137" s="5">
        <v>45893</v>
      </c>
      <c r="BF137" s="5" t="s">
        <v>98</v>
      </c>
      <c r="BG137" s="5" t="s">
        <v>97</v>
      </c>
      <c r="BH137" s="5" t="s">
        <v>103</v>
      </c>
      <c r="BI137" s="5" t="s">
        <v>115</v>
      </c>
    </row>
    <row r="138" spans="1:61" x14ac:dyDescent="0.35">
      <c r="A138" s="8" t="str">
        <f t="shared" si="17"/>
        <v>Semaine 34-2025</v>
      </c>
      <c r="B138" s="8" t="str">
        <f t="shared" si="13"/>
        <v>2025</v>
      </c>
      <c r="C138" s="2" t="s">
        <v>18</v>
      </c>
      <c r="D138" s="6" t="str">
        <f t="shared" si="14"/>
        <v>Dakar</v>
      </c>
      <c r="E138" s="6">
        <f t="shared" si="15"/>
        <v>419489</v>
      </c>
      <c r="F138" s="6">
        <f t="shared" si="16"/>
        <v>4042240</v>
      </c>
      <c r="G138" s="4" t="s">
        <v>491</v>
      </c>
      <c r="H138" s="4" t="s">
        <v>508</v>
      </c>
      <c r="I138" s="4">
        <v>17</v>
      </c>
      <c r="J138" s="4" t="s">
        <v>114</v>
      </c>
      <c r="K138" s="4"/>
      <c r="L138" s="4"/>
      <c r="M138" s="4"/>
      <c r="N138" s="4"/>
      <c r="O138" s="4" t="s">
        <v>238</v>
      </c>
      <c r="P138" s="4" t="s">
        <v>97</v>
      </c>
      <c r="Q138" s="4" t="s">
        <v>97</v>
      </c>
      <c r="R138" s="14" t="s">
        <v>100</v>
      </c>
      <c r="S138" s="14" t="s">
        <v>100</v>
      </c>
      <c r="T138" s="14" t="s">
        <v>100</v>
      </c>
      <c r="U138" s="8"/>
      <c r="V138" s="14"/>
      <c r="W138" s="14"/>
      <c r="X138" t="s">
        <v>1136</v>
      </c>
      <c r="Y138" s="5">
        <v>45890</v>
      </c>
      <c r="Z138" s="5">
        <v>45894</v>
      </c>
      <c r="AA138" s="5" t="s">
        <v>103</v>
      </c>
      <c r="AB138" s="5" t="s">
        <v>509</v>
      </c>
      <c r="AC138" s="5" t="s">
        <v>97</v>
      </c>
      <c r="AD138" s="5" t="s">
        <v>97</v>
      </c>
      <c r="AE138" s="5" t="s">
        <v>97</v>
      </c>
      <c r="AF138" s="5" t="s">
        <v>103</v>
      </c>
      <c r="AG138" s="5" t="s">
        <v>97</v>
      </c>
      <c r="AH138" s="5" t="s">
        <v>103</v>
      </c>
      <c r="AI138" s="5">
        <v>45890</v>
      </c>
      <c r="AJ138" s="5" t="s">
        <v>103</v>
      </c>
      <c r="AK138" s="5" t="s">
        <v>103</v>
      </c>
      <c r="AL138" s="5" t="s">
        <v>97</v>
      </c>
      <c r="AM138" s="5" t="s">
        <v>103</v>
      </c>
      <c r="AN138" s="5" t="s">
        <v>103</v>
      </c>
      <c r="AO138" s="5" t="s">
        <v>103</v>
      </c>
      <c r="AP138" s="5" t="s">
        <v>103</v>
      </c>
      <c r="AQ138" s="5" t="s">
        <v>97</v>
      </c>
      <c r="AR138" s="5" t="s">
        <v>97</v>
      </c>
      <c r="AS138" s="5" t="s">
        <v>103</v>
      </c>
      <c r="AT138" s="5"/>
      <c r="AU138" s="5"/>
      <c r="AV138" s="4" t="s">
        <v>103</v>
      </c>
      <c r="AW138" s="4" t="s">
        <v>97</v>
      </c>
      <c r="AX138" s="4" t="s">
        <v>97</v>
      </c>
      <c r="AY138" s="4" t="s">
        <v>97</v>
      </c>
      <c r="AZ138" s="4" t="s">
        <v>103</v>
      </c>
      <c r="BA138" s="4" t="s">
        <v>97</v>
      </c>
      <c r="BB138" s="5">
        <v>45894</v>
      </c>
      <c r="BC138" s="5">
        <v>45894</v>
      </c>
      <c r="BD138" s="5">
        <v>45894</v>
      </c>
      <c r="BE138" s="5">
        <v>45895</v>
      </c>
      <c r="BF138" s="5" t="s">
        <v>98</v>
      </c>
      <c r="BG138" s="5" t="s">
        <v>97</v>
      </c>
      <c r="BH138" s="5" t="s">
        <v>103</v>
      </c>
      <c r="BI138" s="5" t="s">
        <v>115</v>
      </c>
    </row>
    <row r="139" spans="1:61" x14ac:dyDescent="0.35">
      <c r="A139" s="8" t="str">
        <f t="shared" si="17"/>
        <v>Semaine 27-2025</v>
      </c>
      <c r="B139" s="8" t="str">
        <f t="shared" si="13"/>
        <v>2025</v>
      </c>
      <c r="C139" s="2" t="s">
        <v>20</v>
      </c>
      <c r="D139" s="6" t="str">
        <f t="shared" si="14"/>
        <v>Dakar</v>
      </c>
      <c r="E139" s="6">
        <f t="shared" si="15"/>
        <v>272276</v>
      </c>
      <c r="F139" s="6">
        <f t="shared" si="16"/>
        <v>4042240</v>
      </c>
      <c r="G139" s="4" t="s">
        <v>492</v>
      </c>
      <c r="H139" s="4" t="s">
        <v>510</v>
      </c>
      <c r="I139" s="4">
        <v>35</v>
      </c>
      <c r="J139" s="4" t="s">
        <v>114</v>
      </c>
      <c r="K139" s="4"/>
      <c r="L139" s="4"/>
      <c r="M139" s="4"/>
      <c r="N139" s="4"/>
      <c r="O139" s="4" t="s">
        <v>238</v>
      </c>
      <c r="P139" s="4" t="s">
        <v>97</v>
      </c>
      <c r="Q139" s="4" t="s">
        <v>97</v>
      </c>
      <c r="R139" s="14" t="s">
        <v>100</v>
      </c>
      <c r="S139" s="14" t="s">
        <v>100</v>
      </c>
      <c r="T139" s="14" t="s">
        <v>100</v>
      </c>
      <c r="U139" s="8"/>
      <c r="V139" s="14"/>
      <c r="W139" s="14"/>
      <c r="X139" t="s">
        <v>1136</v>
      </c>
      <c r="Y139" s="5">
        <v>45839</v>
      </c>
      <c r="Z139" s="5">
        <v>45894</v>
      </c>
      <c r="AA139" s="5" t="s">
        <v>97</v>
      </c>
      <c r="AB139" s="5"/>
      <c r="AC139" s="5" t="s">
        <v>97</v>
      </c>
      <c r="AD139" s="5" t="s">
        <v>97</v>
      </c>
      <c r="AE139" s="5" t="s">
        <v>97</v>
      </c>
      <c r="AF139" s="5" t="s">
        <v>103</v>
      </c>
      <c r="AG139" s="5" t="s">
        <v>103</v>
      </c>
      <c r="AH139" s="5" t="s">
        <v>103</v>
      </c>
      <c r="AI139" s="5">
        <v>45839</v>
      </c>
      <c r="AJ139" s="5" t="s">
        <v>103</v>
      </c>
      <c r="AK139" s="5" t="s">
        <v>97</v>
      </c>
      <c r="AL139" s="5" t="s">
        <v>103</v>
      </c>
      <c r="AM139" s="5" t="s">
        <v>97</v>
      </c>
      <c r="AN139" s="5" t="s">
        <v>103</v>
      </c>
      <c r="AO139" s="5" t="s">
        <v>103</v>
      </c>
      <c r="AP139" s="5" t="s">
        <v>103</v>
      </c>
      <c r="AQ139" s="5" t="s">
        <v>97</v>
      </c>
      <c r="AR139" s="5" t="s">
        <v>97</v>
      </c>
      <c r="AS139" s="5" t="s">
        <v>103</v>
      </c>
      <c r="AT139" s="5"/>
      <c r="AU139" s="5" t="s">
        <v>511</v>
      </c>
      <c r="AV139" s="4" t="s">
        <v>103</v>
      </c>
      <c r="AW139" s="4" t="s">
        <v>97</v>
      </c>
      <c r="AX139" s="4" t="s">
        <v>97</v>
      </c>
      <c r="AY139" s="4" t="s">
        <v>97</v>
      </c>
      <c r="AZ139" s="4" t="s">
        <v>103</v>
      </c>
      <c r="BA139" s="4" t="s">
        <v>97</v>
      </c>
      <c r="BB139" s="5">
        <v>45894</v>
      </c>
      <c r="BC139" s="5">
        <v>45894</v>
      </c>
      <c r="BD139" s="5">
        <v>45894</v>
      </c>
      <c r="BE139" s="5">
        <v>45895</v>
      </c>
      <c r="BF139" s="5" t="s">
        <v>98</v>
      </c>
      <c r="BG139" s="5" t="s">
        <v>97</v>
      </c>
      <c r="BH139" s="5" t="s">
        <v>103</v>
      </c>
      <c r="BI139" s="5" t="s">
        <v>115</v>
      </c>
    </row>
    <row r="140" spans="1:61" x14ac:dyDescent="0.35">
      <c r="A140" s="8" t="str">
        <f t="shared" si="17"/>
        <v>Semaine 34-2025</v>
      </c>
      <c r="B140" s="8" t="str">
        <f t="shared" si="13"/>
        <v>2025</v>
      </c>
      <c r="C140" s="2" t="s">
        <v>31</v>
      </c>
      <c r="D140" s="6" t="str">
        <f t="shared" si="14"/>
        <v>Dakar</v>
      </c>
      <c r="E140" s="6">
        <f t="shared" si="15"/>
        <v>424760</v>
      </c>
      <c r="F140" s="6">
        <f t="shared" si="16"/>
        <v>4042240</v>
      </c>
      <c r="G140" s="4" t="s">
        <v>493</v>
      </c>
      <c r="H140" s="4" t="s">
        <v>512</v>
      </c>
      <c r="I140" s="4">
        <v>95</v>
      </c>
      <c r="J140" s="4" t="s">
        <v>96</v>
      </c>
      <c r="K140" s="4"/>
      <c r="L140" s="4"/>
      <c r="M140" s="4"/>
      <c r="N140" s="4"/>
      <c r="O140" s="4" t="s">
        <v>238</v>
      </c>
      <c r="P140" s="4" t="s">
        <v>97</v>
      </c>
      <c r="Q140" s="4" t="s">
        <v>97</v>
      </c>
      <c r="R140" s="14" t="s">
        <v>100</v>
      </c>
      <c r="S140" s="14" t="s">
        <v>100</v>
      </c>
      <c r="T140" s="14" t="s">
        <v>100</v>
      </c>
      <c r="U140" s="8"/>
      <c r="V140" s="14"/>
      <c r="W140" s="14"/>
      <c r="X140" t="s">
        <v>1136</v>
      </c>
      <c r="Y140" s="5">
        <v>45889</v>
      </c>
      <c r="Z140" s="5">
        <v>45894</v>
      </c>
      <c r="AA140" s="5" t="s">
        <v>103</v>
      </c>
      <c r="AB140" s="5" t="s">
        <v>513</v>
      </c>
      <c r="AC140" s="5" t="s">
        <v>97</v>
      </c>
      <c r="AD140" s="5" t="s">
        <v>97</v>
      </c>
      <c r="AE140" s="5" t="s">
        <v>97</v>
      </c>
      <c r="AF140" s="5" t="s">
        <v>103</v>
      </c>
      <c r="AG140" s="5" t="s">
        <v>103</v>
      </c>
      <c r="AH140" s="5" t="s">
        <v>103</v>
      </c>
      <c r="AI140" s="5">
        <v>45893</v>
      </c>
      <c r="AJ140" s="5" t="s">
        <v>97</v>
      </c>
      <c r="AK140" s="5" t="s">
        <v>97</v>
      </c>
      <c r="AL140" s="5" t="s">
        <v>103</v>
      </c>
      <c r="AM140" s="5" t="s">
        <v>97</v>
      </c>
      <c r="AN140" s="5" t="s">
        <v>103</v>
      </c>
      <c r="AO140" s="5" t="s">
        <v>97</v>
      </c>
      <c r="AP140" s="5" t="s">
        <v>97</v>
      </c>
      <c r="AQ140" s="5" t="s">
        <v>97</v>
      </c>
      <c r="AR140" s="5" t="s">
        <v>97</v>
      </c>
      <c r="AS140" s="5" t="s">
        <v>97</v>
      </c>
      <c r="AT140" s="5"/>
      <c r="AU140" s="5"/>
      <c r="AV140" s="4" t="s">
        <v>103</v>
      </c>
      <c r="AW140" s="4" t="s">
        <v>97</v>
      </c>
      <c r="AX140" s="4" t="s">
        <v>97</v>
      </c>
      <c r="AY140" s="4" t="s">
        <v>97</v>
      </c>
      <c r="AZ140" s="4" t="s">
        <v>97</v>
      </c>
      <c r="BA140" s="4" t="s">
        <v>97</v>
      </c>
      <c r="BB140" s="5">
        <v>45894</v>
      </c>
      <c r="BC140" s="5">
        <v>45894</v>
      </c>
      <c r="BD140" s="5">
        <v>45894</v>
      </c>
      <c r="BE140" s="5">
        <v>45895</v>
      </c>
      <c r="BF140" s="5" t="s">
        <v>98</v>
      </c>
      <c r="BG140" s="5" t="s">
        <v>97</v>
      </c>
      <c r="BH140" s="5" t="s">
        <v>103</v>
      </c>
      <c r="BI140" s="5" t="s">
        <v>115</v>
      </c>
    </row>
    <row r="141" spans="1:61" x14ac:dyDescent="0.35">
      <c r="A141" s="8" t="str">
        <f t="shared" si="17"/>
        <v>Semaine 34-2025</v>
      </c>
      <c r="B141" s="8" t="str">
        <f t="shared" si="13"/>
        <v>2025</v>
      </c>
      <c r="C141" s="2" t="s">
        <v>31</v>
      </c>
      <c r="D141" s="6" t="str">
        <f t="shared" si="14"/>
        <v>Dakar</v>
      </c>
      <c r="E141" s="6">
        <f t="shared" si="15"/>
        <v>424760</v>
      </c>
      <c r="F141" s="6">
        <f t="shared" si="16"/>
        <v>4042240</v>
      </c>
      <c r="G141" s="4" t="s">
        <v>494</v>
      </c>
      <c r="H141" s="4" t="s">
        <v>514</v>
      </c>
      <c r="I141" s="4">
        <v>5</v>
      </c>
      <c r="J141" s="4" t="s">
        <v>96</v>
      </c>
      <c r="K141" s="4"/>
      <c r="L141" s="4"/>
      <c r="M141" s="4"/>
      <c r="N141" s="4"/>
      <c r="O141" s="4" t="s">
        <v>238</v>
      </c>
      <c r="P141" s="4" t="s">
        <v>97</v>
      </c>
      <c r="Q141" s="4" t="s">
        <v>97</v>
      </c>
      <c r="R141" s="14" t="s">
        <v>100</v>
      </c>
      <c r="S141" s="14" t="s">
        <v>100</v>
      </c>
      <c r="T141" s="14" t="s">
        <v>100</v>
      </c>
      <c r="U141" s="8"/>
      <c r="V141" s="14"/>
      <c r="W141" s="14"/>
      <c r="X141" t="s">
        <v>1135</v>
      </c>
      <c r="Y141" s="5">
        <v>45889</v>
      </c>
      <c r="Z141" s="5">
        <v>45894</v>
      </c>
      <c r="AA141" s="5" t="s">
        <v>97</v>
      </c>
      <c r="AB141" s="5" t="s">
        <v>515</v>
      </c>
      <c r="AC141" s="5" t="s">
        <v>103</v>
      </c>
      <c r="AD141" s="5" t="s">
        <v>97</v>
      </c>
      <c r="AE141" s="5" t="s">
        <v>97</v>
      </c>
      <c r="AF141" s="5" t="s">
        <v>97</v>
      </c>
      <c r="AG141" s="5" t="s">
        <v>97</v>
      </c>
      <c r="AH141" s="5" t="s">
        <v>103</v>
      </c>
      <c r="AI141" s="5">
        <v>45889</v>
      </c>
      <c r="AJ141" s="5" t="s">
        <v>103</v>
      </c>
      <c r="AK141" s="5" t="s">
        <v>97</v>
      </c>
      <c r="AL141" s="5" t="s">
        <v>103</v>
      </c>
      <c r="AM141" s="5" t="s">
        <v>97</v>
      </c>
      <c r="AN141" s="5" t="s">
        <v>103</v>
      </c>
      <c r="AO141" s="5" t="s">
        <v>97</v>
      </c>
      <c r="AP141" s="5" t="s">
        <v>97</v>
      </c>
      <c r="AQ141" s="5" t="s">
        <v>97</v>
      </c>
      <c r="AR141" s="5" t="s">
        <v>97</v>
      </c>
      <c r="AS141" s="5" t="s">
        <v>103</v>
      </c>
      <c r="AT141" s="5"/>
      <c r="AU141" s="5"/>
      <c r="AV141" s="4" t="s">
        <v>103</v>
      </c>
      <c r="AW141" s="4" t="s">
        <v>97</v>
      </c>
      <c r="AX141" s="4" t="s">
        <v>97</v>
      </c>
      <c r="AY141" s="4" t="s">
        <v>97</v>
      </c>
      <c r="AZ141" s="4" t="s">
        <v>97</v>
      </c>
      <c r="BA141" s="4" t="s">
        <v>97</v>
      </c>
      <c r="BB141" s="5">
        <v>45894</v>
      </c>
      <c r="BC141" s="5">
        <v>45895</v>
      </c>
      <c r="BD141" s="5">
        <v>45895</v>
      </c>
      <c r="BE141" s="5">
        <v>45895</v>
      </c>
      <c r="BF141" s="5" t="s">
        <v>98</v>
      </c>
      <c r="BG141" s="5" t="s">
        <v>97</v>
      </c>
      <c r="BH141" s="5" t="s">
        <v>103</v>
      </c>
      <c r="BI141" s="5" t="s">
        <v>115</v>
      </c>
    </row>
    <row r="142" spans="1:61" x14ac:dyDescent="0.35">
      <c r="A142" s="8" t="str">
        <f t="shared" si="17"/>
        <v>Semaine 33-2025</v>
      </c>
      <c r="B142" s="8" t="str">
        <f t="shared" si="13"/>
        <v>2025</v>
      </c>
      <c r="C142" s="2" t="s">
        <v>23</v>
      </c>
      <c r="D142" s="6" t="str">
        <f t="shared" si="14"/>
        <v>Dakar</v>
      </c>
      <c r="E142" s="6">
        <f t="shared" si="15"/>
        <v>167577</v>
      </c>
      <c r="F142" s="6">
        <f t="shared" si="16"/>
        <v>4042240</v>
      </c>
      <c r="G142" s="4" t="s">
        <v>495</v>
      </c>
      <c r="H142" s="4" t="s">
        <v>516</v>
      </c>
      <c r="I142" s="4">
        <v>13</v>
      </c>
      <c r="J142" s="4" t="s">
        <v>114</v>
      </c>
      <c r="K142" s="4"/>
      <c r="L142" s="4"/>
      <c r="M142" s="4"/>
      <c r="N142" s="4"/>
      <c r="O142" s="4" t="s">
        <v>238</v>
      </c>
      <c r="P142" s="4" t="s">
        <v>97</v>
      </c>
      <c r="Q142" s="4" t="s">
        <v>97</v>
      </c>
      <c r="R142" s="14" t="s">
        <v>100</v>
      </c>
      <c r="S142" s="14" t="s">
        <v>100</v>
      </c>
      <c r="T142" s="14" t="s">
        <v>100</v>
      </c>
      <c r="U142" s="8"/>
      <c r="V142" s="14"/>
      <c r="W142" s="14"/>
      <c r="X142" t="s">
        <v>1136</v>
      </c>
      <c r="Y142" s="5">
        <v>45883</v>
      </c>
      <c r="Z142" s="5">
        <v>45895</v>
      </c>
      <c r="AA142" s="5" t="s">
        <v>103</v>
      </c>
      <c r="AB142" s="5"/>
      <c r="AC142" s="5" t="s">
        <v>97</v>
      </c>
      <c r="AD142" s="5" t="s">
        <v>97</v>
      </c>
      <c r="AE142" s="5" t="s">
        <v>97</v>
      </c>
      <c r="AF142" s="5" t="s">
        <v>103</v>
      </c>
      <c r="AG142" s="5" t="s">
        <v>103</v>
      </c>
      <c r="AH142" s="5" t="s">
        <v>103</v>
      </c>
      <c r="AI142" s="5">
        <v>45889</v>
      </c>
      <c r="AJ142" s="5" t="s">
        <v>97</v>
      </c>
      <c r="AK142" s="5" t="s">
        <v>97</v>
      </c>
      <c r="AL142" s="5" t="s">
        <v>103</v>
      </c>
      <c r="AM142" s="5" t="s">
        <v>103</v>
      </c>
      <c r="AN142" s="5" t="s">
        <v>103</v>
      </c>
      <c r="AO142" s="5" t="s">
        <v>97</v>
      </c>
      <c r="AP142" s="5" t="s">
        <v>97</v>
      </c>
      <c r="AQ142" s="5" t="s">
        <v>97</v>
      </c>
      <c r="AR142" s="5" t="s">
        <v>97</v>
      </c>
      <c r="AS142" s="5" t="s">
        <v>97</v>
      </c>
      <c r="AT142" s="5" t="s">
        <v>517</v>
      </c>
      <c r="AU142" s="5"/>
      <c r="AV142" s="4" t="s">
        <v>97</v>
      </c>
      <c r="AW142" s="4" t="s">
        <v>97</v>
      </c>
      <c r="AX142" s="4" t="s">
        <v>97</v>
      </c>
      <c r="AY142" s="4" t="s">
        <v>97</v>
      </c>
      <c r="AZ142" s="4" t="s">
        <v>103</v>
      </c>
      <c r="BA142" s="4" t="s">
        <v>97</v>
      </c>
      <c r="BB142" s="5">
        <v>45895</v>
      </c>
      <c r="BC142" s="5">
        <v>45895</v>
      </c>
      <c r="BD142" s="5">
        <v>45895</v>
      </c>
      <c r="BE142" s="5">
        <v>45895</v>
      </c>
      <c r="BF142" s="5" t="s">
        <v>98</v>
      </c>
      <c r="BG142" s="5" t="s">
        <v>97</v>
      </c>
      <c r="BH142" s="5" t="s">
        <v>103</v>
      </c>
      <c r="BI142" s="5" t="s">
        <v>115</v>
      </c>
    </row>
    <row r="143" spans="1:61" x14ac:dyDescent="0.35">
      <c r="A143" s="8" t="str">
        <f t="shared" si="17"/>
        <v>Semaine 33-2025</v>
      </c>
      <c r="B143" s="8" t="str">
        <f t="shared" si="13"/>
        <v>2025</v>
      </c>
      <c r="C143" s="2" t="s">
        <v>75</v>
      </c>
      <c r="D143" s="6" t="str">
        <f t="shared" si="14"/>
        <v>Diourbel</v>
      </c>
      <c r="E143" s="6">
        <f t="shared" si="15"/>
        <v>996481</v>
      </c>
      <c r="F143" s="6">
        <f t="shared" si="16"/>
        <v>1980827</v>
      </c>
      <c r="G143" s="4" t="s">
        <v>496</v>
      </c>
      <c r="H143" s="9" t="s">
        <v>518</v>
      </c>
      <c r="I143" s="8">
        <v>60</v>
      </c>
      <c r="J143" s="8" t="s">
        <v>96</v>
      </c>
      <c r="K143" s="8"/>
      <c r="L143" s="8"/>
      <c r="M143" s="8"/>
      <c r="N143" s="8"/>
      <c r="O143" s="4" t="s">
        <v>238</v>
      </c>
      <c r="P143" s="4" t="s">
        <v>97</v>
      </c>
      <c r="Q143" s="4" t="s">
        <v>97</v>
      </c>
      <c r="R143" s="14" t="s">
        <v>100</v>
      </c>
      <c r="S143" s="14" t="s">
        <v>100</v>
      </c>
      <c r="T143" s="14" t="s">
        <v>100</v>
      </c>
      <c r="U143" s="8"/>
      <c r="V143" s="14"/>
      <c r="W143" s="14"/>
      <c r="X143" s="14"/>
      <c r="Y143" s="5">
        <v>45882</v>
      </c>
      <c r="Z143" s="5">
        <v>45889</v>
      </c>
      <c r="AA143" s="5" t="s">
        <v>103</v>
      </c>
      <c r="AB143" s="5" t="s">
        <v>272</v>
      </c>
      <c r="AC143" s="5" t="s">
        <v>97</v>
      </c>
      <c r="AD143" s="5" t="s">
        <v>103</v>
      </c>
      <c r="AE143" s="5" t="s">
        <v>97</v>
      </c>
      <c r="AF143" s="5" t="s">
        <v>103</v>
      </c>
      <c r="AG143" s="5" t="s">
        <v>97</v>
      </c>
      <c r="AH143" s="5" t="s">
        <v>103</v>
      </c>
      <c r="AI143" s="5">
        <v>45882</v>
      </c>
      <c r="AJ143" s="5" t="s">
        <v>97</v>
      </c>
      <c r="AK143" s="5" t="s">
        <v>97</v>
      </c>
      <c r="AL143" s="5" t="s">
        <v>103</v>
      </c>
      <c r="AM143" s="5" t="s">
        <v>103</v>
      </c>
      <c r="AN143" s="5" t="s">
        <v>103</v>
      </c>
      <c r="AO143" s="5" t="s">
        <v>97</v>
      </c>
      <c r="AP143" s="5" t="s">
        <v>97</v>
      </c>
      <c r="AQ143" s="5" t="s">
        <v>97</v>
      </c>
      <c r="AR143" s="5" t="s">
        <v>97</v>
      </c>
      <c r="AS143" s="5" t="s">
        <v>97</v>
      </c>
      <c r="AT143" s="5"/>
      <c r="AU143" s="5" t="s">
        <v>519</v>
      </c>
      <c r="AV143" s="4" t="s">
        <v>103</v>
      </c>
      <c r="AW143" s="4" t="s">
        <v>97</v>
      </c>
      <c r="AX143" s="4" t="s">
        <v>97</v>
      </c>
      <c r="AY143" s="4" t="s">
        <v>97</v>
      </c>
      <c r="AZ143" s="4" t="s">
        <v>103</v>
      </c>
      <c r="BA143" s="4" t="s">
        <v>97</v>
      </c>
      <c r="BB143" s="5">
        <v>45895</v>
      </c>
      <c r="BC143" s="5">
        <v>45895</v>
      </c>
      <c r="BD143" s="5">
        <v>45895</v>
      </c>
      <c r="BE143" s="5">
        <v>45895</v>
      </c>
      <c r="BF143" s="5" t="s">
        <v>98</v>
      </c>
      <c r="BG143" s="4" t="s">
        <v>97</v>
      </c>
      <c r="BH143" s="5" t="s">
        <v>103</v>
      </c>
      <c r="BI143" s="4" t="s">
        <v>115</v>
      </c>
    </row>
    <row r="144" spans="1:61" x14ac:dyDescent="0.35">
      <c r="A144" s="8" t="str">
        <f t="shared" si="17"/>
        <v>Semaine 34-2025</v>
      </c>
      <c r="B144" s="8" t="str">
        <f t="shared" si="13"/>
        <v>2025</v>
      </c>
      <c r="C144" s="2" t="s">
        <v>75</v>
      </c>
      <c r="D144" s="6" t="str">
        <f t="shared" si="14"/>
        <v>Diourbel</v>
      </c>
      <c r="E144" s="6">
        <f t="shared" si="15"/>
        <v>996481</v>
      </c>
      <c r="F144" s="6">
        <f t="shared" si="16"/>
        <v>1980827</v>
      </c>
      <c r="G144" s="4" t="s">
        <v>497</v>
      </c>
      <c r="H144" s="9" t="s">
        <v>520</v>
      </c>
      <c r="I144" s="8">
        <v>67</v>
      </c>
      <c r="J144" s="8" t="s">
        <v>114</v>
      </c>
      <c r="K144" s="8"/>
      <c r="L144" s="8"/>
      <c r="M144" s="8"/>
      <c r="N144" s="8"/>
      <c r="O144" s="4" t="s">
        <v>238</v>
      </c>
      <c r="P144" s="4" t="s">
        <v>97</v>
      </c>
      <c r="Q144" s="4" t="s">
        <v>97</v>
      </c>
      <c r="R144" s="14" t="s">
        <v>100</v>
      </c>
      <c r="S144" s="14" t="s">
        <v>100</v>
      </c>
      <c r="T144" s="14" t="s">
        <v>100</v>
      </c>
      <c r="U144" s="8"/>
      <c r="V144" s="14"/>
      <c r="W144" s="14"/>
      <c r="X144" s="14"/>
      <c r="Y144" s="5">
        <v>45893</v>
      </c>
      <c r="Z144" s="5">
        <v>45894</v>
      </c>
      <c r="AA144" s="5" t="s">
        <v>103</v>
      </c>
      <c r="AB144" s="5" t="s">
        <v>477</v>
      </c>
      <c r="AC144" s="5" t="s">
        <v>97</v>
      </c>
      <c r="AD144" s="5" t="s">
        <v>103</v>
      </c>
      <c r="AE144" s="5" t="s">
        <v>97</v>
      </c>
      <c r="AF144" s="5" t="s">
        <v>97</v>
      </c>
      <c r="AG144" s="5" t="s">
        <v>97</v>
      </c>
      <c r="AH144" s="5" t="s">
        <v>103</v>
      </c>
      <c r="AI144" s="5">
        <v>45893</v>
      </c>
      <c r="AJ144" s="5" t="s">
        <v>97</v>
      </c>
      <c r="AK144" s="5" t="s">
        <v>97</v>
      </c>
      <c r="AL144" s="5" t="s">
        <v>103</v>
      </c>
      <c r="AM144" s="5" t="s">
        <v>103</v>
      </c>
      <c r="AN144" s="5" t="s">
        <v>103</v>
      </c>
      <c r="AO144" s="5" t="s">
        <v>97</v>
      </c>
      <c r="AP144" s="5" t="s">
        <v>97</v>
      </c>
      <c r="AQ144" s="5" t="s">
        <v>97</v>
      </c>
      <c r="AR144" s="5" t="s">
        <v>97</v>
      </c>
      <c r="AS144" s="5" t="s">
        <v>97</v>
      </c>
      <c r="AT144" s="5"/>
      <c r="AU144" s="5" t="s">
        <v>519</v>
      </c>
      <c r="AV144" s="4" t="s">
        <v>103</v>
      </c>
      <c r="AW144" s="4" t="s">
        <v>97</v>
      </c>
      <c r="AX144" s="4" t="s">
        <v>97</v>
      </c>
      <c r="AY144" s="4" t="s">
        <v>97</v>
      </c>
      <c r="AZ144" s="4" t="s">
        <v>103</v>
      </c>
      <c r="BA144" s="4" t="s">
        <v>97</v>
      </c>
      <c r="BB144" s="5">
        <v>45894</v>
      </c>
      <c r="BC144" s="5">
        <v>45895</v>
      </c>
      <c r="BD144" s="5">
        <v>45895</v>
      </c>
      <c r="BE144" s="5">
        <v>45895</v>
      </c>
      <c r="BF144" s="5" t="s">
        <v>98</v>
      </c>
      <c r="BG144" s="4" t="s">
        <v>103</v>
      </c>
      <c r="BH144" s="5" t="s">
        <v>103</v>
      </c>
      <c r="BI144" s="4" t="s">
        <v>115</v>
      </c>
    </row>
    <row r="145" spans="1:61" x14ac:dyDescent="0.35">
      <c r="A145" s="8" t="str">
        <f t="shared" si="17"/>
        <v>Semaine 33-2025</v>
      </c>
      <c r="B145" s="8" t="str">
        <f t="shared" si="13"/>
        <v>2025</v>
      </c>
      <c r="C145" s="2" t="s">
        <v>31</v>
      </c>
      <c r="D145" s="6" t="str">
        <f t="shared" si="14"/>
        <v>Dakar</v>
      </c>
      <c r="E145" s="6">
        <f t="shared" si="15"/>
        <v>424760</v>
      </c>
      <c r="F145" s="6">
        <f t="shared" si="16"/>
        <v>4042240</v>
      </c>
      <c r="G145" s="4" t="s">
        <v>498</v>
      </c>
      <c r="H145" s="9" t="s">
        <v>521</v>
      </c>
      <c r="I145" s="9">
        <v>22</v>
      </c>
      <c r="J145" s="9" t="s">
        <v>114</v>
      </c>
      <c r="K145" s="9"/>
      <c r="L145" s="9"/>
      <c r="M145" s="9"/>
      <c r="N145" s="9"/>
      <c r="O145" s="4" t="s">
        <v>238</v>
      </c>
      <c r="P145" s="4" t="s">
        <v>97</v>
      </c>
      <c r="Q145" s="4" t="s">
        <v>97</v>
      </c>
      <c r="R145" s="14" t="s">
        <v>100</v>
      </c>
      <c r="S145" s="14" t="s">
        <v>100</v>
      </c>
      <c r="T145" s="14" t="s">
        <v>100</v>
      </c>
      <c r="U145" s="8"/>
      <c r="V145" s="14"/>
      <c r="W145" s="14"/>
      <c r="X145" s="14"/>
      <c r="Y145" s="5">
        <v>45881</v>
      </c>
      <c r="Z145" s="5">
        <v>45894</v>
      </c>
      <c r="AA145" s="5" t="s">
        <v>103</v>
      </c>
      <c r="AB145" s="5" t="s">
        <v>272</v>
      </c>
      <c r="AC145" s="5" t="s">
        <v>97</v>
      </c>
      <c r="AD145" s="5" t="s">
        <v>103</v>
      </c>
      <c r="AE145" s="5" t="s">
        <v>97</v>
      </c>
      <c r="AF145" s="5" t="s">
        <v>97</v>
      </c>
      <c r="AG145" s="5" t="s">
        <v>97</v>
      </c>
      <c r="AH145" s="5" t="s">
        <v>103</v>
      </c>
      <c r="AI145" s="5">
        <v>45881</v>
      </c>
      <c r="AJ145" s="5" t="s">
        <v>103</v>
      </c>
      <c r="AK145" s="5" t="s">
        <v>103</v>
      </c>
      <c r="AL145" s="5" t="s">
        <v>103</v>
      </c>
      <c r="AM145" s="5" t="s">
        <v>97</v>
      </c>
      <c r="AN145" s="5" t="s">
        <v>103</v>
      </c>
      <c r="AO145" s="5" t="s">
        <v>97</v>
      </c>
      <c r="AP145" s="5" t="s">
        <v>97</v>
      </c>
      <c r="AQ145" s="5" t="s">
        <v>97</v>
      </c>
      <c r="AR145" s="5" t="s">
        <v>97</v>
      </c>
      <c r="AS145" s="5" t="s">
        <v>97</v>
      </c>
      <c r="AT145" s="5"/>
      <c r="AU145" s="5" t="s">
        <v>522</v>
      </c>
      <c r="AV145" s="4" t="s">
        <v>103</v>
      </c>
      <c r="AW145" s="4" t="s">
        <v>97</v>
      </c>
      <c r="AX145" s="4" t="s">
        <v>97</v>
      </c>
      <c r="AY145" s="4" t="s">
        <v>97</v>
      </c>
      <c r="AZ145" s="4" t="s">
        <v>103</v>
      </c>
      <c r="BA145" s="4" t="s">
        <v>97</v>
      </c>
      <c r="BB145" s="5">
        <v>45895</v>
      </c>
      <c r="BC145" s="5">
        <v>45895</v>
      </c>
      <c r="BD145" s="5">
        <v>45895</v>
      </c>
      <c r="BE145" s="5">
        <v>45895</v>
      </c>
      <c r="BF145" s="5" t="s">
        <v>98</v>
      </c>
      <c r="BG145" s="4" t="s">
        <v>103</v>
      </c>
      <c r="BH145" s="5" t="s">
        <v>103</v>
      </c>
      <c r="BI145" s="4" t="s">
        <v>115</v>
      </c>
    </row>
    <row r="146" spans="1:61" x14ac:dyDescent="0.35">
      <c r="A146" s="8" t="str">
        <f t="shared" si="17"/>
        <v>Semaine 34-2025</v>
      </c>
      <c r="B146" s="8" t="str">
        <f t="shared" si="13"/>
        <v>2025</v>
      </c>
      <c r="C146" s="2" t="s">
        <v>75</v>
      </c>
      <c r="D146" s="6" t="str">
        <f t="shared" si="14"/>
        <v>Diourbel</v>
      </c>
      <c r="E146" s="6">
        <f t="shared" si="15"/>
        <v>996481</v>
      </c>
      <c r="F146" s="6">
        <f t="shared" si="16"/>
        <v>1980827</v>
      </c>
      <c r="G146" s="4" t="s">
        <v>524</v>
      </c>
      <c r="H146" s="9" t="s">
        <v>525</v>
      </c>
      <c r="I146" s="9">
        <v>22</v>
      </c>
      <c r="J146" s="9" t="s">
        <v>96</v>
      </c>
      <c r="K146" s="9"/>
      <c r="L146" s="9"/>
      <c r="M146" s="9"/>
      <c r="N146" s="9"/>
      <c r="O146" s="4" t="s">
        <v>238</v>
      </c>
      <c r="P146" s="4" t="s">
        <v>97</v>
      </c>
      <c r="Q146" s="4" t="s">
        <v>97</v>
      </c>
      <c r="R146" s="14" t="s">
        <v>100</v>
      </c>
      <c r="S146" s="14" t="s">
        <v>100</v>
      </c>
      <c r="T146" s="14" t="s">
        <v>100</v>
      </c>
      <c r="U146" s="8"/>
      <c r="V146" s="14"/>
      <c r="W146" s="14"/>
      <c r="X146" s="14"/>
      <c r="Y146" s="5">
        <v>45890</v>
      </c>
      <c r="Z146" s="5">
        <v>45894</v>
      </c>
      <c r="AA146" s="5" t="s">
        <v>103</v>
      </c>
      <c r="AB146" s="5" t="s">
        <v>272</v>
      </c>
      <c r="AC146" s="5" t="s">
        <v>97</v>
      </c>
      <c r="AD146" s="5" t="s">
        <v>97</v>
      </c>
      <c r="AE146" s="5" t="s">
        <v>97</v>
      </c>
      <c r="AF146" s="5" t="s">
        <v>97</v>
      </c>
      <c r="AG146" s="5" t="s">
        <v>103</v>
      </c>
      <c r="AH146" s="5" t="s">
        <v>103</v>
      </c>
      <c r="AI146" s="5">
        <v>45890</v>
      </c>
      <c r="AJ146" s="5" t="s">
        <v>97</v>
      </c>
      <c r="AK146" s="5" t="s">
        <v>97</v>
      </c>
      <c r="AL146" s="5" t="s">
        <v>103</v>
      </c>
      <c r="AM146" s="5" t="s">
        <v>97</v>
      </c>
      <c r="AN146" s="5" t="s">
        <v>103</v>
      </c>
      <c r="AO146" s="5" t="s">
        <v>97</v>
      </c>
      <c r="AP146" s="5" t="s">
        <v>97</v>
      </c>
      <c r="AQ146" s="5" t="s">
        <v>97</v>
      </c>
      <c r="AR146" s="5" t="s">
        <v>97</v>
      </c>
      <c r="AS146" s="5" t="s">
        <v>97</v>
      </c>
      <c r="AT146" s="5"/>
      <c r="AU146" s="5"/>
      <c r="AV146" s="4" t="s">
        <v>103</v>
      </c>
      <c r="AW146" s="4" t="s">
        <v>97</v>
      </c>
      <c r="AX146" s="4" t="s">
        <v>97</v>
      </c>
      <c r="AY146" s="4" t="s">
        <v>97</v>
      </c>
      <c r="AZ146" s="4" t="s">
        <v>97</v>
      </c>
      <c r="BA146" s="4" t="s">
        <v>97</v>
      </c>
      <c r="BB146" s="5">
        <v>45894</v>
      </c>
      <c r="BC146" s="5">
        <v>45895</v>
      </c>
      <c r="BD146" s="5">
        <v>45895</v>
      </c>
      <c r="BE146" s="5">
        <v>45895</v>
      </c>
      <c r="BF146" s="5" t="s">
        <v>98</v>
      </c>
      <c r="BG146" s="4" t="s">
        <v>97</v>
      </c>
      <c r="BH146" s="5" t="s">
        <v>103</v>
      </c>
      <c r="BI146" s="4" t="s">
        <v>115</v>
      </c>
    </row>
    <row r="147" spans="1:61" x14ac:dyDescent="0.35">
      <c r="A147" s="8" t="str">
        <f t="shared" si="17"/>
        <v>Semaine 34-2025</v>
      </c>
      <c r="B147" s="8" t="str">
        <f t="shared" si="13"/>
        <v>2025</v>
      </c>
      <c r="C147" s="2" t="s">
        <v>18</v>
      </c>
      <c r="D147" s="6" t="str">
        <f t="shared" si="14"/>
        <v>Dakar</v>
      </c>
      <c r="E147" s="6">
        <f t="shared" si="15"/>
        <v>419489</v>
      </c>
      <c r="F147" s="6">
        <f t="shared" si="16"/>
        <v>4042240</v>
      </c>
      <c r="G147" s="4" t="s">
        <v>499</v>
      </c>
      <c r="H147" s="9" t="s">
        <v>526</v>
      </c>
      <c r="I147" s="9">
        <v>21</v>
      </c>
      <c r="J147" s="9" t="s">
        <v>114</v>
      </c>
      <c r="K147" s="9"/>
      <c r="L147" s="9"/>
      <c r="M147" s="9"/>
      <c r="N147" s="9"/>
      <c r="O147" s="4" t="s">
        <v>238</v>
      </c>
      <c r="P147" s="4" t="s">
        <v>97</v>
      </c>
      <c r="Q147" s="4" t="s">
        <v>97</v>
      </c>
      <c r="R147" s="14" t="s">
        <v>100</v>
      </c>
      <c r="S147" s="14" t="s">
        <v>100</v>
      </c>
      <c r="T147" s="14" t="s">
        <v>100</v>
      </c>
      <c r="U147" s="8"/>
      <c r="V147" s="14"/>
      <c r="W147" s="14"/>
      <c r="X147" s="14"/>
      <c r="Y147" s="5">
        <v>45893</v>
      </c>
      <c r="Z147" s="5">
        <v>45895</v>
      </c>
      <c r="AA147" s="5" t="s">
        <v>103</v>
      </c>
      <c r="AB147" s="5"/>
      <c r="AC147" s="5" t="s">
        <v>97</v>
      </c>
      <c r="AD147" s="5" t="s">
        <v>97</v>
      </c>
      <c r="AE147" s="5" t="s">
        <v>97</v>
      </c>
      <c r="AF147" s="5" t="s">
        <v>97</v>
      </c>
      <c r="AG147" s="5" t="s">
        <v>97</v>
      </c>
      <c r="AH147" s="5" t="s">
        <v>103</v>
      </c>
      <c r="AI147" s="5">
        <v>45893</v>
      </c>
      <c r="AJ147" s="5" t="s">
        <v>103</v>
      </c>
      <c r="AK147" s="5" t="s">
        <v>103</v>
      </c>
      <c r="AL147" s="5" t="s">
        <v>97</v>
      </c>
      <c r="AM147" s="5" t="s">
        <v>103</v>
      </c>
      <c r="AN147" s="5" t="s">
        <v>103</v>
      </c>
      <c r="AO147" s="5" t="s">
        <v>97</v>
      </c>
      <c r="AP147" s="5" t="s">
        <v>97</v>
      </c>
      <c r="AQ147" s="5" t="s">
        <v>103</v>
      </c>
      <c r="AR147" s="5" t="s">
        <v>97</v>
      </c>
      <c r="AS147" s="5" t="s">
        <v>103</v>
      </c>
      <c r="AT147" s="5"/>
      <c r="AU147" s="5"/>
      <c r="AV147" s="4" t="s">
        <v>103</v>
      </c>
      <c r="AW147" s="4" t="s">
        <v>97</v>
      </c>
      <c r="AX147" s="4" t="s">
        <v>97</v>
      </c>
      <c r="AY147" s="4" t="s">
        <v>97</v>
      </c>
      <c r="AZ147" s="4" t="s">
        <v>103</v>
      </c>
      <c r="BA147" s="4" t="s">
        <v>97</v>
      </c>
      <c r="BB147" s="5">
        <v>45895</v>
      </c>
      <c r="BC147" s="5">
        <v>45895</v>
      </c>
      <c r="BD147" s="5">
        <v>45895</v>
      </c>
      <c r="BE147" s="5">
        <v>45896</v>
      </c>
      <c r="BF147" s="5" t="s">
        <v>98</v>
      </c>
      <c r="BG147" s="4" t="s">
        <v>97</v>
      </c>
      <c r="BH147" s="5" t="s">
        <v>103</v>
      </c>
      <c r="BI147" s="4" t="s">
        <v>115</v>
      </c>
    </row>
    <row r="148" spans="1:61" x14ac:dyDescent="0.35">
      <c r="A148" s="8" t="str">
        <f t="shared" si="17"/>
        <v>Semaine 35-2025</v>
      </c>
      <c r="B148" s="8" t="str">
        <f t="shared" si="13"/>
        <v>2025</v>
      </c>
      <c r="C148" s="2" t="s">
        <v>23</v>
      </c>
      <c r="D148" s="6" t="str">
        <f t="shared" si="14"/>
        <v>Dakar</v>
      </c>
      <c r="E148" s="6">
        <f t="shared" si="15"/>
        <v>167577</v>
      </c>
      <c r="F148" s="6">
        <f t="shared" si="16"/>
        <v>4042240</v>
      </c>
      <c r="G148" s="4" t="s">
        <v>500</v>
      </c>
      <c r="H148" s="9" t="s">
        <v>527</v>
      </c>
      <c r="I148" s="9">
        <v>13</v>
      </c>
      <c r="J148" s="9" t="s">
        <v>114</v>
      </c>
      <c r="K148" s="9"/>
      <c r="L148" s="9"/>
      <c r="M148" s="9"/>
      <c r="N148" s="9"/>
      <c r="O148" s="4" t="s">
        <v>238</v>
      </c>
      <c r="P148" s="4" t="s">
        <v>97</v>
      </c>
      <c r="Q148" s="4" t="s">
        <v>97</v>
      </c>
      <c r="R148" s="14" t="s">
        <v>100</v>
      </c>
      <c r="S148" s="14" t="s">
        <v>100</v>
      </c>
      <c r="T148" s="14" t="s">
        <v>100</v>
      </c>
      <c r="U148" s="8"/>
      <c r="V148" s="14"/>
      <c r="W148" s="14"/>
      <c r="X148" s="14"/>
      <c r="Y148" s="5">
        <v>45894</v>
      </c>
      <c r="Z148" s="5">
        <v>45896</v>
      </c>
      <c r="AA148" s="5" t="s">
        <v>103</v>
      </c>
      <c r="AB148" s="5"/>
      <c r="AC148" s="5" t="s">
        <v>103</v>
      </c>
      <c r="AD148" s="5" t="s">
        <v>103</v>
      </c>
      <c r="AE148" s="5" t="s">
        <v>97</v>
      </c>
      <c r="AF148" s="5" t="s">
        <v>97</v>
      </c>
      <c r="AG148" s="5" t="s">
        <v>103</v>
      </c>
      <c r="AH148" s="5" t="s">
        <v>103</v>
      </c>
      <c r="AI148" s="5">
        <v>45894</v>
      </c>
      <c r="AJ148" s="5" t="s">
        <v>97</v>
      </c>
      <c r="AK148" s="5" t="s">
        <v>97</v>
      </c>
      <c r="AL148" s="5" t="s">
        <v>103</v>
      </c>
      <c r="AM148" s="5" t="s">
        <v>103</v>
      </c>
      <c r="AN148" s="5" t="s">
        <v>103</v>
      </c>
      <c r="AO148" s="5" t="s">
        <v>103</v>
      </c>
      <c r="AP148" s="5" t="s">
        <v>97</v>
      </c>
      <c r="AQ148" s="5" t="s">
        <v>97</v>
      </c>
      <c r="AR148" s="5" t="s">
        <v>97</v>
      </c>
      <c r="AS148" s="5" t="s">
        <v>97</v>
      </c>
      <c r="AT148" s="5"/>
      <c r="AU148" s="5"/>
      <c r="AV148" s="4" t="s">
        <v>103</v>
      </c>
      <c r="AW148" s="4" t="s">
        <v>97</v>
      </c>
      <c r="AX148" s="4" t="s">
        <v>97</v>
      </c>
      <c r="AY148" s="4" t="s">
        <v>97</v>
      </c>
      <c r="AZ148" s="4" t="s">
        <v>103</v>
      </c>
      <c r="BA148" s="4" t="s">
        <v>97</v>
      </c>
      <c r="BB148" s="5">
        <v>45896</v>
      </c>
      <c r="BC148" s="5">
        <v>45896</v>
      </c>
      <c r="BD148" s="5">
        <v>45896</v>
      </c>
      <c r="BE148" s="5">
        <v>45896</v>
      </c>
      <c r="BF148" s="5" t="s">
        <v>98</v>
      </c>
      <c r="BG148" s="4" t="s">
        <v>97</v>
      </c>
      <c r="BH148" s="5" t="s">
        <v>103</v>
      </c>
      <c r="BI148" s="4" t="s">
        <v>115</v>
      </c>
    </row>
    <row r="149" spans="1:61" x14ac:dyDescent="0.35">
      <c r="A149" s="8" t="str">
        <f t="shared" si="17"/>
        <v>Semaine 31-2025</v>
      </c>
      <c r="B149" s="8" t="str">
        <f t="shared" si="13"/>
        <v>2025</v>
      </c>
      <c r="C149" s="2" t="s">
        <v>75</v>
      </c>
      <c r="D149" s="6" t="str">
        <f t="shared" si="14"/>
        <v>Diourbel</v>
      </c>
      <c r="E149" s="6">
        <f t="shared" si="15"/>
        <v>996481</v>
      </c>
      <c r="F149" s="6">
        <f t="shared" si="16"/>
        <v>1980827</v>
      </c>
      <c r="G149" s="4" t="s">
        <v>523</v>
      </c>
      <c r="H149" s="9" t="s">
        <v>529</v>
      </c>
      <c r="I149" s="9">
        <v>16</v>
      </c>
      <c r="J149" s="9" t="s">
        <v>114</v>
      </c>
      <c r="K149" s="9"/>
      <c r="L149" s="9"/>
      <c r="M149" s="9"/>
      <c r="N149" s="9"/>
      <c r="O149" s="4" t="s">
        <v>238</v>
      </c>
      <c r="P149" s="4" t="s">
        <v>97</v>
      </c>
      <c r="Q149" s="4" t="s">
        <v>97</v>
      </c>
      <c r="R149" s="14" t="s">
        <v>100</v>
      </c>
      <c r="S149" s="14" t="s">
        <v>100</v>
      </c>
      <c r="T149" s="14" t="s">
        <v>100</v>
      </c>
      <c r="U149" s="8"/>
      <c r="V149" s="14"/>
      <c r="W149" s="14"/>
      <c r="X149" s="14"/>
      <c r="Y149" s="5">
        <v>45870</v>
      </c>
      <c r="Z149" s="5">
        <v>45897</v>
      </c>
      <c r="AA149" s="5" t="s">
        <v>97</v>
      </c>
      <c r="AB149" s="5" t="s">
        <v>396</v>
      </c>
      <c r="AC149" s="5" t="s">
        <v>103</v>
      </c>
      <c r="AD149" s="5" t="s">
        <v>103</v>
      </c>
      <c r="AE149" s="5" t="s">
        <v>97</v>
      </c>
      <c r="AF149" s="5" t="s">
        <v>103</v>
      </c>
      <c r="AG149" s="5" t="s">
        <v>97</v>
      </c>
      <c r="AH149" s="5" t="s">
        <v>103</v>
      </c>
      <c r="AI149" s="5">
        <v>45894</v>
      </c>
      <c r="AJ149" s="5" t="s">
        <v>103</v>
      </c>
      <c r="AK149" s="5" t="s">
        <v>97</v>
      </c>
      <c r="AL149" s="5" t="s">
        <v>103</v>
      </c>
      <c r="AM149" s="5" t="s">
        <v>97</v>
      </c>
      <c r="AN149" s="5" t="s">
        <v>103</v>
      </c>
      <c r="AO149" s="5" t="s">
        <v>103</v>
      </c>
      <c r="AP149" s="5" t="s">
        <v>103</v>
      </c>
      <c r="AQ149" s="5" t="s">
        <v>97</v>
      </c>
      <c r="AR149" s="5" t="s">
        <v>97</v>
      </c>
      <c r="AS149" s="5" t="s">
        <v>103</v>
      </c>
      <c r="AT149" s="5"/>
      <c r="AU149" s="5"/>
      <c r="AV149" s="4" t="s">
        <v>97</v>
      </c>
      <c r="AW149" s="4" t="s">
        <v>97</v>
      </c>
      <c r="AX149" s="4" t="s">
        <v>97</v>
      </c>
      <c r="AY149" s="4" t="s">
        <v>97</v>
      </c>
      <c r="AZ149" s="4" t="s">
        <v>103</v>
      </c>
      <c r="BA149" s="4" t="s">
        <v>97</v>
      </c>
      <c r="BB149" s="5">
        <v>45897</v>
      </c>
      <c r="BC149" s="5">
        <v>45897</v>
      </c>
      <c r="BD149" s="5">
        <v>45897</v>
      </c>
      <c r="BE149" s="5">
        <v>45897</v>
      </c>
      <c r="BF149" s="5" t="s">
        <v>98</v>
      </c>
      <c r="BG149" s="4" t="s">
        <v>97</v>
      </c>
      <c r="BH149" s="5" t="s">
        <v>103</v>
      </c>
      <c r="BI149" s="4" t="s">
        <v>115</v>
      </c>
    </row>
    <row r="150" spans="1:61" x14ac:dyDescent="0.35">
      <c r="A150" s="8" t="str">
        <f t="shared" si="17"/>
        <v>Semaine 32-2025</v>
      </c>
      <c r="B150" s="8" t="str">
        <f t="shared" si="13"/>
        <v>2025</v>
      </c>
      <c r="C150" s="2" t="s">
        <v>75</v>
      </c>
      <c r="D150" s="6" t="str">
        <f t="shared" si="14"/>
        <v>Diourbel</v>
      </c>
      <c r="E150" s="6">
        <f t="shared" si="15"/>
        <v>996481</v>
      </c>
      <c r="F150" s="6">
        <f t="shared" si="16"/>
        <v>1980827</v>
      </c>
      <c r="G150" s="4" t="s">
        <v>528</v>
      </c>
      <c r="H150" s="4" t="s">
        <v>530</v>
      </c>
      <c r="I150" s="4">
        <v>7</v>
      </c>
      <c r="J150" s="4" t="s">
        <v>96</v>
      </c>
      <c r="K150" s="4"/>
      <c r="L150" s="4"/>
      <c r="M150" s="4"/>
      <c r="N150" s="4"/>
      <c r="O150" s="4" t="s">
        <v>238</v>
      </c>
      <c r="P150" s="4" t="s">
        <v>97</v>
      </c>
      <c r="Q150" s="4" t="s">
        <v>97</v>
      </c>
      <c r="R150" s="14" t="s">
        <v>100</v>
      </c>
      <c r="S150" s="14" t="s">
        <v>100</v>
      </c>
      <c r="T150" s="14" t="s">
        <v>100</v>
      </c>
      <c r="U150" s="8"/>
      <c r="V150" s="14"/>
      <c r="W150" s="14"/>
      <c r="X150" s="14"/>
      <c r="Y150" s="5">
        <v>45877</v>
      </c>
      <c r="Z150" s="5">
        <v>45896</v>
      </c>
      <c r="AA150" s="5" t="s">
        <v>103</v>
      </c>
      <c r="AB150" s="5" t="s">
        <v>257</v>
      </c>
      <c r="AC150" s="5" t="s">
        <v>97</v>
      </c>
      <c r="AD150" s="5" t="s">
        <v>103</v>
      </c>
      <c r="AE150" s="5" t="s">
        <v>97</v>
      </c>
      <c r="AF150" s="5" t="s">
        <v>97</v>
      </c>
      <c r="AG150" s="5" t="s">
        <v>97</v>
      </c>
      <c r="AH150" s="5" t="s">
        <v>103</v>
      </c>
      <c r="AI150" s="5">
        <v>45877</v>
      </c>
      <c r="AJ150" s="5" t="s">
        <v>97</v>
      </c>
      <c r="AK150" s="5" t="s">
        <v>103</v>
      </c>
      <c r="AL150" s="5" t="s">
        <v>97</v>
      </c>
      <c r="AM150" s="5" t="s">
        <v>103</v>
      </c>
      <c r="AN150" s="5" t="s">
        <v>103</v>
      </c>
      <c r="AO150" s="5" t="s">
        <v>97</v>
      </c>
      <c r="AP150" s="5" t="s">
        <v>97</v>
      </c>
      <c r="AQ150" s="5" t="s">
        <v>97</v>
      </c>
      <c r="AR150" s="5" t="s">
        <v>97</v>
      </c>
      <c r="AS150" s="5" t="s">
        <v>97</v>
      </c>
      <c r="AT150" s="5"/>
      <c r="AU150" s="5"/>
      <c r="AV150" s="4" t="s">
        <v>103</v>
      </c>
      <c r="AW150" s="4" t="s">
        <v>97</v>
      </c>
      <c r="AX150" s="4" t="s">
        <v>97</v>
      </c>
      <c r="AY150" s="4" t="s">
        <v>97</v>
      </c>
      <c r="AZ150" s="4" t="s">
        <v>97</v>
      </c>
      <c r="BA150" s="4" t="s">
        <v>97</v>
      </c>
      <c r="BB150" s="5">
        <v>45896</v>
      </c>
      <c r="BC150" s="5">
        <v>45896</v>
      </c>
      <c r="BD150" s="5">
        <v>45897</v>
      </c>
      <c r="BE150" s="5">
        <v>45897</v>
      </c>
      <c r="BF150" s="5" t="s">
        <v>98</v>
      </c>
      <c r="BG150" s="5" t="s">
        <v>97</v>
      </c>
      <c r="BH150" s="5" t="s">
        <v>103</v>
      </c>
      <c r="BI150" s="5" t="s">
        <v>115</v>
      </c>
    </row>
    <row r="151" spans="1:61" x14ac:dyDescent="0.35">
      <c r="A151" s="8" t="str">
        <f t="shared" si="17"/>
        <v>Semaine 35-2025</v>
      </c>
      <c r="B151" s="8" t="str">
        <f t="shared" si="13"/>
        <v>2025</v>
      </c>
      <c r="C151" s="2" t="s">
        <v>70</v>
      </c>
      <c r="D151" s="6" t="str">
        <f t="shared" si="14"/>
        <v>Fatick</v>
      </c>
      <c r="E151" s="6">
        <f t="shared" si="15"/>
        <v>198755</v>
      </c>
      <c r="F151" s="6">
        <f t="shared" si="16"/>
        <v>965914</v>
      </c>
      <c r="G151" s="4" t="s">
        <v>501</v>
      </c>
      <c r="H151" s="4" t="s">
        <v>531</v>
      </c>
      <c r="I151" s="4">
        <v>5</v>
      </c>
      <c r="J151" s="4" t="s">
        <v>96</v>
      </c>
      <c r="K151" s="4"/>
      <c r="L151" s="4"/>
      <c r="M151" s="4"/>
      <c r="N151" s="4"/>
      <c r="O151" s="4" t="s">
        <v>238</v>
      </c>
      <c r="P151" s="4" t="s">
        <v>97</v>
      </c>
      <c r="Q151" s="4" t="s">
        <v>97</v>
      </c>
      <c r="R151" s="14" t="s">
        <v>100</v>
      </c>
      <c r="S151" s="14" t="s">
        <v>100</v>
      </c>
      <c r="T151" s="14" t="s">
        <v>100</v>
      </c>
      <c r="U151" s="8"/>
      <c r="V151" s="14"/>
      <c r="W151" s="14"/>
      <c r="X151" s="14"/>
      <c r="Y151" s="5">
        <v>45894</v>
      </c>
      <c r="Z151" s="5">
        <v>45896</v>
      </c>
      <c r="AA151" s="5" t="s">
        <v>97</v>
      </c>
      <c r="AB151" s="5" t="s">
        <v>515</v>
      </c>
      <c r="AC151" s="5" t="s">
        <v>97</v>
      </c>
      <c r="AD151" s="5" t="s">
        <v>97</v>
      </c>
      <c r="AE151" s="5" t="s">
        <v>97</v>
      </c>
      <c r="AF151" s="5" t="s">
        <v>97</v>
      </c>
      <c r="AG151" s="5" t="s">
        <v>97</v>
      </c>
      <c r="AH151" s="5" t="s">
        <v>103</v>
      </c>
      <c r="AI151" s="5">
        <v>45894</v>
      </c>
      <c r="AJ151" s="5" t="s">
        <v>97</v>
      </c>
      <c r="AK151" s="5" t="s">
        <v>97</v>
      </c>
      <c r="AL151" s="5" t="s">
        <v>103</v>
      </c>
      <c r="AM151" s="5" t="s">
        <v>103</v>
      </c>
      <c r="AN151" s="5" t="s">
        <v>103</v>
      </c>
      <c r="AO151" s="5" t="s">
        <v>103</v>
      </c>
      <c r="AP151" s="5" t="s">
        <v>103</v>
      </c>
      <c r="AQ151" s="5" t="s">
        <v>97</v>
      </c>
      <c r="AR151" s="5" t="s">
        <v>97</v>
      </c>
      <c r="AS151" s="5" t="s">
        <v>97</v>
      </c>
      <c r="AT151" s="5" t="s">
        <v>532</v>
      </c>
      <c r="AU151" s="5"/>
      <c r="AV151" s="4" t="s">
        <v>97</v>
      </c>
      <c r="AW151" s="4" t="s">
        <v>97</v>
      </c>
      <c r="AX151" s="4" t="s">
        <v>97</v>
      </c>
      <c r="AY151" s="4" t="s">
        <v>97</v>
      </c>
      <c r="AZ151" s="4" t="s">
        <v>103</v>
      </c>
      <c r="BA151" s="4" t="s">
        <v>97</v>
      </c>
      <c r="BB151" s="5">
        <v>45896</v>
      </c>
      <c r="BC151" s="5">
        <v>45896</v>
      </c>
      <c r="BD151" s="5">
        <v>45897</v>
      </c>
      <c r="BE151" s="5">
        <v>45897</v>
      </c>
      <c r="BF151" s="5" t="s">
        <v>98</v>
      </c>
      <c r="BG151" s="5" t="s">
        <v>97</v>
      </c>
      <c r="BH151" s="5" t="s">
        <v>103</v>
      </c>
      <c r="BI151" s="5" t="s">
        <v>115</v>
      </c>
    </row>
    <row r="152" spans="1:61" x14ac:dyDescent="0.35">
      <c r="A152" s="8" t="str">
        <f t="shared" si="17"/>
        <v>Semaine 34-2025</v>
      </c>
      <c r="B152" s="8" t="str">
        <f t="shared" si="13"/>
        <v>2025</v>
      </c>
      <c r="C152" s="2" t="s">
        <v>55</v>
      </c>
      <c r="D152" s="6" t="str">
        <f t="shared" si="14"/>
        <v>Ziguinchor</v>
      </c>
      <c r="E152" s="6">
        <f t="shared" si="15"/>
        <v>64244</v>
      </c>
      <c r="F152" s="6">
        <f t="shared" si="16"/>
        <v>729952</v>
      </c>
      <c r="G152" s="4" t="s">
        <v>502</v>
      </c>
      <c r="H152" s="4" t="s">
        <v>533</v>
      </c>
      <c r="I152" s="4">
        <v>62</v>
      </c>
      <c r="J152" s="4" t="s">
        <v>114</v>
      </c>
      <c r="K152" s="4" t="s">
        <v>534</v>
      </c>
      <c r="L152" s="5">
        <v>45891</v>
      </c>
      <c r="M152" s="4" t="s">
        <v>213</v>
      </c>
      <c r="N152" s="5">
        <v>45892</v>
      </c>
      <c r="O152" s="4" t="s">
        <v>238</v>
      </c>
      <c r="P152" s="4" t="s">
        <v>97</v>
      </c>
      <c r="Q152" s="4" t="s">
        <v>97</v>
      </c>
      <c r="R152" s="14" t="s">
        <v>100</v>
      </c>
      <c r="S152" s="14" t="s">
        <v>100</v>
      </c>
      <c r="T152" s="14" t="s">
        <v>100</v>
      </c>
      <c r="U152" s="8"/>
      <c r="V152" s="14"/>
      <c r="W152" s="14"/>
      <c r="X152" s="14"/>
      <c r="Y152" s="5">
        <v>45893</v>
      </c>
      <c r="Z152" s="5">
        <v>45895</v>
      </c>
      <c r="AA152" s="5" t="s">
        <v>97</v>
      </c>
      <c r="AB152" s="5"/>
      <c r="AC152" s="5" t="s">
        <v>97</v>
      </c>
      <c r="AD152" s="5" t="s">
        <v>97</v>
      </c>
      <c r="AE152" s="5" t="s">
        <v>97</v>
      </c>
      <c r="AF152" s="5" t="s">
        <v>97</v>
      </c>
      <c r="AG152" s="5" t="s">
        <v>97</v>
      </c>
      <c r="AH152" s="5" t="s">
        <v>103</v>
      </c>
      <c r="AI152" s="5">
        <v>45893</v>
      </c>
      <c r="AJ152" s="5" t="s">
        <v>97</v>
      </c>
      <c r="AK152" s="5" t="s">
        <v>103</v>
      </c>
      <c r="AL152" s="5" t="s">
        <v>97</v>
      </c>
      <c r="AM152" s="5" t="s">
        <v>103</v>
      </c>
      <c r="AN152" s="5" t="s">
        <v>103</v>
      </c>
      <c r="AO152" s="5" t="s">
        <v>97</v>
      </c>
      <c r="AP152" s="5" t="s">
        <v>97</v>
      </c>
      <c r="AQ152" s="5" t="s">
        <v>97</v>
      </c>
      <c r="AR152" s="5" t="s">
        <v>97</v>
      </c>
      <c r="AS152" s="5" t="s">
        <v>97</v>
      </c>
      <c r="AT152" s="5"/>
      <c r="AU152" s="5" t="s">
        <v>519</v>
      </c>
      <c r="AV152" s="4" t="s">
        <v>103</v>
      </c>
      <c r="AW152" s="4" t="s">
        <v>97</v>
      </c>
      <c r="AX152" s="4" t="s">
        <v>97</v>
      </c>
      <c r="AY152" s="4" t="s">
        <v>97</v>
      </c>
      <c r="AZ152" s="4" t="s">
        <v>97</v>
      </c>
      <c r="BA152" s="4" t="s">
        <v>97</v>
      </c>
      <c r="BB152" s="5">
        <v>45895</v>
      </c>
      <c r="BC152" s="5">
        <v>45896</v>
      </c>
      <c r="BD152" s="5">
        <v>45897</v>
      </c>
      <c r="BE152" s="5">
        <v>45897</v>
      </c>
      <c r="BF152" s="5" t="s">
        <v>98</v>
      </c>
      <c r="BG152" s="5" t="s">
        <v>97</v>
      </c>
      <c r="BH152" s="5" t="s">
        <v>103</v>
      </c>
      <c r="BI152" s="5" t="s">
        <v>115</v>
      </c>
    </row>
    <row r="153" spans="1:61" x14ac:dyDescent="0.35">
      <c r="A153" s="8" t="str">
        <f t="shared" si="17"/>
        <v>Semaine 35-2025</v>
      </c>
      <c r="B153" s="8" t="str">
        <f t="shared" si="13"/>
        <v>2025</v>
      </c>
      <c r="C153" s="2" t="s">
        <v>41</v>
      </c>
      <c r="D153" s="6" t="str">
        <f t="shared" si="14"/>
        <v>Kolda</v>
      </c>
      <c r="E153" s="6">
        <f t="shared" si="15"/>
        <v>325160</v>
      </c>
      <c r="F153" s="6">
        <f t="shared" si="16"/>
        <v>875661</v>
      </c>
      <c r="G153" s="4" t="s">
        <v>503</v>
      </c>
      <c r="H153" s="4" t="s">
        <v>535</v>
      </c>
      <c r="I153" s="4">
        <v>28</v>
      </c>
      <c r="J153" s="4" t="s">
        <v>114</v>
      </c>
      <c r="K153" s="4"/>
      <c r="L153" s="4"/>
      <c r="M153" s="4"/>
      <c r="N153" s="4"/>
      <c r="O153" s="4" t="s">
        <v>238</v>
      </c>
      <c r="P153" s="4" t="s">
        <v>97</v>
      </c>
      <c r="Q153" s="4" t="s">
        <v>97</v>
      </c>
      <c r="R153" s="14" t="s">
        <v>100</v>
      </c>
      <c r="S153" s="14" t="s">
        <v>100</v>
      </c>
      <c r="T153" s="14" t="s">
        <v>100</v>
      </c>
      <c r="U153" s="8"/>
      <c r="V153" s="14"/>
      <c r="W153" s="14"/>
      <c r="X153" s="14"/>
      <c r="Y153" s="5">
        <v>45894</v>
      </c>
      <c r="Z153" s="5">
        <v>45895</v>
      </c>
      <c r="AA153" s="5" t="s">
        <v>103</v>
      </c>
      <c r="AB153" s="5"/>
      <c r="AC153" s="5" t="s">
        <v>97</v>
      </c>
      <c r="AD153" s="5" t="s">
        <v>97</v>
      </c>
      <c r="AE153" s="5" t="s">
        <v>97</v>
      </c>
      <c r="AF153" s="5" t="s">
        <v>97</v>
      </c>
      <c r="AG153" s="5" t="s">
        <v>103</v>
      </c>
      <c r="AH153" s="5" t="s">
        <v>103</v>
      </c>
      <c r="AI153" s="5">
        <v>45894</v>
      </c>
      <c r="AJ153" s="5" t="s">
        <v>97</v>
      </c>
      <c r="AK153" s="5" t="s">
        <v>97</v>
      </c>
      <c r="AL153" s="5" t="s">
        <v>103</v>
      </c>
      <c r="AM153" s="5" t="s">
        <v>103</v>
      </c>
      <c r="AN153" s="5" t="s">
        <v>103</v>
      </c>
      <c r="AO153" s="5" t="s">
        <v>97</v>
      </c>
      <c r="AP153" s="5" t="s">
        <v>97</v>
      </c>
      <c r="AQ153" s="5" t="s">
        <v>97</v>
      </c>
      <c r="AR153" s="5" t="s">
        <v>97</v>
      </c>
      <c r="AS153" s="5" t="s">
        <v>97</v>
      </c>
      <c r="AT153" s="5"/>
      <c r="AU153" s="5"/>
      <c r="AV153" s="4" t="s">
        <v>103</v>
      </c>
      <c r="AW153" s="4" t="s">
        <v>97</v>
      </c>
      <c r="AX153" s="4" t="s">
        <v>97</v>
      </c>
      <c r="AY153" s="4" t="s">
        <v>97</v>
      </c>
      <c r="AZ153" s="4" t="s">
        <v>103</v>
      </c>
      <c r="BA153" s="4" t="s">
        <v>97</v>
      </c>
      <c r="BB153" s="5">
        <v>45895</v>
      </c>
      <c r="BC153" s="5">
        <v>45896</v>
      </c>
      <c r="BD153" s="5">
        <v>45897</v>
      </c>
      <c r="BE153" s="5">
        <v>45897</v>
      </c>
      <c r="BF153" s="5" t="s">
        <v>98</v>
      </c>
      <c r="BG153" s="5" t="s">
        <v>97</v>
      </c>
      <c r="BH153" s="5" t="s">
        <v>103</v>
      </c>
      <c r="BI153" s="5" t="s">
        <v>115</v>
      </c>
    </row>
    <row r="154" spans="1:61" x14ac:dyDescent="0.35">
      <c r="A154" s="8" t="str">
        <f t="shared" si="17"/>
        <v>Semaine 35-2025</v>
      </c>
      <c r="B154" s="8" t="str">
        <f t="shared" si="13"/>
        <v>2025</v>
      </c>
      <c r="C154" s="2" t="s">
        <v>64</v>
      </c>
      <c r="D154" s="6" t="str">
        <f t="shared" si="14"/>
        <v>Dakar</v>
      </c>
      <c r="E154" s="6">
        <f t="shared" si="15"/>
        <v>284840</v>
      </c>
      <c r="F154" s="6">
        <f t="shared" si="16"/>
        <v>4042240</v>
      </c>
      <c r="G154" s="4" t="s">
        <v>504</v>
      </c>
      <c r="H154" s="4" t="s">
        <v>536</v>
      </c>
      <c r="I154" s="4">
        <v>35</v>
      </c>
      <c r="J154" s="4" t="s">
        <v>114</v>
      </c>
      <c r="K154" s="4"/>
      <c r="L154" s="4"/>
      <c r="M154" s="4"/>
      <c r="N154" s="4"/>
      <c r="O154" s="4" t="s">
        <v>238</v>
      </c>
      <c r="P154" s="4" t="s">
        <v>103</v>
      </c>
      <c r="Q154" s="4" t="s">
        <v>97</v>
      </c>
      <c r="R154" s="14" t="s">
        <v>100</v>
      </c>
      <c r="S154" s="14" t="s">
        <v>100</v>
      </c>
      <c r="T154" s="14" t="s">
        <v>100</v>
      </c>
      <c r="U154" s="8"/>
      <c r="V154" s="14"/>
      <c r="W154" s="14"/>
      <c r="X154" s="14"/>
      <c r="Y154" s="5">
        <v>45895</v>
      </c>
      <c r="Z154" s="5">
        <v>45896</v>
      </c>
      <c r="AA154" s="5" t="s">
        <v>97</v>
      </c>
      <c r="AB154" s="5" t="s">
        <v>537</v>
      </c>
      <c r="AC154" s="5" t="s">
        <v>97</v>
      </c>
      <c r="AD154" s="5" t="s">
        <v>97</v>
      </c>
      <c r="AE154" s="5" t="s">
        <v>97</v>
      </c>
      <c r="AF154" s="5" t="s">
        <v>103</v>
      </c>
      <c r="AG154" s="5" t="s">
        <v>97</v>
      </c>
      <c r="AH154" s="5" t="s">
        <v>103</v>
      </c>
      <c r="AI154" s="5">
        <v>45895</v>
      </c>
      <c r="AJ154" s="5" t="s">
        <v>103</v>
      </c>
      <c r="AK154" s="5" t="s">
        <v>97</v>
      </c>
      <c r="AL154" s="5" t="s">
        <v>97</v>
      </c>
      <c r="AM154" s="5" t="s">
        <v>97</v>
      </c>
      <c r="AN154" s="5" t="s">
        <v>103</v>
      </c>
      <c r="AO154" s="5" t="s">
        <v>97</v>
      </c>
      <c r="AP154" s="5" t="s">
        <v>97</v>
      </c>
      <c r="AQ154" s="5" t="s">
        <v>97</v>
      </c>
      <c r="AR154" s="5" t="s">
        <v>97</v>
      </c>
      <c r="AS154" s="5" t="s">
        <v>97</v>
      </c>
      <c r="AT154" s="5"/>
      <c r="AU154" s="5"/>
      <c r="AV154" s="4" t="s">
        <v>97</v>
      </c>
      <c r="AW154" s="4" t="s">
        <v>97</v>
      </c>
      <c r="AX154" s="4" t="s">
        <v>97</v>
      </c>
      <c r="AY154" s="4" t="s">
        <v>97</v>
      </c>
      <c r="AZ154" s="4" t="s">
        <v>103</v>
      </c>
      <c r="BA154" s="4" t="s">
        <v>97</v>
      </c>
      <c r="BB154" s="5">
        <v>45896</v>
      </c>
      <c r="BC154" s="5">
        <v>45897</v>
      </c>
      <c r="BD154" s="5">
        <v>45897</v>
      </c>
      <c r="BE154" s="5">
        <v>45897</v>
      </c>
      <c r="BF154" s="5" t="s">
        <v>98</v>
      </c>
      <c r="BG154" s="5" t="s">
        <v>97</v>
      </c>
      <c r="BH154" s="5" t="s">
        <v>103</v>
      </c>
      <c r="BI154" s="5" t="s">
        <v>115</v>
      </c>
    </row>
    <row r="155" spans="1:61" x14ac:dyDescent="0.35">
      <c r="A155" s="8" t="str">
        <f t="shared" si="17"/>
        <v>Semaine 35-2025</v>
      </c>
      <c r="B155" s="8" t="str">
        <f t="shared" si="13"/>
        <v>2025</v>
      </c>
      <c r="C155" s="2" t="s">
        <v>20</v>
      </c>
      <c r="D155" s="6" t="str">
        <f t="shared" si="14"/>
        <v>Dakar</v>
      </c>
      <c r="E155" s="6">
        <f t="shared" si="15"/>
        <v>272276</v>
      </c>
      <c r="F155" s="6">
        <f t="shared" si="16"/>
        <v>4042240</v>
      </c>
      <c r="G155" s="4" t="s">
        <v>505</v>
      </c>
      <c r="H155" s="4" t="s">
        <v>538</v>
      </c>
      <c r="I155" s="4">
        <v>13</v>
      </c>
      <c r="J155" s="4" t="s">
        <v>96</v>
      </c>
      <c r="K155" s="4"/>
      <c r="L155" s="4"/>
      <c r="M155" s="4"/>
      <c r="N155" s="4"/>
      <c r="O155" s="4" t="s">
        <v>238</v>
      </c>
      <c r="P155" s="4" t="s">
        <v>97</v>
      </c>
      <c r="Q155" s="4" t="s">
        <v>97</v>
      </c>
      <c r="R155" s="14" t="s">
        <v>100</v>
      </c>
      <c r="S155" s="14" t="s">
        <v>100</v>
      </c>
      <c r="T155" s="14" t="s">
        <v>100</v>
      </c>
      <c r="U155" s="8"/>
      <c r="V155" s="14"/>
      <c r="W155" s="14"/>
      <c r="X155" s="14"/>
      <c r="Y155" s="5">
        <v>45894</v>
      </c>
      <c r="Z155" s="5">
        <v>45896</v>
      </c>
      <c r="AA155" s="5" t="s">
        <v>97</v>
      </c>
      <c r="AB155" s="5" t="s">
        <v>392</v>
      </c>
      <c r="AC155" s="5" t="s">
        <v>97</v>
      </c>
      <c r="AD155" s="5" t="s">
        <v>97</v>
      </c>
      <c r="AE155" s="5" t="s">
        <v>97</v>
      </c>
      <c r="AF155" s="5" t="s">
        <v>97</v>
      </c>
      <c r="AG155" s="5" t="s">
        <v>97</v>
      </c>
      <c r="AH155" s="5" t="s">
        <v>103</v>
      </c>
      <c r="AI155" s="5">
        <v>45894</v>
      </c>
      <c r="AJ155" s="5" t="s">
        <v>97</v>
      </c>
      <c r="AK155" s="5" t="s">
        <v>103</v>
      </c>
      <c r="AL155" s="5" t="s">
        <v>103</v>
      </c>
      <c r="AM155" s="5" t="s">
        <v>103</v>
      </c>
      <c r="AN155" s="5" t="s">
        <v>103</v>
      </c>
      <c r="AO155" s="5" t="s">
        <v>97</v>
      </c>
      <c r="AP155" s="5" t="s">
        <v>97</v>
      </c>
      <c r="AQ155" s="5" t="s">
        <v>97</v>
      </c>
      <c r="AR155" s="5" t="s">
        <v>97</v>
      </c>
      <c r="AS155" s="5" t="s">
        <v>97</v>
      </c>
      <c r="AT155" s="5"/>
      <c r="AU155" s="5"/>
      <c r="AV155" s="4" t="s">
        <v>103</v>
      </c>
      <c r="AW155" s="4" t="s">
        <v>97</v>
      </c>
      <c r="AX155" s="4" t="s">
        <v>97</v>
      </c>
      <c r="AY155" s="4" t="s">
        <v>97</v>
      </c>
      <c r="AZ155" s="4" t="s">
        <v>97</v>
      </c>
      <c r="BA155" s="4" t="s">
        <v>97</v>
      </c>
      <c r="BB155" s="5">
        <v>45896</v>
      </c>
      <c r="BC155" s="5">
        <v>45897</v>
      </c>
      <c r="BD155" s="5">
        <v>45897</v>
      </c>
      <c r="BE155" s="5">
        <v>45897</v>
      </c>
      <c r="BF155" s="5" t="s">
        <v>98</v>
      </c>
      <c r="BG155" s="5" t="s">
        <v>97</v>
      </c>
      <c r="BH155" s="5" t="s">
        <v>103</v>
      </c>
      <c r="BI155" s="5" t="s">
        <v>115</v>
      </c>
    </row>
    <row r="156" spans="1:61" x14ac:dyDescent="0.35">
      <c r="A156" s="8" t="str">
        <f t="shared" si="17"/>
        <v>Semaine 34-2025</v>
      </c>
      <c r="B156" s="8" t="str">
        <f t="shared" si="13"/>
        <v>2025</v>
      </c>
      <c r="C156" s="2" t="s">
        <v>31</v>
      </c>
      <c r="D156" s="6" t="str">
        <f t="shared" si="14"/>
        <v>Dakar</v>
      </c>
      <c r="E156" s="6">
        <f t="shared" si="15"/>
        <v>424760</v>
      </c>
      <c r="F156" s="6">
        <f t="shared" si="16"/>
        <v>4042240</v>
      </c>
      <c r="G156" s="4" t="s">
        <v>506</v>
      </c>
      <c r="H156" s="4" t="s">
        <v>539</v>
      </c>
      <c r="I156" s="4">
        <v>52</v>
      </c>
      <c r="J156" s="4" t="s">
        <v>114</v>
      </c>
      <c r="K156" s="4"/>
      <c r="L156" s="4"/>
      <c r="M156" s="4"/>
      <c r="N156" s="4"/>
      <c r="O156" s="4" t="s">
        <v>238</v>
      </c>
      <c r="P156" s="4" t="s">
        <v>97</v>
      </c>
      <c r="Q156" s="4" t="s">
        <v>97</v>
      </c>
      <c r="R156" s="14" t="s">
        <v>100</v>
      </c>
      <c r="S156" s="14" t="s">
        <v>100</v>
      </c>
      <c r="T156" s="14" t="s">
        <v>100</v>
      </c>
      <c r="U156" s="8"/>
      <c r="V156" s="14"/>
      <c r="W156" s="14"/>
      <c r="X156" s="14"/>
      <c r="Y156" s="5">
        <v>45893</v>
      </c>
      <c r="Z156" s="5">
        <v>45897</v>
      </c>
      <c r="AA156" s="5" t="s">
        <v>97</v>
      </c>
      <c r="AB156" s="5"/>
      <c r="AC156" s="5" t="s">
        <v>97</v>
      </c>
      <c r="AD156" s="5" t="s">
        <v>97</v>
      </c>
      <c r="AE156" s="5" t="s">
        <v>97</v>
      </c>
      <c r="AF156" s="5" t="s">
        <v>103</v>
      </c>
      <c r="AG156" s="5" t="s">
        <v>103</v>
      </c>
      <c r="AH156" s="5" t="s">
        <v>103</v>
      </c>
      <c r="AI156" s="5">
        <v>45894</v>
      </c>
      <c r="AJ156" s="5" t="s">
        <v>103</v>
      </c>
      <c r="AK156" s="5" t="s">
        <v>103</v>
      </c>
      <c r="AL156" s="5" t="s">
        <v>97</v>
      </c>
      <c r="AM156" s="5" t="s">
        <v>103</v>
      </c>
      <c r="AN156" s="5" t="s">
        <v>103</v>
      </c>
      <c r="AO156" s="5" t="s">
        <v>103</v>
      </c>
      <c r="AP156" s="5" t="s">
        <v>97</v>
      </c>
      <c r="AQ156" s="5" t="s">
        <v>97</v>
      </c>
      <c r="AR156" s="5" t="s">
        <v>97</v>
      </c>
      <c r="AS156" s="5" t="s">
        <v>97</v>
      </c>
      <c r="AT156" s="5" t="s">
        <v>409</v>
      </c>
      <c r="AU156" s="5"/>
      <c r="AV156" s="4" t="s">
        <v>103</v>
      </c>
      <c r="AW156" s="4" t="s">
        <v>97</v>
      </c>
      <c r="AX156" s="4" t="s">
        <v>97</v>
      </c>
      <c r="AY156" s="4" t="s">
        <v>97</v>
      </c>
      <c r="AZ156" s="4" t="s">
        <v>103</v>
      </c>
      <c r="BA156" s="4" t="s">
        <v>97</v>
      </c>
      <c r="BB156" s="5">
        <v>45897</v>
      </c>
      <c r="BC156" s="5">
        <v>45897</v>
      </c>
      <c r="BD156" s="5">
        <v>45897</v>
      </c>
      <c r="BE156" s="5">
        <v>45897</v>
      </c>
      <c r="BF156" s="5" t="s">
        <v>98</v>
      </c>
      <c r="BG156" s="5" t="s">
        <v>97</v>
      </c>
      <c r="BH156" s="5" t="s">
        <v>103</v>
      </c>
      <c r="BI156" s="5" t="s">
        <v>115</v>
      </c>
    </row>
    <row r="157" spans="1:61" x14ac:dyDescent="0.35">
      <c r="A157" s="8" t="str">
        <f t="shared" si="17"/>
        <v>Semaine 34-2025</v>
      </c>
      <c r="B157" s="8" t="str">
        <f t="shared" si="13"/>
        <v>2025</v>
      </c>
      <c r="C157" s="2" t="s">
        <v>32</v>
      </c>
      <c r="D157" s="6" t="str">
        <f t="shared" si="14"/>
        <v>Kaolack</v>
      </c>
      <c r="E157" s="6">
        <f t="shared" si="15"/>
        <v>151881</v>
      </c>
      <c r="F157" s="6">
        <f t="shared" si="16"/>
        <v>1267013</v>
      </c>
      <c r="G157" s="4" t="s">
        <v>507</v>
      </c>
      <c r="H157" s="4" t="s">
        <v>543</v>
      </c>
      <c r="I157" s="4">
        <v>4</v>
      </c>
      <c r="J157" s="4" t="s">
        <v>96</v>
      </c>
      <c r="K157" s="4"/>
      <c r="L157" s="4"/>
      <c r="M157" s="4"/>
      <c r="N157" s="4"/>
      <c r="O157" s="4" t="s">
        <v>238</v>
      </c>
      <c r="P157" s="4" t="s">
        <v>97</v>
      </c>
      <c r="Q157" s="4" t="s">
        <v>97</v>
      </c>
      <c r="R157" s="14" t="s">
        <v>100</v>
      </c>
      <c r="S157" s="14" t="s">
        <v>100</v>
      </c>
      <c r="T157" s="14" t="s">
        <v>100</v>
      </c>
      <c r="U157" s="8"/>
      <c r="V157" s="14"/>
      <c r="W157" s="14"/>
      <c r="X157" s="14"/>
      <c r="Y157" s="5">
        <v>45889</v>
      </c>
      <c r="Z157" s="5">
        <v>45896</v>
      </c>
      <c r="AA157" s="5" t="s">
        <v>103</v>
      </c>
      <c r="AB157" s="5" t="s">
        <v>276</v>
      </c>
      <c r="AC157" s="5" t="s">
        <v>97</v>
      </c>
      <c r="AD157" s="5" t="s">
        <v>103</v>
      </c>
      <c r="AE157" s="5" t="s">
        <v>97</v>
      </c>
      <c r="AF157" s="5" t="s">
        <v>97</v>
      </c>
      <c r="AG157" s="5" t="s">
        <v>97</v>
      </c>
      <c r="AH157" s="5" t="s">
        <v>103</v>
      </c>
      <c r="AI157" s="5">
        <v>45889</v>
      </c>
      <c r="AJ157" s="5" t="s">
        <v>103</v>
      </c>
      <c r="AK157" s="5" t="s">
        <v>97</v>
      </c>
      <c r="AL157" s="5" t="s">
        <v>103</v>
      </c>
      <c r="AM157" s="5" t="s">
        <v>103</v>
      </c>
      <c r="AN157" s="5" t="s">
        <v>103</v>
      </c>
      <c r="AO157" s="5" t="s">
        <v>103</v>
      </c>
      <c r="AP157" s="5" t="s">
        <v>97</v>
      </c>
      <c r="AQ157" s="5" t="s">
        <v>97</v>
      </c>
      <c r="AR157" s="5" t="s">
        <v>97</v>
      </c>
      <c r="AS157" s="5" t="s">
        <v>97</v>
      </c>
      <c r="AT157" s="5"/>
      <c r="AU157" s="5"/>
      <c r="AV157" s="4" t="s">
        <v>103</v>
      </c>
      <c r="AW157" s="4" t="s">
        <v>103</v>
      </c>
      <c r="AX157" s="4" t="s">
        <v>97</v>
      </c>
      <c r="AY157" s="4" t="s">
        <v>97</v>
      </c>
      <c r="AZ157" s="4" t="s">
        <v>97</v>
      </c>
      <c r="BA157" s="4" t="s">
        <v>97</v>
      </c>
      <c r="BB157" s="5">
        <v>45896</v>
      </c>
      <c r="BC157" s="5">
        <v>45897</v>
      </c>
      <c r="BD157" s="5">
        <v>45898</v>
      </c>
      <c r="BE157" s="5">
        <v>45899</v>
      </c>
      <c r="BF157" s="5" t="s">
        <v>98</v>
      </c>
      <c r="BG157" s="5" t="s">
        <v>97</v>
      </c>
      <c r="BH157" s="5" t="s">
        <v>103</v>
      </c>
      <c r="BI157" s="5" t="s">
        <v>115</v>
      </c>
    </row>
    <row r="158" spans="1:61" x14ac:dyDescent="0.35">
      <c r="A158" s="8" t="str">
        <f t="shared" si="17"/>
        <v>Semaine 33-2025</v>
      </c>
      <c r="B158" s="8" t="str">
        <f t="shared" si="13"/>
        <v>2025</v>
      </c>
      <c r="C158" s="2" t="s">
        <v>23</v>
      </c>
      <c r="D158" s="6" t="str">
        <f t="shared" si="14"/>
        <v>Dakar</v>
      </c>
      <c r="E158" s="6">
        <f t="shared" si="15"/>
        <v>167577</v>
      </c>
      <c r="F158" s="6">
        <f t="shared" si="16"/>
        <v>4042240</v>
      </c>
      <c r="G158" s="4" t="s">
        <v>540</v>
      </c>
      <c r="H158" s="4" t="s">
        <v>544</v>
      </c>
      <c r="I158" s="4">
        <v>16</v>
      </c>
      <c r="J158" s="4" t="s">
        <v>114</v>
      </c>
      <c r="K158" s="4"/>
      <c r="L158" s="4"/>
      <c r="M158" s="4"/>
      <c r="N158" s="4"/>
      <c r="O158" s="4" t="s">
        <v>238</v>
      </c>
      <c r="P158" s="4" t="s">
        <v>97</v>
      </c>
      <c r="Q158" s="4" t="s">
        <v>97</v>
      </c>
      <c r="R158" s="14" t="s">
        <v>100</v>
      </c>
      <c r="S158" s="14" t="s">
        <v>100</v>
      </c>
      <c r="T158" s="14" t="s">
        <v>100</v>
      </c>
      <c r="U158" s="8"/>
      <c r="V158" s="14"/>
      <c r="W158" s="14"/>
      <c r="X158" s="14"/>
      <c r="Y158" s="5">
        <v>45882</v>
      </c>
      <c r="Z158" s="5">
        <v>45897</v>
      </c>
      <c r="AA158" s="5" t="s">
        <v>97</v>
      </c>
      <c r="AB158" s="5" t="s">
        <v>513</v>
      </c>
      <c r="AC158" s="5" t="s">
        <v>103</v>
      </c>
      <c r="AD158" s="5" t="s">
        <v>103</v>
      </c>
      <c r="AE158" s="5" t="s">
        <v>103</v>
      </c>
      <c r="AF158" s="5" t="s">
        <v>97</v>
      </c>
      <c r="AG158" s="5" t="s">
        <v>97</v>
      </c>
      <c r="AH158" s="5" t="s">
        <v>103</v>
      </c>
      <c r="AI158" s="5">
        <v>45882</v>
      </c>
      <c r="AJ158" s="5" t="s">
        <v>103</v>
      </c>
      <c r="AK158" s="5" t="s">
        <v>97</v>
      </c>
      <c r="AL158" s="5" t="s">
        <v>103</v>
      </c>
      <c r="AM158" s="5" t="s">
        <v>97</v>
      </c>
      <c r="AN158" s="5" t="s">
        <v>97</v>
      </c>
      <c r="AO158" s="5" t="s">
        <v>103</v>
      </c>
      <c r="AP158" s="5" t="s">
        <v>103</v>
      </c>
      <c r="AQ158" s="5" t="s">
        <v>97</v>
      </c>
      <c r="AR158" s="5" t="s">
        <v>97</v>
      </c>
      <c r="AS158" s="5" t="s">
        <v>103</v>
      </c>
      <c r="AT158" s="5"/>
      <c r="AU158" s="5"/>
      <c r="AV158" s="4" t="s">
        <v>103</v>
      </c>
      <c r="AW158" s="4" t="s">
        <v>103</v>
      </c>
      <c r="AX158" s="4" t="s">
        <v>97</v>
      </c>
      <c r="AY158" s="4" t="s">
        <v>97</v>
      </c>
      <c r="AZ158" s="4" t="s">
        <v>97</v>
      </c>
      <c r="BA158" s="4" t="s">
        <v>97</v>
      </c>
      <c r="BB158" s="5">
        <v>45897</v>
      </c>
      <c r="BC158" s="5">
        <v>45897</v>
      </c>
      <c r="BD158" s="5">
        <v>45898</v>
      </c>
      <c r="BE158" s="5">
        <v>45899</v>
      </c>
      <c r="BF158" s="5" t="s">
        <v>98</v>
      </c>
      <c r="BG158" s="5" t="s">
        <v>103</v>
      </c>
      <c r="BH158" s="5" t="s">
        <v>103</v>
      </c>
      <c r="BI158" s="5" t="s">
        <v>115</v>
      </c>
    </row>
    <row r="159" spans="1:61" x14ac:dyDescent="0.35">
      <c r="A159" s="8" t="str">
        <f t="shared" si="17"/>
        <v>Semaine 34-2025</v>
      </c>
      <c r="B159" s="8" t="str">
        <f t="shared" si="13"/>
        <v>2025</v>
      </c>
      <c r="C159" s="2" t="s">
        <v>2</v>
      </c>
      <c r="D159" s="6" t="str">
        <f t="shared" si="14"/>
        <v>Fatick</v>
      </c>
      <c r="E159" s="6">
        <f t="shared" si="15"/>
        <v>151740</v>
      </c>
      <c r="F159" s="6">
        <f t="shared" si="16"/>
        <v>965914</v>
      </c>
      <c r="G159" s="4" t="s">
        <v>541</v>
      </c>
      <c r="H159" s="4" t="s">
        <v>545</v>
      </c>
      <c r="I159" s="4">
        <v>32</v>
      </c>
      <c r="J159" s="4" t="s">
        <v>114</v>
      </c>
      <c r="K159" s="4"/>
      <c r="L159" s="4"/>
      <c r="M159" s="4"/>
      <c r="N159" s="4"/>
      <c r="O159" s="4" t="s">
        <v>238</v>
      </c>
      <c r="P159" s="4" t="s">
        <v>97</v>
      </c>
      <c r="Q159" s="4" t="s">
        <v>97</v>
      </c>
      <c r="R159" s="14" t="s">
        <v>100</v>
      </c>
      <c r="S159" s="14" t="s">
        <v>100</v>
      </c>
      <c r="T159" s="14" t="s">
        <v>100</v>
      </c>
      <c r="U159" s="8"/>
      <c r="V159" s="14"/>
      <c r="W159" s="14"/>
      <c r="X159" s="14"/>
      <c r="Y159" s="5">
        <v>45891</v>
      </c>
      <c r="Z159" s="5">
        <v>45894</v>
      </c>
      <c r="AA159" s="5" t="s">
        <v>97</v>
      </c>
      <c r="AB159" s="5" t="s">
        <v>546</v>
      </c>
      <c r="AC159" s="5" t="s">
        <v>97</v>
      </c>
      <c r="AD159" s="5" t="s">
        <v>97</v>
      </c>
      <c r="AE159" s="5" t="s">
        <v>97</v>
      </c>
      <c r="AF159" s="5" t="s">
        <v>97</v>
      </c>
      <c r="AG159" s="5" t="s">
        <v>97</v>
      </c>
      <c r="AH159" s="5" t="s">
        <v>103</v>
      </c>
      <c r="AI159" s="5">
        <v>45891</v>
      </c>
      <c r="AJ159" s="5" t="s">
        <v>103</v>
      </c>
      <c r="AK159" s="5" t="s">
        <v>97</v>
      </c>
      <c r="AL159" s="5" t="s">
        <v>103</v>
      </c>
      <c r="AM159" s="5" t="s">
        <v>97</v>
      </c>
      <c r="AN159" s="5" t="s">
        <v>103</v>
      </c>
      <c r="AO159" s="5" t="s">
        <v>97</v>
      </c>
      <c r="AP159" s="5" t="s">
        <v>97</v>
      </c>
      <c r="AQ159" s="5" t="s">
        <v>97</v>
      </c>
      <c r="AR159" s="5" t="s">
        <v>97</v>
      </c>
      <c r="AS159" s="5" t="s">
        <v>97</v>
      </c>
      <c r="AT159" s="5"/>
      <c r="AU159" s="5"/>
      <c r="AV159" s="4" t="s">
        <v>97</v>
      </c>
      <c r="AW159" s="4" t="s">
        <v>97</v>
      </c>
      <c r="AX159" s="4" t="s">
        <v>97</v>
      </c>
      <c r="AY159" s="4" t="s">
        <v>97</v>
      </c>
      <c r="AZ159" s="4" t="s">
        <v>103</v>
      </c>
      <c r="BA159" s="4" t="s">
        <v>97</v>
      </c>
      <c r="BB159" s="5">
        <v>45894</v>
      </c>
      <c r="BC159" s="5">
        <v>45897</v>
      </c>
      <c r="BD159" s="5">
        <v>45898</v>
      </c>
      <c r="BE159" s="5">
        <v>45899</v>
      </c>
      <c r="BF159" s="5" t="s">
        <v>98</v>
      </c>
      <c r="BG159" s="5" t="s">
        <v>97</v>
      </c>
      <c r="BH159" s="5" t="s">
        <v>103</v>
      </c>
      <c r="BI159" s="5" t="s">
        <v>115</v>
      </c>
    </row>
    <row r="160" spans="1:61" x14ac:dyDescent="0.35">
      <c r="A160" s="8" t="str">
        <f t="shared" si="17"/>
        <v>Semaine 35-2025</v>
      </c>
      <c r="B160" s="8" t="str">
        <f t="shared" si="13"/>
        <v>2025</v>
      </c>
      <c r="C160" s="2" t="s">
        <v>18</v>
      </c>
      <c r="D160" s="6" t="str">
        <f t="shared" si="14"/>
        <v>Dakar</v>
      </c>
      <c r="E160" s="6">
        <f t="shared" si="15"/>
        <v>419489</v>
      </c>
      <c r="F160" s="6">
        <f t="shared" si="16"/>
        <v>4042240</v>
      </c>
      <c r="G160" s="4" t="s">
        <v>542</v>
      </c>
      <c r="H160" s="9" t="s">
        <v>547</v>
      </c>
      <c r="I160" s="9">
        <v>20</v>
      </c>
      <c r="J160" s="9" t="s">
        <v>114</v>
      </c>
      <c r="K160" s="9" t="s">
        <v>256</v>
      </c>
      <c r="L160" s="9"/>
      <c r="M160" s="9"/>
      <c r="N160" s="9"/>
      <c r="O160" s="4" t="s">
        <v>238</v>
      </c>
      <c r="P160" s="4" t="s">
        <v>97</v>
      </c>
      <c r="Q160" s="9" t="s">
        <v>97</v>
      </c>
      <c r="R160" s="14" t="s">
        <v>100</v>
      </c>
      <c r="S160" s="14" t="s">
        <v>100</v>
      </c>
      <c r="T160" s="14" t="s">
        <v>100</v>
      </c>
      <c r="U160" s="8"/>
      <c r="V160" s="14"/>
      <c r="W160" s="14"/>
      <c r="X160" s="14"/>
      <c r="Y160" s="5">
        <v>45894</v>
      </c>
      <c r="Z160" s="5">
        <v>45897</v>
      </c>
      <c r="AA160" s="5" t="s">
        <v>97</v>
      </c>
      <c r="AB160" s="5"/>
      <c r="AC160" s="5" t="s">
        <v>97</v>
      </c>
      <c r="AD160" s="5" t="s">
        <v>97</v>
      </c>
      <c r="AE160" s="5" t="s">
        <v>97</v>
      </c>
      <c r="AF160" s="5" t="s">
        <v>103</v>
      </c>
      <c r="AG160" s="5" t="s">
        <v>103</v>
      </c>
      <c r="AH160" s="5" t="s">
        <v>103</v>
      </c>
      <c r="AI160" s="5">
        <v>45894</v>
      </c>
      <c r="AJ160" s="5" t="s">
        <v>103</v>
      </c>
      <c r="AK160" s="5" t="s">
        <v>103</v>
      </c>
      <c r="AL160" s="5" t="s">
        <v>97</v>
      </c>
      <c r="AM160" s="5" t="s">
        <v>103</v>
      </c>
      <c r="AN160" s="5" t="s">
        <v>103</v>
      </c>
      <c r="AO160" s="5" t="s">
        <v>97</v>
      </c>
      <c r="AP160" s="5" t="s">
        <v>97</v>
      </c>
      <c r="AQ160" s="5" t="s">
        <v>97</v>
      </c>
      <c r="AR160" s="5" t="s">
        <v>97</v>
      </c>
      <c r="AS160" s="5" t="s">
        <v>103</v>
      </c>
      <c r="AT160" s="5"/>
      <c r="AU160" s="5"/>
      <c r="AV160" s="4" t="s">
        <v>103</v>
      </c>
      <c r="AW160" s="4" t="s">
        <v>97</v>
      </c>
      <c r="AX160" s="4" t="s">
        <v>97</v>
      </c>
      <c r="AY160" s="4" t="s">
        <v>97</v>
      </c>
      <c r="AZ160" s="4" t="s">
        <v>103</v>
      </c>
      <c r="BA160" s="4" t="s">
        <v>97</v>
      </c>
      <c r="BB160" s="5">
        <v>45898</v>
      </c>
      <c r="BC160" s="5">
        <v>45898</v>
      </c>
      <c r="BD160" s="5">
        <v>45898</v>
      </c>
      <c r="BE160" s="5">
        <v>45899</v>
      </c>
      <c r="BF160" s="5" t="s">
        <v>98</v>
      </c>
      <c r="BG160" s="4" t="s">
        <v>97</v>
      </c>
      <c r="BH160" s="4" t="s">
        <v>103</v>
      </c>
      <c r="BI160" s="4" t="s">
        <v>115</v>
      </c>
    </row>
    <row r="161" spans="1:61" x14ac:dyDescent="0.35">
      <c r="A161" s="8" t="str">
        <f t="shared" si="17"/>
        <v>Semaine 34-2025</v>
      </c>
      <c r="B161" s="8" t="str">
        <f t="shared" si="13"/>
        <v>2025</v>
      </c>
      <c r="C161" s="2" t="s">
        <v>4</v>
      </c>
      <c r="D161" s="6" t="str">
        <f t="shared" si="14"/>
        <v>Thies</v>
      </c>
      <c r="E161" s="6">
        <f t="shared" si="15"/>
        <v>462449</v>
      </c>
      <c r="F161" s="6">
        <f t="shared" si="16"/>
        <v>2280463</v>
      </c>
      <c r="G161" s="4" t="s">
        <v>548</v>
      </c>
      <c r="H161" s="9" t="s">
        <v>549</v>
      </c>
      <c r="I161" s="9">
        <v>4</v>
      </c>
      <c r="J161" s="9" t="s">
        <v>96</v>
      </c>
      <c r="K161" s="9"/>
      <c r="L161" s="9"/>
      <c r="M161" s="9"/>
      <c r="N161" s="9"/>
      <c r="O161" s="9" t="s">
        <v>238</v>
      </c>
      <c r="P161" s="9" t="s">
        <v>97</v>
      </c>
      <c r="Q161" s="9" t="s">
        <v>97</v>
      </c>
      <c r="R161" s="14" t="s">
        <v>100</v>
      </c>
      <c r="S161" s="14" t="s">
        <v>100</v>
      </c>
      <c r="T161" s="14" t="s">
        <v>100</v>
      </c>
      <c r="U161" s="8" t="s">
        <v>431</v>
      </c>
      <c r="V161" s="14"/>
      <c r="W161" s="14"/>
      <c r="X161" s="14"/>
      <c r="Y161" s="5">
        <v>45889</v>
      </c>
      <c r="Z161" s="5">
        <v>45890</v>
      </c>
      <c r="AA161" s="5" t="s">
        <v>103</v>
      </c>
      <c r="AB161" s="5" t="s">
        <v>550</v>
      </c>
      <c r="AC161" s="5" t="s">
        <v>97</v>
      </c>
      <c r="AD161" s="5" t="s">
        <v>97</v>
      </c>
      <c r="AE161" s="5" t="s">
        <v>97</v>
      </c>
      <c r="AF161" s="5" t="s">
        <v>97</v>
      </c>
      <c r="AG161" s="5" t="s">
        <v>97</v>
      </c>
      <c r="AH161" s="5" t="s">
        <v>103</v>
      </c>
      <c r="AI161" s="5">
        <v>45889</v>
      </c>
      <c r="AJ161" s="5" t="s">
        <v>97</v>
      </c>
      <c r="AK161" s="5" t="s">
        <v>97</v>
      </c>
      <c r="AL161" s="5" t="s">
        <v>103</v>
      </c>
      <c r="AM161" s="5" t="s">
        <v>103</v>
      </c>
      <c r="AN161" s="5" t="s">
        <v>103</v>
      </c>
      <c r="AO161" s="5" t="s">
        <v>103</v>
      </c>
      <c r="AP161" s="5" t="s">
        <v>103</v>
      </c>
      <c r="AQ161" s="5" t="s">
        <v>97</v>
      </c>
      <c r="AR161" s="5" t="s">
        <v>97</v>
      </c>
      <c r="AS161" s="5" t="s">
        <v>97</v>
      </c>
      <c r="AT161" s="5"/>
      <c r="AU161" s="5"/>
      <c r="AV161" s="4" t="s">
        <v>103</v>
      </c>
      <c r="AW161" s="4" t="s">
        <v>97</v>
      </c>
      <c r="AX161" s="4" t="s">
        <v>97</v>
      </c>
      <c r="AY161" s="4" t="s">
        <v>97</v>
      </c>
      <c r="AZ161" s="4" t="s">
        <v>103</v>
      </c>
      <c r="BA161" s="4" t="s">
        <v>97</v>
      </c>
      <c r="BB161" s="5">
        <v>45891</v>
      </c>
      <c r="BC161" s="5">
        <v>45895</v>
      </c>
      <c r="BD161" s="5">
        <v>45896</v>
      </c>
      <c r="BE161" s="5">
        <v>45899</v>
      </c>
      <c r="BF161" s="4" t="s">
        <v>98</v>
      </c>
      <c r="BG161" s="4" t="s">
        <v>97</v>
      </c>
      <c r="BH161" s="4" t="s">
        <v>103</v>
      </c>
      <c r="BI161" s="4" t="s">
        <v>115</v>
      </c>
    </row>
    <row r="162" spans="1:61" x14ac:dyDescent="0.35">
      <c r="A162" s="8" t="str">
        <f t="shared" si="17"/>
        <v>Semaine 35-2025</v>
      </c>
      <c r="B162" s="8" t="str">
        <f t="shared" si="13"/>
        <v>2025</v>
      </c>
      <c r="C162" s="2" t="s">
        <v>49</v>
      </c>
      <c r="D162" s="6" t="str">
        <f t="shared" si="14"/>
        <v>Dakar</v>
      </c>
      <c r="E162" s="6">
        <f t="shared" si="15"/>
        <v>441950</v>
      </c>
      <c r="F162" s="6">
        <f t="shared" si="16"/>
        <v>4042240</v>
      </c>
      <c r="G162" s="4" t="s">
        <v>551</v>
      </c>
      <c r="H162" s="9" t="s">
        <v>554</v>
      </c>
      <c r="I162" s="9">
        <v>8</v>
      </c>
      <c r="J162" s="9" t="s">
        <v>114</v>
      </c>
      <c r="K162" s="9"/>
      <c r="L162" s="9"/>
      <c r="M162" s="9"/>
      <c r="N162" s="9"/>
      <c r="O162" s="9" t="s">
        <v>238</v>
      </c>
      <c r="P162" s="9" t="s">
        <v>97</v>
      </c>
      <c r="Q162" s="9" t="s">
        <v>97</v>
      </c>
      <c r="R162" s="14" t="s">
        <v>100</v>
      </c>
      <c r="S162" s="14" t="s">
        <v>100</v>
      </c>
      <c r="T162" s="14" t="s">
        <v>100</v>
      </c>
      <c r="U162" s="8"/>
      <c r="V162" s="14"/>
      <c r="W162" s="14"/>
      <c r="X162" s="14"/>
      <c r="Y162" s="5">
        <v>45895</v>
      </c>
      <c r="Z162" s="5">
        <v>45898</v>
      </c>
      <c r="AA162" s="5" t="s">
        <v>103</v>
      </c>
      <c r="AB162" s="5" t="s">
        <v>550</v>
      </c>
      <c r="AC162" s="5" t="s">
        <v>97</v>
      </c>
      <c r="AD162" s="5" t="s">
        <v>103</v>
      </c>
      <c r="AE162" s="5" t="s">
        <v>97</v>
      </c>
      <c r="AF162" s="5" t="s">
        <v>103</v>
      </c>
      <c r="AG162" s="5" t="s">
        <v>97</v>
      </c>
      <c r="AH162" s="5" t="s">
        <v>103</v>
      </c>
      <c r="AI162" s="5">
        <v>45896</v>
      </c>
      <c r="AJ162" s="5" t="s">
        <v>103</v>
      </c>
      <c r="AK162" s="5" t="s">
        <v>97</v>
      </c>
      <c r="AL162" s="5" t="s">
        <v>103</v>
      </c>
      <c r="AM162" s="5" t="s">
        <v>103</v>
      </c>
      <c r="AN162" s="5" t="s">
        <v>103</v>
      </c>
      <c r="AO162" s="5" t="s">
        <v>97</v>
      </c>
      <c r="AP162" s="5" t="s">
        <v>97</v>
      </c>
      <c r="AQ162" s="5" t="s">
        <v>97</v>
      </c>
      <c r="AR162" s="5" t="s">
        <v>97</v>
      </c>
      <c r="AS162" s="5" t="s">
        <v>97</v>
      </c>
      <c r="AT162" s="5"/>
      <c r="AU162" s="5"/>
      <c r="AV162" s="4" t="s">
        <v>103</v>
      </c>
      <c r="AW162" s="4" t="s">
        <v>97</v>
      </c>
      <c r="AX162" s="4" t="s">
        <v>103</v>
      </c>
      <c r="AY162" s="4" t="s">
        <v>97</v>
      </c>
      <c r="AZ162" s="4" t="s">
        <v>97</v>
      </c>
      <c r="BA162" s="4" t="s">
        <v>97</v>
      </c>
      <c r="BB162" s="5">
        <v>45898</v>
      </c>
      <c r="BC162" s="5">
        <v>45898</v>
      </c>
      <c r="BD162" s="5">
        <v>45898</v>
      </c>
      <c r="BE162" s="5">
        <v>45900</v>
      </c>
      <c r="BF162" s="4" t="s">
        <v>98</v>
      </c>
      <c r="BG162" s="4" t="s">
        <v>97</v>
      </c>
      <c r="BH162" s="4" t="s">
        <v>103</v>
      </c>
      <c r="BI162" s="4" t="s">
        <v>115</v>
      </c>
    </row>
    <row r="163" spans="1:61" x14ac:dyDescent="0.35">
      <c r="A163" s="8" t="str">
        <f t="shared" si="17"/>
        <v>Semaine 31-2025</v>
      </c>
      <c r="B163" s="8" t="str">
        <f t="shared" si="13"/>
        <v>2025</v>
      </c>
      <c r="C163" s="2" t="s">
        <v>52</v>
      </c>
      <c r="D163" s="6" t="str">
        <f t="shared" si="14"/>
        <v>Kaolack</v>
      </c>
      <c r="E163" s="6">
        <f t="shared" si="15"/>
        <v>231613</v>
      </c>
      <c r="F163" s="6">
        <f t="shared" si="16"/>
        <v>1267013</v>
      </c>
      <c r="G163" s="4" t="s">
        <v>552</v>
      </c>
      <c r="H163" s="9" t="s">
        <v>555</v>
      </c>
      <c r="I163" s="9">
        <v>15</v>
      </c>
      <c r="J163" s="9" t="s">
        <v>114</v>
      </c>
      <c r="K163" s="9"/>
      <c r="L163" s="9"/>
      <c r="M163" s="9"/>
      <c r="N163" s="9"/>
      <c r="O163" s="9" t="s">
        <v>238</v>
      </c>
      <c r="P163" s="9" t="s">
        <v>97</v>
      </c>
      <c r="Q163" s="9" t="s">
        <v>103</v>
      </c>
      <c r="R163" s="14" t="s">
        <v>100</v>
      </c>
      <c r="S163" s="14" t="s">
        <v>100</v>
      </c>
      <c r="T163" s="14" t="s">
        <v>100</v>
      </c>
      <c r="U163" s="8"/>
      <c r="V163" s="14"/>
      <c r="W163" s="14"/>
      <c r="X163" s="14"/>
      <c r="Y163" s="5">
        <v>45866</v>
      </c>
      <c r="Z163" s="5">
        <v>45897</v>
      </c>
      <c r="AA163" s="5" t="s">
        <v>103</v>
      </c>
      <c r="AB163" s="5"/>
      <c r="AC163" s="5" t="s">
        <v>97</v>
      </c>
      <c r="AD163" s="5" t="s">
        <v>103</v>
      </c>
      <c r="AE163" s="5" t="s">
        <v>97</v>
      </c>
      <c r="AF163" s="5" t="s">
        <v>103</v>
      </c>
      <c r="AG163" s="5" t="s">
        <v>103</v>
      </c>
      <c r="AH163" s="5" t="s">
        <v>103</v>
      </c>
      <c r="AI163" s="5">
        <v>45866</v>
      </c>
      <c r="AJ163" s="5" t="s">
        <v>97</v>
      </c>
      <c r="AK163" s="5" t="s">
        <v>97</v>
      </c>
      <c r="AL163" s="5" t="s">
        <v>103</v>
      </c>
      <c r="AM163" s="5" t="s">
        <v>103</v>
      </c>
      <c r="AN163" s="5" t="s">
        <v>97</v>
      </c>
      <c r="AO163" s="5" t="s">
        <v>103</v>
      </c>
      <c r="AP163" s="5" t="s">
        <v>103</v>
      </c>
      <c r="AQ163" s="5" t="s">
        <v>97</v>
      </c>
      <c r="AR163" s="5" t="s">
        <v>97</v>
      </c>
      <c r="AS163" s="5" t="s">
        <v>97</v>
      </c>
      <c r="AT163" s="5"/>
      <c r="AU163" s="5"/>
      <c r="AV163" s="4" t="s">
        <v>103</v>
      </c>
      <c r="AW163" s="4" t="s">
        <v>97</v>
      </c>
      <c r="AX163" s="4" t="s">
        <v>97</v>
      </c>
      <c r="AY163" s="4" t="s">
        <v>97</v>
      </c>
      <c r="AZ163" s="4" t="s">
        <v>103</v>
      </c>
      <c r="BA163" s="4" t="s">
        <v>97</v>
      </c>
      <c r="BB163" s="5">
        <v>45897</v>
      </c>
      <c r="BC163" s="5">
        <v>45898</v>
      </c>
      <c r="BD163" s="5">
        <v>45899</v>
      </c>
      <c r="BE163" s="5">
        <v>45900</v>
      </c>
      <c r="BF163" s="4" t="s">
        <v>98</v>
      </c>
      <c r="BG163" s="4" t="s">
        <v>97</v>
      </c>
      <c r="BH163" s="4" t="s">
        <v>103</v>
      </c>
      <c r="BI163" s="4" t="s">
        <v>115</v>
      </c>
    </row>
    <row r="164" spans="1:61" x14ac:dyDescent="0.35">
      <c r="A164" s="8" t="str">
        <f t="shared" si="17"/>
        <v>Semaine 34-2025</v>
      </c>
      <c r="B164" s="8" t="str">
        <f t="shared" si="13"/>
        <v>2025</v>
      </c>
      <c r="C164" s="2" t="s">
        <v>70</v>
      </c>
      <c r="D164" s="6" t="str">
        <f t="shared" si="14"/>
        <v>Fatick</v>
      </c>
      <c r="E164" s="6">
        <f t="shared" si="15"/>
        <v>198755</v>
      </c>
      <c r="F164" s="6">
        <f t="shared" si="16"/>
        <v>965914</v>
      </c>
      <c r="G164" s="4" t="s">
        <v>553</v>
      </c>
      <c r="H164" s="9" t="s">
        <v>556</v>
      </c>
      <c r="I164" s="9">
        <v>1</v>
      </c>
      <c r="J164" s="9" t="s">
        <v>96</v>
      </c>
      <c r="K164" s="9"/>
      <c r="L164" s="9"/>
      <c r="M164" s="9"/>
      <c r="N164" s="9"/>
      <c r="O164" s="9" t="s">
        <v>238</v>
      </c>
      <c r="P164" s="9" t="s">
        <v>97</v>
      </c>
      <c r="Q164" s="9" t="s">
        <v>97</v>
      </c>
      <c r="R164" s="14" t="s">
        <v>100</v>
      </c>
      <c r="S164" s="14" t="s">
        <v>100</v>
      </c>
      <c r="T164" s="14" t="s">
        <v>100</v>
      </c>
      <c r="U164" s="8"/>
      <c r="V164" s="14"/>
      <c r="W164" s="14"/>
      <c r="X164" s="14"/>
      <c r="Y164" s="5">
        <v>45891</v>
      </c>
      <c r="Z164" s="5">
        <v>45898</v>
      </c>
      <c r="AA164" s="5" t="s">
        <v>97</v>
      </c>
      <c r="AB164" s="5"/>
      <c r="AC164" s="5" t="s">
        <v>97</v>
      </c>
      <c r="AD164" s="5" t="s">
        <v>103</v>
      </c>
      <c r="AE164" s="5" t="s">
        <v>97</v>
      </c>
      <c r="AF164" s="5" t="s">
        <v>97</v>
      </c>
      <c r="AG164" s="5" t="s">
        <v>97</v>
      </c>
      <c r="AH164" s="5" t="s">
        <v>103</v>
      </c>
      <c r="AI164" s="5">
        <v>45891</v>
      </c>
      <c r="AJ164" s="5" t="s">
        <v>97</v>
      </c>
      <c r="AK164" s="5" t="s">
        <v>97</v>
      </c>
      <c r="AL164" s="5" t="s">
        <v>103</v>
      </c>
      <c r="AM164" s="5" t="s">
        <v>103</v>
      </c>
      <c r="AN164" s="5" t="s">
        <v>103</v>
      </c>
      <c r="AO164" s="5" t="s">
        <v>103</v>
      </c>
      <c r="AP164" s="5" t="s">
        <v>103</v>
      </c>
      <c r="AQ164" s="5" t="s">
        <v>103</v>
      </c>
      <c r="AR164" s="5" t="s">
        <v>97</v>
      </c>
      <c r="AS164" s="5" t="s">
        <v>103</v>
      </c>
      <c r="AT164" s="5"/>
      <c r="AU164" s="5"/>
      <c r="AV164" s="4" t="s">
        <v>103</v>
      </c>
      <c r="AW164" s="4" t="s">
        <v>97</v>
      </c>
      <c r="AX164" s="4" t="s">
        <v>97</v>
      </c>
      <c r="AY164" s="4" t="s">
        <v>97</v>
      </c>
      <c r="AZ164" s="4" t="s">
        <v>103</v>
      </c>
      <c r="BA164" s="4" t="s">
        <v>97</v>
      </c>
      <c r="BB164" s="5">
        <v>45898</v>
      </c>
      <c r="BC164" s="5">
        <v>45899</v>
      </c>
      <c r="BD164" s="5">
        <v>45899</v>
      </c>
      <c r="BE164" s="5">
        <v>45900</v>
      </c>
      <c r="BF164" s="4" t="s">
        <v>98</v>
      </c>
      <c r="BG164" s="4" t="s">
        <v>97</v>
      </c>
      <c r="BH164" s="4" t="s">
        <v>103</v>
      </c>
      <c r="BI164" s="4" t="s">
        <v>115</v>
      </c>
    </row>
    <row r="165" spans="1:61" x14ac:dyDescent="0.35">
      <c r="A165" s="8" t="str">
        <f t="shared" si="17"/>
        <v>Semaine 35-2025</v>
      </c>
      <c r="B165" s="8" t="str">
        <f t="shared" si="13"/>
        <v>2025</v>
      </c>
      <c r="C165" s="2" t="s">
        <v>72</v>
      </c>
      <c r="D165" s="6" t="str">
        <f t="shared" si="14"/>
        <v>Thies</v>
      </c>
      <c r="E165" s="6">
        <f t="shared" si="15"/>
        <v>520145</v>
      </c>
      <c r="F165" s="6">
        <f t="shared" si="16"/>
        <v>2280463</v>
      </c>
      <c r="G165" s="4" t="s">
        <v>557</v>
      </c>
      <c r="H165" s="9" t="s">
        <v>558</v>
      </c>
      <c r="I165" s="9">
        <v>31</v>
      </c>
      <c r="J165" s="9" t="s">
        <v>114</v>
      </c>
      <c r="K165" s="9"/>
      <c r="L165" s="9"/>
      <c r="M165" s="9"/>
      <c r="N165" s="9"/>
      <c r="O165" s="9" t="s">
        <v>238</v>
      </c>
      <c r="P165" s="9" t="s">
        <v>97</v>
      </c>
      <c r="Q165" s="9" t="s">
        <v>97</v>
      </c>
      <c r="R165" s="14" t="s">
        <v>100</v>
      </c>
      <c r="S165" s="14" t="s">
        <v>100</v>
      </c>
      <c r="T165" s="14" t="s">
        <v>100</v>
      </c>
      <c r="U165" s="8" t="s">
        <v>431</v>
      </c>
      <c r="V165" s="14"/>
      <c r="W165" s="14"/>
      <c r="X165" s="14"/>
      <c r="Y165" s="5">
        <v>45900</v>
      </c>
      <c r="Z165" s="5">
        <v>45902</v>
      </c>
      <c r="AA165" s="5" t="s">
        <v>103</v>
      </c>
      <c r="AB165" s="5" t="s">
        <v>559</v>
      </c>
      <c r="AC165" s="5" t="s">
        <v>103</v>
      </c>
      <c r="AD165" s="5" t="s">
        <v>103</v>
      </c>
      <c r="AE165" s="5" t="s">
        <v>97</v>
      </c>
      <c r="AF165" s="5" t="s">
        <v>103</v>
      </c>
      <c r="AG165" s="5" t="s">
        <v>103</v>
      </c>
      <c r="AH165" s="5" t="s">
        <v>103</v>
      </c>
      <c r="AI165" s="5">
        <v>45901</v>
      </c>
      <c r="AJ165" s="5" t="s">
        <v>103</v>
      </c>
      <c r="AK165" s="5" t="s">
        <v>103</v>
      </c>
      <c r="AL165" s="5" t="s">
        <v>103</v>
      </c>
      <c r="AM165" s="5" t="s">
        <v>103</v>
      </c>
      <c r="AN165" s="5" t="s">
        <v>103</v>
      </c>
      <c r="AO165" s="5" t="s">
        <v>97</v>
      </c>
      <c r="AP165" s="5" t="s">
        <v>97</v>
      </c>
      <c r="AQ165" s="5" t="s">
        <v>97</v>
      </c>
      <c r="AR165" s="5" t="s">
        <v>103</v>
      </c>
      <c r="AS165" s="5" t="s">
        <v>103</v>
      </c>
      <c r="AT165" s="5"/>
      <c r="AU165" s="5" t="s">
        <v>511</v>
      </c>
      <c r="AV165" s="4" t="s">
        <v>103</v>
      </c>
      <c r="AW165" s="4" t="s">
        <v>103</v>
      </c>
      <c r="AX165" s="4" t="s">
        <v>97</v>
      </c>
      <c r="AY165" s="4" t="s">
        <v>97</v>
      </c>
      <c r="AZ165" s="4" t="s">
        <v>103</v>
      </c>
      <c r="BA165" s="4" t="s">
        <v>97</v>
      </c>
      <c r="BB165" s="5">
        <v>45902</v>
      </c>
      <c r="BC165" s="5">
        <v>45902</v>
      </c>
      <c r="BD165" s="5">
        <v>45902</v>
      </c>
      <c r="BE165" s="5">
        <v>45902</v>
      </c>
      <c r="BF165" s="4" t="s">
        <v>98</v>
      </c>
      <c r="BG165" s="4" t="s">
        <v>103</v>
      </c>
      <c r="BH165" s="4" t="s">
        <v>103</v>
      </c>
      <c r="BI165" s="5" t="s">
        <v>360</v>
      </c>
    </row>
    <row r="166" spans="1:61" x14ac:dyDescent="0.35">
      <c r="A166" s="8" t="str">
        <f t="shared" si="17"/>
        <v>Semaine 35-2025</v>
      </c>
      <c r="B166" s="8" t="str">
        <f t="shared" si="13"/>
        <v>2025</v>
      </c>
      <c r="C166" s="2" t="s">
        <v>71</v>
      </c>
      <c r="D166" s="6" t="str">
        <f t="shared" si="14"/>
        <v>Thies</v>
      </c>
      <c r="E166" s="6">
        <f t="shared" si="15"/>
        <v>195082</v>
      </c>
      <c r="F166" s="6">
        <f t="shared" si="16"/>
        <v>2280463</v>
      </c>
      <c r="G166" s="4" t="s">
        <v>560</v>
      </c>
      <c r="H166" s="9" t="s">
        <v>562</v>
      </c>
      <c r="I166" s="9">
        <v>15</v>
      </c>
      <c r="J166" s="9" t="s">
        <v>114</v>
      </c>
      <c r="K166" s="9"/>
      <c r="L166" s="9"/>
      <c r="M166" s="9"/>
      <c r="N166" s="9"/>
      <c r="O166" s="9" t="s">
        <v>238</v>
      </c>
      <c r="P166" s="9" t="s">
        <v>97</v>
      </c>
      <c r="Q166" s="9" t="s">
        <v>97</v>
      </c>
      <c r="R166" s="14" t="s">
        <v>100</v>
      </c>
      <c r="S166" s="14" t="s">
        <v>100</v>
      </c>
      <c r="T166" s="14" t="s">
        <v>100</v>
      </c>
      <c r="U166" s="8" t="s">
        <v>431</v>
      </c>
      <c r="V166" s="14"/>
      <c r="W166" s="14"/>
      <c r="X166" s="14"/>
      <c r="Y166" s="5">
        <v>45898</v>
      </c>
      <c r="Z166" s="5">
        <v>45902</v>
      </c>
      <c r="AA166" s="5" t="s">
        <v>103</v>
      </c>
      <c r="AB166" s="5" t="s">
        <v>303</v>
      </c>
      <c r="AC166" s="5" t="s">
        <v>103</v>
      </c>
      <c r="AD166" s="5" t="s">
        <v>97</v>
      </c>
      <c r="AE166" s="5" t="s">
        <v>103</v>
      </c>
      <c r="AF166" s="5" t="s">
        <v>103</v>
      </c>
      <c r="AG166" s="5" t="s">
        <v>103</v>
      </c>
      <c r="AH166" s="5" t="s">
        <v>103</v>
      </c>
      <c r="AI166" s="5">
        <v>45898</v>
      </c>
      <c r="AJ166" s="5" t="s">
        <v>103</v>
      </c>
      <c r="AK166" s="5" t="s">
        <v>103</v>
      </c>
      <c r="AL166" s="5" t="s">
        <v>97</v>
      </c>
      <c r="AM166" s="5" t="s">
        <v>103</v>
      </c>
      <c r="AN166" s="5" t="s">
        <v>103</v>
      </c>
      <c r="AO166" s="5" t="s">
        <v>103</v>
      </c>
      <c r="AP166" s="5" t="s">
        <v>97</v>
      </c>
      <c r="AQ166" s="5" t="s">
        <v>103</v>
      </c>
      <c r="AR166" s="5" t="s">
        <v>97</v>
      </c>
      <c r="AS166" s="5" t="s">
        <v>103</v>
      </c>
      <c r="AT166" s="5"/>
      <c r="AU166" s="5"/>
      <c r="AV166" s="4" t="s">
        <v>103</v>
      </c>
      <c r="AW166" s="4" t="s">
        <v>97</v>
      </c>
      <c r="AX166" s="4" t="s">
        <v>97</v>
      </c>
      <c r="AY166" s="4" t="s">
        <v>97</v>
      </c>
      <c r="AZ166" s="4" t="s">
        <v>97</v>
      </c>
      <c r="BA166" s="4" t="s">
        <v>97</v>
      </c>
      <c r="BB166" s="5">
        <v>45902</v>
      </c>
      <c r="BC166" s="5">
        <v>45903</v>
      </c>
      <c r="BD166" s="5">
        <v>45903</v>
      </c>
      <c r="BE166" s="5">
        <v>45903</v>
      </c>
      <c r="BF166" s="4" t="s">
        <v>98</v>
      </c>
      <c r="BG166" s="4" t="s">
        <v>97</v>
      </c>
      <c r="BH166" s="4" t="s">
        <v>103</v>
      </c>
      <c r="BI166" s="5" t="s">
        <v>360</v>
      </c>
    </row>
    <row r="167" spans="1:61" x14ac:dyDescent="0.35">
      <c r="A167" s="8" t="str">
        <f t="shared" si="17"/>
        <v>Semaine 35-2025</v>
      </c>
      <c r="B167" s="8" t="str">
        <f t="shared" si="13"/>
        <v>2025</v>
      </c>
      <c r="C167" s="2" t="s">
        <v>71</v>
      </c>
      <c r="D167" s="6" t="str">
        <f t="shared" si="14"/>
        <v>Thies</v>
      </c>
      <c r="E167" s="6">
        <f t="shared" si="15"/>
        <v>195082</v>
      </c>
      <c r="F167" s="6">
        <f t="shared" si="16"/>
        <v>2280463</v>
      </c>
      <c r="G167" s="4" t="s">
        <v>561</v>
      </c>
      <c r="H167" s="9" t="s">
        <v>563</v>
      </c>
      <c r="I167" s="9">
        <v>14</v>
      </c>
      <c r="J167" s="9" t="s">
        <v>96</v>
      </c>
      <c r="K167" s="9"/>
      <c r="L167" s="9"/>
      <c r="M167" s="9"/>
      <c r="N167" s="9"/>
      <c r="O167" s="9" t="s">
        <v>238</v>
      </c>
      <c r="P167" s="9" t="s">
        <v>97</v>
      </c>
      <c r="Q167" s="9" t="s">
        <v>97</v>
      </c>
      <c r="R167" s="14" t="s">
        <v>100</v>
      </c>
      <c r="S167" s="14" t="s">
        <v>100</v>
      </c>
      <c r="T167" s="14" t="s">
        <v>100</v>
      </c>
      <c r="U167" s="8" t="s">
        <v>431</v>
      </c>
      <c r="V167" s="14"/>
      <c r="W167" s="14"/>
      <c r="X167" s="14"/>
      <c r="Y167" s="5">
        <v>45900</v>
      </c>
      <c r="Z167" s="5">
        <v>45902</v>
      </c>
      <c r="AA167" s="5" t="s">
        <v>97</v>
      </c>
      <c r="AB167" s="5" t="s">
        <v>513</v>
      </c>
      <c r="AC167" s="5" t="s">
        <v>97</v>
      </c>
      <c r="AD167" s="5" t="s">
        <v>103</v>
      </c>
      <c r="AE167" s="5" t="s">
        <v>97</v>
      </c>
      <c r="AF167" s="5" t="s">
        <v>103</v>
      </c>
      <c r="AG167" s="5" t="s">
        <v>103</v>
      </c>
      <c r="AH167" s="5" t="s">
        <v>103</v>
      </c>
      <c r="AI167" s="5">
        <v>45900</v>
      </c>
      <c r="AJ167" s="5" t="s">
        <v>103</v>
      </c>
      <c r="AK167" s="5" t="s">
        <v>103</v>
      </c>
      <c r="AL167" s="5" t="s">
        <v>103</v>
      </c>
      <c r="AM167" s="5" t="s">
        <v>103</v>
      </c>
      <c r="AN167" s="5" t="s">
        <v>103</v>
      </c>
      <c r="AO167" s="5" t="s">
        <v>103</v>
      </c>
      <c r="AP167" s="5" t="s">
        <v>97</v>
      </c>
      <c r="AQ167" s="5" t="s">
        <v>103</v>
      </c>
      <c r="AR167" s="5" t="s">
        <v>103</v>
      </c>
      <c r="AS167" s="5" t="s">
        <v>97</v>
      </c>
      <c r="AT167" s="5"/>
      <c r="AU167" s="5" t="s">
        <v>511</v>
      </c>
      <c r="AV167" s="4" t="s">
        <v>103</v>
      </c>
      <c r="AW167" s="4" t="s">
        <v>97</v>
      </c>
      <c r="AX167" s="4" t="s">
        <v>97</v>
      </c>
      <c r="AY167" s="4" t="s">
        <v>97</v>
      </c>
      <c r="AZ167" s="4" t="s">
        <v>97</v>
      </c>
      <c r="BA167" s="4" t="s">
        <v>97</v>
      </c>
      <c r="BB167" s="5">
        <v>45902</v>
      </c>
      <c r="BC167" s="5">
        <v>45903</v>
      </c>
      <c r="BD167" s="5">
        <v>45903</v>
      </c>
      <c r="BE167" s="5">
        <v>45903</v>
      </c>
      <c r="BF167" s="4" t="s">
        <v>98</v>
      </c>
      <c r="BG167" s="4" t="s">
        <v>97</v>
      </c>
      <c r="BH167" s="4" t="s">
        <v>103</v>
      </c>
      <c r="BI167" s="5" t="s">
        <v>360</v>
      </c>
    </row>
    <row r="168" spans="1:61" x14ac:dyDescent="0.35">
      <c r="A168" s="8" t="str">
        <f t="shared" si="17"/>
        <v>Semaine 34-2025</v>
      </c>
      <c r="B168" s="8" t="str">
        <f t="shared" si="13"/>
        <v>2025</v>
      </c>
      <c r="C168" s="2" t="s">
        <v>75</v>
      </c>
      <c r="D168" s="6" t="str">
        <f t="shared" si="14"/>
        <v>Diourbel</v>
      </c>
      <c r="E168" s="6">
        <f t="shared" si="15"/>
        <v>996481</v>
      </c>
      <c r="F168" s="6">
        <f t="shared" si="16"/>
        <v>1980827</v>
      </c>
      <c r="G168" s="4" t="s">
        <v>564</v>
      </c>
      <c r="H168" s="4" t="s">
        <v>565</v>
      </c>
      <c r="I168" s="4">
        <v>18</v>
      </c>
      <c r="J168" s="4" t="s">
        <v>114</v>
      </c>
      <c r="K168" s="4"/>
      <c r="L168" s="4"/>
      <c r="M168" s="4"/>
      <c r="N168" s="4"/>
      <c r="O168" s="4" t="s">
        <v>238</v>
      </c>
      <c r="P168" s="4" t="s">
        <v>97</v>
      </c>
      <c r="Q168" s="4" t="s">
        <v>97</v>
      </c>
      <c r="R168" s="14" t="s">
        <v>100</v>
      </c>
      <c r="S168" s="14" t="s">
        <v>100</v>
      </c>
      <c r="T168" s="14" t="s">
        <v>100</v>
      </c>
      <c r="U168" s="8"/>
      <c r="V168" s="14"/>
      <c r="W168" s="14"/>
      <c r="X168" s="14"/>
      <c r="Y168" s="5">
        <v>45889</v>
      </c>
      <c r="Z168" s="5">
        <v>45898</v>
      </c>
      <c r="AA168" s="5" t="s">
        <v>97</v>
      </c>
      <c r="AB168" s="5" t="s">
        <v>396</v>
      </c>
      <c r="AC168" s="5" t="s">
        <v>103</v>
      </c>
      <c r="AD168" s="5" t="s">
        <v>103</v>
      </c>
      <c r="AE168" s="5" t="s">
        <v>97</v>
      </c>
      <c r="AF168" s="5" t="s">
        <v>103</v>
      </c>
      <c r="AG168" s="5" t="s">
        <v>103</v>
      </c>
      <c r="AH168" s="5" t="s">
        <v>103</v>
      </c>
      <c r="AI168" s="5">
        <v>45889</v>
      </c>
      <c r="AJ168" s="5" t="s">
        <v>103</v>
      </c>
      <c r="AK168" s="5" t="s">
        <v>97</v>
      </c>
      <c r="AL168" s="5" t="s">
        <v>103</v>
      </c>
      <c r="AM168" s="5" t="s">
        <v>97</v>
      </c>
      <c r="AN168" s="5" t="s">
        <v>103</v>
      </c>
      <c r="AO168" s="5" t="s">
        <v>97</v>
      </c>
      <c r="AP168" s="5" t="s">
        <v>97</v>
      </c>
      <c r="AQ168" s="5" t="s">
        <v>97</v>
      </c>
      <c r="AR168" s="5" t="s">
        <v>97</v>
      </c>
      <c r="AS168" s="5" t="s">
        <v>97</v>
      </c>
      <c r="AT168" s="5"/>
      <c r="AU168" s="5"/>
      <c r="AV168" s="4" t="s">
        <v>103</v>
      </c>
      <c r="AW168" s="4" t="s">
        <v>97</v>
      </c>
      <c r="AX168" s="4" t="s">
        <v>97</v>
      </c>
      <c r="AY168" s="4" t="s">
        <v>97</v>
      </c>
      <c r="AZ168" s="4" t="s">
        <v>103</v>
      </c>
      <c r="BA168" s="4" t="s">
        <v>97</v>
      </c>
      <c r="BB168" s="5">
        <v>45898</v>
      </c>
      <c r="BC168" s="5">
        <v>45898</v>
      </c>
      <c r="BD168" s="5">
        <v>45900</v>
      </c>
      <c r="BE168" s="5">
        <v>45900</v>
      </c>
      <c r="BF168" s="5" t="s">
        <v>98</v>
      </c>
      <c r="BG168" s="5" t="s">
        <v>103</v>
      </c>
      <c r="BH168" s="5" t="s">
        <v>103</v>
      </c>
      <c r="BI168" s="5" t="s">
        <v>115</v>
      </c>
    </row>
    <row r="169" spans="1:61" x14ac:dyDescent="0.35">
      <c r="A169" s="8" t="str">
        <f t="shared" si="17"/>
        <v>Semaine 34-2025</v>
      </c>
      <c r="B169" s="8" t="str">
        <f t="shared" si="13"/>
        <v>2025</v>
      </c>
      <c r="C169" s="2" t="s">
        <v>24</v>
      </c>
      <c r="D169" s="6" t="str">
        <f t="shared" si="14"/>
        <v>Tambacounda</v>
      </c>
      <c r="E169" s="6">
        <f t="shared" si="15"/>
        <v>57207</v>
      </c>
      <c r="F169" s="6">
        <f t="shared" si="16"/>
        <v>937181</v>
      </c>
      <c r="G169" s="4" t="s">
        <v>566</v>
      </c>
      <c r="H169" s="4" t="s">
        <v>572</v>
      </c>
      <c r="I169" s="4">
        <v>19</v>
      </c>
      <c r="J169" s="4" t="s">
        <v>114</v>
      </c>
      <c r="K169" s="4"/>
      <c r="L169" s="4"/>
      <c r="M169" s="4"/>
      <c r="N169" s="4"/>
      <c r="O169" s="4" t="s">
        <v>238</v>
      </c>
      <c r="P169" s="4" t="s">
        <v>97</v>
      </c>
      <c r="Q169" s="4" t="s">
        <v>97</v>
      </c>
      <c r="R169" s="14" t="s">
        <v>100</v>
      </c>
      <c r="S169" s="14" t="s">
        <v>100</v>
      </c>
      <c r="T169" s="14" t="s">
        <v>100</v>
      </c>
      <c r="U169" s="8"/>
      <c r="V169" s="14"/>
      <c r="W169" s="14"/>
      <c r="X169" s="14"/>
      <c r="Y169" s="5">
        <v>45889</v>
      </c>
      <c r="Z169" s="5">
        <v>45895</v>
      </c>
      <c r="AA169" s="5" t="s">
        <v>103</v>
      </c>
      <c r="AB169" s="5" t="s">
        <v>463</v>
      </c>
      <c r="AC169" s="5" t="s">
        <v>103</v>
      </c>
      <c r="AD169" s="5" t="s">
        <v>97</v>
      </c>
      <c r="AE169" s="5" t="s">
        <v>97</v>
      </c>
      <c r="AF169" s="5" t="s">
        <v>103</v>
      </c>
      <c r="AG169" s="5" t="s">
        <v>97</v>
      </c>
      <c r="AH169" s="5" t="s">
        <v>103</v>
      </c>
      <c r="AI169" s="5">
        <v>45893</v>
      </c>
      <c r="AJ169" s="5" t="s">
        <v>103</v>
      </c>
      <c r="AK169" s="5" t="s">
        <v>103</v>
      </c>
      <c r="AL169" s="5" t="s">
        <v>97</v>
      </c>
      <c r="AM169" s="5" t="s">
        <v>97</v>
      </c>
      <c r="AN169" s="5" t="s">
        <v>103</v>
      </c>
      <c r="AO169" s="5" t="s">
        <v>97</v>
      </c>
      <c r="AP169" s="5" t="s">
        <v>103</v>
      </c>
      <c r="AQ169" s="5" t="s">
        <v>97</v>
      </c>
      <c r="AR169" s="5" t="s">
        <v>97</v>
      </c>
      <c r="AS169" s="5" t="s">
        <v>97</v>
      </c>
      <c r="AT169" s="5"/>
      <c r="AU169" s="5"/>
      <c r="AV169" s="4" t="s">
        <v>103</v>
      </c>
      <c r="AW169" s="4" t="s">
        <v>97</v>
      </c>
      <c r="AX169" s="4" t="s">
        <v>97</v>
      </c>
      <c r="AY169" s="4" t="s">
        <v>97</v>
      </c>
      <c r="AZ169" s="4" t="s">
        <v>103</v>
      </c>
      <c r="BA169" s="4" t="s">
        <v>97</v>
      </c>
      <c r="BB169" s="5">
        <v>45896</v>
      </c>
      <c r="BC169" s="5">
        <v>45899</v>
      </c>
      <c r="BD169" s="5">
        <v>45899</v>
      </c>
      <c r="BE169" s="5">
        <v>45902</v>
      </c>
      <c r="BF169" s="5" t="s">
        <v>98</v>
      </c>
      <c r="BG169" s="5" t="s">
        <v>97</v>
      </c>
      <c r="BH169" s="5" t="s">
        <v>103</v>
      </c>
      <c r="BI169" s="5" t="s">
        <v>115</v>
      </c>
    </row>
    <row r="170" spans="1:61" x14ac:dyDescent="0.35">
      <c r="A170" s="8" t="str">
        <f t="shared" si="17"/>
        <v>Semaine 31-2025</v>
      </c>
      <c r="B170" s="8" t="str">
        <f t="shared" si="13"/>
        <v>2025</v>
      </c>
      <c r="C170" s="2" t="s">
        <v>40</v>
      </c>
      <c r="D170" s="6" t="str">
        <f t="shared" si="14"/>
        <v>Tambacounda</v>
      </c>
      <c r="E170" s="6">
        <f t="shared" si="15"/>
        <v>74367</v>
      </c>
      <c r="F170" s="6">
        <f t="shared" si="16"/>
        <v>937181</v>
      </c>
      <c r="G170" s="4" t="s">
        <v>567</v>
      </c>
      <c r="H170" s="4" t="s">
        <v>573</v>
      </c>
      <c r="I170" s="4">
        <v>16</v>
      </c>
      <c r="J170" s="4" t="s">
        <v>114</v>
      </c>
      <c r="K170" s="4"/>
      <c r="L170" s="4"/>
      <c r="M170" s="4"/>
      <c r="N170" s="4"/>
      <c r="O170" s="4" t="s">
        <v>238</v>
      </c>
      <c r="P170" s="4" t="s">
        <v>97</v>
      </c>
      <c r="Q170" s="4" t="s">
        <v>97</v>
      </c>
      <c r="R170" s="14" t="s">
        <v>100</v>
      </c>
      <c r="S170" s="14" t="s">
        <v>100</v>
      </c>
      <c r="T170" s="14" t="s">
        <v>100</v>
      </c>
      <c r="U170" s="8"/>
      <c r="V170" s="14"/>
      <c r="W170" s="14"/>
      <c r="X170" s="14"/>
      <c r="Y170" s="5">
        <v>45869</v>
      </c>
      <c r="Z170" s="5">
        <v>45896</v>
      </c>
      <c r="AA170" s="5" t="s">
        <v>97</v>
      </c>
      <c r="AB170" s="5" t="s">
        <v>396</v>
      </c>
      <c r="AC170" s="5" t="s">
        <v>103</v>
      </c>
      <c r="AD170" s="5" t="s">
        <v>103</v>
      </c>
      <c r="AE170" s="5" t="s">
        <v>97</v>
      </c>
      <c r="AF170" s="5" t="s">
        <v>103</v>
      </c>
      <c r="AG170" s="5" t="s">
        <v>97</v>
      </c>
      <c r="AH170" s="5" t="s">
        <v>103</v>
      </c>
      <c r="AI170" s="5">
        <v>45881</v>
      </c>
      <c r="AJ170" s="5" t="s">
        <v>103</v>
      </c>
      <c r="AK170" s="5" t="s">
        <v>97</v>
      </c>
      <c r="AL170" s="5" t="s">
        <v>103</v>
      </c>
      <c r="AM170" s="5" t="s">
        <v>97</v>
      </c>
      <c r="AN170" s="5" t="s">
        <v>103</v>
      </c>
      <c r="AO170" s="5" t="s">
        <v>103</v>
      </c>
      <c r="AP170" s="5" t="s">
        <v>103</v>
      </c>
      <c r="AQ170" s="5" t="s">
        <v>97</v>
      </c>
      <c r="AR170" s="5" t="s">
        <v>97</v>
      </c>
      <c r="AS170" s="5" t="s">
        <v>97</v>
      </c>
      <c r="AT170" s="5"/>
      <c r="AU170" s="5"/>
      <c r="AV170" s="4" t="s">
        <v>103</v>
      </c>
      <c r="AW170" s="4" t="s">
        <v>103</v>
      </c>
      <c r="AX170" s="4" t="s">
        <v>97</v>
      </c>
      <c r="AY170" s="4" t="s">
        <v>97</v>
      </c>
      <c r="AZ170" s="4" t="s">
        <v>97</v>
      </c>
      <c r="BA170" s="4" t="s">
        <v>97</v>
      </c>
      <c r="BB170" s="5">
        <v>45896</v>
      </c>
      <c r="BC170" s="5">
        <v>45896</v>
      </c>
      <c r="BD170" s="5">
        <v>45899</v>
      </c>
      <c r="BE170" s="5">
        <v>45902</v>
      </c>
      <c r="BF170" s="5" t="s">
        <v>98</v>
      </c>
      <c r="BG170" s="5" t="s">
        <v>97</v>
      </c>
      <c r="BH170" s="5" t="s">
        <v>103</v>
      </c>
      <c r="BI170" s="5" t="s">
        <v>115</v>
      </c>
    </row>
    <row r="171" spans="1:61" x14ac:dyDescent="0.35">
      <c r="A171" s="8" t="str">
        <f t="shared" si="17"/>
        <v>Semaine 34-2025</v>
      </c>
      <c r="B171" s="8" t="str">
        <f t="shared" si="13"/>
        <v>2025</v>
      </c>
      <c r="C171" s="2" t="s">
        <v>31</v>
      </c>
      <c r="D171" s="6" t="str">
        <f t="shared" si="14"/>
        <v>Dakar</v>
      </c>
      <c r="E171" s="6">
        <f t="shared" si="15"/>
        <v>424760</v>
      </c>
      <c r="F171" s="6">
        <f t="shared" si="16"/>
        <v>4042240</v>
      </c>
      <c r="G171" s="4" t="s">
        <v>568</v>
      </c>
      <c r="H171" s="4" t="s">
        <v>574</v>
      </c>
      <c r="I171" s="4">
        <v>30</v>
      </c>
      <c r="J171" s="4" t="s">
        <v>114</v>
      </c>
      <c r="K171" s="4"/>
      <c r="L171" s="4"/>
      <c r="M171" s="4"/>
      <c r="N171" s="4"/>
      <c r="O171" s="4" t="s">
        <v>238</v>
      </c>
      <c r="P171" s="4" t="s">
        <v>97</v>
      </c>
      <c r="Q171" s="4" t="s">
        <v>97</v>
      </c>
      <c r="R171" s="14" t="s">
        <v>100</v>
      </c>
      <c r="S171" s="14" t="s">
        <v>100</v>
      </c>
      <c r="T171" s="14" t="s">
        <v>100</v>
      </c>
      <c r="U171" s="8"/>
      <c r="V171" s="14"/>
      <c r="W171" s="14"/>
      <c r="X171" s="14"/>
      <c r="Y171" s="5">
        <v>45893</v>
      </c>
      <c r="Z171" s="5">
        <v>45899</v>
      </c>
      <c r="AA171" s="5" t="s">
        <v>103</v>
      </c>
      <c r="AB171" s="5" t="s">
        <v>272</v>
      </c>
      <c r="AC171" s="5" t="s">
        <v>103</v>
      </c>
      <c r="AD171" s="5" t="s">
        <v>97</v>
      </c>
      <c r="AE171" s="5" t="s">
        <v>103</v>
      </c>
      <c r="AF171" s="5" t="s">
        <v>103</v>
      </c>
      <c r="AG171" s="5" t="s">
        <v>97</v>
      </c>
      <c r="AH171" s="5" t="s">
        <v>103</v>
      </c>
      <c r="AI171" s="5">
        <v>45898</v>
      </c>
      <c r="AJ171" s="5" t="s">
        <v>103</v>
      </c>
      <c r="AK171" s="5" t="s">
        <v>103</v>
      </c>
      <c r="AL171" s="5" t="s">
        <v>97</v>
      </c>
      <c r="AM171" s="5" t="s">
        <v>103</v>
      </c>
      <c r="AN171" s="5" t="s">
        <v>103</v>
      </c>
      <c r="AO171" s="5" t="s">
        <v>97</v>
      </c>
      <c r="AP171" s="5" t="s">
        <v>97</v>
      </c>
      <c r="AQ171" s="5" t="s">
        <v>97</v>
      </c>
      <c r="AR171" s="5" t="s">
        <v>97</v>
      </c>
      <c r="AS171" s="5" t="s">
        <v>103</v>
      </c>
      <c r="AT171" s="5"/>
      <c r="AU171" s="5"/>
      <c r="AV171" s="4" t="s">
        <v>103</v>
      </c>
      <c r="AW171" s="4" t="s">
        <v>97</v>
      </c>
      <c r="AX171" s="4" t="s">
        <v>97</v>
      </c>
      <c r="AY171" s="4" t="s">
        <v>97</v>
      </c>
      <c r="AZ171" s="4" t="s">
        <v>103</v>
      </c>
      <c r="BA171" s="4" t="s">
        <v>97</v>
      </c>
      <c r="BB171" s="5">
        <v>45899</v>
      </c>
      <c r="BC171" s="5">
        <v>45900</v>
      </c>
      <c r="BD171" s="5">
        <v>45900</v>
      </c>
      <c r="BE171" s="5">
        <v>45902</v>
      </c>
      <c r="BF171" s="5" t="s">
        <v>98</v>
      </c>
      <c r="BG171" s="5" t="s">
        <v>103</v>
      </c>
      <c r="BH171" s="5" t="s">
        <v>103</v>
      </c>
      <c r="BI171" s="5" t="s">
        <v>115</v>
      </c>
    </row>
    <row r="172" spans="1:61" x14ac:dyDescent="0.35">
      <c r="A172" s="8" t="str">
        <f t="shared" si="17"/>
        <v>Semaine 34-2025</v>
      </c>
      <c r="B172" s="8" t="str">
        <f t="shared" si="13"/>
        <v>2025</v>
      </c>
      <c r="C172" s="2" t="s">
        <v>29</v>
      </c>
      <c r="D172" s="6" t="str">
        <f t="shared" si="14"/>
        <v>Tambacounda</v>
      </c>
      <c r="E172" s="6">
        <f t="shared" si="15"/>
        <v>100772</v>
      </c>
      <c r="F172" s="6">
        <f t="shared" si="16"/>
        <v>937181</v>
      </c>
      <c r="G172" s="4" t="s">
        <v>569</v>
      </c>
      <c r="H172" s="4" t="s">
        <v>575</v>
      </c>
      <c r="I172" s="4">
        <v>13</v>
      </c>
      <c r="J172" s="4" t="s">
        <v>114</v>
      </c>
      <c r="K172" s="4"/>
      <c r="L172" s="4"/>
      <c r="M172" s="4"/>
      <c r="N172" s="4"/>
      <c r="O172" s="4" t="s">
        <v>238</v>
      </c>
      <c r="P172" s="4" t="s">
        <v>97</v>
      </c>
      <c r="Q172" s="4" t="s">
        <v>97</v>
      </c>
      <c r="R172" s="14" t="s">
        <v>100</v>
      </c>
      <c r="S172" s="14" t="s">
        <v>100</v>
      </c>
      <c r="T172" s="14" t="s">
        <v>100</v>
      </c>
      <c r="U172" s="8"/>
      <c r="V172" s="14"/>
      <c r="W172" s="14"/>
      <c r="X172" s="14"/>
      <c r="Y172" s="5">
        <v>45892</v>
      </c>
      <c r="Z172" s="5">
        <v>45896</v>
      </c>
      <c r="AA172" s="5" t="s">
        <v>103</v>
      </c>
      <c r="AB172" s="5" t="s">
        <v>488</v>
      </c>
      <c r="AC172" s="5" t="s">
        <v>103</v>
      </c>
      <c r="AD172" s="5" t="s">
        <v>103</v>
      </c>
      <c r="AE172" s="5" t="s">
        <v>97</v>
      </c>
      <c r="AF172" s="5" t="s">
        <v>103</v>
      </c>
      <c r="AG172" s="5" t="s">
        <v>97</v>
      </c>
      <c r="AH172" s="5" t="s">
        <v>103</v>
      </c>
      <c r="AI172" s="5">
        <v>45892</v>
      </c>
      <c r="AJ172" s="5" t="s">
        <v>97</v>
      </c>
      <c r="AK172" s="5" t="s">
        <v>103</v>
      </c>
      <c r="AL172" s="5" t="s">
        <v>97</v>
      </c>
      <c r="AM172" s="5" t="s">
        <v>103</v>
      </c>
      <c r="AN172" s="5" t="s">
        <v>103</v>
      </c>
      <c r="AO172" s="5" t="s">
        <v>103</v>
      </c>
      <c r="AP172" s="5" t="s">
        <v>103</v>
      </c>
      <c r="AQ172" s="5" t="s">
        <v>97</v>
      </c>
      <c r="AR172" s="5" t="s">
        <v>103</v>
      </c>
      <c r="AS172" s="5" t="s">
        <v>97</v>
      </c>
      <c r="AT172" s="5" t="s">
        <v>409</v>
      </c>
      <c r="AU172" s="5"/>
      <c r="AV172" s="4" t="s">
        <v>103</v>
      </c>
      <c r="AW172" s="4" t="s">
        <v>97</v>
      </c>
      <c r="AX172" s="4" t="s">
        <v>97</v>
      </c>
      <c r="AY172" s="4" t="s">
        <v>97</v>
      </c>
      <c r="AZ172" s="4" t="s">
        <v>103</v>
      </c>
      <c r="BA172" s="4" t="s">
        <v>97</v>
      </c>
      <c r="BB172" s="5">
        <v>45896</v>
      </c>
      <c r="BC172" s="5">
        <v>45896</v>
      </c>
      <c r="BD172" s="5">
        <v>45899</v>
      </c>
      <c r="BE172" s="5">
        <v>45902</v>
      </c>
      <c r="BF172" s="5" t="s">
        <v>98</v>
      </c>
      <c r="BG172" s="4" t="s">
        <v>103</v>
      </c>
      <c r="BH172" s="4" t="s">
        <v>103</v>
      </c>
      <c r="BI172" s="5" t="s">
        <v>115</v>
      </c>
    </row>
    <row r="173" spans="1:61" x14ac:dyDescent="0.35">
      <c r="A173" s="8" t="str">
        <f t="shared" si="17"/>
        <v>Semaine 34-2025</v>
      </c>
      <c r="B173" s="8" t="str">
        <f t="shared" si="13"/>
        <v>2025</v>
      </c>
      <c r="C173" s="2" t="s">
        <v>31</v>
      </c>
      <c r="D173" s="6" t="str">
        <f t="shared" si="14"/>
        <v>Dakar</v>
      </c>
      <c r="E173" s="6">
        <f t="shared" si="15"/>
        <v>424760</v>
      </c>
      <c r="F173" s="6">
        <f t="shared" si="16"/>
        <v>4042240</v>
      </c>
      <c r="G173" s="4" t="s">
        <v>570</v>
      </c>
      <c r="H173" s="4" t="s">
        <v>576</v>
      </c>
      <c r="I173" s="4">
        <v>12</v>
      </c>
      <c r="J173" s="4" t="s">
        <v>114</v>
      </c>
      <c r="K173" s="4"/>
      <c r="L173" s="4"/>
      <c r="M173" s="4"/>
      <c r="N173" s="4"/>
      <c r="O173" s="4" t="s">
        <v>238</v>
      </c>
      <c r="P173" s="4" t="s">
        <v>97</v>
      </c>
      <c r="Q173" s="4" t="s">
        <v>97</v>
      </c>
      <c r="R173" s="14" t="s">
        <v>100</v>
      </c>
      <c r="S173" s="14" t="s">
        <v>100</v>
      </c>
      <c r="T173" s="14" t="s">
        <v>100</v>
      </c>
      <c r="U173" s="8"/>
      <c r="V173" s="14"/>
      <c r="W173" s="14"/>
      <c r="X173" s="14"/>
      <c r="Y173" s="5">
        <v>45891</v>
      </c>
      <c r="Z173" s="5">
        <v>45897</v>
      </c>
      <c r="AA173" s="5" t="s">
        <v>103</v>
      </c>
      <c r="AB173" s="5"/>
      <c r="AC173" s="5" t="s">
        <v>103</v>
      </c>
      <c r="AD173" s="5" t="s">
        <v>103</v>
      </c>
      <c r="AE173" s="5" t="s">
        <v>97</v>
      </c>
      <c r="AF173" s="5" t="s">
        <v>97</v>
      </c>
      <c r="AG173" s="5" t="s">
        <v>97</v>
      </c>
      <c r="AH173" s="5" t="s">
        <v>103</v>
      </c>
      <c r="AI173" s="5">
        <v>45891</v>
      </c>
      <c r="AJ173" s="5" t="s">
        <v>103</v>
      </c>
      <c r="AK173" s="5" t="s">
        <v>97</v>
      </c>
      <c r="AL173" s="5" t="s">
        <v>103</v>
      </c>
      <c r="AM173" s="5" t="s">
        <v>103</v>
      </c>
      <c r="AN173" s="5" t="s">
        <v>103</v>
      </c>
      <c r="AO173" s="5" t="s">
        <v>97</v>
      </c>
      <c r="AP173" s="5" t="s">
        <v>103</v>
      </c>
      <c r="AQ173" s="5" t="s">
        <v>103</v>
      </c>
      <c r="AR173" s="5" t="s">
        <v>103</v>
      </c>
      <c r="AS173" s="5" t="s">
        <v>97</v>
      </c>
      <c r="AT173" s="5"/>
      <c r="AU173" s="5"/>
      <c r="AV173" s="4" t="s">
        <v>103</v>
      </c>
      <c r="AW173" s="4" t="s">
        <v>97</v>
      </c>
      <c r="AX173" s="4" t="s">
        <v>97</v>
      </c>
      <c r="AY173" s="4" t="s">
        <v>97</v>
      </c>
      <c r="AZ173" s="4" t="s">
        <v>97</v>
      </c>
      <c r="BA173" s="4" t="s">
        <v>97</v>
      </c>
      <c r="BB173" s="5">
        <v>45897</v>
      </c>
      <c r="BC173" s="5">
        <v>45901</v>
      </c>
      <c r="BD173" s="5">
        <v>45902</v>
      </c>
      <c r="BE173" s="5">
        <v>45902</v>
      </c>
      <c r="BF173" s="5" t="s">
        <v>98</v>
      </c>
      <c r="BG173" s="4" t="s">
        <v>97</v>
      </c>
      <c r="BH173" s="4" t="s">
        <v>103</v>
      </c>
      <c r="BI173" s="5" t="s">
        <v>115</v>
      </c>
    </row>
    <row r="174" spans="1:61" x14ac:dyDescent="0.35">
      <c r="A174" s="8" t="str">
        <f t="shared" si="17"/>
        <v>Semaine 35-2025</v>
      </c>
      <c r="B174" s="8" t="str">
        <f t="shared" si="13"/>
        <v>2025</v>
      </c>
      <c r="C174" s="2" t="s">
        <v>31</v>
      </c>
      <c r="D174" s="6" t="str">
        <f t="shared" si="14"/>
        <v>Dakar</v>
      </c>
      <c r="E174" s="6">
        <f t="shared" si="15"/>
        <v>424760</v>
      </c>
      <c r="F174" s="6">
        <f t="shared" si="16"/>
        <v>4042240</v>
      </c>
      <c r="G174" s="4" t="s">
        <v>571</v>
      </c>
      <c r="H174" s="4" t="s">
        <v>577</v>
      </c>
      <c r="I174" s="4">
        <v>43</v>
      </c>
      <c r="J174" s="4" t="s">
        <v>96</v>
      </c>
      <c r="K174" s="4"/>
      <c r="L174" s="4"/>
      <c r="M174" s="4"/>
      <c r="N174" s="4"/>
      <c r="O174" s="4" t="s">
        <v>238</v>
      </c>
      <c r="P174" s="4" t="s">
        <v>97</v>
      </c>
      <c r="Q174" s="4" t="s">
        <v>97</v>
      </c>
      <c r="R174" s="14" t="s">
        <v>100</v>
      </c>
      <c r="S174" s="14" t="s">
        <v>100</v>
      </c>
      <c r="T174" s="14" t="s">
        <v>100</v>
      </c>
      <c r="U174" s="8"/>
      <c r="V174" s="14"/>
      <c r="W174" s="14"/>
      <c r="X174" s="14"/>
      <c r="Y174" s="5">
        <v>45894</v>
      </c>
      <c r="Z174" s="5">
        <v>45897</v>
      </c>
      <c r="AA174" s="5" t="s">
        <v>97</v>
      </c>
      <c r="AB174" s="5" t="s">
        <v>578</v>
      </c>
      <c r="AC174" s="5" t="s">
        <v>103</v>
      </c>
      <c r="AD174" s="5" t="s">
        <v>103</v>
      </c>
      <c r="AE174" s="5" t="s">
        <v>97</v>
      </c>
      <c r="AF174" s="5" t="s">
        <v>97</v>
      </c>
      <c r="AG174" s="5" t="s">
        <v>97</v>
      </c>
      <c r="AH174" s="5" t="s">
        <v>103</v>
      </c>
      <c r="AI174" s="5">
        <v>45894</v>
      </c>
      <c r="AJ174" s="5" t="s">
        <v>103</v>
      </c>
      <c r="AK174" s="5" t="s">
        <v>103</v>
      </c>
      <c r="AL174" s="5" t="s">
        <v>97</v>
      </c>
      <c r="AM174" s="5" t="s">
        <v>97</v>
      </c>
      <c r="AN174" s="5" t="s">
        <v>103</v>
      </c>
      <c r="AO174" s="5" t="s">
        <v>97</v>
      </c>
      <c r="AP174" s="5" t="s">
        <v>103</v>
      </c>
      <c r="AQ174" s="5" t="s">
        <v>103</v>
      </c>
      <c r="AR174" s="5" t="s">
        <v>97</v>
      </c>
      <c r="AS174" s="5" t="s">
        <v>97</v>
      </c>
      <c r="AT174" s="5"/>
      <c r="AU174" s="5"/>
      <c r="AV174" s="4" t="s">
        <v>103</v>
      </c>
      <c r="AW174" s="4" t="s">
        <v>97</v>
      </c>
      <c r="AX174" s="4" t="s">
        <v>97</v>
      </c>
      <c r="AY174" s="4" t="s">
        <v>97</v>
      </c>
      <c r="AZ174" s="4" t="s">
        <v>97</v>
      </c>
      <c r="BA174" s="4" t="s">
        <v>97</v>
      </c>
      <c r="BB174" s="5">
        <v>45897</v>
      </c>
      <c r="BC174" s="5">
        <v>45901</v>
      </c>
      <c r="BD174" s="5">
        <v>45902</v>
      </c>
      <c r="BE174" s="5">
        <v>45902</v>
      </c>
      <c r="BF174" s="5" t="s">
        <v>98</v>
      </c>
      <c r="BG174" s="4" t="s">
        <v>97</v>
      </c>
      <c r="BH174" s="4" t="s">
        <v>103</v>
      </c>
      <c r="BI174" s="5" t="s">
        <v>115</v>
      </c>
    </row>
    <row r="175" spans="1:61" x14ac:dyDescent="0.35">
      <c r="A175" s="8" t="str">
        <f t="shared" si="17"/>
        <v>Semaine 35-2025</v>
      </c>
      <c r="B175" s="8" t="str">
        <f t="shared" si="13"/>
        <v>2025</v>
      </c>
      <c r="C175" s="2" t="s">
        <v>18</v>
      </c>
      <c r="D175" s="6" t="str">
        <f t="shared" si="14"/>
        <v>Dakar</v>
      </c>
      <c r="E175" s="6">
        <f t="shared" si="15"/>
        <v>419489</v>
      </c>
      <c r="F175" s="6">
        <f t="shared" si="16"/>
        <v>4042240</v>
      </c>
      <c r="G175" s="4" t="s">
        <v>579</v>
      </c>
      <c r="H175" s="4" t="s">
        <v>581</v>
      </c>
      <c r="I175" s="4">
        <v>17</v>
      </c>
      <c r="J175" s="4" t="s">
        <v>96</v>
      </c>
      <c r="K175" s="4"/>
      <c r="L175" s="4"/>
      <c r="M175" s="4"/>
      <c r="N175" s="4"/>
      <c r="O175" s="4" t="s">
        <v>238</v>
      </c>
      <c r="P175" s="4" t="s">
        <v>97</v>
      </c>
      <c r="Q175" s="4" t="s">
        <v>97</v>
      </c>
      <c r="R175" s="14" t="s">
        <v>100</v>
      </c>
      <c r="S175" s="14" t="s">
        <v>100</v>
      </c>
      <c r="T175" s="14" t="s">
        <v>100</v>
      </c>
      <c r="U175" s="8"/>
      <c r="V175" s="14"/>
      <c r="W175" s="14"/>
      <c r="X175" s="14"/>
      <c r="Y175" s="5">
        <v>45898</v>
      </c>
      <c r="Z175" s="5">
        <v>45902</v>
      </c>
      <c r="AA175" s="5" t="s">
        <v>103</v>
      </c>
      <c r="AB175" s="5"/>
      <c r="AC175" s="5" t="s">
        <v>103</v>
      </c>
      <c r="AD175" s="5" t="s">
        <v>103</v>
      </c>
      <c r="AE175" s="5" t="s">
        <v>97</v>
      </c>
      <c r="AF175" s="5" t="s">
        <v>103</v>
      </c>
      <c r="AG175" s="5" t="s">
        <v>103</v>
      </c>
      <c r="AH175" s="5" t="s">
        <v>103</v>
      </c>
      <c r="AI175" s="5">
        <v>45898</v>
      </c>
      <c r="AJ175" s="5" t="s">
        <v>103</v>
      </c>
      <c r="AK175" s="5" t="s">
        <v>103</v>
      </c>
      <c r="AL175" s="5" t="s">
        <v>97</v>
      </c>
      <c r="AM175" s="5" t="s">
        <v>103</v>
      </c>
      <c r="AN175" s="5" t="s">
        <v>103</v>
      </c>
      <c r="AO175" s="5" t="s">
        <v>103</v>
      </c>
      <c r="AP175" s="5" t="s">
        <v>103</v>
      </c>
      <c r="AQ175" s="5" t="s">
        <v>97</v>
      </c>
      <c r="AR175" s="5" t="s">
        <v>97</v>
      </c>
      <c r="AS175" s="5" t="s">
        <v>103</v>
      </c>
      <c r="AT175" s="5"/>
      <c r="AU175" s="5" t="s">
        <v>582</v>
      </c>
      <c r="AV175" s="4" t="s">
        <v>103</v>
      </c>
      <c r="AW175" s="4" t="s">
        <v>103</v>
      </c>
      <c r="AX175" s="4" t="s">
        <v>97</v>
      </c>
      <c r="AY175" s="4" t="s">
        <v>97</v>
      </c>
      <c r="AZ175" s="4" t="s">
        <v>103</v>
      </c>
      <c r="BA175" s="4" t="s">
        <v>97</v>
      </c>
      <c r="BB175" s="5">
        <v>45902</v>
      </c>
      <c r="BC175" s="5">
        <v>45903</v>
      </c>
      <c r="BD175" s="5">
        <v>45903</v>
      </c>
      <c r="BE175" s="5">
        <v>45907</v>
      </c>
      <c r="BF175" s="4" t="s">
        <v>98</v>
      </c>
      <c r="BG175" s="4" t="s">
        <v>97</v>
      </c>
      <c r="BH175" s="4" t="s">
        <v>103</v>
      </c>
      <c r="BI175" s="4" t="s">
        <v>115</v>
      </c>
    </row>
    <row r="176" spans="1:61" x14ac:dyDescent="0.35">
      <c r="A176" s="8" t="str">
        <f t="shared" si="17"/>
        <v>Semaine 35-2025</v>
      </c>
      <c r="B176" s="8" t="str">
        <f t="shared" si="13"/>
        <v>2025</v>
      </c>
      <c r="C176" s="2" t="s">
        <v>18</v>
      </c>
      <c r="D176" s="6" t="str">
        <f t="shared" si="14"/>
        <v>Dakar</v>
      </c>
      <c r="E176" s="6">
        <f t="shared" si="15"/>
        <v>419489</v>
      </c>
      <c r="F176" s="6">
        <f t="shared" si="16"/>
        <v>4042240</v>
      </c>
      <c r="G176" s="4" t="s">
        <v>580</v>
      </c>
      <c r="H176" s="4" t="s">
        <v>583</v>
      </c>
      <c r="I176" s="4">
        <v>22</v>
      </c>
      <c r="J176" s="4" t="s">
        <v>96</v>
      </c>
      <c r="K176" s="4"/>
      <c r="L176" s="4"/>
      <c r="M176" s="4"/>
      <c r="N176" s="4"/>
      <c r="O176" s="4" t="s">
        <v>238</v>
      </c>
      <c r="P176" s="4" t="s">
        <v>97</v>
      </c>
      <c r="Q176" s="4" t="s">
        <v>97</v>
      </c>
      <c r="R176" s="14" t="s">
        <v>100</v>
      </c>
      <c r="S176" s="14" t="s">
        <v>100</v>
      </c>
      <c r="T176" s="14" t="s">
        <v>100</v>
      </c>
      <c r="U176" s="8"/>
      <c r="V176" s="14"/>
      <c r="W176" s="14"/>
      <c r="X176" s="14"/>
      <c r="Y176" s="5">
        <v>45900</v>
      </c>
      <c r="Z176" s="5">
        <v>45904</v>
      </c>
      <c r="AA176" s="5" t="s">
        <v>103</v>
      </c>
      <c r="AB176" s="5"/>
      <c r="AC176" s="5" t="s">
        <v>103</v>
      </c>
      <c r="AD176" s="5" t="s">
        <v>97</v>
      </c>
      <c r="AE176" s="5" t="s">
        <v>97</v>
      </c>
      <c r="AF176" s="5" t="s">
        <v>103</v>
      </c>
      <c r="AG176" s="5" t="s">
        <v>103</v>
      </c>
      <c r="AH176" s="5" t="s">
        <v>103</v>
      </c>
      <c r="AI176" s="5">
        <v>45900</v>
      </c>
      <c r="AJ176" s="5" t="s">
        <v>97</v>
      </c>
      <c r="AK176" s="5" t="s">
        <v>97</v>
      </c>
      <c r="AL176" s="5" t="s">
        <v>97</v>
      </c>
      <c r="AM176" s="5" t="s">
        <v>103</v>
      </c>
      <c r="AN176" s="5" t="s">
        <v>103</v>
      </c>
      <c r="AO176" s="5" t="s">
        <v>97</v>
      </c>
      <c r="AP176" s="5" t="s">
        <v>103</v>
      </c>
      <c r="AQ176" s="5" t="s">
        <v>103</v>
      </c>
      <c r="AR176" s="5" t="s">
        <v>97</v>
      </c>
      <c r="AS176" s="5" t="s">
        <v>97</v>
      </c>
      <c r="AT176" s="5" t="s">
        <v>584</v>
      </c>
      <c r="AU176" s="5"/>
      <c r="AV176" s="4" t="s">
        <v>103</v>
      </c>
      <c r="AW176" s="4" t="s">
        <v>97</v>
      </c>
      <c r="AX176" s="4" t="s">
        <v>97</v>
      </c>
      <c r="AY176" s="4" t="s">
        <v>97</v>
      </c>
      <c r="AZ176" s="4" t="s">
        <v>103</v>
      </c>
      <c r="BA176" s="4" t="s">
        <v>97</v>
      </c>
      <c r="BB176" s="5">
        <v>45904</v>
      </c>
      <c r="BC176" s="5">
        <v>45904</v>
      </c>
      <c r="BD176" s="5">
        <v>45904</v>
      </c>
      <c r="BE176" s="5">
        <v>45907</v>
      </c>
      <c r="BF176" s="4" t="s">
        <v>98</v>
      </c>
      <c r="BG176" s="4" t="s">
        <v>97</v>
      </c>
      <c r="BH176" s="4" t="s">
        <v>103</v>
      </c>
      <c r="BI176" s="4" t="s">
        <v>115</v>
      </c>
    </row>
    <row r="177" spans="1:61" x14ac:dyDescent="0.35">
      <c r="A177" s="8" t="str">
        <f t="shared" si="17"/>
        <v>Semaine 36-2025</v>
      </c>
      <c r="B177" s="8" t="str">
        <f t="shared" si="13"/>
        <v>2025</v>
      </c>
      <c r="C177" s="2" t="s">
        <v>31</v>
      </c>
      <c r="D177" s="6" t="str">
        <f t="shared" si="14"/>
        <v>Dakar</v>
      </c>
      <c r="E177" s="6">
        <f t="shared" si="15"/>
        <v>424760</v>
      </c>
      <c r="F177" s="6">
        <f t="shared" si="16"/>
        <v>4042240</v>
      </c>
      <c r="G177" s="4" t="s">
        <v>585</v>
      </c>
      <c r="H177" s="4" t="s">
        <v>595</v>
      </c>
      <c r="I177" s="4">
        <v>19</v>
      </c>
      <c r="J177" s="4" t="s">
        <v>96</v>
      </c>
      <c r="K177" s="4"/>
      <c r="L177" s="4"/>
      <c r="M177" s="4"/>
      <c r="N177" s="4"/>
      <c r="O177" s="4" t="s">
        <v>238</v>
      </c>
      <c r="P177" s="4" t="s">
        <v>97</v>
      </c>
      <c r="Q177" s="4" t="s">
        <v>97</v>
      </c>
      <c r="R177" s="14" t="s">
        <v>100</v>
      </c>
      <c r="S177" s="14" t="s">
        <v>100</v>
      </c>
      <c r="T177" s="14" t="s">
        <v>100</v>
      </c>
      <c r="U177" s="8"/>
      <c r="V177" s="14"/>
      <c r="W177" s="14"/>
      <c r="X177" s="14"/>
      <c r="Y177" s="5">
        <v>45901</v>
      </c>
      <c r="Z177" s="5">
        <v>45904</v>
      </c>
      <c r="AA177" s="5" t="s">
        <v>103</v>
      </c>
      <c r="AB177" s="5"/>
      <c r="AC177" s="5" t="s">
        <v>97</v>
      </c>
      <c r="AD177" s="5" t="s">
        <v>97</v>
      </c>
      <c r="AE177" s="5" t="s">
        <v>97</v>
      </c>
      <c r="AF177" s="5" t="s">
        <v>97</v>
      </c>
      <c r="AG177" s="5" t="s">
        <v>97</v>
      </c>
      <c r="AH177" s="5" t="s">
        <v>103</v>
      </c>
      <c r="AI177" s="5">
        <v>45901</v>
      </c>
      <c r="AJ177" s="5" t="s">
        <v>103</v>
      </c>
      <c r="AK177" s="5" t="s">
        <v>103</v>
      </c>
      <c r="AL177" s="5" t="s">
        <v>97</v>
      </c>
      <c r="AM177" s="5" t="s">
        <v>103</v>
      </c>
      <c r="AN177" s="5" t="s">
        <v>97</v>
      </c>
      <c r="AO177" s="5" t="s">
        <v>97</v>
      </c>
      <c r="AP177" s="5" t="s">
        <v>97</v>
      </c>
      <c r="AQ177" s="5" t="s">
        <v>97</v>
      </c>
      <c r="AR177" s="5" t="s">
        <v>97</v>
      </c>
      <c r="AS177" s="5" t="s">
        <v>97</v>
      </c>
      <c r="AT177" s="5"/>
      <c r="AU177" s="5" t="s">
        <v>596</v>
      </c>
      <c r="AV177" s="4" t="s">
        <v>103</v>
      </c>
      <c r="AW177" s="4" t="s">
        <v>97</v>
      </c>
      <c r="AX177" s="4" t="s">
        <v>97</v>
      </c>
      <c r="AY177" s="4" t="s">
        <v>97</v>
      </c>
      <c r="AZ177" s="4" t="s">
        <v>103</v>
      </c>
      <c r="BA177" s="4" t="s">
        <v>97</v>
      </c>
      <c r="BB177" s="5">
        <v>45905</v>
      </c>
      <c r="BC177" s="5">
        <v>45905</v>
      </c>
      <c r="BD177" s="5">
        <v>45905</v>
      </c>
      <c r="BE177" s="5">
        <v>45909</v>
      </c>
      <c r="BF177" s="4" t="s">
        <v>98</v>
      </c>
      <c r="BG177" s="4" t="s">
        <v>103</v>
      </c>
      <c r="BH177" s="4" t="s">
        <v>103</v>
      </c>
      <c r="BI177" s="4" t="s">
        <v>115</v>
      </c>
    </row>
    <row r="178" spans="1:61" x14ac:dyDescent="0.35">
      <c r="A178" s="8" t="str">
        <f t="shared" si="17"/>
        <v>Semaine 36-2025</v>
      </c>
      <c r="B178" s="8" t="str">
        <f t="shared" si="13"/>
        <v>2025</v>
      </c>
      <c r="C178" s="2" t="s">
        <v>18</v>
      </c>
      <c r="D178" s="6" t="str">
        <f t="shared" si="14"/>
        <v>Dakar</v>
      </c>
      <c r="E178" s="6">
        <f t="shared" si="15"/>
        <v>419489</v>
      </c>
      <c r="F178" s="6">
        <f t="shared" si="16"/>
        <v>4042240</v>
      </c>
      <c r="G178" s="4" t="s">
        <v>586</v>
      </c>
      <c r="H178" s="4" t="s">
        <v>597</v>
      </c>
      <c r="I178" s="4">
        <v>9</v>
      </c>
      <c r="J178" s="4" t="s">
        <v>114</v>
      </c>
      <c r="K178" s="4"/>
      <c r="L178" s="4"/>
      <c r="M178" s="4"/>
      <c r="N178" s="4"/>
      <c r="O178" s="4" t="s">
        <v>238</v>
      </c>
      <c r="P178" s="4" t="s">
        <v>97</v>
      </c>
      <c r="Q178" s="4" t="s">
        <v>97</v>
      </c>
      <c r="R178" s="14" t="s">
        <v>100</v>
      </c>
      <c r="S178" s="14" t="s">
        <v>100</v>
      </c>
      <c r="T178" s="14" t="s">
        <v>100</v>
      </c>
      <c r="U178" s="8"/>
      <c r="V178" s="14"/>
      <c r="W178" s="14"/>
      <c r="X178" s="14"/>
      <c r="Y178" s="5">
        <v>45901</v>
      </c>
      <c r="Z178" s="5">
        <v>45905</v>
      </c>
      <c r="AA178" s="5" t="s">
        <v>97</v>
      </c>
      <c r="AB178" s="5"/>
      <c r="AC178" s="5" t="s">
        <v>97</v>
      </c>
      <c r="AD178" s="5" t="s">
        <v>97</v>
      </c>
      <c r="AE178" s="5" t="s">
        <v>97</v>
      </c>
      <c r="AF178" s="5" t="s">
        <v>97</v>
      </c>
      <c r="AG178" s="5" t="s">
        <v>97</v>
      </c>
      <c r="AH178" s="5" t="s">
        <v>103</v>
      </c>
      <c r="AI178" s="5">
        <v>45901</v>
      </c>
      <c r="AJ178" s="5" t="s">
        <v>97</v>
      </c>
      <c r="AK178" s="5" t="s">
        <v>97</v>
      </c>
      <c r="AL178" s="5" t="s">
        <v>97</v>
      </c>
      <c r="AM178" s="5" t="s">
        <v>97</v>
      </c>
      <c r="AN178" s="5" t="s">
        <v>103</v>
      </c>
      <c r="AO178" s="5" t="s">
        <v>97</v>
      </c>
      <c r="AP178" s="5" t="s">
        <v>97</v>
      </c>
      <c r="AQ178" s="5" t="s">
        <v>97</v>
      </c>
      <c r="AR178" s="5" t="s">
        <v>97</v>
      </c>
      <c r="AS178" s="5" t="s">
        <v>97</v>
      </c>
      <c r="AT178" s="5"/>
      <c r="AU178" s="5"/>
      <c r="AV178" s="4" t="s">
        <v>103</v>
      </c>
      <c r="AW178" s="4" t="s">
        <v>97</v>
      </c>
      <c r="AX178" s="4" t="s">
        <v>97</v>
      </c>
      <c r="AY178" s="4" t="s">
        <v>97</v>
      </c>
      <c r="AZ178" s="4" t="s">
        <v>97</v>
      </c>
      <c r="BA178" s="4" t="s">
        <v>97</v>
      </c>
      <c r="BB178" s="5">
        <v>45905</v>
      </c>
      <c r="BC178" s="5">
        <v>45905</v>
      </c>
      <c r="BD178" s="5">
        <v>45905</v>
      </c>
      <c r="BE178" s="5">
        <v>45909</v>
      </c>
      <c r="BF178" s="4" t="s">
        <v>98</v>
      </c>
      <c r="BG178" s="4" t="s">
        <v>103</v>
      </c>
      <c r="BH178" s="4" t="s">
        <v>103</v>
      </c>
      <c r="BI178" s="4" t="s">
        <v>115</v>
      </c>
    </row>
    <row r="179" spans="1:61" x14ac:dyDescent="0.35">
      <c r="A179" s="8" t="str">
        <f t="shared" si="17"/>
        <v>Semaine 36-2025</v>
      </c>
      <c r="B179" s="8" t="str">
        <f t="shared" si="13"/>
        <v>2025</v>
      </c>
      <c r="C179" s="2" t="s">
        <v>37</v>
      </c>
      <c r="D179" s="6" t="str">
        <f t="shared" si="14"/>
        <v>Dakar</v>
      </c>
      <c r="E179" s="6">
        <f t="shared" si="15"/>
        <v>301226</v>
      </c>
      <c r="F179" s="6">
        <f t="shared" si="16"/>
        <v>4042240</v>
      </c>
      <c r="G179" s="4" t="s">
        <v>587</v>
      </c>
      <c r="H179" s="4" t="s">
        <v>598</v>
      </c>
      <c r="I179" s="4">
        <v>7</v>
      </c>
      <c r="J179" s="4" t="s">
        <v>114</v>
      </c>
      <c r="K179" s="4"/>
      <c r="L179" s="4"/>
      <c r="M179" s="4"/>
      <c r="N179" s="4"/>
      <c r="O179" s="4" t="s">
        <v>238</v>
      </c>
      <c r="P179" s="4" t="s">
        <v>97</v>
      </c>
      <c r="Q179" s="4" t="s">
        <v>97</v>
      </c>
      <c r="R179" s="14" t="s">
        <v>100</v>
      </c>
      <c r="S179" s="14" t="s">
        <v>100</v>
      </c>
      <c r="T179" s="14" t="s">
        <v>100</v>
      </c>
      <c r="U179" s="8"/>
      <c r="V179" s="14"/>
      <c r="W179" s="14"/>
      <c r="X179" s="14"/>
      <c r="Y179" s="5">
        <v>45903</v>
      </c>
      <c r="Z179" s="5">
        <v>45906</v>
      </c>
      <c r="AA179" s="7" t="s">
        <v>103</v>
      </c>
      <c r="AB179" s="7"/>
      <c r="AC179" s="7" t="s">
        <v>103</v>
      </c>
      <c r="AD179" s="7" t="s">
        <v>103</v>
      </c>
      <c r="AE179" s="7" t="s">
        <v>97</v>
      </c>
      <c r="AF179" s="7" t="s">
        <v>103</v>
      </c>
      <c r="AG179" s="7" t="s">
        <v>103</v>
      </c>
      <c r="AH179" s="7" t="s">
        <v>103</v>
      </c>
      <c r="AI179" s="5">
        <v>45904</v>
      </c>
      <c r="AJ179" s="7" t="s">
        <v>97</v>
      </c>
      <c r="AK179" s="7" t="s">
        <v>103</v>
      </c>
      <c r="AL179" s="7" t="s">
        <v>97</v>
      </c>
      <c r="AM179" s="7" t="s">
        <v>103</v>
      </c>
      <c r="AN179" s="7" t="s">
        <v>103</v>
      </c>
      <c r="AO179" s="7" t="s">
        <v>97</v>
      </c>
      <c r="AP179" s="7" t="s">
        <v>97</v>
      </c>
      <c r="AQ179" s="7" t="s">
        <v>103</v>
      </c>
      <c r="AR179" s="7" t="s">
        <v>103</v>
      </c>
      <c r="AS179" s="7" t="s">
        <v>103</v>
      </c>
      <c r="AT179" s="7"/>
      <c r="AU179" s="7"/>
      <c r="AV179" s="4" t="s">
        <v>103</v>
      </c>
      <c r="AW179" s="4" t="s">
        <v>97</v>
      </c>
      <c r="AX179" s="4" t="s">
        <v>97</v>
      </c>
      <c r="AY179" s="4" t="s">
        <v>97</v>
      </c>
      <c r="AZ179" s="4" t="s">
        <v>103</v>
      </c>
      <c r="BA179" s="4" t="s">
        <v>97</v>
      </c>
      <c r="BB179" s="5">
        <v>45906</v>
      </c>
      <c r="BC179" s="5">
        <v>45906</v>
      </c>
      <c r="BD179" s="5">
        <v>45906</v>
      </c>
      <c r="BE179" s="5">
        <v>45909</v>
      </c>
      <c r="BF179" s="4" t="s">
        <v>98</v>
      </c>
      <c r="BG179" s="4" t="s">
        <v>97</v>
      </c>
      <c r="BH179" s="4" t="s">
        <v>103</v>
      </c>
      <c r="BI179" s="4" t="s">
        <v>115</v>
      </c>
    </row>
    <row r="180" spans="1:61" x14ac:dyDescent="0.35">
      <c r="A180" s="8" t="str">
        <f t="shared" si="17"/>
        <v>Semaine 35-2025</v>
      </c>
      <c r="B180" s="8" t="str">
        <f t="shared" si="13"/>
        <v>2025</v>
      </c>
      <c r="C180" s="2" t="s">
        <v>76</v>
      </c>
      <c r="D180" s="6" t="str">
        <f t="shared" si="14"/>
        <v>Kolda</v>
      </c>
      <c r="E180" s="6">
        <f t="shared" si="15"/>
        <v>367976</v>
      </c>
      <c r="F180" s="6">
        <f t="shared" si="16"/>
        <v>875661</v>
      </c>
      <c r="G180" s="4" t="s">
        <v>588</v>
      </c>
      <c r="H180" s="4" t="s">
        <v>599</v>
      </c>
      <c r="I180" s="4">
        <v>5</v>
      </c>
      <c r="J180" s="4" t="s">
        <v>114</v>
      </c>
      <c r="K180" s="4"/>
      <c r="L180" s="4"/>
      <c r="M180" s="4"/>
      <c r="N180" s="4"/>
      <c r="O180" s="4" t="s">
        <v>238</v>
      </c>
      <c r="P180" s="4" t="s">
        <v>97</v>
      </c>
      <c r="Q180" s="4" t="s">
        <v>97</v>
      </c>
      <c r="R180" s="14" t="s">
        <v>100</v>
      </c>
      <c r="S180" s="14" t="s">
        <v>100</v>
      </c>
      <c r="T180" s="14" t="s">
        <v>100</v>
      </c>
      <c r="U180" s="8"/>
      <c r="V180" s="14"/>
      <c r="W180" s="14"/>
      <c r="X180" s="14"/>
      <c r="Y180" s="5">
        <v>45900</v>
      </c>
      <c r="Z180" s="5">
        <v>45907</v>
      </c>
      <c r="AA180" s="7" t="s">
        <v>103</v>
      </c>
      <c r="AB180" s="7"/>
      <c r="AC180" s="7" t="s">
        <v>97</v>
      </c>
      <c r="AD180" s="7" t="s">
        <v>103</v>
      </c>
      <c r="AE180" s="7" t="s">
        <v>97</v>
      </c>
      <c r="AF180" s="7" t="s">
        <v>97</v>
      </c>
      <c r="AG180" s="7" t="s">
        <v>97</v>
      </c>
      <c r="AH180" s="7" t="s">
        <v>103</v>
      </c>
      <c r="AI180" s="5">
        <v>45900</v>
      </c>
      <c r="AJ180" s="7" t="s">
        <v>97</v>
      </c>
      <c r="AK180" s="7" t="s">
        <v>97</v>
      </c>
      <c r="AL180" s="7" t="s">
        <v>97</v>
      </c>
      <c r="AM180" s="7" t="s">
        <v>103</v>
      </c>
      <c r="AN180" s="7" t="s">
        <v>97</v>
      </c>
      <c r="AO180" s="7" t="s">
        <v>103</v>
      </c>
      <c r="AP180" s="7" t="s">
        <v>103</v>
      </c>
      <c r="AQ180" s="7" t="s">
        <v>97</v>
      </c>
      <c r="AR180" s="7" t="s">
        <v>97</v>
      </c>
      <c r="AS180" s="7" t="s">
        <v>97</v>
      </c>
      <c r="AT180" s="7" t="s">
        <v>600</v>
      </c>
      <c r="AU180" s="7"/>
      <c r="AV180" s="4" t="s">
        <v>97</v>
      </c>
      <c r="AW180" s="4" t="s">
        <v>103</v>
      </c>
      <c r="AX180" s="4" t="s">
        <v>97</v>
      </c>
      <c r="AY180" s="4" t="s">
        <v>97</v>
      </c>
      <c r="AZ180" s="4" t="s">
        <v>103</v>
      </c>
      <c r="BA180" s="4" t="s">
        <v>97</v>
      </c>
      <c r="BB180" s="5">
        <v>45907</v>
      </c>
      <c r="BC180" s="5">
        <v>45907</v>
      </c>
      <c r="BD180" s="5">
        <v>45907</v>
      </c>
      <c r="BE180" s="5">
        <v>45909</v>
      </c>
      <c r="BF180" s="4" t="s">
        <v>98</v>
      </c>
      <c r="BG180" s="4" t="s">
        <v>97</v>
      </c>
      <c r="BH180" s="4" t="s">
        <v>103</v>
      </c>
      <c r="BI180" s="4" t="s">
        <v>115</v>
      </c>
    </row>
    <row r="181" spans="1:61" x14ac:dyDescent="0.35">
      <c r="A181" s="8" t="str">
        <f t="shared" si="17"/>
        <v>Semaine 35-2025</v>
      </c>
      <c r="B181" s="8" t="str">
        <f t="shared" si="13"/>
        <v>2025</v>
      </c>
      <c r="C181" s="2" t="s">
        <v>76</v>
      </c>
      <c r="D181" s="6" t="str">
        <f t="shared" si="14"/>
        <v>Kolda</v>
      </c>
      <c r="E181" s="6">
        <f t="shared" si="15"/>
        <v>367976</v>
      </c>
      <c r="F181" s="6">
        <f t="shared" si="16"/>
        <v>875661</v>
      </c>
      <c r="G181" s="4" t="s">
        <v>589</v>
      </c>
      <c r="H181" s="4" t="s">
        <v>601</v>
      </c>
      <c r="I181" s="4">
        <v>35</v>
      </c>
      <c r="J181" s="4" t="s">
        <v>96</v>
      </c>
      <c r="K181" s="4"/>
      <c r="L181" s="4"/>
      <c r="M181" s="4"/>
      <c r="N181" s="4"/>
      <c r="O181" s="4" t="s">
        <v>238</v>
      </c>
      <c r="P181" s="4" t="s">
        <v>97</v>
      </c>
      <c r="Q181" s="4" t="s">
        <v>97</v>
      </c>
      <c r="R181" s="14" t="s">
        <v>100</v>
      </c>
      <c r="S181" s="14" t="s">
        <v>100</v>
      </c>
      <c r="T181" s="14" t="s">
        <v>100</v>
      </c>
      <c r="U181" s="8"/>
      <c r="V181" s="14"/>
      <c r="W181" s="14"/>
      <c r="X181" s="14"/>
      <c r="Y181" s="5">
        <v>45898</v>
      </c>
      <c r="Z181" s="5">
        <v>45906</v>
      </c>
      <c r="AA181" s="7" t="s">
        <v>103</v>
      </c>
      <c r="AB181" s="7"/>
      <c r="AC181" s="7" t="s">
        <v>103</v>
      </c>
      <c r="AD181" s="7" t="s">
        <v>103</v>
      </c>
      <c r="AE181" s="7" t="s">
        <v>97</v>
      </c>
      <c r="AF181" s="7" t="s">
        <v>97</v>
      </c>
      <c r="AG181" s="7" t="s">
        <v>97</v>
      </c>
      <c r="AH181" s="7" t="s">
        <v>103</v>
      </c>
      <c r="AI181" s="5">
        <v>45900</v>
      </c>
      <c r="AJ181" s="7" t="s">
        <v>97</v>
      </c>
      <c r="AK181" s="7" t="s">
        <v>97</v>
      </c>
      <c r="AL181" s="7" t="s">
        <v>97</v>
      </c>
      <c r="AM181" s="7" t="s">
        <v>103</v>
      </c>
      <c r="AN181" s="7" t="s">
        <v>97</v>
      </c>
      <c r="AO181" s="7" t="s">
        <v>97</v>
      </c>
      <c r="AP181" s="7" t="s">
        <v>97</v>
      </c>
      <c r="AQ181" s="7" t="s">
        <v>97</v>
      </c>
      <c r="AR181" s="7" t="s">
        <v>97</v>
      </c>
      <c r="AS181" s="7" t="s">
        <v>97</v>
      </c>
      <c r="AT181" s="7"/>
      <c r="AU181" s="7"/>
      <c r="AV181" s="4" t="s">
        <v>97</v>
      </c>
      <c r="AW181" s="4" t="s">
        <v>97</v>
      </c>
      <c r="AX181" s="4" t="s">
        <v>97</v>
      </c>
      <c r="AY181" s="4" t="s">
        <v>97</v>
      </c>
      <c r="AZ181" s="4" t="s">
        <v>103</v>
      </c>
      <c r="BA181" s="4" t="s">
        <v>97</v>
      </c>
      <c r="BB181" s="5">
        <v>45907</v>
      </c>
      <c r="BC181" s="5">
        <v>45907</v>
      </c>
      <c r="BD181" s="5">
        <v>45907</v>
      </c>
      <c r="BE181" s="5">
        <v>45909</v>
      </c>
      <c r="BF181" s="4" t="s">
        <v>98</v>
      </c>
      <c r="BG181" s="4" t="s">
        <v>97</v>
      </c>
      <c r="BH181" s="4" t="s">
        <v>103</v>
      </c>
      <c r="BI181" s="4" t="s">
        <v>145</v>
      </c>
    </row>
    <row r="182" spans="1:61" x14ac:dyDescent="0.35">
      <c r="A182" s="8" t="str">
        <f t="shared" si="17"/>
        <v>Semaine 36-2025</v>
      </c>
      <c r="B182" s="8" t="str">
        <f t="shared" si="13"/>
        <v>2025</v>
      </c>
      <c r="C182" s="2" t="s">
        <v>18</v>
      </c>
      <c r="D182" s="6" t="str">
        <f t="shared" si="14"/>
        <v>Dakar</v>
      </c>
      <c r="E182" s="6">
        <f t="shared" si="15"/>
        <v>419489</v>
      </c>
      <c r="F182" s="6">
        <f t="shared" si="16"/>
        <v>4042240</v>
      </c>
      <c r="G182" s="4" t="s">
        <v>590</v>
      </c>
      <c r="H182" s="4" t="s">
        <v>602</v>
      </c>
      <c r="I182" s="4">
        <v>32</v>
      </c>
      <c r="J182" s="4" t="s">
        <v>114</v>
      </c>
      <c r="K182" s="4"/>
      <c r="L182" s="4"/>
      <c r="M182" s="4"/>
      <c r="N182" s="4"/>
      <c r="O182" s="4" t="s">
        <v>238</v>
      </c>
      <c r="P182" s="4" t="s">
        <v>97</v>
      </c>
      <c r="Q182" s="4" t="s">
        <v>97</v>
      </c>
      <c r="R182" s="14" t="s">
        <v>100</v>
      </c>
      <c r="S182" s="14" t="s">
        <v>100</v>
      </c>
      <c r="T182" s="14" t="s">
        <v>100</v>
      </c>
      <c r="U182" s="8"/>
      <c r="V182" s="14"/>
      <c r="W182" s="14"/>
      <c r="X182" s="14"/>
      <c r="Y182" s="5">
        <v>45905</v>
      </c>
      <c r="Z182" s="5">
        <v>45906</v>
      </c>
      <c r="AA182" s="7" t="s">
        <v>103</v>
      </c>
      <c r="AB182" s="7"/>
      <c r="AC182" s="7" t="s">
        <v>97</v>
      </c>
      <c r="AD182" s="7" t="s">
        <v>103</v>
      </c>
      <c r="AE182" s="7" t="s">
        <v>97</v>
      </c>
      <c r="AF182" s="7" t="s">
        <v>103</v>
      </c>
      <c r="AG182" s="7" t="s">
        <v>103</v>
      </c>
      <c r="AH182" s="7" t="s">
        <v>103</v>
      </c>
      <c r="AI182" s="5">
        <v>45905</v>
      </c>
      <c r="AJ182" s="7" t="s">
        <v>97</v>
      </c>
      <c r="AK182" s="7" t="s">
        <v>97</v>
      </c>
      <c r="AL182" s="7" t="s">
        <v>97</v>
      </c>
      <c r="AM182" s="7" t="s">
        <v>103</v>
      </c>
      <c r="AN182" s="7" t="s">
        <v>103</v>
      </c>
      <c r="AO182" s="7" t="s">
        <v>97</v>
      </c>
      <c r="AP182" s="7" t="s">
        <v>97</v>
      </c>
      <c r="AQ182" s="7" t="s">
        <v>97</v>
      </c>
      <c r="AR182" s="7" t="s">
        <v>97</v>
      </c>
      <c r="AS182" s="7" t="s">
        <v>97</v>
      </c>
      <c r="AT182" s="7"/>
      <c r="AU182" s="7"/>
      <c r="AV182" s="4" t="s">
        <v>103</v>
      </c>
      <c r="AW182" s="4" t="s">
        <v>97</v>
      </c>
      <c r="AX182" s="4" t="s">
        <v>97</v>
      </c>
      <c r="AY182" s="4" t="s">
        <v>97</v>
      </c>
      <c r="AZ182" s="4" t="s">
        <v>103</v>
      </c>
      <c r="BA182" s="4" t="s">
        <v>97</v>
      </c>
      <c r="BB182" s="5">
        <v>45906</v>
      </c>
      <c r="BC182" s="5">
        <v>45906</v>
      </c>
      <c r="BD182" s="5">
        <v>45907</v>
      </c>
      <c r="BE182" s="5">
        <v>45909</v>
      </c>
      <c r="BF182" s="4" t="s">
        <v>98</v>
      </c>
      <c r="BG182" s="4" t="s">
        <v>103</v>
      </c>
      <c r="BH182" s="4" t="s">
        <v>103</v>
      </c>
      <c r="BI182" s="4" t="s">
        <v>115</v>
      </c>
    </row>
    <row r="183" spans="1:61" x14ac:dyDescent="0.35">
      <c r="A183" s="8" t="str">
        <f t="shared" si="17"/>
        <v>Semaine 36-2025</v>
      </c>
      <c r="B183" s="8" t="str">
        <f t="shared" si="13"/>
        <v>2025</v>
      </c>
      <c r="C183" s="2" t="s">
        <v>18</v>
      </c>
      <c r="D183" s="6" t="str">
        <f t="shared" si="14"/>
        <v>Dakar</v>
      </c>
      <c r="E183" s="6">
        <f t="shared" si="15"/>
        <v>419489</v>
      </c>
      <c r="F183" s="6">
        <f t="shared" si="16"/>
        <v>4042240</v>
      </c>
      <c r="G183" s="4" t="s">
        <v>591</v>
      </c>
      <c r="H183" s="4" t="s">
        <v>603</v>
      </c>
      <c r="I183" s="4">
        <v>22</v>
      </c>
      <c r="J183" s="4" t="s">
        <v>114</v>
      </c>
      <c r="K183" s="4"/>
      <c r="L183" s="4"/>
      <c r="M183" s="4"/>
      <c r="N183" s="4"/>
      <c r="O183" s="4" t="s">
        <v>238</v>
      </c>
      <c r="P183" s="4" t="s">
        <v>97</v>
      </c>
      <c r="Q183" s="4" t="s">
        <v>97</v>
      </c>
      <c r="R183" s="14" t="s">
        <v>100</v>
      </c>
      <c r="S183" s="14" t="s">
        <v>100</v>
      </c>
      <c r="T183" s="14" t="s">
        <v>100</v>
      </c>
      <c r="U183" s="8"/>
      <c r="V183" s="14"/>
      <c r="W183" s="14"/>
      <c r="X183" s="14"/>
      <c r="Y183" s="5">
        <v>45903</v>
      </c>
      <c r="Z183" s="5">
        <v>45906</v>
      </c>
      <c r="AA183" s="7" t="s">
        <v>103</v>
      </c>
      <c r="AB183" s="7"/>
      <c r="AC183" s="7" t="s">
        <v>103</v>
      </c>
      <c r="AD183" s="7" t="s">
        <v>103</v>
      </c>
      <c r="AE183" s="7" t="s">
        <v>97</v>
      </c>
      <c r="AF183" s="7" t="s">
        <v>103</v>
      </c>
      <c r="AG183" s="7" t="s">
        <v>103</v>
      </c>
      <c r="AH183" s="7" t="s">
        <v>103</v>
      </c>
      <c r="AI183" s="5">
        <v>45905</v>
      </c>
      <c r="AJ183" s="7" t="s">
        <v>97</v>
      </c>
      <c r="AK183" s="7" t="s">
        <v>97</v>
      </c>
      <c r="AL183" s="7" t="s">
        <v>97</v>
      </c>
      <c r="AM183" s="7" t="s">
        <v>103</v>
      </c>
      <c r="AN183" s="7" t="s">
        <v>103</v>
      </c>
      <c r="AO183" s="7" t="s">
        <v>97</v>
      </c>
      <c r="AP183" s="7" t="s">
        <v>97</v>
      </c>
      <c r="AQ183" s="7" t="s">
        <v>97</v>
      </c>
      <c r="AR183" s="7" t="s">
        <v>97</v>
      </c>
      <c r="AS183" s="7" t="s">
        <v>97</v>
      </c>
      <c r="AT183" s="7"/>
      <c r="AU183" s="7"/>
      <c r="AV183" s="4" t="s">
        <v>103</v>
      </c>
      <c r="AW183" s="4" t="s">
        <v>97</v>
      </c>
      <c r="AX183" s="4" t="s">
        <v>97</v>
      </c>
      <c r="AY183" s="4" t="s">
        <v>97</v>
      </c>
      <c r="AZ183" s="4" t="s">
        <v>103</v>
      </c>
      <c r="BA183" s="4" t="s">
        <v>97</v>
      </c>
      <c r="BB183" s="5">
        <v>45906</v>
      </c>
      <c r="BC183" s="5">
        <v>45906</v>
      </c>
      <c r="BD183" s="5">
        <v>45907</v>
      </c>
      <c r="BE183" s="5">
        <v>45909</v>
      </c>
      <c r="BF183" s="4" t="s">
        <v>98</v>
      </c>
      <c r="BG183" s="4" t="s">
        <v>103</v>
      </c>
      <c r="BH183" s="4" t="s">
        <v>103</v>
      </c>
      <c r="BI183" s="4" t="s">
        <v>115</v>
      </c>
    </row>
    <row r="184" spans="1:61" x14ac:dyDescent="0.35">
      <c r="A184" s="8" t="str">
        <f t="shared" si="17"/>
        <v>Semaine 34-2025</v>
      </c>
      <c r="B184" s="8" t="str">
        <f t="shared" si="13"/>
        <v>2025</v>
      </c>
      <c r="C184" s="2" t="s">
        <v>18</v>
      </c>
      <c r="D184" s="6" t="str">
        <f t="shared" si="14"/>
        <v>Dakar</v>
      </c>
      <c r="E184" s="6">
        <f t="shared" si="15"/>
        <v>419489</v>
      </c>
      <c r="F184" s="6">
        <f t="shared" si="16"/>
        <v>4042240</v>
      </c>
      <c r="G184" s="4" t="s">
        <v>592</v>
      </c>
      <c r="H184" s="4" t="s">
        <v>604</v>
      </c>
      <c r="I184" s="4">
        <v>44</v>
      </c>
      <c r="J184" s="4" t="s">
        <v>114</v>
      </c>
      <c r="K184" s="4"/>
      <c r="L184" s="4"/>
      <c r="M184" s="4"/>
      <c r="N184" s="4"/>
      <c r="O184" s="4" t="s">
        <v>238</v>
      </c>
      <c r="P184" s="4" t="s">
        <v>97</v>
      </c>
      <c r="Q184" s="4" t="s">
        <v>97</v>
      </c>
      <c r="R184" s="14" t="s">
        <v>100</v>
      </c>
      <c r="S184" s="14" t="s">
        <v>100</v>
      </c>
      <c r="T184" s="14" t="s">
        <v>100</v>
      </c>
      <c r="U184" s="8"/>
      <c r="V184" s="14"/>
      <c r="W184" s="14"/>
      <c r="X184" s="14"/>
      <c r="Y184" s="5">
        <v>45893</v>
      </c>
      <c r="Z184" s="5">
        <v>45908</v>
      </c>
      <c r="AA184" s="7" t="s">
        <v>97</v>
      </c>
      <c r="AB184" s="7"/>
      <c r="AC184" s="7" t="s">
        <v>97</v>
      </c>
      <c r="AD184" s="7" t="s">
        <v>97</v>
      </c>
      <c r="AE184" s="7" t="s">
        <v>97</v>
      </c>
      <c r="AF184" s="7" t="s">
        <v>97</v>
      </c>
      <c r="AG184" s="7" t="s">
        <v>97</v>
      </c>
      <c r="AH184" s="7" t="s">
        <v>103</v>
      </c>
      <c r="AI184" s="5">
        <v>45893</v>
      </c>
      <c r="AJ184" s="7" t="s">
        <v>103</v>
      </c>
      <c r="AK184" s="7" t="s">
        <v>103</v>
      </c>
      <c r="AL184" s="7" t="s">
        <v>97</v>
      </c>
      <c r="AM184" s="7" t="s">
        <v>97</v>
      </c>
      <c r="AN184" s="7" t="s">
        <v>97</v>
      </c>
      <c r="AO184" s="7" t="s">
        <v>97</v>
      </c>
      <c r="AP184" s="7" t="s">
        <v>103</v>
      </c>
      <c r="AQ184" s="7" t="s">
        <v>97</v>
      </c>
      <c r="AR184" s="7" t="s">
        <v>97</v>
      </c>
      <c r="AS184" s="7" t="s">
        <v>97</v>
      </c>
      <c r="AT184" s="7"/>
      <c r="AU184" s="7"/>
      <c r="AV184" s="4" t="s">
        <v>103</v>
      </c>
      <c r="AW184" s="4" t="s">
        <v>97</v>
      </c>
      <c r="AX184" s="4" t="s">
        <v>97</v>
      </c>
      <c r="AY184" s="4" t="s">
        <v>97</v>
      </c>
      <c r="AZ184" s="4" t="s">
        <v>103</v>
      </c>
      <c r="BA184" s="4" t="s">
        <v>97</v>
      </c>
      <c r="BB184" s="5">
        <v>45908</v>
      </c>
      <c r="BC184" s="5">
        <v>45908</v>
      </c>
      <c r="BD184" s="5">
        <v>45908</v>
      </c>
      <c r="BE184" s="5">
        <v>45909</v>
      </c>
      <c r="BF184" s="4" t="s">
        <v>98</v>
      </c>
      <c r="BG184" s="4" t="s">
        <v>97</v>
      </c>
      <c r="BH184" s="4" t="s">
        <v>103</v>
      </c>
      <c r="BI184" s="4" t="s">
        <v>115</v>
      </c>
    </row>
    <row r="185" spans="1:61" x14ac:dyDescent="0.35">
      <c r="A185" s="8" t="str">
        <f t="shared" si="17"/>
        <v>Semaine 34-2025</v>
      </c>
      <c r="B185" s="8" t="str">
        <f t="shared" si="13"/>
        <v>2025</v>
      </c>
      <c r="C185" s="2" t="s">
        <v>37</v>
      </c>
      <c r="D185" s="6" t="str">
        <f t="shared" si="14"/>
        <v>Dakar</v>
      </c>
      <c r="E185" s="6">
        <f t="shared" si="15"/>
        <v>301226</v>
      </c>
      <c r="F185" s="6">
        <f t="shared" si="16"/>
        <v>4042240</v>
      </c>
      <c r="G185" s="4" t="s">
        <v>593</v>
      </c>
      <c r="H185" s="4" t="s">
        <v>605</v>
      </c>
      <c r="I185" s="4">
        <v>33</v>
      </c>
      <c r="J185" s="4" t="s">
        <v>96</v>
      </c>
      <c r="K185" s="4"/>
      <c r="L185" s="4"/>
      <c r="M185" s="4"/>
      <c r="N185" s="4"/>
      <c r="O185" s="4" t="s">
        <v>238</v>
      </c>
      <c r="P185" s="4" t="s">
        <v>97</v>
      </c>
      <c r="Q185" s="4" t="s">
        <v>97</v>
      </c>
      <c r="R185" s="14" t="s">
        <v>100</v>
      </c>
      <c r="S185" s="14" t="s">
        <v>100</v>
      </c>
      <c r="T185" s="14" t="s">
        <v>100</v>
      </c>
      <c r="U185" s="8"/>
      <c r="V185" s="14"/>
      <c r="W185" s="14"/>
      <c r="X185" s="14"/>
      <c r="Y185" s="5">
        <v>45893</v>
      </c>
      <c r="Z185" s="5">
        <v>45908</v>
      </c>
      <c r="AA185" s="7" t="s">
        <v>97</v>
      </c>
      <c r="AB185" s="7"/>
      <c r="AC185" s="7" t="s">
        <v>103</v>
      </c>
      <c r="AD185" s="7" t="s">
        <v>97</v>
      </c>
      <c r="AE185" s="7" t="s">
        <v>97</v>
      </c>
      <c r="AF185" s="7" t="s">
        <v>103</v>
      </c>
      <c r="AG185" s="7" t="s">
        <v>97</v>
      </c>
      <c r="AH185" s="7" t="s">
        <v>103</v>
      </c>
      <c r="AI185" s="5">
        <v>45893</v>
      </c>
      <c r="AJ185" s="7" t="s">
        <v>97</v>
      </c>
      <c r="AK185" s="7" t="s">
        <v>97</v>
      </c>
      <c r="AL185" s="7" t="s">
        <v>103</v>
      </c>
      <c r="AM185" s="7" t="s">
        <v>97</v>
      </c>
      <c r="AN185" s="7" t="s">
        <v>103</v>
      </c>
      <c r="AO185" s="7" t="s">
        <v>97</v>
      </c>
      <c r="AP185" s="7" t="s">
        <v>97</v>
      </c>
      <c r="AQ185" s="7" t="s">
        <v>97</v>
      </c>
      <c r="AR185" s="7" t="s">
        <v>97</v>
      </c>
      <c r="AS185" s="7" t="s">
        <v>97</v>
      </c>
      <c r="AT185" s="7"/>
      <c r="AU185" s="7"/>
      <c r="AV185" s="4" t="s">
        <v>103</v>
      </c>
      <c r="AW185" s="4" t="s">
        <v>97</v>
      </c>
      <c r="AX185" s="4" t="s">
        <v>97</v>
      </c>
      <c r="AY185" s="4" t="s">
        <v>97</v>
      </c>
      <c r="AZ185" s="4" t="s">
        <v>103</v>
      </c>
      <c r="BA185" s="4" t="s">
        <v>97</v>
      </c>
      <c r="BB185" s="5">
        <v>45908</v>
      </c>
      <c r="BC185" s="5">
        <v>45908</v>
      </c>
      <c r="BD185" s="5">
        <v>45908</v>
      </c>
      <c r="BE185" s="5">
        <v>45909</v>
      </c>
      <c r="BF185" s="4" t="s">
        <v>98</v>
      </c>
      <c r="BG185" s="4" t="s">
        <v>97</v>
      </c>
      <c r="BH185" s="4" t="s">
        <v>103</v>
      </c>
      <c r="BI185" s="4" t="s">
        <v>115</v>
      </c>
    </row>
    <row r="186" spans="1:61" x14ac:dyDescent="0.35">
      <c r="A186" s="8" t="str">
        <f t="shared" si="17"/>
        <v>Semaine 36-2025</v>
      </c>
      <c r="B186" s="8" t="str">
        <f t="shared" si="13"/>
        <v>2025</v>
      </c>
      <c r="C186" s="2" t="s">
        <v>18</v>
      </c>
      <c r="D186" s="6" t="str">
        <f t="shared" si="14"/>
        <v>Dakar</v>
      </c>
      <c r="E186" s="6">
        <f t="shared" si="15"/>
        <v>419489</v>
      </c>
      <c r="F186" s="6">
        <f t="shared" si="16"/>
        <v>4042240</v>
      </c>
      <c r="G186" s="4" t="s">
        <v>594</v>
      </c>
      <c r="H186" s="4" t="s">
        <v>606</v>
      </c>
      <c r="I186" s="4">
        <v>42</v>
      </c>
      <c r="J186" s="4" t="s">
        <v>96</v>
      </c>
      <c r="K186" s="4"/>
      <c r="L186" s="4"/>
      <c r="M186" s="4"/>
      <c r="N186" s="4"/>
      <c r="O186" s="4" t="s">
        <v>238</v>
      </c>
      <c r="P186" s="4" t="s">
        <v>97</v>
      </c>
      <c r="Q186" s="4" t="s">
        <v>97</v>
      </c>
      <c r="R186" s="14" t="s">
        <v>100</v>
      </c>
      <c r="S186" s="14" t="s">
        <v>100</v>
      </c>
      <c r="T186" s="14" t="s">
        <v>100</v>
      </c>
      <c r="U186" s="8"/>
      <c r="V186" s="14"/>
      <c r="W186" s="14"/>
      <c r="X186" s="14"/>
      <c r="Y186" s="5">
        <v>45906</v>
      </c>
      <c r="Z186" s="5">
        <v>45908</v>
      </c>
      <c r="AA186" s="7" t="s">
        <v>103</v>
      </c>
      <c r="AB186" s="7"/>
      <c r="AC186" s="7" t="s">
        <v>103</v>
      </c>
      <c r="AD186" s="7" t="s">
        <v>97</v>
      </c>
      <c r="AE186" s="7" t="s">
        <v>97</v>
      </c>
      <c r="AF186" s="7" t="s">
        <v>97</v>
      </c>
      <c r="AG186" s="7" t="s">
        <v>103</v>
      </c>
      <c r="AH186" s="7" t="s">
        <v>103</v>
      </c>
      <c r="AI186" s="5">
        <v>45906</v>
      </c>
      <c r="AJ186" s="7" t="s">
        <v>97</v>
      </c>
      <c r="AK186" s="7" t="s">
        <v>97</v>
      </c>
      <c r="AL186" s="7" t="s">
        <v>103</v>
      </c>
      <c r="AM186" s="7" t="s">
        <v>97</v>
      </c>
      <c r="AN186" s="7" t="s">
        <v>103</v>
      </c>
      <c r="AO186" s="7" t="s">
        <v>97</v>
      </c>
      <c r="AP186" s="7" t="s">
        <v>97</v>
      </c>
      <c r="AQ186" s="7" t="s">
        <v>97</v>
      </c>
      <c r="AR186" s="7" t="s">
        <v>97</v>
      </c>
      <c r="AS186" s="7" t="s">
        <v>97</v>
      </c>
      <c r="AT186" s="7"/>
      <c r="AU186" s="7"/>
      <c r="AV186" s="4" t="s">
        <v>103</v>
      </c>
      <c r="AW186" s="4" t="s">
        <v>97</v>
      </c>
      <c r="AX186" s="4" t="s">
        <v>97</v>
      </c>
      <c r="AY186" s="4" t="s">
        <v>97</v>
      </c>
      <c r="AZ186" s="4" t="s">
        <v>103</v>
      </c>
      <c r="BA186" s="4" t="s">
        <v>97</v>
      </c>
      <c r="BB186" s="5">
        <v>45908</v>
      </c>
      <c r="BC186" s="5">
        <v>45908</v>
      </c>
      <c r="BD186" s="5">
        <v>45909</v>
      </c>
      <c r="BE186" s="5">
        <v>45909</v>
      </c>
      <c r="BF186" s="4" t="s">
        <v>98</v>
      </c>
      <c r="BG186" s="4" t="s">
        <v>97</v>
      </c>
      <c r="BH186" s="4" t="s">
        <v>103</v>
      </c>
      <c r="BI186" s="4" t="s">
        <v>115</v>
      </c>
    </row>
    <row r="187" spans="1:61" x14ac:dyDescent="0.35">
      <c r="A187" s="8" t="str">
        <f t="shared" si="17"/>
        <v>Semaine 35-2025</v>
      </c>
      <c r="B187" s="8" t="str">
        <f t="shared" si="13"/>
        <v>2025</v>
      </c>
      <c r="C187" s="2" t="s">
        <v>75</v>
      </c>
      <c r="D187" s="6" t="str">
        <f t="shared" si="14"/>
        <v>Diourbel</v>
      </c>
      <c r="E187" s="6">
        <f t="shared" si="15"/>
        <v>996481</v>
      </c>
      <c r="F187" s="6">
        <f t="shared" si="16"/>
        <v>1980827</v>
      </c>
      <c r="G187" s="4" t="s">
        <v>607</v>
      </c>
      <c r="H187" s="4" t="s">
        <v>608</v>
      </c>
      <c r="I187" s="4">
        <v>8</v>
      </c>
      <c r="J187" s="4" t="s">
        <v>96</v>
      </c>
      <c r="K187" s="4"/>
      <c r="L187" s="4"/>
      <c r="M187" s="4"/>
      <c r="N187" s="4"/>
      <c r="O187" s="4" t="s">
        <v>238</v>
      </c>
      <c r="P187" s="4" t="s">
        <v>97</v>
      </c>
      <c r="Q187" s="4" t="s">
        <v>97</v>
      </c>
      <c r="R187" s="14" t="s">
        <v>100</v>
      </c>
      <c r="S187" s="14" t="s">
        <v>100</v>
      </c>
      <c r="T187" s="14" t="s">
        <v>100</v>
      </c>
      <c r="U187" s="8"/>
      <c r="V187" s="14"/>
      <c r="W187" s="14"/>
      <c r="X187" s="14"/>
      <c r="Y187" s="5">
        <v>45895</v>
      </c>
      <c r="Z187" s="5">
        <v>45901</v>
      </c>
      <c r="AA187" s="7" t="s">
        <v>97</v>
      </c>
      <c r="AB187" s="7" t="s">
        <v>609</v>
      </c>
      <c r="AC187" s="7" t="s">
        <v>97</v>
      </c>
      <c r="AD187" s="7" t="s">
        <v>97</v>
      </c>
      <c r="AE187" s="7" t="s">
        <v>97</v>
      </c>
      <c r="AF187" s="7" t="s">
        <v>97</v>
      </c>
      <c r="AG187" s="7" t="s">
        <v>97</v>
      </c>
      <c r="AH187" s="7" t="s">
        <v>103</v>
      </c>
      <c r="AI187" s="5">
        <v>45895</v>
      </c>
      <c r="AJ187" s="7" t="s">
        <v>103</v>
      </c>
      <c r="AK187" s="7" t="s">
        <v>103</v>
      </c>
      <c r="AL187" s="7" t="s">
        <v>97</v>
      </c>
      <c r="AM187" s="7" t="s">
        <v>103</v>
      </c>
      <c r="AN187" s="7" t="s">
        <v>97</v>
      </c>
      <c r="AO187" s="7" t="s">
        <v>97</v>
      </c>
      <c r="AP187" s="7" t="s">
        <v>97</v>
      </c>
      <c r="AQ187" s="7" t="s">
        <v>97</v>
      </c>
      <c r="AR187" s="7" t="s">
        <v>97</v>
      </c>
      <c r="AS187" s="7" t="s">
        <v>97</v>
      </c>
      <c r="AT187" s="7"/>
      <c r="AU187" s="7"/>
      <c r="AV187" s="4" t="s">
        <v>103</v>
      </c>
      <c r="AW187" s="4" t="s">
        <v>97</v>
      </c>
      <c r="AX187" s="4" t="s">
        <v>97</v>
      </c>
      <c r="AY187" s="4" t="s">
        <v>97</v>
      </c>
      <c r="AZ187" s="4" t="s">
        <v>97</v>
      </c>
      <c r="BA187" s="4" t="s">
        <v>97</v>
      </c>
      <c r="BB187" s="5">
        <v>45901</v>
      </c>
      <c r="BC187" s="5">
        <v>45908</v>
      </c>
      <c r="BD187" s="5">
        <v>45909</v>
      </c>
      <c r="BE187" s="5">
        <v>45909</v>
      </c>
      <c r="BF187" s="4" t="s">
        <v>98</v>
      </c>
      <c r="BG187" s="4" t="s">
        <v>97</v>
      </c>
      <c r="BH187" s="4" t="s">
        <v>103</v>
      </c>
      <c r="BI187" s="4" t="s">
        <v>115</v>
      </c>
    </row>
    <row r="188" spans="1:61" x14ac:dyDescent="0.35">
      <c r="A188" s="8" t="str">
        <f t="shared" si="17"/>
        <v>Semaine 36-2025</v>
      </c>
      <c r="B188" s="8" t="str">
        <f t="shared" si="13"/>
        <v>2025</v>
      </c>
      <c r="C188" s="2" t="s">
        <v>23</v>
      </c>
      <c r="D188" s="6" t="str">
        <f t="shared" si="14"/>
        <v>Dakar</v>
      </c>
      <c r="E188" s="6">
        <f t="shared" si="15"/>
        <v>167577</v>
      </c>
      <c r="F188" s="6">
        <f t="shared" si="16"/>
        <v>4042240</v>
      </c>
      <c r="G188" s="4" t="s">
        <v>611</v>
      </c>
      <c r="H188" s="4" t="s">
        <v>617</v>
      </c>
      <c r="I188" s="4">
        <v>25</v>
      </c>
      <c r="J188" s="4" t="s">
        <v>114</v>
      </c>
      <c r="K188" s="4"/>
      <c r="L188" s="4"/>
      <c r="M188" s="4"/>
      <c r="N188" s="4"/>
      <c r="O188" s="4" t="s">
        <v>238</v>
      </c>
      <c r="P188" s="4" t="s">
        <v>97</v>
      </c>
      <c r="Q188" s="4" t="s">
        <v>97</v>
      </c>
      <c r="R188" s="14" t="s">
        <v>100</v>
      </c>
      <c r="S188" s="14" t="s">
        <v>100</v>
      </c>
      <c r="T188" s="14" t="s">
        <v>100</v>
      </c>
      <c r="U188" s="8"/>
      <c r="V188" s="14"/>
      <c r="W188" s="14"/>
      <c r="X188" s="14"/>
      <c r="Y188" s="5">
        <v>45907</v>
      </c>
      <c r="Z188" s="5">
        <v>45909</v>
      </c>
      <c r="AA188" s="7" t="s">
        <v>103</v>
      </c>
      <c r="AB188" s="7"/>
      <c r="AC188" s="7" t="s">
        <v>97</v>
      </c>
      <c r="AD188" s="7" t="s">
        <v>97</v>
      </c>
      <c r="AE188" s="7" t="s">
        <v>97</v>
      </c>
      <c r="AF188" s="7" t="s">
        <v>97</v>
      </c>
      <c r="AG188" s="7" t="s">
        <v>97</v>
      </c>
      <c r="AH188" s="7" t="s">
        <v>103</v>
      </c>
      <c r="AI188" s="5">
        <v>45907</v>
      </c>
      <c r="AJ188" s="7" t="s">
        <v>97</v>
      </c>
      <c r="AK188" s="7" t="s">
        <v>97</v>
      </c>
      <c r="AL188" s="7" t="s">
        <v>97</v>
      </c>
      <c r="AM188" s="7" t="s">
        <v>97</v>
      </c>
      <c r="AN188" s="7" t="s">
        <v>97</v>
      </c>
      <c r="AO188" s="7" t="s">
        <v>97</v>
      </c>
      <c r="AP188" s="7" t="s">
        <v>97</v>
      </c>
      <c r="AQ188" s="7" t="s">
        <v>97</v>
      </c>
      <c r="AR188" s="7" t="s">
        <v>97</v>
      </c>
      <c r="AS188" s="7" t="s">
        <v>97</v>
      </c>
      <c r="AT188" s="7"/>
      <c r="AU188" s="7"/>
      <c r="AV188" s="4" t="s">
        <v>97</v>
      </c>
      <c r="AW188" s="4" t="s">
        <v>97</v>
      </c>
      <c r="AX188" s="4" t="s">
        <v>97</v>
      </c>
      <c r="AY188" s="4" t="s">
        <v>97</v>
      </c>
      <c r="AZ188" s="4" t="s">
        <v>103</v>
      </c>
      <c r="BA188" s="4" t="s">
        <v>97</v>
      </c>
      <c r="BB188" s="5">
        <v>45909</v>
      </c>
      <c r="BC188" s="5">
        <v>45910</v>
      </c>
      <c r="BD188" s="5">
        <v>45910</v>
      </c>
      <c r="BE188" s="5">
        <v>45911</v>
      </c>
      <c r="BF188" s="4" t="s">
        <v>98</v>
      </c>
      <c r="BG188" s="4" t="s">
        <v>103</v>
      </c>
      <c r="BH188" s="4" t="s">
        <v>103</v>
      </c>
      <c r="BI188" s="4" t="s">
        <v>145</v>
      </c>
    </row>
    <row r="189" spans="1:61" x14ac:dyDescent="0.35">
      <c r="A189" s="8" t="str">
        <f t="shared" si="17"/>
        <v>Semaine 36-2025</v>
      </c>
      <c r="B189" s="8" t="str">
        <f t="shared" si="13"/>
        <v>2025</v>
      </c>
      <c r="C189" s="2" t="s">
        <v>23</v>
      </c>
      <c r="D189" s="6" t="str">
        <f t="shared" si="14"/>
        <v>Dakar</v>
      </c>
      <c r="E189" s="6">
        <f t="shared" si="15"/>
        <v>167577</v>
      </c>
      <c r="F189" s="6">
        <f t="shared" si="16"/>
        <v>4042240</v>
      </c>
      <c r="G189" s="4" t="s">
        <v>612</v>
      </c>
      <c r="H189" s="4" t="s">
        <v>618</v>
      </c>
      <c r="I189" s="4">
        <v>20</v>
      </c>
      <c r="J189" s="4" t="s">
        <v>114</v>
      </c>
      <c r="K189" s="4"/>
      <c r="L189" s="4"/>
      <c r="M189" s="4"/>
      <c r="N189" s="4"/>
      <c r="O189" s="4" t="s">
        <v>238</v>
      </c>
      <c r="P189" s="4" t="s">
        <v>97</v>
      </c>
      <c r="Q189" s="4" t="s">
        <v>97</v>
      </c>
      <c r="R189" s="14" t="s">
        <v>100</v>
      </c>
      <c r="S189" s="14" t="s">
        <v>100</v>
      </c>
      <c r="T189" s="14" t="s">
        <v>100</v>
      </c>
      <c r="U189" s="8"/>
      <c r="V189" s="14"/>
      <c r="W189" s="14"/>
      <c r="X189" s="14"/>
      <c r="Y189" s="5">
        <v>45907</v>
      </c>
      <c r="Z189" s="5">
        <v>45909</v>
      </c>
      <c r="AA189" s="7" t="s">
        <v>103</v>
      </c>
      <c r="AB189" s="7"/>
      <c r="AC189" s="7" t="s">
        <v>97</v>
      </c>
      <c r="AD189" s="7" t="s">
        <v>97</v>
      </c>
      <c r="AE189" s="7" t="s">
        <v>97</v>
      </c>
      <c r="AF189" s="7" t="s">
        <v>97</v>
      </c>
      <c r="AG189" s="7" t="s">
        <v>97</v>
      </c>
      <c r="AH189" s="7" t="s">
        <v>103</v>
      </c>
      <c r="AI189" s="5">
        <v>45907</v>
      </c>
      <c r="AJ189" s="7" t="s">
        <v>97</v>
      </c>
      <c r="AK189" s="7" t="s">
        <v>97</v>
      </c>
      <c r="AL189" s="7" t="s">
        <v>103</v>
      </c>
      <c r="AM189" s="7" t="s">
        <v>103</v>
      </c>
      <c r="AN189" s="7" t="s">
        <v>103</v>
      </c>
      <c r="AO189" s="7" t="s">
        <v>97</v>
      </c>
      <c r="AP189" s="7" t="s">
        <v>97</v>
      </c>
      <c r="AQ189" s="7" t="s">
        <v>97</v>
      </c>
      <c r="AR189" s="7" t="s">
        <v>97</v>
      </c>
      <c r="AS189" s="7" t="s">
        <v>97</v>
      </c>
      <c r="AT189" s="7"/>
      <c r="AU189" s="7"/>
      <c r="AV189" s="4" t="s">
        <v>103</v>
      </c>
      <c r="AW189" s="4" t="s">
        <v>97</v>
      </c>
      <c r="AX189" s="4" t="s">
        <v>97</v>
      </c>
      <c r="AY189" s="4" t="s">
        <v>97</v>
      </c>
      <c r="AZ189" s="4" t="s">
        <v>103</v>
      </c>
      <c r="BA189" s="4" t="s">
        <v>97</v>
      </c>
      <c r="BB189" s="5">
        <v>45909</v>
      </c>
      <c r="BC189" s="5">
        <v>45910</v>
      </c>
      <c r="BD189" s="5">
        <v>45910</v>
      </c>
      <c r="BE189" s="5">
        <v>45911</v>
      </c>
      <c r="BF189" s="4" t="s">
        <v>98</v>
      </c>
      <c r="BG189" s="4" t="s">
        <v>103</v>
      </c>
      <c r="BH189" s="4" t="s">
        <v>103</v>
      </c>
      <c r="BI189" s="4" t="s">
        <v>115</v>
      </c>
    </row>
    <row r="190" spans="1:61" x14ac:dyDescent="0.35">
      <c r="A190" s="8" t="str">
        <f t="shared" si="17"/>
        <v>Semaine 35-2025</v>
      </c>
      <c r="B190" s="8" t="str">
        <f t="shared" si="13"/>
        <v>2025</v>
      </c>
      <c r="C190" s="2" t="s">
        <v>2</v>
      </c>
      <c r="D190" s="6" t="str">
        <f t="shared" si="14"/>
        <v>Fatick</v>
      </c>
      <c r="E190" s="6">
        <f t="shared" si="15"/>
        <v>151740</v>
      </c>
      <c r="F190" s="6">
        <f t="shared" si="16"/>
        <v>965914</v>
      </c>
      <c r="G190" s="4" t="s">
        <v>613</v>
      </c>
      <c r="H190" s="4" t="s">
        <v>619</v>
      </c>
      <c r="I190" s="4">
        <v>1</v>
      </c>
      <c r="J190" s="4" t="s">
        <v>96</v>
      </c>
      <c r="K190" s="4"/>
      <c r="L190" s="4"/>
      <c r="M190" s="4"/>
      <c r="N190" s="4"/>
      <c r="O190" s="4" t="s">
        <v>238</v>
      </c>
      <c r="P190" s="4" t="s">
        <v>97</v>
      </c>
      <c r="Q190" s="4" t="s">
        <v>97</v>
      </c>
      <c r="R190" s="14" t="s">
        <v>100</v>
      </c>
      <c r="S190" s="14" t="s">
        <v>100</v>
      </c>
      <c r="T190" s="14" t="s">
        <v>100</v>
      </c>
      <c r="U190" s="8"/>
      <c r="V190" s="14"/>
      <c r="W190" s="14"/>
      <c r="X190" s="14"/>
      <c r="Y190" s="5">
        <v>45900</v>
      </c>
      <c r="Z190" s="5">
        <v>45904</v>
      </c>
      <c r="AA190" s="7" t="s">
        <v>103</v>
      </c>
      <c r="AB190" s="7" t="s">
        <v>272</v>
      </c>
      <c r="AC190" s="7" t="s">
        <v>97</v>
      </c>
      <c r="AD190" s="7" t="s">
        <v>97</v>
      </c>
      <c r="AE190" s="7" t="s">
        <v>97</v>
      </c>
      <c r="AF190" s="7" t="s">
        <v>97</v>
      </c>
      <c r="AG190" s="7" t="s">
        <v>97</v>
      </c>
      <c r="AH190" s="7" t="s">
        <v>103</v>
      </c>
      <c r="AI190" s="5">
        <v>45901</v>
      </c>
      <c r="AJ190" s="7" t="s">
        <v>103</v>
      </c>
      <c r="AK190" s="7" t="s">
        <v>97</v>
      </c>
      <c r="AL190" s="7" t="s">
        <v>103</v>
      </c>
      <c r="AM190" s="7" t="s">
        <v>103</v>
      </c>
      <c r="AN190" s="7" t="s">
        <v>103</v>
      </c>
      <c r="AO190" s="7" t="s">
        <v>97</v>
      </c>
      <c r="AP190" s="7" t="s">
        <v>97</v>
      </c>
      <c r="AQ190" s="7" t="s">
        <v>97</v>
      </c>
      <c r="AR190" s="7" t="s">
        <v>97</v>
      </c>
      <c r="AS190" s="7" t="s">
        <v>103</v>
      </c>
      <c r="AT190" s="7" t="s">
        <v>173</v>
      </c>
      <c r="AU190" s="7"/>
      <c r="AV190" s="4" t="s">
        <v>103</v>
      </c>
      <c r="AW190" s="4" t="s">
        <v>97</v>
      </c>
      <c r="AX190" s="4" t="s">
        <v>97</v>
      </c>
      <c r="AY190" s="4" t="s">
        <v>97</v>
      </c>
      <c r="AZ190" s="4" t="s">
        <v>97</v>
      </c>
      <c r="BA190" s="4" t="s">
        <v>97</v>
      </c>
      <c r="BB190" s="5">
        <v>45904</v>
      </c>
      <c r="BC190" s="5">
        <v>45904</v>
      </c>
      <c r="BD190" s="5">
        <v>45910</v>
      </c>
      <c r="BE190" s="5">
        <v>45911</v>
      </c>
      <c r="BF190" s="4" t="s">
        <v>98</v>
      </c>
      <c r="BG190" s="4" t="s">
        <v>97</v>
      </c>
      <c r="BH190" s="4" t="s">
        <v>97</v>
      </c>
      <c r="BI190" s="4" t="s">
        <v>115</v>
      </c>
    </row>
    <row r="191" spans="1:61" x14ac:dyDescent="0.35">
      <c r="A191" s="8" t="str">
        <f t="shared" si="17"/>
        <v>Semaine 35-2025</v>
      </c>
      <c r="B191" s="8" t="str">
        <f t="shared" ref="B191:B253" si="18">RIGHT(A191,4)</f>
        <v>2025</v>
      </c>
      <c r="C191" s="2" t="s">
        <v>67</v>
      </c>
      <c r="D191" s="6" t="str">
        <f t="shared" ref="D191:D253" si="19">IF(C191="","",VLOOKUP(C191,district_region,2,FALSE))</f>
        <v>Kedougou</v>
      </c>
      <c r="E191" s="6">
        <f t="shared" ref="E191:E253" si="20">IF(C191="","",VLOOKUP(C191,liste_pop,3,FALSE))</f>
        <v>29759</v>
      </c>
      <c r="F191" s="6">
        <f t="shared" ref="F191:F253" si="21">IF(D191="","",IF(D191="Dakar",4042240,VLOOKUP(D191,liste_pop,4,FALSE)))</f>
        <v>203720</v>
      </c>
      <c r="G191" s="4" t="s">
        <v>614</v>
      </c>
      <c r="H191" s="4" t="s">
        <v>620</v>
      </c>
      <c r="I191" s="4">
        <v>3</v>
      </c>
      <c r="J191" s="4" t="s">
        <v>114</v>
      </c>
      <c r="K191" s="4"/>
      <c r="L191" s="4"/>
      <c r="M191" s="4"/>
      <c r="N191" s="4"/>
      <c r="O191" s="4" t="s">
        <v>238</v>
      </c>
      <c r="P191" s="4" t="s">
        <v>97</v>
      </c>
      <c r="Q191" s="4" t="s">
        <v>97</v>
      </c>
      <c r="R191" s="14" t="s">
        <v>100</v>
      </c>
      <c r="S191" s="14" t="s">
        <v>100</v>
      </c>
      <c r="T191" s="14" t="s">
        <v>100</v>
      </c>
      <c r="U191" s="8"/>
      <c r="V191" s="14"/>
      <c r="W191" s="14"/>
      <c r="X191" s="14"/>
      <c r="Y191" s="5">
        <v>45898</v>
      </c>
      <c r="Z191" s="5">
        <v>45904</v>
      </c>
      <c r="AA191" s="7" t="s">
        <v>97</v>
      </c>
      <c r="AB191" s="7" t="s">
        <v>621</v>
      </c>
      <c r="AC191" s="7" t="s">
        <v>97</v>
      </c>
      <c r="AD191" s="7" t="s">
        <v>97</v>
      </c>
      <c r="AE191" s="7" t="s">
        <v>97</v>
      </c>
      <c r="AF191" s="7" t="s">
        <v>97</v>
      </c>
      <c r="AG191" s="7" t="s">
        <v>97</v>
      </c>
      <c r="AH191" s="7" t="s">
        <v>103</v>
      </c>
      <c r="AI191" s="5">
        <v>45898</v>
      </c>
      <c r="AJ191" s="7" t="s">
        <v>97</v>
      </c>
      <c r="AK191" s="7" t="s">
        <v>97</v>
      </c>
      <c r="AL191" s="7" t="s">
        <v>97</v>
      </c>
      <c r="AM191" s="7" t="s">
        <v>103</v>
      </c>
      <c r="AN191" s="7" t="s">
        <v>103</v>
      </c>
      <c r="AO191" s="7" t="s">
        <v>97</v>
      </c>
      <c r="AP191" s="7" t="s">
        <v>103</v>
      </c>
      <c r="AQ191" s="7" t="s">
        <v>103</v>
      </c>
      <c r="AR191" s="7" t="s">
        <v>103</v>
      </c>
      <c r="AS191" s="7" t="s">
        <v>97</v>
      </c>
      <c r="AT191" s="7"/>
      <c r="AU191" s="7"/>
      <c r="AV191" s="4" t="s">
        <v>103</v>
      </c>
      <c r="AW191" s="4" t="s">
        <v>97</v>
      </c>
      <c r="AX191" s="4" t="s">
        <v>97</v>
      </c>
      <c r="AY191" s="4" t="s">
        <v>97</v>
      </c>
      <c r="AZ191" s="4" t="s">
        <v>97</v>
      </c>
      <c r="BA191" s="4" t="s">
        <v>97</v>
      </c>
      <c r="BB191" s="5">
        <v>45904</v>
      </c>
      <c r="BC191" s="5">
        <v>45909</v>
      </c>
      <c r="BD191" s="5">
        <v>45910</v>
      </c>
      <c r="BE191" s="5">
        <v>45911</v>
      </c>
      <c r="BF191" s="4" t="s">
        <v>98</v>
      </c>
      <c r="BG191" s="4" t="s">
        <v>97</v>
      </c>
      <c r="BH191" s="4" t="s">
        <v>103</v>
      </c>
      <c r="BI191" s="4" t="s">
        <v>115</v>
      </c>
    </row>
    <row r="192" spans="1:61" x14ac:dyDescent="0.35">
      <c r="A192" s="8" t="str">
        <f t="shared" si="17"/>
        <v>Semaine 35-2025</v>
      </c>
      <c r="B192" s="8" t="str">
        <f t="shared" si="18"/>
        <v>2025</v>
      </c>
      <c r="C192" s="2" t="s">
        <v>24</v>
      </c>
      <c r="D192" s="6" t="str">
        <f t="shared" si="19"/>
        <v>Tambacounda</v>
      </c>
      <c r="E192" s="6">
        <f t="shared" si="20"/>
        <v>57207</v>
      </c>
      <c r="F192" s="6">
        <f t="shared" si="21"/>
        <v>937181</v>
      </c>
      <c r="G192" s="4" t="s">
        <v>615</v>
      </c>
      <c r="H192" s="4" t="s">
        <v>622</v>
      </c>
      <c r="I192" s="4">
        <v>1</v>
      </c>
      <c r="J192" s="4" t="s">
        <v>96</v>
      </c>
      <c r="K192" s="4"/>
      <c r="L192" s="4"/>
      <c r="M192" s="4"/>
      <c r="N192" s="4"/>
      <c r="O192" s="4" t="s">
        <v>238</v>
      </c>
      <c r="P192" s="4" t="s">
        <v>97</v>
      </c>
      <c r="Q192" s="4" t="s">
        <v>97</v>
      </c>
      <c r="R192" s="14" t="s">
        <v>100</v>
      </c>
      <c r="S192" s="14" t="s">
        <v>100</v>
      </c>
      <c r="T192" s="14" t="s">
        <v>100</v>
      </c>
      <c r="U192" s="8"/>
      <c r="V192" s="14"/>
      <c r="W192" s="14"/>
      <c r="X192" s="14"/>
      <c r="Y192" s="5">
        <v>45897</v>
      </c>
      <c r="Z192" s="5">
        <v>45901</v>
      </c>
      <c r="AA192" s="7" t="s">
        <v>103</v>
      </c>
      <c r="AB192" s="7"/>
      <c r="AC192" s="7" t="s">
        <v>97</v>
      </c>
      <c r="AD192" s="7" t="s">
        <v>97</v>
      </c>
      <c r="AE192" s="7" t="s">
        <v>97</v>
      </c>
      <c r="AF192" s="7" t="s">
        <v>97</v>
      </c>
      <c r="AG192" s="7" t="s">
        <v>97</v>
      </c>
      <c r="AH192" s="7" t="s">
        <v>103</v>
      </c>
      <c r="AI192" s="5">
        <v>45900</v>
      </c>
      <c r="AJ192" s="7" t="s">
        <v>103</v>
      </c>
      <c r="AK192" s="7" t="s">
        <v>103</v>
      </c>
      <c r="AL192" s="7" t="s">
        <v>97</v>
      </c>
      <c r="AM192" s="7" t="s">
        <v>97</v>
      </c>
      <c r="AN192" s="7" t="s">
        <v>103</v>
      </c>
      <c r="AO192" s="7" t="s">
        <v>97</v>
      </c>
      <c r="AP192" s="7" t="s">
        <v>97</v>
      </c>
      <c r="AQ192" s="7" t="s">
        <v>97</v>
      </c>
      <c r="AR192" s="7" t="s">
        <v>97</v>
      </c>
      <c r="AS192" s="7" t="s">
        <v>97</v>
      </c>
      <c r="AT192" s="7"/>
      <c r="AU192" s="7"/>
      <c r="AV192" s="4" t="s">
        <v>103</v>
      </c>
      <c r="AW192" s="4" t="s">
        <v>97</v>
      </c>
      <c r="AX192" s="4" t="s">
        <v>97</v>
      </c>
      <c r="AY192" s="4" t="s">
        <v>97</v>
      </c>
      <c r="AZ192" s="4" t="s">
        <v>103</v>
      </c>
      <c r="BA192" s="4" t="s">
        <v>97</v>
      </c>
      <c r="BB192" s="5">
        <v>45901</v>
      </c>
      <c r="BC192" s="5">
        <v>45909</v>
      </c>
      <c r="BD192" s="5">
        <v>45910</v>
      </c>
      <c r="BE192" s="5">
        <v>45911</v>
      </c>
      <c r="BF192" s="4" t="s">
        <v>98</v>
      </c>
      <c r="BG192" s="4" t="s">
        <v>97</v>
      </c>
      <c r="BH192" s="4" t="s">
        <v>103</v>
      </c>
      <c r="BI192" s="4" t="s">
        <v>115</v>
      </c>
    </row>
    <row r="193" spans="1:61" x14ac:dyDescent="0.35">
      <c r="A193" s="8" t="str">
        <f t="shared" si="17"/>
        <v>Semaine 35-2025</v>
      </c>
      <c r="B193" s="8" t="str">
        <f t="shared" si="18"/>
        <v>2025</v>
      </c>
      <c r="C193" s="2" t="s">
        <v>24</v>
      </c>
      <c r="D193" s="6" t="str">
        <f t="shared" si="19"/>
        <v>Tambacounda</v>
      </c>
      <c r="E193" s="6">
        <f t="shared" si="20"/>
        <v>57207</v>
      </c>
      <c r="F193" s="6">
        <f t="shared" si="21"/>
        <v>937181</v>
      </c>
      <c r="G193" s="4" t="s">
        <v>616</v>
      </c>
      <c r="H193" s="4" t="s">
        <v>623</v>
      </c>
      <c r="I193" s="4">
        <v>4</v>
      </c>
      <c r="J193" s="4" t="s">
        <v>114</v>
      </c>
      <c r="K193" s="4"/>
      <c r="L193" s="4"/>
      <c r="M193" s="4"/>
      <c r="N193" s="4"/>
      <c r="O193" s="4" t="s">
        <v>238</v>
      </c>
      <c r="P193" s="4" t="s">
        <v>97</v>
      </c>
      <c r="Q193" s="4" t="s">
        <v>97</v>
      </c>
      <c r="R193" s="14" t="s">
        <v>100</v>
      </c>
      <c r="S193" s="14" t="s">
        <v>100</v>
      </c>
      <c r="T193" s="14" t="s">
        <v>100</v>
      </c>
      <c r="U193" s="8"/>
      <c r="V193" s="14"/>
      <c r="W193" s="14"/>
      <c r="X193" s="14"/>
      <c r="Y193" s="5">
        <v>45898</v>
      </c>
      <c r="Z193" s="5">
        <v>45901</v>
      </c>
      <c r="AA193" s="7" t="s">
        <v>97</v>
      </c>
      <c r="AB193" s="7" t="s">
        <v>463</v>
      </c>
      <c r="AC193" s="7" t="s">
        <v>97</v>
      </c>
      <c r="AD193" s="7" t="s">
        <v>97</v>
      </c>
      <c r="AE193" s="7" t="s">
        <v>97</v>
      </c>
      <c r="AF193" s="7" t="s">
        <v>97</v>
      </c>
      <c r="AG193" s="7" t="s">
        <v>97</v>
      </c>
      <c r="AH193" s="7" t="s">
        <v>103</v>
      </c>
      <c r="AI193" s="5">
        <v>45899</v>
      </c>
      <c r="AJ193" s="7" t="s">
        <v>103</v>
      </c>
      <c r="AK193" s="7" t="s">
        <v>97</v>
      </c>
      <c r="AL193" s="7" t="s">
        <v>103</v>
      </c>
      <c r="AM193" s="7" t="s">
        <v>103</v>
      </c>
      <c r="AN193" s="7" t="s">
        <v>103</v>
      </c>
      <c r="AO193" s="7" t="s">
        <v>97</v>
      </c>
      <c r="AP193" s="7" t="s">
        <v>97</v>
      </c>
      <c r="AQ193" s="7" t="s">
        <v>97</v>
      </c>
      <c r="AR193" s="7" t="s">
        <v>97</v>
      </c>
      <c r="AS193" s="7" t="s">
        <v>103</v>
      </c>
      <c r="AT193" s="7"/>
      <c r="AU193" s="7"/>
      <c r="AV193" s="4" t="s">
        <v>103</v>
      </c>
      <c r="AW193" s="4" t="s">
        <v>97</v>
      </c>
      <c r="AX193" s="4" t="s">
        <v>97</v>
      </c>
      <c r="AY193" s="4" t="s">
        <v>97</v>
      </c>
      <c r="AZ193" s="4" t="s">
        <v>103</v>
      </c>
      <c r="BA193" s="4" t="s">
        <v>97</v>
      </c>
      <c r="BB193" s="5">
        <v>45901</v>
      </c>
      <c r="BC193" s="5">
        <v>45909</v>
      </c>
      <c r="BD193" s="5">
        <v>45910</v>
      </c>
      <c r="BE193" s="5">
        <v>45911</v>
      </c>
      <c r="BF193" s="4" t="s">
        <v>98</v>
      </c>
      <c r="BG193" s="4" t="s">
        <v>97</v>
      </c>
      <c r="BH193" s="4" t="s">
        <v>103</v>
      </c>
      <c r="BI193" s="4" t="s">
        <v>115</v>
      </c>
    </row>
    <row r="194" spans="1:61" x14ac:dyDescent="0.35">
      <c r="A194" s="8" t="str">
        <f t="shared" si="17"/>
        <v>Semaine 36-2025</v>
      </c>
      <c r="B194" s="8" t="str">
        <f t="shared" si="18"/>
        <v>2025</v>
      </c>
      <c r="C194" s="2" t="s">
        <v>75</v>
      </c>
      <c r="D194" s="6" t="str">
        <f t="shared" si="19"/>
        <v>Diourbel</v>
      </c>
      <c r="E194" s="6">
        <f t="shared" si="20"/>
        <v>996481</v>
      </c>
      <c r="F194" s="6">
        <f t="shared" si="21"/>
        <v>1980827</v>
      </c>
      <c r="G194" s="4" t="s">
        <v>610</v>
      </c>
      <c r="H194" s="4" t="s">
        <v>624</v>
      </c>
      <c r="I194" s="4">
        <v>20</v>
      </c>
      <c r="J194" s="4" t="s">
        <v>114</v>
      </c>
      <c r="K194" s="4"/>
      <c r="L194" s="4"/>
      <c r="M194" s="4"/>
      <c r="N194" s="4"/>
      <c r="O194" s="4" t="s">
        <v>238</v>
      </c>
      <c r="P194" s="4" t="s">
        <v>97</v>
      </c>
      <c r="Q194" s="4" t="s">
        <v>97</v>
      </c>
      <c r="R194" s="14" t="s">
        <v>100</v>
      </c>
      <c r="S194" s="14" t="s">
        <v>100</v>
      </c>
      <c r="T194" s="14" t="s">
        <v>100</v>
      </c>
      <c r="U194" s="8"/>
      <c r="V194" s="14"/>
      <c r="W194" s="14"/>
      <c r="X194" s="14"/>
      <c r="Y194" s="5">
        <v>45907</v>
      </c>
      <c r="Z194" s="5">
        <v>45911</v>
      </c>
      <c r="AA194" s="7" t="s">
        <v>97</v>
      </c>
      <c r="AB194" s="7" t="s">
        <v>509</v>
      </c>
      <c r="AC194" s="7" t="s">
        <v>103</v>
      </c>
      <c r="AD194" s="7" t="s">
        <v>97</v>
      </c>
      <c r="AE194" s="7" t="s">
        <v>97</v>
      </c>
      <c r="AF194" s="7" t="s">
        <v>103</v>
      </c>
      <c r="AG194" s="7" t="s">
        <v>103</v>
      </c>
      <c r="AH194" s="7" t="s">
        <v>103</v>
      </c>
      <c r="AI194" s="5">
        <v>45910</v>
      </c>
      <c r="AJ194" s="7" t="s">
        <v>97</v>
      </c>
      <c r="AK194" s="7" t="s">
        <v>103</v>
      </c>
      <c r="AL194" s="7" t="s">
        <v>97</v>
      </c>
      <c r="AM194" s="7" t="s">
        <v>97</v>
      </c>
      <c r="AN194" s="7" t="s">
        <v>97</v>
      </c>
      <c r="AO194" s="7" t="s">
        <v>97</v>
      </c>
      <c r="AP194" s="7" t="s">
        <v>97</v>
      </c>
      <c r="AQ194" s="7" t="s">
        <v>97</v>
      </c>
      <c r="AR194" s="7" t="s">
        <v>97</v>
      </c>
      <c r="AS194" s="7" t="s">
        <v>103</v>
      </c>
      <c r="AT194" s="7"/>
      <c r="AU194" s="7"/>
      <c r="AV194" s="4" t="s">
        <v>97</v>
      </c>
      <c r="AW194" s="4" t="s">
        <v>97</v>
      </c>
      <c r="AX194" s="4" t="s">
        <v>103</v>
      </c>
      <c r="AY194" s="4" t="s">
        <v>97</v>
      </c>
      <c r="AZ194" s="4" t="s">
        <v>103</v>
      </c>
      <c r="BA194" s="4" t="s">
        <v>97</v>
      </c>
      <c r="BB194" s="5">
        <v>45911</v>
      </c>
      <c r="BC194" s="5">
        <v>45911</v>
      </c>
      <c r="BD194" s="5">
        <v>45911</v>
      </c>
      <c r="BE194" s="5">
        <v>45912</v>
      </c>
      <c r="BF194" s="4" t="s">
        <v>98</v>
      </c>
      <c r="BG194" s="4" t="s">
        <v>97</v>
      </c>
      <c r="BH194" s="4" t="s">
        <v>103</v>
      </c>
      <c r="BI194" s="4" t="s">
        <v>145</v>
      </c>
    </row>
    <row r="195" spans="1:61" x14ac:dyDescent="0.35">
      <c r="A195" s="8" t="str">
        <f t="shared" si="17"/>
        <v>Semaine 36-2025</v>
      </c>
      <c r="B195" s="8" t="str">
        <f t="shared" si="18"/>
        <v>2025</v>
      </c>
      <c r="C195" s="2" t="s">
        <v>1</v>
      </c>
      <c r="D195" s="6" t="str">
        <f t="shared" si="19"/>
        <v>Matam</v>
      </c>
      <c r="E195" s="6">
        <f t="shared" si="20"/>
        <v>110915</v>
      </c>
      <c r="F195" s="6">
        <f t="shared" si="21"/>
        <v>789215</v>
      </c>
      <c r="G195" s="4" t="s">
        <v>625</v>
      </c>
      <c r="H195" s="4" t="s">
        <v>627</v>
      </c>
      <c r="I195" s="4">
        <v>15</v>
      </c>
      <c r="J195" s="4" t="s">
        <v>114</v>
      </c>
      <c r="K195" s="4"/>
      <c r="L195" s="4"/>
      <c r="M195" s="4"/>
      <c r="N195" s="4"/>
      <c r="O195" s="4" t="s">
        <v>238</v>
      </c>
      <c r="P195" s="4" t="s">
        <v>97</v>
      </c>
      <c r="Q195" s="4" t="s">
        <v>97</v>
      </c>
      <c r="R195" s="14" t="s">
        <v>100</v>
      </c>
      <c r="S195" s="14" t="s">
        <v>100</v>
      </c>
      <c r="T195" s="14" t="s">
        <v>100</v>
      </c>
      <c r="U195" s="8"/>
      <c r="V195" s="14"/>
      <c r="W195" s="14"/>
      <c r="X195" s="14"/>
      <c r="Y195" s="5">
        <v>45907</v>
      </c>
      <c r="Z195" s="5">
        <v>45910</v>
      </c>
      <c r="AA195" s="7" t="s">
        <v>103</v>
      </c>
      <c r="AB195" s="7"/>
      <c r="AC195" s="7" t="s">
        <v>97</v>
      </c>
      <c r="AD195" s="7" t="s">
        <v>97</v>
      </c>
      <c r="AE195" s="7" t="s">
        <v>97</v>
      </c>
      <c r="AF195" s="7" t="s">
        <v>97</v>
      </c>
      <c r="AG195" s="7" t="s">
        <v>97</v>
      </c>
      <c r="AH195" s="7" t="s">
        <v>103</v>
      </c>
      <c r="AI195" s="5">
        <v>45907</v>
      </c>
      <c r="AJ195" s="7" t="s">
        <v>97</v>
      </c>
      <c r="AK195" s="7" t="s">
        <v>97</v>
      </c>
      <c r="AL195" s="7" t="s">
        <v>97</v>
      </c>
      <c r="AM195" s="7" t="s">
        <v>97</v>
      </c>
      <c r="AN195" s="7" t="s">
        <v>103</v>
      </c>
      <c r="AO195" s="7" t="s">
        <v>103</v>
      </c>
      <c r="AP195" s="7" t="s">
        <v>103</v>
      </c>
      <c r="AQ195" s="7" t="s">
        <v>97</v>
      </c>
      <c r="AR195" s="7" t="s">
        <v>97</v>
      </c>
      <c r="AS195" s="7" t="s">
        <v>97</v>
      </c>
      <c r="AT195" s="7"/>
      <c r="AU195" s="7"/>
      <c r="AV195" s="4" t="s">
        <v>103</v>
      </c>
      <c r="AW195" s="4" t="s">
        <v>97</v>
      </c>
      <c r="AX195" s="4" t="s">
        <v>97</v>
      </c>
      <c r="AY195" s="4" t="s">
        <v>97</v>
      </c>
      <c r="AZ195" s="4" t="s">
        <v>103</v>
      </c>
      <c r="BA195" s="4" t="s">
        <v>97</v>
      </c>
      <c r="BB195" s="5">
        <v>45910</v>
      </c>
      <c r="BC195" s="5">
        <v>45910</v>
      </c>
      <c r="BD195" s="5">
        <v>45914</v>
      </c>
      <c r="BE195" s="5">
        <v>45915</v>
      </c>
      <c r="BF195" s="4" t="s">
        <v>98</v>
      </c>
      <c r="BG195" s="4" t="s">
        <v>97</v>
      </c>
      <c r="BH195" s="4" t="s">
        <v>103</v>
      </c>
      <c r="BI195" s="4" t="s">
        <v>115</v>
      </c>
    </row>
    <row r="196" spans="1:61" x14ac:dyDescent="0.35">
      <c r="A196" s="8" t="str">
        <f t="shared" si="17"/>
        <v>Semaine 35-2025</v>
      </c>
      <c r="B196" s="8" t="str">
        <f t="shared" si="18"/>
        <v>2025</v>
      </c>
      <c r="C196" s="2" t="s">
        <v>3</v>
      </c>
      <c r="D196" s="6" t="str">
        <f t="shared" si="19"/>
        <v>Kaolack</v>
      </c>
      <c r="E196" s="6">
        <f t="shared" si="20"/>
        <v>412872</v>
      </c>
      <c r="F196" s="6">
        <f t="shared" si="21"/>
        <v>1267013</v>
      </c>
      <c r="G196" s="4" t="s">
        <v>626</v>
      </c>
      <c r="H196" s="4" t="s">
        <v>628</v>
      </c>
      <c r="I196" s="4">
        <v>85</v>
      </c>
      <c r="J196" s="4" t="s">
        <v>114</v>
      </c>
      <c r="K196" s="4"/>
      <c r="L196" s="4"/>
      <c r="M196" s="4"/>
      <c r="N196" s="4"/>
      <c r="O196" s="4" t="s">
        <v>238</v>
      </c>
      <c r="P196" s="4" t="s">
        <v>97</v>
      </c>
      <c r="Q196" s="4" t="s">
        <v>97</v>
      </c>
      <c r="R196" s="14" t="s">
        <v>100</v>
      </c>
      <c r="S196" s="14" t="s">
        <v>100</v>
      </c>
      <c r="T196" s="14" t="s">
        <v>100</v>
      </c>
      <c r="U196" s="8"/>
      <c r="V196" s="14"/>
      <c r="W196" s="14"/>
      <c r="X196" s="14"/>
      <c r="Y196" s="5">
        <v>45900</v>
      </c>
      <c r="Z196" s="5">
        <v>45908</v>
      </c>
      <c r="AA196" s="7" t="s">
        <v>103</v>
      </c>
      <c r="AB196" s="7" t="s">
        <v>303</v>
      </c>
      <c r="AC196" s="7" t="s">
        <v>103</v>
      </c>
      <c r="AD196" s="7" t="s">
        <v>97</v>
      </c>
      <c r="AE196" s="7" t="s">
        <v>97</v>
      </c>
      <c r="AF196" s="7" t="s">
        <v>103</v>
      </c>
      <c r="AG196" s="7" t="s">
        <v>103</v>
      </c>
      <c r="AH196" s="7" t="s">
        <v>103</v>
      </c>
      <c r="AI196" s="5">
        <v>45902</v>
      </c>
      <c r="AJ196" s="7" t="s">
        <v>97</v>
      </c>
      <c r="AK196" s="7" t="s">
        <v>103</v>
      </c>
      <c r="AL196" s="7" t="s">
        <v>103</v>
      </c>
      <c r="AM196" s="7" t="s">
        <v>103</v>
      </c>
      <c r="AN196" s="7" t="s">
        <v>97</v>
      </c>
      <c r="AO196" s="7" t="s">
        <v>97</v>
      </c>
      <c r="AP196" s="7" t="s">
        <v>97</v>
      </c>
      <c r="AQ196" s="7" t="s">
        <v>97</v>
      </c>
      <c r="AR196" s="7" t="s">
        <v>97</v>
      </c>
      <c r="AS196" s="7" t="s">
        <v>97</v>
      </c>
      <c r="AT196" s="7" t="s">
        <v>629</v>
      </c>
      <c r="AU196" s="7" t="s">
        <v>519</v>
      </c>
      <c r="AV196" s="4" t="s">
        <v>103</v>
      </c>
      <c r="AW196" s="4" t="s">
        <v>97</v>
      </c>
      <c r="AX196" s="4" t="s">
        <v>97</v>
      </c>
      <c r="AY196" s="4" t="s">
        <v>97</v>
      </c>
      <c r="AZ196" s="4" t="s">
        <v>97</v>
      </c>
      <c r="BA196" s="4" t="s">
        <v>97</v>
      </c>
      <c r="BB196" s="5">
        <v>45911</v>
      </c>
      <c r="BC196" s="5">
        <v>45911</v>
      </c>
      <c r="BD196" s="5">
        <v>45913</v>
      </c>
      <c r="BE196" s="5">
        <v>45915</v>
      </c>
      <c r="BF196" s="4" t="s">
        <v>98</v>
      </c>
      <c r="BG196" s="4" t="s">
        <v>103</v>
      </c>
      <c r="BH196" s="4" t="s">
        <v>103</v>
      </c>
      <c r="BI196" s="4" t="s">
        <v>115</v>
      </c>
    </row>
    <row r="197" spans="1:61" x14ac:dyDescent="0.35">
      <c r="A197" s="8" t="str">
        <f t="shared" si="17"/>
        <v>Semaine 37-2025</v>
      </c>
      <c r="B197" s="8" t="str">
        <f t="shared" si="18"/>
        <v>2025</v>
      </c>
      <c r="C197" s="2" t="s">
        <v>91</v>
      </c>
      <c r="D197" s="6" t="str">
        <f t="shared" si="19"/>
        <v>Dakar</v>
      </c>
      <c r="E197" s="6">
        <f t="shared" si="20"/>
        <v>179835</v>
      </c>
      <c r="F197" s="6">
        <f t="shared" si="21"/>
        <v>4042240</v>
      </c>
      <c r="G197" s="4" t="s">
        <v>630</v>
      </c>
      <c r="H197" s="4" t="s">
        <v>631</v>
      </c>
      <c r="I197" s="4">
        <v>8</v>
      </c>
      <c r="J197" s="4" t="s">
        <v>114</v>
      </c>
      <c r="K197" s="4"/>
      <c r="L197" s="4"/>
      <c r="M197" s="4"/>
      <c r="N197" s="4"/>
      <c r="O197" s="4" t="s">
        <v>238</v>
      </c>
      <c r="P197" s="4" t="s">
        <v>97</v>
      </c>
      <c r="Q197" s="4" t="s">
        <v>97</v>
      </c>
      <c r="R197" s="14" t="s">
        <v>100</v>
      </c>
      <c r="S197" s="14" t="s">
        <v>100</v>
      </c>
      <c r="T197" s="14" t="s">
        <v>100</v>
      </c>
      <c r="U197" s="8"/>
      <c r="V197" s="14"/>
      <c r="W197" s="14"/>
      <c r="X197" s="14"/>
      <c r="Y197" s="5">
        <v>45913</v>
      </c>
      <c r="Z197" s="5">
        <v>45916</v>
      </c>
      <c r="AA197" s="7" t="s">
        <v>103</v>
      </c>
      <c r="AB197" s="7" t="s">
        <v>264</v>
      </c>
      <c r="AC197" s="7" t="s">
        <v>103</v>
      </c>
      <c r="AD197" s="7" t="s">
        <v>97</v>
      </c>
      <c r="AE197" s="7" t="s">
        <v>97</v>
      </c>
      <c r="AF197" s="7" t="s">
        <v>103</v>
      </c>
      <c r="AG197" s="7" t="s">
        <v>103</v>
      </c>
      <c r="AH197" s="7" t="s">
        <v>103</v>
      </c>
      <c r="AI197" s="5">
        <v>45913</v>
      </c>
      <c r="AJ197" s="7" t="s">
        <v>103</v>
      </c>
      <c r="AK197" s="7" t="s">
        <v>103</v>
      </c>
      <c r="AL197" s="7" t="s">
        <v>97</v>
      </c>
      <c r="AM197" s="7" t="s">
        <v>103</v>
      </c>
      <c r="AN197" s="7" t="s">
        <v>103</v>
      </c>
      <c r="AO197" s="7" t="s">
        <v>103</v>
      </c>
      <c r="AP197" s="7" t="s">
        <v>103</v>
      </c>
      <c r="AQ197" s="7" t="s">
        <v>97</v>
      </c>
      <c r="AR197" s="7" t="s">
        <v>97</v>
      </c>
      <c r="AS197" s="7" t="s">
        <v>97</v>
      </c>
      <c r="AT197" s="7"/>
      <c r="AU197" s="7"/>
      <c r="AV197" s="4" t="s">
        <v>103</v>
      </c>
      <c r="AW197" s="4" t="s">
        <v>97</v>
      </c>
      <c r="AX197" s="4" t="s">
        <v>97</v>
      </c>
      <c r="AY197" s="4" t="s">
        <v>97</v>
      </c>
      <c r="AZ197" s="4" t="s">
        <v>103</v>
      </c>
      <c r="BA197" s="4" t="s">
        <v>97</v>
      </c>
      <c r="BB197" s="5">
        <v>45916</v>
      </c>
      <c r="BC197" s="5">
        <v>45916</v>
      </c>
      <c r="BD197" s="5">
        <v>45916</v>
      </c>
      <c r="BE197" s="5">
        <v>45918</v>
      </c>
      <c r="BF197" s="4" t="s">
        <v>98</v>
      </c>
      <c r="BG197" s="4" t="s">
        <v>97</v>
      </c>
      <c r="BH197" s="4" t="s">
        <v>103</v>
      </c>
      <c r="BI197" s="4" t="s">
        <v>115</v>
      </c>
    </row>
    <row r="198" spans="1:61" x14ac:dyDescent="0.35">
      <c r="A198" s="8" t="str">
        <f t="shared" ref="A198:A261" si="22">"Semaine " &amp; _xlfn.ISOWEEKNUM(Y198) &amp; "-" &amp; YEAR(Y198)</f>
        <v>Semaine 38-2025</v>
      </c>
      <c r="B198" s="8" t="str">
        <f t="shared" si="18"/>
        <v>2025</v>
      </c>
      <c r="C198" s="2" t="s">
        <v>21</v>
      </c>
      <c r="D198" s="6" t="str">
        <f t="shared" si="19"/>
        <v>Dakar</v>
      </c>
      <c r="E198" s="6">
        <f t="shared" si="20"/>
        <v>219872</v>
      </c>
      <c r="F198" s="6">
        <f t="shared" si="21"/>
        <v>4042240</v>
      </c>
      <c r="G198" s="4" t="s">
        <v>632</v>
      </c>
      <c r="H198" s="4" t="s">
        <v>634</v>
      </c>
      <c r="I198" s="4">
        <v>43</v>
      </c>
      <c r="J198" s="4" t="s">
        <v>114</v>
      </c>
      <c r="K198" s="4"/>
      <c r="L198" s="4"/>
      <c r="M198" s="4"/>
      <c r="N198" s="4"/>
      <c r="O198" s="4" t="s">
        <v>238</v>
      </c>
      <c r="P198" s="4" t="s">
        <v>97</v>
      </c>
      <c r="Q198" s="4" t="s">
        <v>97</v>
      </c>
      <c r="R198" s="14" t="s">
        <v>100</v>
      </c>
      <c r="S198" s="14" t="s">
        <v>100</v>
      </c>
      <c r="T198" s="14" t="s">
        <v>100</v>
      </c>
      <c r="U198" s="8"/>
      <c r="V198" s="14"/>
      <c r="W198" s="14"/>
      <c r="X198" s="14"/>
      <c r="Y198" s="5">
        <v>45915</v>
      </c>
      <c r="Z198" s="5">
        <v>45918</v>
      </c>
      <c r="AA198" s="7" t="s">
        <v>103</v>
      </c>
      <c r="AB198" s="7" t="s">
        <v>488</v>
      </c>
      <c r="AC198" s="7" t="s">
        <v>97</v>
      </c>
      <c r="AD198" s="7" t="s">
        <v>103</v>
      </c>
      <c r="AE198" s="7" t="s">
        <v>97</v>
      </c>
      <c r="AF198" s="7" t="s">
        <v>97</v>
      </c>
      <c r="AG198" s="7" t="s">
        <v>97</v>
      </c>
      <c r="AH198" s="7" t="s">
        <v>103</v>
      </c>
      <c r="AI198" s="5">
        <v>45916</v>
      </c>
      <c r="AJ198" s="7" t="s">
        <v>97</v>
      </c>
      <c r="AK198" s="7" t="s">
        <v>97</v>
      </c>
      <c r="AL198" s="7" t="s">
        <v>103</v>
      </c>
      <c r="AM198" s="7" t="s">
        <v>103</v>
      </c>
      <c r="AN198" s="7" t="s">
        <v>97</v>
      </c>
      <c r="AO198" s="7" t="s">
        <v>97</v>
      </c>
      <c r="AP198" s="7" t="s">
        <v>97</v>
      </c>
      <c r="AQ198" s="7" t="s">
        <v>97</v>
      </c>
      <c r="AR198" s="7" t="s">
        <v>97</v>
      </c>
      <c r="AS198" s="7" t="s">
        <v>97</v>
      </c>
      <c r="AT198" s="7"/>
      <c r="AU198" s="7"/>
      <c r="AV198" s="4" t="s">
        <v>103</v>
      </c>
      <c r="AW198" s="4" t="s">
        <v>97</v>
      </c>
      <c r="AX198" s="4" t="s">
        <v>97</v>
      </c>
      <c r="AY198" s="4" t="s">
        <v>97</v>
      </c>
      <c r="AZ198" s="4" t="s">
        <v>103</v>
      </c>
      <c r="BA198" s="4" t="s">
        <v>97</v>
      </c>
      <c r="BB198" s="5">
        <v>45918</v>
      </c>
      <c r="BC198" s="5">
        <v>45918</v>
      </c>
      <c r="BD198" s="5">
        <v>45918</v>
      </c>
      <c r="BE198" s="5">
        <v>45919</v>
      </c>
      <c r="BF198" s="4" t="s">
        <v>98</v>
      </c>
      <c r="BG198" s="4" t="s">
        <v>97</v>
      </c>
      <c r="BH198" s="4" t="s">
        <v>103</v>
      </c>
      <c r="BI198" s="4" t="s">
        <v>115</v>
      </c>
    </row>
    <row r="199" spans="1:61" x14ac:dyDescent="0.35">
      <c r="A199" s="8" t="str">
        <f t="shared" si="22"/>
        <v>Semaine 36-2025</v>
      </c>
      <c r="B199" s="8" t="str">
        <f t="shared" si="18"/>
        <v>2025</v>
      </c>
      <c r="C199" s="2" t="s">
        <v>18</v>
      </c>
      <c r="D199" s="6" t="str">
        <f t="shared" si="19"/>
        <v>Dakar</v>
      </c>
      <c r="E199" s="6">
        <f t="shared" si="20"/>
        <v>419489</v>
      </c>
      <c r="F199" s="6">
        <f t="shared" si="21"/>
        <v>4042240</v>
      </c>
      <c r="G199" s="4" t="s">
        <v>633</v>
      </c>
      <c r="H199" s="4" t="s">
        <v>635</v>
      </c>
      <c r="I199" s="4">
        <v>7</v>
      </c>
      <c r="J199" s="4" t="s">
        <v>114</v>
      </c>
      <c r="K199" s="4"/>
      <c r="L199" s="4"/>
      <c r="M199" s="4"/>
      <c r="N199" s="4"/>
      <c r="O199" s="4" t="s">
        <v>238</v>
      </c>
      <c r="P199" s="4" t="s">
        <v>97</v>
      </c>
      <c r="Q199" s="4" t="s">
        <v>97</v>
      </c>
      <c r="R199" s="14" t="s">
        <v>100</v>
      </c>
      <c r="S199" s="14" t="s">
        <v>100</v>
      </c>
      <c r="T199" s="14" t="s">
        <v>100</v>
      </c>
      <c r="U199" s="8"/>
      <c r="V199" s="14"/>
      <c r="W199" s="14"/>
      <c r="X199" s="14"/>
      <c r="Y199" s="5">
        <v>45904</v>
      </c>
      <c r="Z199" s="5">
        <v>45918</v>
      </c>
      <c r="AA199" s="7" t="s">
        <v>97</v>
      </c>
      <c r="AB199" s="7" t="s">
        <v>636</v>
      </c>
      <c r="AC199" s="7" t="s">
        <v>97</v>
      </c>
      <c r="AD199" s="7" t="s">
        <v>97</v>
      </c>
      <c r="AE199" s="7" t="s">
        <v>97</v>
      </c>
      <c r="AF199" s="7" t="s">
        <v>97</v>
      </c>
      <c r="AG199" s="7" t="s">
        <v>97</v>
      </c>
      <c r="AH199" s="7" t="s">
        <v>103</v>
      </c>
      <c r="AI199" s="5">
        <v>45904</v>
      </c>
      <c r="AJ199" s="7" t="s">
        <v>97</v>
      </c>
      <c r="AK199" s="7" t="s">
        <v>103</v>
      </c>
      <c r="AL199" s="7" t="s">
        <v>97</v>
      </c>
      <c r="AM199" s="7" t="s">
        <v>103</v>
      </c>
      <c r="AN199" s="7" t="s">
        <v>103</v>
      </c>
      <c r="AO199" s="7" t="s">
        <v>97</v>
      </c>
      <c r="AP199" s="7" t="s">
        <v>97</v>
      </c>
      <c r="AQ199" s="7" t="s">
        <v>97</v>
      </c>
      <c r="AR199" s="7" t="s">
        <v>97</v>
      </c>
      <c r="AS199" s="7" t="s">
        <v>97</v>
      </c>
      <c r="AT199" s="7"/>
      <c r="AU199" s="7"/>
      <c r="AV199" s="4" t="s">
        <v>103</v>
      </c>
      <c r="AW199" s="4" t="s">
        <v>97</v>
      </c>
      <c r="AX199" s="4" t="s">
        <v>103</v>
      </c>
      <c r="AY199" s="4" t="s">
        <v>97</v>
      </c>
      <c r="AZ199" s="4" t="s">
        <v>97</v>
      </c>
      <c r="BA199" s="4" t="s">
        <v>97</v>
      </c>
      <c r="BB199" s="5">
        <v>45918</v>
      </c>
      <c r="BC199" s="5">
        <v>45918</v>
      </c>
      <c r="BD199" s="5">
        <v>45918</v>
      </c>
      <c r="BE199" s="5">
        <v>45919</v>
      </c>
      <c r="BF199" s="4" t="s">
        <v>98</v>
      </c>
      <c r="BG199" s="4" t="s">
        <v>97</v>
      </c>
      <c r="BH199" s="4" t="s">
        <v>103</v>
      </c>
      <c r="BI199" s="4" t="s">
        <v>115</v>
      </c>
    </row>
    <row r="200" spans="1:61" x14ac:dyDescent="0.35">
      <c r="A200" s="8" t="str">
        <f t="shared" si="22"/>
        <v>Semaine 35-2025</v>
      </c>
      <c r="B200" s="8" t="str">
        <f t="shared" si="18"/>
        <v>2025</v>
      </c>
      <c r="C200" s="2" t="s">
        <v>24</v>
      </c>
      <c r="D200" s="6" t="str">
        <f t="shared" si="19"/>
        <v>Tambacounda</v>
      </c>
      <c r="E200" s="6">
        <f t="shared" si="20"/>
        <v>57207</v>
      </c>
      <c r="F200" s="6">
        <f t="shared" si="21"/>
        <v>937181</v>
      </c>
      <c r="G200" s="4" t="s">
        <v>637</v>
      </c>
      <c r="H200" s="4" t="s">
        <v>640</v>
      </c>
      <c r="I200" s="4">
        <v>26</v>
      </c>
      <c r="J200" s="4" t="s">
        <v>114</v>
      </c>
      <c r="K200" s="4"/>
      <c r="L200" s="4"/>
      <c r="M200" s="4"/>
      <c r="N200" s="4"/>
      <c r="O200" s="4" t="s">
        <v>238</v>
      </c>
      <c r="P200" s="4" t="s">
        <v>97</v>
      </c>
      <c r="Q200" s="4" t="s">
        <v>97</v>
      </c>
      <c r="R200" s="14" t="s">
        <v>100</v>
      </c>
      <c r="S200" s="14" t="s">
        <v>100</v>
      </c>
      <c r="T200" s="14" t="s">
        <v>100</v>
      </c>
      <c r="U200" s="8"/>
      <c r="V200" s="14"/>
      <c r="W200" s="14"/>
      <c r="X200" s="14"/>
      <c r="Y200" s="5">
        <v>45898</v>
      </c>
      <c r="Z200" s="5">
        <v>45901</v>
      </c>
      <c r="AA200" s="7" t="s">
        <v>103</v>
      </c>
      <c r="AB200" s="7"/>
      <c r="AC200" s="7" t="s">
        <v>97</v>
      </c>
      <c r="AD200" s="7" t="s">
        <v>97</v>
      </c>
      <c r="AE200" s="7" t="s">
        <v>97</v>
      </c>
      <c r="AF200" s="7" t="s">
        <v>103</v>
      </c>
      <c r="AG200" s="7" t="s">
        <v>97</v>
      </c>
      <c r="AH200" s="7" t="s">
        <v>103</v>
      </c>
      <c r="AI200" s="5">
        <v>45900</v>
      </c>
      <c r="AJ200" s="7" t="s">
        <v>103</v>
      </c>
      <c r="AK200" s="7" t="s">
        <v>103</v>
      </c>
      <c r="AL200" s="7" t="s">
        <v>97</v>
      </c>
      <c r="AM200" s="7" t="s">
        <v>103</v>
      </c>
      <c r="AN200" s="7" t="s">
        <v>103</v>
      </c>
      <c r="AO200" s="7" t="s">
        <v>97</v>
      </c>
      <c r="AP200" s="7" t="s">
        <v>97</v>
      </c>
      <c r="AQ200" s="7" t="s">
        <v>97</v>
      </c>
      <c r="AR200" s="7" t="s">
        <v>97</v>
      </c>
      <c r="AS200" s="7" t="s">
        <v>97</v>
      </c>
      <c r="AT200" s="7" t="s">
        <v>641</v>
      </c>
      <c r="AU200" s="7"/>
      <c r="AV200" s="4" t="s">
        <v>97</v>
      </c>
      <c r="AW200" s="4" t="s">
        <v>97</v>
      </c>
      <c r="AX200" s="4" t="s">
        <v>97</v>
      </c>
      <c r="AY200" s="4" t="s">
        <v>97</v>
      </c>
      <c r="AZ200" s="4" t="s">
        <v>103</v>
      </c>
      <c r="BA200" s="4" t="s">
        <v>97</v>
      </c>
      <c r="BB200" s="5">
        <v>45903</v>
      </c>
      <c r="BC200" s="5">
        <v>45918</v>
      </c>
      <c r="BD200" s="5">
        <v>45919</v>
      </c>
      <c r="BE200" s="5">
        <v>45922</v>
      </c>
      <c r="BF200" s="4" t="s">
        <v>98</v>
      </c>
      <c r="BG200" s="4" t="s">
        <v>97</v>
      </c>
      <c r="BH200" s="4" t="s">
        <v>103</v>
      </c>
      <c r="BI200" s="4" t="s">
        <v>145</v>
      </c>
    </row>
    <row r="201" spans="1:61" x14ac:dyDescent="0.35">
      <c r="A201" s="8" t="str">
        <f t="shared" si="22"/>
        <v>Semaine 38-2025</v>
      </c>
      <c r="B201" s="8" t="str">
        <f t="shared" si="18"/>
        <v>2025</v>
      </c>
      <c r="C201" s="2" t="s">
        <v>69</v>
      </c>
      <c r="D201" s="6" t="str">
        <f t="shared" si="19"/>
        <v>Sedhiou</v>
      </c>
      <c r="E201" s="6">
        <f t="shared" si="20"/>
        <v>204663</v>
      </c>
      <c r="F201" s="6">
        <f t="shared" si="21"/>
        <v>612650</v>
      </c>
      <c r="G201" s="4" t="s">
        <v>638</v>
      </c>
      <c r="H201" s="4" t="s">
        <v>642</v>
      </c>
      <c r="I201" s="4">
        <v>41</v>
      </c>
      <c r="J201" s="4" t="s">
        <v>114</v>
      </c>
      <c r="K201" s="4"/>
      <c r="L201" s="4"/>
      <c r="M201" s="4"/>
      <c r="N201" s="4"/>
      <c r="O201" s="4" t="s">
        <v>238</v>
      </c>
      <c r="P201" s="4" t="s">
        <v>97</v>
      </c>
      <c r="Q201" s="4" t="s">
        <v>97</v>
      </c>
      <c r="R201" s="14" t="s">
        <v>100</v>
      </c>
      <c r="S201" s="14" t="s">
        <v>100</v>
      </c>
      <c r="T201" s="14" t="s">
        <v>100</v>
      </c>
      <c r="U201" s="8"/>
      <c r="V201" s="14"/>
      <c r="W201" s="14"/>
      <c r="X201" s="14"/>
      <c r="Y201" s="5">
        <v>45915</v>
      </c>
      <c r="Z201" s="5">
        <v>45917</v>
      </c>
      <c r="AA201" s="7" t="s">
        <v>103</v>
      </c>
      <c r="AB201" s="7" t="s">
        <v>405</v>
      </c>
      <c r="AC201" s="7" t="s">
        <v>103</v>
      </c>
      <c r="AD201" s="7" t="s">
        <v>103</v>
      </c>
      <c r="AE201" s="7" t="s">
        <v>103</v>
      </c>
      <c r="AF201" s="7" t="s">
        <v>103</v>
      </c>
      <c r="AG201" s="7" t="s">
        <v>103</v>
      </c>
      <c r="AH201" s="7" t="s">
        <v>103</v>
      </c>
      <c r="AI201" s="5">
        <v>45915</v>
      </c>
      <c r="AJ201" s="7" t="s">
        <v>103</v>
      </c>
      <c r="AK201" s="7" t="s">
        <v>103</v>
      </c>
      <c r="AL201" s="7" t="s">
        <v>97</v>
      </c>
      <c r="AM201" s="7" t="s">
        <v>103</v>
      </c>
      <c r="AN201" s="7" t="s">
        <v>103</v>
      </c>
      <c r="AO201" s="7" t="s">
        <v>103</v>
      </c>
      <c r="AP201" s="7" t="s">
        <v>103</v>
      </c>
      <c r="AQ201" s="7" t="s">
        <v>97</v>
      </c>
      <c r="AR201" s="7" t="s">
        <v>97</v>
      </c>
      <c r="AS201" s="7" t="s">
        <v>97</v>
      </c>
      <c r="AT201" s="7"/>
      <c r="AU201" s="7"/>
      <c r="AV201" s="4" t="s">
        <v>103</v>
      </c>
      <c r="AW201" s="4" t="s">
        <v>97</v>
      </c>
      <c r="AX201" s="4" t="s">
        <v>97</v>
      </c>
      <c r="AY201" s="4" t="s">
        <v>97</v>
      </c>
      <c r="AZ201" s="4" t="s">
        <v>103</v>
      </c>
      <c r="BA201" s="4" t="s">
        <v>97</v>
      </c>
      <c r="BB201" s="5">
        <v>45917</v>
      </c>
      <c r="BC201" s="5">
        <v>45917</v>
      </c>
      <c r="BD201" s="5">
        <v>45919</v>
      </c>
      <c r="BE201" s="5">
        <v>45922</v>
      </c>
      <c r="BF201" s="4" t="s">
        <v>98</v>
      </c>
      <c r="BG201" s="4" t="s">
        <v>97</v>
      </c>
      <c r="BH201" s="4" t="s">
        <v>103</v>
      </c>
      <c r="BI201" s="4" t="s">
        <v>115</v>
      </c>
    </row>
    <row r="202" spans="1:61" x14ac:dyDescent="0.35">
      <c r="A202" s="8" t="str">
        <f t="shared" si="22"/>
        <v>Semaine 37-2025</v>
      </c>
      <c r="B202" s="8" t="str">
        <f t="shared" si="18"/>
        <v>2025</v>
      </c>
      <c r="C202" s="2" t="s">
        <v>20</v>
      </c>
      <c r="D202" s="6" t="str">
        <f t="shared" si="19"/>
        <v>Dakar</v>
      </c>
      <c r="E202" s="6">
        <f t="shared" si="20"/>
        <v>272276</v>
      </c>
      <c r="F202" s="6">
        <f t="shared" si="21"/>
        <v>4042240</v>
      </c>
      <c r="G202" s="4" t="s">
        <v>639</v>
      </c>
      <c r="H202" s="4" t="s">
        <v>643</v>
      </c>
      <c r="I202" s="4">
        <v>34</v>
      </c>
      <c r="J202" s="4" t="s">
        <v>114</v>
      </c>
      <c r="K202" s="4"/>
      <c r="L202" s="4"/>
      <c r="M202" s="4"/>
      <c r="N202" s="4"/>
      <c r="O202" s="4" t="s">
        <v>238</v>
      </c>
      <c r="P202" s="4" t="s">
        <v>97</v>
      </c>
      <c r="Q202" s="4" t="s">
        <v>97</v>
      </c>
      <c r="R202" s="14" t="s">
        <v>481</v>
      </c>
      <c r="S202" s="14" t="s">
        <v>100</v>
      </c>
      <c r="T202" s="14" t="s">
        <v>100</v>
      </c>
      <c r="U202" s="8"/>
      <c r="V202" s="14"/>
      <c r="W202" s="14"/>
      <c r="X202" t="s">
        <v>1136</v>
      </c>
      <c r="Y202" s="5">
        <v>45911</v>
      </c>
      <c r="Z202" s="5">
        <v>45921</v>
      </c>
      <c r="AA202" s="7" t="s">
        <v>103</v>
      </c>
      <c r="AB202" s="7"/>
      <c r="AC202" s="7" t="s">
        <v>97</v>
      </c>
      <c r="AD202" s="7" t="s">
        <v>103</v>
      </c>
      <c r="AE202" s="7" t="s">
        <v>103</v>
      </c>
      <c r="AF202" s="7" t="s">
        <v>97</v>
      </c>
      <c r="AG202" s="7" t="s">
        <v>97</v>
      </c>
      <c r="AH202" s="7" t="s">
        <v>103</v>
      </c>
      <c r="AI202" s="5">
        <v>45918</v>
      </c>
      <c r="AJ202" s="7"/>
      <c r="AK202" s="7"/>
      <c r="AL202" s="7"/>
      <c r="AM202" s="7" t="s">
        <v>103</v>
      </c>
      <c r="AN202" s="7" t="s">
        <v>103</v>
      </c>
      <c r="AO202" s="7" t="s">
        <v>103</v>
      </c>
      <c r="AP202" s="7" t="s">
        <v>103</v>
      </c>
      <c r="AQ202" s="7"/>
      <c r="AR202" s="7"/>
      <c r="AS202" s="7" t="s">
        <v>103</v>
      </c>
      <c r="AT202" s="7"/>
      <c r="AU202" s="7"/>
      <c r="AV202" s="4" t="s">
        <v>103</v>
      </c>
      <c r="AW202" s="4" t="s">
        <v>97</v>
      </c>
      <c r="AX202" s="4" t="s">
        <v>97</v>
      </c>
      <c r="AY202" s="4" t="s">
        <v>97</v>
      </c>
      <c r="AZ202" s="4" t="s">
        <v>103</v>
      </c>
      <c r="BA202" s="4" t="s">
        <v>97</v>
      </c>
      <c r="BB202" s="5">
        <v>45921</v>
      </c>
      <c r="BC202" s="5">
        <v>45921</v>
      </c>
      <c r="BD202" s="5">
        <v>45922</v>
      </c>
      <c r="BE202" s="5">
        <v>45922</v>
      </c>
      <c r="BF202" s="4" t="s">
        <v>98</v>
      </c>
      <c r="BG202" s="4" t="s">
        <v>97</v>
      </c>
      <c r="BH202" s="4" t="s">
        <v>103</v>
      </c>
      <c r="BI202" s="5" t="s">
        <v>482</v>
      </c>
    </row>
    <row r="203" spans="1:61" x14ac:dyDescent="0.35">
      <c r="A203" s="8" t="str">
        <f t="shared" si="22"/>
        <v>Semaine 38-2025</v>
      </c>
      <c r="B203" s="8" t="str">
        <f t="shared" si="18"/>
        <v>2025</v>
      </c>
      <c r="C203" s="2" t="s">
        <v>68</v>
      </c>
      <c r="D203" s="6" t="str">
        <f t="shared" si="19"/>
        <v>Kedougou</v>
      </c>
      <c r="E203" s="6">
        <f t="shared" si="20"/>
        <v>68272</v>
      </c>
      <c r="F203" s="6">
        <f t="shared" si="21"/>
        <v>203720</v>
      </c>
      <c r="G203" s="4" t="s">
        <v>644</v>
      </c>
      <c r="H203" s="4" t="s">
        <v>645</v>
      </c>
      <c r="I203" s="4">
        <v>25</v>
      </c>
      <c r="J203" s="4" t="s">
        <v>114</v>
      </c>
      <c r="K203" s="4"/>
      <c r="L203" s="4"/>
      <c r="M203" s="4"/>
      <c r="N203" s="4"/>
      <c r="O203" s="4" t="s">
        <v>238</v>
      </c>
      <c r="P203" s="4" t="s">
        <v>97</v>
      </c>
      <c r="Q203" s="4" t="s">
        <v>97</v>
      </c>
      <c r="R203" s="14" t="s">
        <v>100</v>
      </c>
      <c r="S203" s="14" t="s">
        <v>100</v>
      </c>
      <c r="T203" s="14" t="s">
        <v>100</v>
      </c>
      <c r="U203" s="8"/>
      <c r="V203" s="14"/>
      <c r="W203" s="14"/>
      <c r="X203" s="14"/>
      <c r="Y203" s="5">
        <v>45919</v>
      </c>
      <c r="Z203" s="5">
        <v>45921</v>
      </c>
      <c r="AA203" s="7" t="s">
        <v>103</v>
      </c>
      <c r="AB203" s="7" t="s">
        <v>387</v>
      </c>
      <c r="AC203" s="7" t="s">
        <v>103</v>
      </c>
      <c r="AD203" s="7" t="s">
        <v>97</v>
      </c>
      <c r="AE203" s="7" t="s">
        <v>97</v>
      </c>
      <c r="AF203" s="7" t="s">
        <v>97</v>
      </c>
      <c r="AG203" s="7" t="s">
        <v>97</v>
      </c>
      <c r="AH203" s="7" t="s">
        <v>103</v>
      </c>
      <c r="AI203" s="5">
        <v>45919</v>
      </c>
      <c r="AJ203" s="7" t="s">
        <v>103</v>
      </c>
      <c r="AK203" s="7" t="s">
        <v>97</v>
      </c>
      <c r="AL203" s="7" t="s">
        <v>97</v>
      </c>
      <c r="AM203" s="7" t="s">
        <v>103</v>
      </c>
      <c r="AN203" s="7" t="s">
        <v>103</v>
      </c>
      <c r="AO203" s="7" t="s">
        <v>97</v>
      </c>
      <c r="AP203" s="7" t="s">
        <v>97</v>
      </c>
      <c r="AQ203" s="7" t="s">
        <v>97</v>
      </c>
      <c r="AR203" s="7" t="s">
        <v>97</v>
      </c>
      <c r="AS203" s="7" t="s">
        <v>103</v>
      </c>
      <c r="AT203" s="7"/>
      <c r="AU203" s="7"/>
      <c r="AV203" s="4" t="s">
        <v>103</v>
      </c>
      <c r="AW203" s="4" t="s">
        <v>97</v>
      </c>
      <c r="AX203" s="4" t="s">
        <v>97</v>
      </c>
      <c r="AY203" s="4" t="s">
        <v>97</v>
      </c>
      <c r="AZ203" s="4" t="s">
        <v>103</v>
      </c>
      <c r="BA203" s="4" t="s">
        <v>97</v>
      </c>
      <c r="BB203" s="5">
        <v>45921</v>
      </c>
      <c r="BC203" s="5">
        <v>45921</v>
      </c>
      <c r="BD203" s="5">
        <v>45922</v>
      </c>
      <c r="BE203" s="5">
        <v>45922</v>
      </c>
      <c r="BF203" s="4" t="s">
        <v>98</v>
      </c>
      <c r="BG203" s="4" t="s">
        <v>97</v>
      </c>
      <c r="BH203" s="4" t="s">
        <v>103</v>
      </c>
      <c r="BI203" s="4" t="s">
        <v>115</v>
      </c>
    </row>
    <row r="204" spans="1:61" x14ac:dyDescent="0.35">
      <c r="A204" s="8" t="str">
        <f t="shared" si="22"/>
        <v>Semaine 37-2025</v>
      </c>
      <c r="B204" s="8" t="str">
        <f t="shared" si="18"/>
        <v>2025</v>
      </c>
      <c r="C204" s="2" t="s">
        <v>72</v>
      </c>
      <c r="D204" s="6" t="str">
        <f t="shared" si="19"/>
        <v>Thies</v>
      </c>
      <c r="E204" s="6">
        <f t="shared" si="20"/>
        <v>520145</v>
      </c>
      <c r="F204" s="6">
        <f t="shared" si="21"/>
        <v>2280463</v>
      </c>
      <c r="G204" s="4" t="s">
        <v>646</v>
      </c>
      <c r="H204" s="4" t="s">
        <v>647</v>
      </c>
      <c r="I204" s="4">
        <v>27</v>
      </c>
      <c r="J204" s="4" t="s">
        <v>114</v>
      </c>
      <c r="K204" s="4"/>
      <c r="L204" s="4"/>
      <c r="M204" s="4"/>
      <c r="N204" s="4"/>
      <c r="O204" s="4" t="s">
        <v>238</v>
      </c>
      <c r="P204" s="4" t="s">
        <v>97</v>
      </c>
      <c r="Q204" s="4" t="s">
        <v>97</v>
      </c>
      <c r="R204" s="14" t="s">
        <v>100</v>
      </c>
      <c r="S204" s="14" t="s">
        <v>100</v>
      </c>
      <c r="T204" s="14" t="s">
        <v>100</v>
      </c>
      <c r="U204" s="8"/>
      <c r="V204" s="14"/>
      <c r="W204" s="14"/>
      <c r="X204" s="14"/>
      <c r="Y204" s="5">
        <v>45911</v>
      </c>
      <c r="Z204" s="5">
        <v>45918</v>
      </c>
      <c r="AA204" s="7" t="s">
        <v>97</v>
      </c>
      <c r="AB204" s="7"/>
      <c r="AC204" s="7" t="s">
        <v>97</v>
      </c>
      <c r="AD204" s="7" t="s">
        <v>97</v>
      </c>
      <c r="AE204" s="7" t="s">
        <v>97</v>
      </c>
      <c r="AF204" s="7" t="s">
        <v>103</v>
      </c>
      <c r="AG204" s="7" t="s">
        <v>97</v>
      </c>
      <c r="AH204" s="7" t="s">
        <v>103</v>
      </c>
      <c r="AI204" s="5">
        <v>45913</v>
      </c>
      <c r="AJ204" s="7" t="s">
        <v>97</v>
      </c>
      <c r="AK204" s="7" t="s">
        <v>103</v>
      </c>
      <c r="AL204" s="7" t="s">
        <v>97</v>
      </c>
      <c r="AM204" s="7" t="s">
        <v>103</v>
      </c>
      <c r="AN204" s="7" t="s">
        <v>103</v>
      </c>
      <c r="AO204" s="7" t="s">
        <v>97</v>
      </c>
      <c r="AP204" s="7" t="s">
        <v>97</v>
      </c>
      <c r="AQ204" s="7" t="s">
        <v>103</v>
      </c>
      <c r="AR204" s="7" t="s">
        <v>97</v>
      </c>
      <c r="AS204" s="7" t="s">
        <v>103</v>
      </c>
      <c r="AT204" s="7"/>
      <c r="AU204" s="7"/>
      <c r="AV204" s="4" t="s">
        <v>103</v>
      </c>
      <c r="AW204" s="4" t="s">
        <v>97</v>
      </c>
      <c r="AX204" s="4" t="s">
        <v>97</v>
      </c>
      <c r="AY204" s="4" t="s">
        <v>97</v>
      </c>
      <c r="AZ204" s="4" t="s">
        <v>103</v>
      </c>
      <c r="BA204" s="4" t="s">
        <v>97</v>
      </c>
      <c r="BB204" s="5">
        <v>45924</v>
      </c>
      <c r="BC204" s="5">
        <v>45924</v>
      </c>
      <c r="BD204" s="5">
        <v>45924</v>
      </c>
      <c r="BE204" s="5">
        <v>45926</v>
      </c>
      <c r="BF204" s="4" t="s">
        <v>98</v>
      </c>
      <c r="BG204" s="4" t="s">
        <v>103</v>
      </c>
      <c r="BH204" s="4" t="s">
        <v>103</v>
      </c>
      <c r="BI204" s="5" t="s">
        <v>360</v>
      </c>
    </row>
    <row r="205" spans="1:61" x14ac:dyDescent="0.35">
      <c r="A205" s="8" t="str">
        <f t="shared" si="22"/>
        <v>Semaine 38-2025</v>
      </c>
      <c r="B205" s="8" t="str">
        <f t="shared" si="18"/>
        <v>2025</v>
      </c>
      <c r="C205" s="2" t="s">
        <v>75</v>
      </c>
      <c r="D205" s="6" t="str">
        <f t="shared" si="19"/>
        <v>Diourbel</v>
      </c>
      <c r="E205" s="6">
        <f t="shared" si="20"/>
        <v>996481</v>
      </c>
      <c r="F205" s="6">
        <f t="shared" si="21"/>
        <v>1980827</v>
      </c>
      <c r="G205" s="4" t="s">
        <v>648</v>
      </c>
      <c r="H205" s="4" t="s">
        <v>650</v>
      </c>
      <c r="I205" s="4">
        <v>18</v>
      </c>
      <c r="J205" s="4" t="s">
        <v>114</v>
      </c>
      <c r="K205" s="4"/>
      <c r="L205" s="4"/>
      <c r="M205" s="4"/>
      <c r="N205" s="4"/>
      <c r="O205" s="4" t="s">
        <v>238</v>
      </c>
      <c r="P205" s="4" t="s">
        <v>97</v>
      </c>
      <c r="Q205" s="4" t="s">
        <v>97</v>
      </c>
      <c r="R205" s="14" t="s">
        <v>100</v>
      </c>
      <c r="S205" s="14" t="s">
        <v>100</v>
      </c>
      <c r="T205" s="14" t="s">
        <v>100</v>
      </c>
      <c r="U205" s="8"/>
      <c r="V205" s="14"/>
      <c r="W205" s="14"/>
      <c r="X205" s="14"/>
      <c r="Y205" s="5">
        <v>45918</v>
      </c>
      <c r="Z205" s="5">
        <v>45921</v>
      </c>
      <c r="AA205" s="7" t="s">
        <v>103</v>
      </c>
      <c r="AB205" s="7" t="s">
        <v>651</v>
      </c>
      <c r="AC205" s="7" t="s">
        <v>103</v>
      </c>
      <c r="AD205" s="7" t="s">
        <v>103</v>
      </c>
      <c r="AE205" s="7" t="s">
        <v>97</v>
      </c>
      <c r="AF205" s="7" t="s">
        <v>103</v>
      </c>
      <c r="AG205" s="7" t="s">
        <v>103</v>
      </c>
      <c r="AH205" s="7" t="s">
        <v>103</v>
      </c>
      <c r="AI205" s="5">
        <v>45918</v>
      </c>
      <c r="AJ205" s="7" t="s">
        <v>103</v>
      </c>
      <c r="AK205" s="7" t="s">
        <v>103</v>
      </c>
      <c r="AL205" s="7" t="s">
        <v>103</v>
      </c>
      <c r="AM205" s="7" t="s">
        <v>103</v>
      </c>
      <c r="AN205" s="7" t="s">
        <v>103</v>
      </c>
      <c r="AO205" s="7" t="s">
        <v>97</v>
      </c>
      <c r="AP205" s="7" t="s">
        <v>97</v>
      </c>
      <c r="AQ205" s="7" t="s">
        <v>97</v>
      </c>
      <c r="AR205" s="7" t="s">
        <v>103</v>
      </c>
      <c r="AS205" s="7" t="s">
        <v>97</v>
      </c>
      <c r="AT205" s="7"/>
      <c r="AU205" s="7"/>
      <c r="AV205" s="4" t="s">
        <v>103</v>
      </c>
      <c r="AW205" s="4" t="s">
        <v>97</v>
      </c>
      <c r="AX205" s="4" t="s">
        <v>97</v>
      </c>
      <c r="AY205" s="4" t="s">
        <v>97</v>
      </c>
      <c r="AZ205" s="4" t="s">
        <v>103</v>
      </c>
      <c r="BA205" s="4" t="s">
        <v>97</v>
      </c>
      <c r="BB205" s="5">
        <v>45921</v>
      </c>
      <c r="BC205" s="5">
        <v>45922</v>
      </c>
      <c r="BD205" s="5">
        <v>45922</v>
      </c>
      <c r="BE205" s="5">
        <v>45925</v>
      </c>
      <c r="BF205" s="4" t="s">
        <v>98</v>
      </c>
      <c r="BG205" s="4" t="s">
        <v>97</v>
      </c>
      <c r="BH205" s="4" t="s">
        <v>103</v>
      </c>
      <c r="BI205" s="4" t="s">
        <v>115</v>
      </c>
    </row>
    <row r="206" spans="1:61" x14ac:dyDescent="0.35">
      <c r="A206" s="8" t="str">
        <f t="shared" si="22"/>
        <v>Semaine 38-2025</v>
      </c>
      <c r="B206" s="8" t="str">
        <f t="shared" si="18"/>
        <v>2025</v>
      </c>
      <c r="C206" s="2" t="s">
        <v>58</v>
      </c>
      <c r="D206" s="6" t="str">
        <f t="shared" si="19"/>
        <v>Dakar</v>
      </c>
      <c r="E206" s="6">
        <f t="shared" si="20"/>
        <v>423495</v>
      </c>
      <c r="F206" s="6">
        <f t="shared" si="21"/>
        <v>4042240</v>
      </c>
      <c r="G206" s="4" t="s">
        <v>649</v>
      </c>
      <c r="H206" s="4" t="s">
        <v>652</v>
      </c>
      <c r="I206" s="4">
        <v>5</v>
      </c>
      <c r="J206" s="4" t="s">
        <v>96</v>
      </c>
      <c r="K206" s="4"/>
      <c r="L206" s="4"/>
      <c r="M206" s="4"/>
      <c r="N206" s="4"/>
      <c r="O206" s="4" t="s">
        <v>238</v>
      </c>
      <c r="P206" s="4" t="s">
        <v>97</v>
      </c>
      <c r="Q206" s="4" t="s">
        <v>97</v>
      </c>
      <c r="R206" s="14" t="s">
        <v>100</v>
      </c>
      <c r="S206" s="14" t="s">
        <v>100</v>
      </c>
      <c r="T206" s="14" t="s">
        <v>100</v>
      </c>
      <c r="U206" s="8"/>
      <c r="V206" s="14"/>
      <c r="W206" s="14"/>
      <c r="X206" s="14"/>
      <c r="Y206" s="5">
        <v>45915</v>
      </c>
      <c r="Z206" s="5">
        <v>45924</v>
      </c>
      <c r="AA206" s="7" t="s">
        <v>103</v>
      </c>
      <c r="AB206" s="7" t="s">
        <v>653</v>
      </c>
      <c r="AC206" s="7" t="s">
        <v>97</v>
      </c>
      <c r="AD206" s="7" t="s">
        <v>97</v>
      </c>
      <c r="AE206" s="7" t="s">
        <v>103</v>
      </c>
      <c r="AF206" s="7" t="s">
        <v>103</v>
      </c>
      <c r="AG206" s="7" t="s">
        <v>103</v>
      </c>
      <c r="AH206" s="7" t="s">
        <v>103</v>
      </c>
      <c r="AI206" s="5">
        <v>45915</v>
      </c>
      <c r="AJ206" s="7" t="s">
        <v>103</v>
      </c>
      <c r="AK206" s="7" t="s">
        <v>103</v>
      </c>
      <c r="AL206" s="7" t="s">
        <v>103</v>
      </c>
      <c r="AM206" s="7" t="s">
        <v>103</v>
      </c>
      <c r="AN206" s="7" t="s">
        <v>103</v>
      </c>
      <c r="AO206" s="7" t="s">
        <v>103</v>
      </c>
      <c r="AP206" s="7" t="s">
        <v>103</v>
      </c>
      <c r="AQ206" s="7" t="s">
        <v>103</v>
      </c>
      <c r="AR206" s="7" t="s">
        <v>103</v>
      </c>
      <c r="AS206" s="7" t="s">
        <v>103</v>
      </c>
      <c r="AT206" s="7"/>
      <c r="AU206" s="7"/>
      <c r="AV206" s="4" t="s">
        <v>103</v>
      </c>
      <c r="AW206" s="4" t="s">
        <v>97</v>
      </c>
      <c r="AX206" s="4" t="s">
        <v>97</v>
      </c>
      <c r="AY206" s="4" t="s">
        <v>97</v>
      </c>
      <c r="AZ206" s="4" t="s">
        <v>103</v>
      </c>
      <c r="BA206" s="4" t="s">
        <v>97</v>
      </c>
      <c r="BB206" s="5">
        <v>45924</v>
      </c>
      <c r="BC206" s="5">
        <v>45924</v>
      </c>
      <c r="BD206" s="5">
        <v>45924</v>
      </c>
      <c r="BE206" s="5">
        <v>45925</v>
      </c>
      <c r="BF206" s="4" t="s">
        <v>98</v>
      </c>
      <c r="BG206" s="4" t="s">
        <v>103</v>
      </c>
      <c r="BH206" s="4" t="s">
        <v>103</v>
      </c>
      <c r="BI206" s="4" t="s">
        <v>115</v>
      </c>
    </row>
    <row r="207" spans="1:61" x14ac:dyDescent="0.35">
      <c r="A207" s="8" t="str">
        <f t="shared" si="22"/>
        <v>Semaine 38-2025</v>
      </c>
      <c r="B207" s="8" t="str">
        <f t="shared" si="18"/>
        <v>2025</v>
      </c>
      <c r="C207" s="2" t="s">
        <v>19</v>
      </c>
      <c r="D207" s="6" t="str">
        <f t="shared" si="19"/>
        <v>Dakar</v>
      </c>
      <c r="E207" s="6">
        <f t="shared" si="20"/>
        <v>565040</v>
      </c>
      <c r="F207" s="6">
        <f t="shared" si="21"/>
        <v>4042240</v>
      </c>
      <c r="G207" s="4" t="s">
        <v>654</v>
      </c>
      <c r="H207" s="4" t="s">
        <v>655</v>
      </c>
      <c r="I207" s="4">
        <v>34</v>
      </c>
      <c r="J207" s="4" t="s">
        <v>114</v>
      </c>
      <c r="K207" s="4"/>
      <c r="L207" s="4"/>
      <c r="M207" s="4"/>
      <c r="N207" s="4"/>
      <c r="O207" s="4" t="s">
        <v>238</v>
      </c>
      <c r="P207" s="4" t="s">
        <v>103</v>
      </c>
      <c r="Q207" s="4" t="s">
        <v>97</v>
      </c>
      <c r="R207" s="14" t="s">
        <v>481</v>
      </c>
      <c r="S207" s="14" t="s">
        <v>100</v>
      </c>
      <c r="T207" s="14" t="s">
        <v>100</v>
      </c>
      <c r="U207" s="8"/>
      <c r="V207" s="14"/>
      <c r="W207" s="14"/>
      <c r="X207" t="s">
        <v>1136</v>
      </c>
      <c r="Y207" s="5">
        <v>45917</v>
      </c>
      <c r="Z207" s="5">
        <v>45923</v>
      </c>
      <c r="AA207" s="7" t="s">
        <v>103</v>
      </c>
      <c r="AB207" s="7"/>
      <c r="AC207" s="7" t="s">
        <v>103</v>
      </c>
      <c r="AD207" s="7" t="s">
        <v>103</v>
      </c>
      <c r="AE207" s="7" t="s">
        <v>103</v>
      </c>
      <c r="AF207" s="7" t="s">
        <v>103</v>
      </c>
      <c r="AG207" s="7" t="s">
        <v>103</v>
      </c>
      <c r="AH207" s="7" t="s">
        <v>97</v>
      </c>
      <c r="AI207" s="7"/>
      <c r="AJ207" s="7"/>
      <c r="AK207" s="7"/>
      <c r="AL207" s="7"/>
      <c r="AM207" s="7"/>
      <c r="AN207" s="7"/>
      <c r="AO207" s="7"/>
      <c r="AP207" s="7"/>
      <c r="AQ207" s="7"/>
      <c r="AR207" s="7"/>
      <c r="AS207" s="7"/>
      <c r="AT207" s="7" t="s">
        <v>656</v>
      </c>
      <c r="AU207" s="7"/>
      <c r="AV207" s="4" t="s">
        <v>97</v>
      </c>
      <c r="AW207" s="4" t="s">
        <v>97</v>
      </c>
      <c r="AX207" s="4" t="s">
        <v>103</v>
      </c>
      <c r="AY207" s="4" t="s">
        <v>97</v>
      </c>
      <c r="AZ207" s="4" t="s">
        <v>103</v>
      </c>
      <c r="BA207" s="4" t="s">
        <v>97</v>
      </c>
      <c r="BB207" s="5">
        <v>45923</v>
      </c>
      <c r="BC207" s="5">
        <v>45923</v>
      </c>
      <c r="BD207" s="5">
        <v>45923</v>
      </c>
      <c r="BE207" s="5">
        <v>45923</v>
      </c>
      <c r="BF207" s="4" t="s">
        <v>98</v>
      </c>
      <c r="BG207" s="4" t="s">
        <v>103</v>
      </c>
      <c r="BH207" s="4" t="s">
        <v>103</v>
      </c>
      <c r="BI207" s="4" t="s">
        <v>482</v>
      </c>
    </row>
    <row r="208" spans="1:61" x14ac:dyDescent="0.35">
      <c r="A208" s="8" t="str">
        <f t="shared" si="22"/>
        <v>Semaine 37-2025</v>
      </c>
      <c r="B208" s="8" t="str">
        <f t="shared" si="18"/>
        <v>2025</v>
      </c>
      <c r="C208" s="2" t="s">
        <v>31</v>
      </c>
      <c r="D208" s="6" t="str">
        <f t="shared" si="19"/>
        <v>Dakar</v>
      </c>
      <c r="E208" s="6">
        <f t="shared" si="20"/>
        <v>424760</v>
      </c>
      <c r="F208" s="6">
        <f t="shared" si="21"/>
        <v>4042240</v>
      </c>
      <c r="G208" s="4" t="s">
        <v>657</v>
      </c>
      <c r="H208" s="4" t="s">
        <v>660</v>
      </c>
      <c r="I208" s="4">
        <v>28</v>
      </c>
      <c r="J208" s="4" t="s">
        <v>96</v>
      </c>
      <c r="K208" s="4"/>
      <c r="L208" s="4"/>
      <c r="M208" s="4"/>
      <c r="N208" s="4"/>
      <c r="O208" s="4" t="s">
        <v>238</v>
      </c>
      <c r="P208" s="4" t="s">
        <v>103</v>
      </c>
      <c r="Q208" s="4" t="s">
        <v>97</v>
      </c>
      <c r="R208" s="14" t="s">
        <v>481</v>
      </c>
      <c r="S208" s="14" t="s">
        <v>100</v>
      </c>
      <c r="T208" s="14" t="s">
        <v>100</v>
      </c>
      <c r="U208" s="8"/>
      <c r="V208" s="14"/>
      <c r="W208" s="14"/>
      <c r="X208" t="s">
        <v>1136</v>
      </c>
      <c r="Y208" s="5">
        <v>45910</v>
      </c>
      <c r="Z208" s="5">
        <v>45912</v>
      </c>
      <c r="AA208" s="7" t="s">
        <v>103</v>
      </c>
      <c r="AB208" s="7"/>
      <c r="AC208" s="7" t="s">
        <v>97</v>
      </c>
      <c r="AD208" s="7" t="s">
        <v>97</v>
      </c>
      <c r="AE208" s="7" t="s">
        <v>97</v>
      </c>
      <c r="AF208" s="7" t="s">
        <v>97</v>
      </c>
      <c r="AG208" s="7" t="s">
        <v>97</v>
      </c>
      <c r="AH208" s="7" t="s">
        <v>103</v>
      </c>
      <c r="AI208" s="5">
        <v>45912</v>
      </c>
      <c r="AJ208" s="7"/>
      <c r="AK208" s="7"/>
      <c r="AL208" s="7"/>
      <c r="AM208" s="7"/>
      <c r="AN208" s="7" t="s">
        <v>103</v>
      </c>
      <c r="AO208" s="7"/>
      <c r="AP208" s="7"/>
      <c r="AQ208" s="7"/>
      <c r="AR208" s="7"/>
      <c r="AS208" s="7"/>
      <c r="AT208" s="7"/>
      <c r="AU208" s="7"/>
      <c r="AV208" s="4" t="s">
        <v>103</v>
      </c>
      <c r="AW208" s="4" t="s">
        <v>97</v>
      </c>
      <c r="AX208" s="4" t="s">
        <v>97</v>
      </c>
      <c r="AY208" s="4" t="s">
        <v>97</v>
      </c>
      <c r="AZ208" s="4" t="s">
        <v>103</v>
      </c>
      <c r="BA208" s="4" t="s">
        <v>97</v>
      </c>
      <c r="BB208" s="5">
        <v>45912</v>
      </c>
      <c r="BC208" s="21"/>
      <c r="BD208" s="5">
        <v>45923</v>
      </c>
      <c r="BE208" s="5">
        <v>45923</v>
      </c>
      <c r="BF208" s="4" t="s">
        <v>98</v>
      </c>
      <c r="BG208" s="4" t="s">
        <v>103</v>
      </c>
      <c r="BH208" s="4" t="s">
        <v>103</v>
      </c>
      <c r="BI208" s="4" t="s">
        <v>482</v>
      </c>
    </row>
    <row r="209" spans="1:61" x14ac:dyDescent="0.35">
      <c r="A209" s="8" t="str">
        <f t="shared" si="22"/>
        <v>Semaine 38-2025</v>
      </c>
      <c r="B209" s="8" t="str">
        <f t="shared" si="18"/>
        <v>2025</v>
      </c>
      <c r="C209" s="2" t="s">
        <v>31</v>
      </c>
      <c r="D209" s="6" t="str">
        <f t="shared" si="19"/>
        <v>Dakar</v>
      </c>
      <c r="E209" s="6">
        <f t="shared" si="20"/>
        <v>424760</v>
      </c>
      <c r="F209" s="6">
        <f t="shared" si="21"/>
        <v>4042240</v>
      </c>
      <c r="G209" s="4" t="s">
        <v>658</v>
      </c>
      <c r="H209" s="4" t="s">
        <v>661</v>
      </c>
      <c r="I209" s="4">
        <v>1</v>
      </c>
      <c r="J209" s="4" t="s">
        <v>114</v>
      </c>
      <c r="K209" s="4"/>
      <c r="L209" s="4"/>
      <c r="M209" s="4"/>
      <c r="N209" s="4"/>
      <c r="O209" s="4" t="s">
        <v>238</v>
      </c>
      <c r="P209" s="4" t="s">
        <v>97</v>
      </c>
      <c r="Q209" s="4" t="s">
        <v>97</v>
      </c>
      <c r="R209" s="14" t="s">
        <v>100</v>
      </c>
      <c r="S209" s="14" t="s">
        <v>100</v>
      </c>
      <c r="T209" s="14" t="s">
        <v>100</v>
      </c>
      <c r="U209" s="8"/>
      <c r="V209" s="14"/>
      <c r="W209" s="14"/>
      <c r="X209" s="14"/>
      <c r="Y209" s="5">
        <v>45920</v>
      </c>
      <c r="Z209" s="5">
        <v>45923</v>
      </c>
      <c r="AA209" s="7" t="s">
        <v>103</v>
      </c>
      <c r="AB209" s="7"/>
      <c r="AC209" s="7" t="s">
        <v>97</v>
      </c>
      <c r="AD209" s="7" t="s">
        <v>103</v>
      </c>
      <c r="AE209" s="7" t="s">
        <v>97</v>
      </c>
      <c r="AF209" s="7" t="s">
        <v>97</v>
      </c>
      <c r="AG209" s="7" t="s">
        <v>97</v>
      </c>
      <c r="AH209" s="7" t="s">
        <v>103</v>
      </c>
      <c r="AI209" s="5">
        <v>45920</v>
      </c>
      <c r="AJ209" s="7" t="s">
        <v>97</v>
      </c>
      <c r="AK209" s="7" t="s">
        <v>97</v>
      </c>
      <c r="AL209" s="7" t="s">
        <v>97</v>
      </c>
      <c r="AM209" s="7" t="s">
        <v>103</v>
      </c>
      <c r="AN209" s="7" t="s">
        <v>103</v>
      </c>
      <c r="AO209" s="7" t="s">
        <v>97</v>
      </c>
      <c r="AP209" s="7" t="s">
        <v>97</v>
      </c>
      <c r="AQ209" s="7" t="s">
        <v>97</v>
      </c>
      <c r="AR209" s="7" t="s">
        <v>97</v>
      </c>
      <c r="AS209" s="7" t="s">
        <v>97</v>
      </c>
      <c r="AT209" s="7"/>
      <c r="AU209" s="7"/>
      <c r="AV209" s="4" t="s">
        <v>103</v>
      </c>
      <c r="AW209" s="4" t="s">
        <v>97</v>
      </c>
      <c r="AX209" s="4" t="s">
        <v>97</v>
      </c>
      <c r="AY209" s="4" t="s">
        <v>97</v>
      </c>
      <c r="AZ209" s="4" t="s">
        <v>103</v>
      </c>
      <c r="BA209" s="4" t="s">
        <v>97</v>
      </c>
      <c r="BB209" s="5">
        <v>45923</v>
      </c>
      <c r="BC209" s="5">
        <v>45924</v>
      </c>
      <c r="BD209" s="5">
        <v>45925</v>
      </c>
      <c r="BE209" s="5">
        <v>45925</v>
      </c>
      <c r="BF209" s="4" t="s">
        <v>98</v>
      </c>
      <c r="BG209" s="4" t="s">
        <v>97</v>
      </c>
      <c r="BH209" s="4" t="s">
        <v>103</v>
      </c>
      <c r="BI209" s="4" t="s">
        <v>115</v>
      </c>
    </row>
    <row r="210" spans="1:61" x14ac:dyDescent="0.35">
      <c r="A210" s="8" t="str">
        <f t="shared" si="22"/>
        <v>Semaine 38-2025</v>
      </c>
      <c r="B210" s="8" t="str">
        <f t="shared" si="18"/>
        <v>2025</v>
      </c>
      <c r="C210" s="2" t="s">
        <v>31</v>
      </c>
      <c r="D210" s="6" t="str">
        <f t="shared" si="19"/>
        <v>Dakar</v>
      </c>
      <c r="E210" s="6">
        <f t="shared" si="20"/>
        <v>424760</v>
      </c>
      <c r="F210" s="6">
        <f t="shared" si="21"/>
        <v>4042240</v>
      </c>
      <c r="G210" s="4" t="s">
        <v>659</v>
      </c>
      <c r="H210" s="4" t="s">
        <v>662</v>
      </c>
      <c r="I210" s="4">
        <v>29</v>
      </c>
      <c r="J210" s="4" t="s">
        <v>96</v>
      </c>
      <c r="K210" s="4"/>
      <c r="L210" s="4"/>
      <c r="M210" s="4"/>
      <c r="N210" s="4"/>
      <c r="O210" s="4" t="s">
        <v>238</v>
      </c>
      <c r="P210" s="4" t="s">
        <v>103</v>
      </c>
      <c r="Q210" s="4" t="s">
        <v>97</v>
      </c>
      <c r="R210" s="14" t="s">
        <v>100</v>
      </c>
      <c r="S210" s="14" t="s">
        <v>100</v>
      </c>
      <c r="T210" s="14" t="s">
        <v>481</v>
      </c>
      <c r="U210" s="8"/>
      <c r="V210" s="14"/>
      <c r="W210" s="14"/>
      <c r="X210" s="14"/>
      <c r="Y210" s="5">
        <v>45920</v>
      </c>
      <c r="Z210" s="5">
        <v>45923</v>
      </c>
      <c r="AA210" s="7" t="s">
        <v>103</v>
      </c>
      <c r="AB210" s="7"/>
      <c r="AC210" s="7" t="s">
        <v>97</v>
      </c>
      <c r="AD210" s="7" t="s">
        <v>97</v>
      </c>
      <c r="AE210" s="7" t="s">
        <v>97</v>
      </c>
      <c r="AF210" s="7" t="s">
        <v>103</v>
      </c>
      <c r="AG210" s="7" t="s">
        <v>97</v>
      </c>
      <c r="AH210" s="7" t="s">
        <v>103</v>
      </c>
      <c r="AI210" s="5">
        <v>45923</v>
      </c>
      <c r="AJ210" s="7"/>
      <c r="AK210" s="7"/>
      <c r="AL210" s="7"/>
      <c r="AM210" s="7" t="s">
        <v>97</v>
      </c>
      <c r="AN210" s="7" t="s">
        <v>103</v>
      </c>
      <c r="AO210" s="7" t="s">
        <v>97</v>
      </c>
      <c r="AP210" s="7" t="s">
        <v>97</v>
      </c>
      <c r="AQ210" s="7" t="s">
        <v>97</v>
      </c>
      <c r="AR210" s="7" t="s">
        <v>97</v>
      </c>
      <c r="AS210" s="7" t="s">
        <v>97</v>
      </c>
      <c r="AT210" s="7" t="s">
        <v>663</v>
      </c>
      <c r="AU210" s="7"/>
      <c r="AV210" s="4" t="s">
        <v>97</v>
      </c>
      <c r="AW210" s="4" t="s">
        <v>97</v>
      </c>
      <c r="AX210" s="4" t="s">
        <v>97</v>
      </c>
      <c r="AY210" s="4" t="s">
        <v>97</v>
      </c>
      <c r="AZ210" s="4" t="s">
        <v>103</v>
      </c>
      <c r="BA210" s="4" t="s">
        <v>97</v>
      </c>
      <c r="BB210" s="5">
        <v>45923</v>
      </c>
      <c r="BC210" s="5">
        <v>45923</v>
      </c>
      <c r="BD210" s="5">
        <v>45923</v>
      </c>
      <c r="BE210" s="5">
        <v>45923</v>
      </c>
      <c r="BF210" s="4" t="s">
        <v>98</v>
      </c>
      <c r="BG210" s="4" t="s">
        <v>103</v>
      </c>
      <c r="BH210" s="4" t="s">
        <v>103</v>
      </c>
      <c r="BI210" s="4" t="s">
        <v>145</v>
      </c>
    </row>
    <row r="211" spans="1:61" x14ac:dyDescent="0.35">
      <c r="A211" s="8" t="str">
        <f t="shared" si="22"/>
        <v>Semaine 35-2025</v>
      </c>
      <c r="B211" s="8" t="str">
        <f t="shared" si="18"/>
        <v>2025</v>
      </c>
      <c r="C211" s="2" t="s">
        <v>74</v>
      </c>
      <c r="D211" s="6" t="str">
        <f t="shared" si="19"/>
        <v>Thies</v>
      </c>
      <c r="E211" s="6">
        <f t="shared" si="20"/>
        <v>374824</v>
      </c>
      <c r="F211" s="6">
        <f t="shared" si="21"/>
        <v>2280463</v>
      </c>
      <c r="G211" s="4" t="s">
        <v>664</v>
      </c>
      <c r="H211" s="4" t="s">
        <v>665</v>
      </c>
      <c r="I211" s="4">
        <v>37</v>
      </c>
      <c r="J211" s="4" t="s">
        <v>96</v>
      </c>
      <c r="K211" s="4"/>
      <c r="L211" s="4"/>
      <c r="M211" s="4"/>
      <c r="N211" s="4"/>
      <c r="O211" s="4" t="s">
        <v>238</v>
      </c>
      <c r="P211" s="4" t="s">
        <v>97</v>
      </c>
      <c r="Q211" s="4" t="s">
        <v>97</v>
      </c>
      <c r="R211" s="14" t="s">
        <v>100</v>
      </c>
      <c r="S211" s="14" t="s">
        <v>100</v>
      </c>
      <c r="T211" s="14" t="s">
        <v>100</v>
      </c>
      <c r="U211" s="8"/>
      <c r="V211" s="14"/>
      <c r="W211" s="14"/>
      <c r="X211" s="14"/>
      <c r="Y211" s="5">
        <v>45894</v>
      </c>
      <c r="Z211" s="5">
        <v>45925</v>
      </c>
      <c r="AA211" s="7" t="s">
        <v>97</v>
      </c>
      <c r="AB211" s="7"/>
      <c r="AC211" s="7" t="s">
        <v>97</v>
      </c>
      <c r="AD211" s="7" t="s">
        <v>97</v>
      </c>
      <c r="AE211" s="7" t="s">
        <v>97</v>
      </c>
      <c r="AF211" s="7" t="s">
        <v>97</v>
      </c>
      <c r="AG211" s="7" t="s">
        <v>97</v>
      </c>
      <c r="AH211" s="7" t="s">
        <v>103</v>
      </c>
      <c r="AI211" s="5">
        <v>45894</v>
      </c>
      <c r="AJ211" s="7" t="s">
        <v>97</v>
      </c>
      <c r="AK211" s="7" t="s">
        <v>97</v>
      </c>
      <c r="AL211" s="7" t="s">
        <v>103</v>
      </c>
      <c r="AM211" s="7"/>
      <c r="AN211" s="7"/>
      <c r="AO211" s="7"/>
      <c r="AP211" s="7"/>
      <c r="AQ211" s="7"/>
      <c r="AR211" s="7"/>
      <c r="AS211" s="7"/>
      <c r="AT211" s="7" t="s">
        <v>641</v>
      </c>
      <c r="AU211" s="7"/>
      <c r="AV211" s="4" t="s">
        <v>103</v>
      </c>
      <c r="AW211" s="4" t="s">
        <v>103</v>
      </c>
      <c r="AX211" s="4" t="s">
        <v>97</v>
      </c>
      <c r="AY211" s="4" t="s">
        <v>97</v>
      </c>
      <c r="AZ211" s="4" t="s">
        <v>103</v>
      </c>
      <c r="BA211" s="4" t="s">
        <v>97</v>
      </c>
      <c r="BB211" s="5">
        <v>45926</v>
      </c>
      <c r="BC211" s="5">
        <v>45926</v>
      </c>
      <c r="BD211" s="5">
        <v>45926</v>
      </c>
      <c r="BE211" s="5">
        <v>45926</v>
      </c>
      <c r="BF211" s="4" t="s">
        <v>98</v>
      </c>
      <c r="BG211" s="4" t="s">
        <v>97</v>
      </c>
      <c r="BH211" s="4" t="s">
        <v>103</v>
      </c>
      <c r="BI211" s="5" t="s">
        <v>360</v>
      </c>
    </row>
    <row r="212" spans="1:61" x14ac:dyDescent="0.35">
      <c r="A212" s="8" t="str">
        <f t="shared" si="22"/>
        <v>Semaine 37-2025</v>
      </c>
      <c r="B212" s="8" t="str">
        <f t="shared" si="18"/>
        <v>2025</v>
      </c>
      <c r="C212" s="2" t="s">
        <v>31</v>
      </c>
      <c r="D212" s="6" t="str">
        <f t="shared" si="19"/>
        <v>Dakar</v>
      </c>
      <c r="E212" s="6">
        <f t="shared" si="20"/>
        <v>424760</v>
      </c>
      <c r="F212" s="6">
        <f t="shared" si="21"/>
        <v>4042240</v>
      </c>
      <c r="G212" s="4" t="s">
        <v>666</v>
      </c>
      <c r="H212" s="4" t="s">
        <v>671</v>
      </c>
      <c r="I212" s="4">
        <v>31</v>
      </c>
      <c r="J212" s="4" t="s">
        <v>114</v>
      </c>
      <c r="K212" s="4"/>
      <c r="L212" s="4"/>
      <c r="M212" s="4"/>
      <c r="N212" s="4"/>
      <c r="O212" s="4" t="s">
        <v>238</v>
      </c>
      <c r="P212" s="4" t="s">
        <v>97</v>
      </c>
      <c r="Q212" s="4" t="s">
        <v>97</v>
      </c>
      <c r="R212" s="14" t="s">
        <v>100</v>
      </c>
      <c r="S212" s="14" t="s">
        <v>100</v>
      </c>
      <c r="T212" s="14" t="s">
        <v>100</v>
      </c>
      <c r="U212" s="8"/>
      <c r="V212" s="14"/>
      <c r="W212" s="14"/>
      <c r="X212" s="14"/>
      <c r="Y212" s="5">
        <v>45914</v>
      </c>
      <c r="Z212" s="5">
        <v>45925</v>
      </c>
      <c r="AA212" s="7" t="s">
        <v>97</v>
      </c>
      <c r="AB212" s="7" t="s">
        <v>392</v>
      </c>
      <c r="AC212" s="7" t="s">
        <v>97</v>
      </c>
      <c r="AD212" s="7" t="s">
        <v>97</v>
      </c>
      <c r="AE212" s="7" t="s">
        <v>97</v>
      </c>
      <c r="AF212" s="7" t="s">
        <v>97</v>
      </c>
      <c r="AG212" s="7" t="s">
        <v>97</v>
      </c>
      <c r="AH212" s="7" t="s">
        <v>103</v>
      </c>
      <c r="AI212" s="5">
        <v>45914</v>
      </c>
      <c r="AJ212" s="7" t="s">
        <v>97</v>
      </c>
      <c r="AK212" s="7" t="s">
        <v>97</v>
      </c>
      <c r="AL212" s="7" t="s">
        <v>97</v>
      </c>
      <c r="AM212" s="7" t="s">
        <v>97</v>
      </c>
      <c r="AN212" s="7" t="s">
        <v>103</v>
      </c>
      <c r="AO212" s="7" t="s">
        <v>97</v>
      </c>
      <c r="AP212" s="7" t="s">
        <v>97</v>
      </c>
      <c r="AQ212" s="7" t="s">
        <v>97</v>
      </c>
      <c r="AR212" s="7" t="s">
        <v>97</v>
      </c>
      <c r="AS212" s="7" t="s">
        <v>97</v>
      </c>
      <c r="AT212" s="7"/>
      <c r="AU212" s="7"/>
      <c r="AV212" s="4" t="s">
        <v>103</v>
      </c>
      <c r="AW212" s="4" t="s">
        <v>97</v>
      </c>
      <c r="AX212" s="4" t="s">
        <v>97</v>
      </c>
      <c r="AY212" s="4" t="s">
        <v>97</v>
      </c>
      <c r="AZ212" s="4" t="s">
        <v>103</v>
      </c>
      <c r="BA212" s="4" t="s">
        <v>97</v>
      </c>
      <c r="BB212" s="5">
        <v>45925</v>
      </c>
      <c r="BC212" s="5">
        <v>45925</v>
      </c>
      <c r="BD212" s="5">
        <v>45925</v>
      </c>
      <c r="BE212" s="5">
        <v>45926</v>
      </c>
      <c r="BF212" s="4" t="s">
        <v>98</v>
      </c>
      <c r="BG212" s="4" t="s">
        <v>97</v>
      </c>
      <c r="BH212" s="4" t="s">
        <v>103</v>
      </c>
      <c r="BI212" s="4" t="s">
        <v>115</v>
      </c>
    </row>
    <row r="213" spans="1:61" x14ac:dyDescent="0.35">
      <c r="A213" s="8" t="str">
        <f t="shared" si="22"/>
        <v>Semaine 38-2025</v>
      </c>
      <c r="B213" s="8" t="str">
        <f t="shared" si="18"/>
        <v>2025</v>
      </c>
      <c r="C213" s="2" t="s">
        <v>18</v>
      </c>
      <c r="D213" s="6" t="str">
        <f t="shared" si="19"/>
        <v>Dakar</v>
      </c>
      <c r="E213" s="6">
        <f t="shared" si="20"/>
        <v>419489</v>
      </c>
      <c r="F213" s="6">
        <f t="shared" si="21"/>
        <v>4042240</v>
      </c>
      <c r="G213" s="4" t="s">
        <v>667</v>
      </c>
      <c r="H213" s="4" t="s">
        <v>672</v>
      </c>
      <c r="I213" s="4">
        <v>68</v>
      </c>
      <c r="J213" s="4" t="s">
        <v>96</v>
      </c>
      <c r="K213" s="4"/>
      <c r="L213" s="4"/>
      <c r="M213" s="4"/>
      <c r="N213" s="4"/>
      <c r="O213" s="4" t="s">
        <v>238</v>
      </c>
      <c r="P213" s="4" t="s">
        <v>97</v>
      </c>
      <c r="Q213" s="4" t="s">
        <v>97</v>
      </c>
      <c r="R213" s="14" t="s">
        <v>100</v>
      </c>
      <c r="S213" s="14" t="s">
        <v>100</v>
      </c>
      <c r="T213" s="14" t="s">
        <v>100</v>
      </c>
      <c r="U213" s="8"/>
      <c r="V213" s="14"/>
      <c r="W213" s="14"/>
      <c r="X213" s="14"/>
      <c r="Y213" s="5">
        <v>45915</v>
      </c>
      <c r="Z213" s="5">
        <v>45925</v>
      </c>
      <c r="AA213" s="7" t="s">
        <v>97</v>
      </c>
      <c r="AB213" s="7"/>
      <c r="AC213" s="7" t="s">
        <v>97</v>
      </c>
      <c r="AD213" s="7" t="s">
        <v>103</v>
      </c>
      <c r="AE213" s="7" t="s">
        <v>103</v>
      </c>
      <c r="AF213" s="7" t="s">
        <v>97</v>
      </c>
      <c r="AG213" s="7" t="s">
        <v>97</v>
      </c>
      <c r="AH213" s="7" t="s">
        <v>103</v>
      </c>
      <c r="AI213" s="5">
        <v>45915</v>
      </c>
      <c r="AJ213" s="7"/>
      <c r="AK213" s="7"/>
      <c r="AL213" s="7"/>
      <c r="AM213" s="7" t="s">
        <v>103</v>
      </c>
      <c r="AN213" s="7" t="s">
        <v>103</v>
      </c>
      <c r="AO213" s="7" t="s">
        <v>103</v>
      </c>
      <c r="AP213" s="7" t="s">
        <v>103</v>
      </c>
      <c r="AQ213" s="7"/>
      <c r="AR213" s="7"/>
      <c r="AS213" s="7"/>
      <c r="AT213" s="7"/>
      <c r="AU213" s="7"/>
      <c r="AV213" s="4" t="s">
        <v>103</v>
      </c>
      <c r="AW213" s="4" t="s">
        <v>97</v>
      </c>
      <c r="AX213" s="4" t="s">
        <v>97</v>
      </c>
      <c r="AY213" s="4" t="s">
        <v>97</v>
      </c>
      <c r="AZ213" s="4" t="s">
        <v>103</v>
      </c>
      <c r="BA213" s="4" t="s">
        <v>97</v>
      </c>
      <c r="BB213" s="5">
        <v>45925</v>
      </c>
      <c r="BC213" s="5">
        <v>45925</v>
      </c>
      <c r="BD213" s="5">
        <v>45925</v>
      </c>
      <c r="BE213" s="5">
        <v>45926</v>
      </c>
      <c r="BF213" s="4" t="s">
        <v>98</v>
      </c>
      <c r="BG213" s="4" t="s">
        <v>103</v>
      </c>
      <c r="BH213" s="4" t="s">
        <v>103</v>
      </c>
      <c r="BI213" s="4" t="s">
        <v>115</v>
      </c>
    </row>
    <row r="214" spans="1:61" x14ac:dyDescent="0.35">
      <c r="A214" s="8" t="str">
        <f t="shared" si="22"/>
        <v>Semaine 39-2025</v>
      </c>
      <c r="B214" s="8" t="str">
        <f t="shared" si="18"/>
        <v>2025</v>
      </c>
      <c r="C214" s="2" t="s">
        <v>23</v>
      </c>
      <c r="D214" s="6" t="str">
        <f t="shared" si="19"/>
        <v>Dakar</v>
      </c>
      <c r="E214" s="6">
        <f t="shared" si="20"/>
        <v>167577</v>
      </c>
      <c r="F214" s="6">
        <f t="shared" si="21"/>
        <v>4042240</v>
      </c>
      <c r="G214" s="4" t="s">
        <v>668</v>
      </c>
      <c r="H214" s="4" t="s">
        <v>673</v>
      </c>
      <c r="I214" s="4">
        <v>16</v>
      </c>
      <c r="J214" s="4" t="s">
        <v>114</v>
      </c>
      <c r="K214" s="4"/>
      <c r="L214" s="4"/>
      <c r="M214" s="4"/>
      <c r="N214" s="4"/>
      <c r="O214" s="4" t="s">
        <v>238</v>
      </c>
      <c r="P214" s="4" t="s">
        <v>97</v>
      </c>
      <c r="Q214" s="4" t="s">
        <v>97</v>
      </c>
      <c r="R214" s="14" t="s">
        <v>100</v>
      </c>
      <c r="S214" s="14" t="s">
        <v>100</v>
      </c>
      <c r="T214" s="14" t="s">
        <v>100</v>
      </c>
      <c r="U214" s="8"/>
      <c r="V214" s="14"/>
      <c r="W214" s="14"/>
      <c r="X214" s="14"/>
      <c r="Y214" s="5">
        <v>45923</v>
      </c>
      <c r="Z214" s="5">
        <v>45925</v>
      </c>
      <c r="AA214" s="7" t="s">
        <v>103</v>
      </c>
      <c r="AB214" s="7"/>
      <c r="AC214" s="7" t="s">
        <v>97</v>
      </c>
      <c r="AD214" s="7" t="s">
        <v>103</v>
      </c>
      <c r="AE214" s="7" t="s">
        <v>97</v>
      </c>
      <c r="AF214" s="7" t="s">
        <v>97</v>
      </c>
      <c r="AG214" s="7" t="s">
        <v>97</v>
      </c>
      <c r="AH214" s="7" t="s">
        <v>103</v>
      </c>
      <c r="AI214" s="5">
        <v>45923</v>
      </c>
      <c r="AJ214" s="7"/>
      <c r="AK214" s="7"/>
      <c r="AL214" s="7"/>
      <c r="AM214" s="7"/>
      <c r="AN214" s="7"/>
      <c r="AO214" s="7"/>
      <c r="AP214" s="7"/>
      <c r="AQ214" s="7"/>
      <c r="AR214" s="7"/>
      <c r="AS214" s="7"/>
      <c r="AT214" s="7"/>
      <c r="AU214" s="7"/>
      <c r="AV214" s="4" t="s">
        <v>103</v>
      </c>
      <c r="AW214" s="4" t="s">
        <v>103</v>
      </c>
      <c r="AX214" s="4" t="s">
        <v>97</v>
      </c>
      <c r="AY214" s="4" t="s">
        <v>97</v>
      </c>
      <c r="AZ214" s="4" t="s">
        <v>103</v>
      </c>
      <c r="BA214" s="4" t="s">
        <v>97</v>
      </c>
      <c r="BB214" s="5">
        <v>45925</v>
      </c>
      <c r="BC214" s="5">
        <v>45925</v>
      </c>
      <c r="BD214" s="5">
        <v>45925</v>
      </c>
      <c r="BE214" s="5">
        <v>45926</v>
      </c>
      <c r="BF214" s="4" t="s">
        <v>98</v>
      </c>
      <c r="BG214" s="4" t="s">
        <v>97</v>
      </c>
      <c r="BH214" s="4" t="s">
        <v>103</v>
      </c>
      <c r="BI214" s="4" t="s">
        <v>115</v>
      </c>
    </row>
    <row r="215" spans="1:61" x14ac:dyDescent="0.35">
      <c r="A215" s="8" t="str">
        <f t="shared" si="22"/>
        <v>Semaine 38-2025</v>
      </c>
      <c r="B215" s="8" t="str">
        <f t="shared" si="18"/>
        <v>2025</v>
      </c>
      <c r="C215" s="2" t="s">
        <v>18</v>
      </c>
      <c r="D215" s="6" t="str">
        <f t="shared" si="19"/>
        <v>Dakar</v>
      </c>
      <c r="E215" s="6">
        <f t="shared" si="20"/>
        <v>419489</v>
      </c>
      <c r="F215" s="6">
        <f t="shared" si="21"/>
        <v>4042240</v>
      </c>
      <c r="G215" s="4" t="s">
        <v>669</v>
      </c>
      <c r="H215" s="4" t="s">
        <v>674</v>
      </c>
      <c r="I215" s="4">
        <v>19</v>
      </c>
      <c r="J215" s="4" t="s">
        <v>114</v>
      </c>
      <c r="K215" s="4"/>
      <c r="L215" s="4"/>
      <c r="M215" s="4"/>
      <c r="N215" s="4"/>
      <c r="O215" s="4" t="s">
        <v>238</v>
      </c>
      <c r="P215" s="4" t="s">
        <v>97</v>
      </c>
      <c r="Q215" s="4" t="s">
        <v>97</v>
      </c>
      <c r="R215" s="14" t="s">
        <v>100</v>
      </c>
      <c r="S215" s="14" t="s">
        <v>100</v>
      </c>
      <c r="T215" s="14" t="s">
        <v>100</v>
      </c>
      <c r="U215" s="8"/>
      <c r="V215" s="14"/>
      <c r="W215" s="14"/>
      <c r="X215" s="14"/>
      <c r="Y215" s="5">
        <v>45920</v>
      </c>
      <c r="Z215" s="5">
        <v>45924</v>
      </c>
      <c r="AA215" s="7" t="s">
        <v>97</v>
      </c>
      <c r="AB215" s="7" t="s">
        <v>396</v>
      </c>
      <c r="AC215" s="7" t="s">
        <v>97</v>
      </c>
      <c r="AD215" s="7" t="s">
        <v>97</v>
      </c>
      <c r="AE215" s="7" t="s">
        <v>97</v>
      </c>
      <c r="AF215" s="7" t="s">
        <v>103</v>
      </c>
      <c r="AG215" s="7" t="s">
        <v>97</v>
      </c>
      <c r="AH215" s="7" t="s">
        <v>103</v>
      </c>
      <c r="AI215" s="5">
        <v>45920</v>
      </c>
      <c r="AJ215" s="7" t="s">
        <v>103</v>
      </c>
      <c r="AK215" s="7" t="s">
        <v>97</v>
      </c>
      <c r="AL215" s="7" t="s">
        <v>103</v>
      </c>
      <c r="AM215" s="7" t="s">
        <v>97</v>
      </c>
      <c r="AN215" s="7" t="s">
        <v>103</v>
      </c>
      <c r="AO215" s="7" t="s">
        <v>97</v>
      </c>
      <c r="AP215" s="7" t="s">
        <v>97</v>
      </c>
      <c r="AQ215" s="7" t="s">
        <v>97</v>
      </c>
      <c r="AR215" s="7" t="s">
        <v>97</v>
      </c>
      <c r="AS215" s="7" t="s">
        <v>103</v>
      </c>
      <c r="AT215" s="7" t="s">
        <v>675</v>
      </c>
      <c r="AU215" s="7"/>
      <c r="AV215" s="4" t="s">
        <v>103</v>
      </c>
      <c r="AW215" s="4" t="s">
        <v>97</v>
      </c>
      <c r="AX215" s="4" t="s">
        <v>97</v>
      </c>
      <c r="AY215" s="4" t="s">
        <v>97</v>
      </c>
      <c r="AZ215" s="4" t="s">
        <v>103</v>
      </c>
      <c r="BA215" s="4" t="s">
        <v>97</v>
      </c>
      <c r="BB215" s="5">
        <v>45926</v>
      </c>
      <c r="BC215" s="5">
        <v>45926</v>
      </c>
      <c r="BD215" s="5">
        <v>45926</v>
      </c>
      <c r="BE215" s="5">
        <v>45926</v>
      </c>
      <c r="BF215" s="4" t="s">
        <v>98</v>
      </c>
      <c r="BG215" s="4" t="s">
        <v>97</v>
      </c>
      <c r="BH215" s="4" t="s">
        <v>97</v>
      </c>
      <c r="BI215" s="4" t="s">
        <v>115</v>
      </c>
    </row>
    <row r="216" spans="1:61" x14ac:dyDescent="0.35">
      <c r="A216" s="8" t="str">
        <f t="shared" si="22"/>
        <v>Semaine 38-2025</v>
      </c>
      <c r="B216" s="8" t="str">
        <f t="shared" si="18"/>
        <v>2025</v>
      </c>
      <c r="C216" s="2" t="s">
        <v>58</v>
      </c>
      <c r="D216" s="6" t="str">
        <f t="shared" si="19"/>
        <v>Dakar</v>
      </c>
      <c r="E216" s="6">
        <f t="shared" si="20"/>
        <v>423495</v>
      </c>
      <c r="F216" s="6">
        <f t="shared" si="21"/>
        <v>4042240</v>
      </c>
      <c r="G216" s="4" t="s">
        <v>670</v>
      </c>
      <c r="H216" s="4" t="s">
        <v>514</v>
      </c>
      <c r="I216" s="4">
        <v>21</v>
      </c>
      <c r="J216" s="4" t="s">
        <v>96</v>
      </c>
      <c r="K216" s="4"/>
      <c r="L216" s="4"/>
      <c r="M216" s="4"/>
      <c r="N216" s="4"/>
      <c r="O216" s="4" t="s">
        <v>238</v>
      </c>
      <c r="P216" s="4" t="s">
        <v>103</v>
      </c>
      <c r="Q216" s="4" t="s">
        <v>97</v>
      </c>
      <c r="R216" s="14" t="s">
        <v>481</v>
      </c>
      <c r="S216" s="14" t="s">
        <v>100</v>
      </c>
      <c r="T216" s="14" t="s">
        <v>100</v>
      </c>
      <c r="U216" s="8"/>
      <c r="V216" s="14"/>
      <c r="W216" s="14"/>
      <c r="X216" t="s">
        <v>1136</v>
      </c>
      <c r="Y216" s="5">
        <v>45919</v>
      </c>
      <c r="Z216" s="5">
        <v>45926</v>
      </c>
      <c r="AA216" s="7" t="s">
        <v>103</v>
      </c>
      <c r="AB216" s="7"/>
      <c r="AC216" s="7" t="s">
        <v>103</v>
      </c>
      <c r="AD216" s="7" t="s">
        <v>103</v>
      </c>
      <c r="AE216" s="7" t="s">
        <v>103</v>
      </c>
      <c r="AF216" s="7" t="s">
        <v>103</v>
      </c>
      <c r="AG216" s="7" t="s">
        <v>103</v>
      </c>
      <c r="AH216" s="7" t="s">
        <v>103</v>
      </c>
      <c r="AI216" s="5">
        <v>45919</v>
      </c>
      <c r="AJ216" s="7"/>
      <c r="AK216" s="7"/>
      <c r="AL216" s="7"/>
      <c r="AM216" s="7" t="s">
        <v>103</v>
      </c>
      <c r="AN216" s="7" t="s">
        <v>103</v>
      </c>
      <c r="AO216" s="7" t="s">
        <v>103</v>
      </c>
      <c r="AP216" s="7" t="s">
        <v>103</v>
      </c>
      <c r="AQ216" s="7" t="s">
        <v>103</v>
      </c>
      <c r="AR216" s="7" t="s">
        <v>97</v>
      </c>
      <c r="AS216" s="7" t="s">
        <v>103</v>
      </c>
      <c r="AT216" s="7" t="s">
        <v>676</v>
      </c>
      <c r="AU216" s="7"/>
      <c r="AV216" s="4" t="s">
        <v>103</v>
      </c>
      <c r="AW216" s="4" t="s">
        <v>97</v>
      </c>
      <c r="AX216" s="4" t="s">
        <v>97</v>
      </c>
      <c r="AY216" s="4" t="s">
        <v>97</v>
      </c>
      <c r="AZ216" s="4" t="s">
        <v>103</v>
      </c>
      <c r="BA216" s="4" t="s">
        <v>97</v>
      </c>
      <c r="BB216" s="5">
        <v>45926</v>
      </c>
      <c r="BC216" s="5">
        <v>45926</v>
      </c>
      <c r="BD216" s="5">
        <v>45926</v>
      </c>
      <c r="BE216" s="5">
        <v>45926</v>
      </c>
      <c r="BF216" s="4" t="s">
        <v>98</v>
      </c>
      <c r="BG216" s="4" t="s">
        <v>103</v>
      </c>
      <c r="BH216" s="4" t="s">
        <v>103</v>
      </c>
      <c r="BI216" s="4" t="s">
        <v>482</v>
      </c>
    </row>
    <row r="217" spans="1:61" x14ac:dyDescent="0.35">
      <c r="A217" s="8" t="str">
        <f t="shared" si="22"/>
        <v>Semaine 39-2025</v>
      </c>
      <c r="B217" s="8" t="str">
        <f t="shared" si="18"/>
        <v>2025</v>
      </c>
      <c r="C217" s="2" t="s">
        <v>18</v>
      </c>
      <c r="D217" s="6" t="str">
        <f t="shared" si="19"/>
        <v>Dakar</v>
      </c>
      <c r="E217" s="6">
        <f t="shared" si="20"/>
        <v>419489</v>
      </c>
      <c r="F217" s="6">
        <f t="shared" si="21"/>
        <v>4042240</v>
      </c>
      <c r="G217" s="4" t="s">
        <v>679</v>
      </c>
      <c r="H217" s="4" t="s">
        <v>683</v>
      </c>
      <c r="I217" s="4">
        <v>25</v>
      </c>
      <c r="J217" s="4" t="s">
        <v>96</v>
      </c>
      <c r="K217" s="4"/>
      <c r="L217" s="5"/>
      <c r="M217" s="4"/>
      <c r="N217" s="4"/>
      <c r="O217" s="4" t="s">
        <v>238</v>
      </c>
      <c r="P217" s="4" t="s">
        <v>97</v>
      </c>
      <c r="Q217" s="4" t="s">
        <v>97</v>
      </c>
      <c r="R217" s="14" t="s">
        <v>100</v>
      </c>
      <c r="S217" s="14" t="s">
        <v>100</v>
      </c>
      <c r="T217" s="14" t="s">
        <v>100</v>
      </c>
      <c r="U217" s="8"/>
      <c r="V217" s="14"/>
      <c r="W217" s="14"/>
      <c r="X217" s="14"/>
      <c r="Y217" s="5">
        <v>45923</v>
      </c>
      <c r="Z217" s="5">
        <v>45926</v>
      </c>
      <c r="AA217" s="7" t="s">
        <v>97</v>
      </c>
      <c r="AB217" s="7"/>
      <c r="AC217" s="7" t="s">
        <v>103</v>
      </c>
      <c r="AD217" s="7" t="s">
        <v>103</v>
      </c>
      <c r="AE217" s="7" t="s">
        <v>103</v>
      </c>
      <c r="AF217" s="7" t="s">
        <v>103</v>
      </c>
      <c r="AG217" s="7" t="s">
        <v>97</v>
      </c>
      <c r="AH217" s="7" t="s">
        <v>103</v>
      </c>
      <c r="AI217" s="5">
        <v>45923</v>
      </c>
      <c r="AJ217" s="7" t="s">
        <v>97</v>
      </c>
      <c r="AK217" s="7" t="s">
        <v>97</v>
      </c>
      <c r="AL217" s="7" t="s">
        <v>103</v>
      </c>
      <c r="AM217" s="7" t="s">
        <v>103</v>
      </c>
      <c r="AN217" s="7" t="s">
        <v>97</v>
      </c>
      <c r="AO217" s="7" t="s">
        <v>97</v>
      </c>
      <c r="AP217" s="7" t="s">
        <v>97</v>
      </c>
      <c r="AQ217" s="7" t="s">
        <v>97</v>
      </c>
      <c r="AR217" s="7" t="s">
        <v>97</v>
      </c>
      <c r="AS217" s="7" t="s">
        <v>97</v>
      </c>
      <c r="AT217" s="7"/>
      <c r="AU217" s="7"/>
      <c r="AV217" s="4" t="s">
        <v>103</v>
      </c>
      <c r="AW217" s="4" t="s">
        <v>97</v>
      </c>
      <c r="AX217" s="4" t="s">
        <v>97</v>
      </c>
      <c r="AY217" s="4" t="s">
        <v>97</v>
      </c>
      <c r="AZ217" s="4" t="s">
        <v>103</v>
      </c>
      <c r="BA217" s="4" t="s">
        <v>97</v>
      </c>
      <c r="BB217" s="5">
        <v>45926</v>
      </c>
      <c r="BC217" s="5">
        <v>45927</v>
      </c>
      <c r="BD217" s="5">
        <v>45927</v>
      </c>
      <c r="BE217" s="5">
        <v>45928</v>
      </c>
      <c r="BF217" s="4" t="s">
        <v>98</v>
      </c>
      <c r="BG217" s="4" t="s">
        <v>97</v>
      </c>
      <c r="BH217" s="4" t="s">
        <v>103</v>
      </c>
      <c r="BI217" s="4" t="s">
        <v>115</v>
      </c>
    </row>
    <row r="218" spans="1:61" x14ac:dyDescent="0.35">
      <c r="A218" s="8" t="str">
        <f t="shared" si="22"/>
        <v>Semaine 32-2025</v>
      </c>
      <c r="B218" s="8" t="str">
        <f t="shared" ref="B218" si="23">RIGHT(A218,4)</f>
        <v>2025</v>
      </c>
      <c r="C218" s="2" t="s">
        <v>73</v>
      </c>
      <c r="D218" s="6" t="str">
        <f t="shared" ref="D218" si="24">IF(C218="","",VLOOKUP(C218,district_region,2,FALSE))</f>
        <v>Ziguinchor</v>
      </c>
      <c r="E218" s="6">
        <f t="shared" ref="E218" si="25">IF(C218="","",VLOOKUP(C218,liste_pop,3,FALSE))</f>
        <v>54332</v>
      </c>
      <c r="F218" s="6">
        <f t="shared" ref="F218" si="26">IF(D218="","",IF(D218="Dakar",4042240,VLOOKUP(D218,liste_pop,4,FALSE)))</f>
        <v>729952</v>
      </c>
      <c r="G218" s="4" t="s">
        <v>680</v>
      </c>
      <c r="H218" s="4" t="s">
        <v>684</v>
      </c>
      <c r="I218" s="4">
        <v>15</v>
      </c>
      <c r="J218" s="4" t="s">
        <v>114</v>
      </c>
      <c r="K218" s="4"/>
      <c r="L218" s="5"/>
      <c r="M218" s="4"/>
      <c r="N218" s="4"/>
      <c r="O218" s="4" t="s">
        <v>238</v>
      </c>
      <c r="P218" s="4" t="s">
        <v>97</v>
      </c>
      <c r="Q218" s="4" t="s">
        <v>97</v>
      </c>
      <c r="R218" s="14" t="s">
        <v>100</v>
      </c>
      <c r="S218" s="14" t="s">
        <v>100</v>
      </c>
      <c r="T218" s="14" t="s">
        <v>100</v>
      </c>
      <c r="U218" s="8"/>
      <c r="V218" s="14"/>
      <c r="W218" s="14"/>
      <c r="X218" s="14"/>
      <c r="Y218" s="5">
        <v>45876</v>
      </c>
      <c r="Z218" s="5">
        <v>45925</v>
      </c>
      <c r="AA218" s="7" t="s">
        <v>103</v>
      </c>
      <c r="AB218" s="7" t="s">
        <v>509</v>
      </c>
      <c r="AC218" s="7" t="s">
        <v>97</v>
      </c>
      <c r="AD218" s="7" t="s">
        <v>97</v>
      </c>
      <c r="AE218" s="7" t="s">
        <v>97</v>
      </c>
      <c r="AF218" s="7" t="s">
        <v>97</v>
      </c>
      <c r="AG218" s="7" t="s">
        <v>97</v>
      </c>
      <c r="AH218" s="7" t="s">
        <v>103</v>
      </c>
      <c r="AI218" s="5">
        <v>45876</v>
      </c>
      <c r="AJ218" s="7" t="s">
        <v>103</v>
      </c>
      <c r="AK218" s="7" t="s">
        <v>103</v>
      </c>
      <c r="AL218" s="7" t="s">
        <v>103</v>
      </c>
      <c r="AM218" s="7" t="s">
        <v>97</v>
      </c>
      <c r="AN218" s="7" t="s">
        <v>103</v>
      </c>
      <c r="AO218" s="7" t="s">
        <v>97</v>
      </c>
      <c r="AP218" s="7" t="s">
        <v>103</v>
      </c>
      <c r="AQ218" s="7" t="s">
        <v>97</v>
      </c>
      <c r="AR218" s="7" t="s">
        <v>97</v>
      </c>
      <c r="AS218" s="7" t="s">
        <v>103</v>
      </c>
      <c r="AT218" s="7" t="s">
        <v>685</v>
      </c>
      <c r="AU218" s="7"/>
      <c r="AV218" s="4" t="s">
        <v>97</v>
      </c>
      <c r="AW218" s="4" t="s">
        <v>97</v>
      </c>
      <c r="AX218" s="4" t="s">
        <v>97</v>
      </c>
      <c r="AY218" s="4" t="s">
        <v>97</v>
      </c>
      <c r="AZ218" s="4" t="s">
        <v>103</v>
      </c>
      <c r="BA218" s="4" t="s">
        <v>97</v>
      </c>
      <c r="BB218" s="5">
        <v>45925</v>
      </c>
      <c r="BC218" s="5">
        <v>45926</v>
      </c>
      <c r="BD218" s="5">
        <v>45926</v>
      </c>
      <c r="BE218" s="5">
        <v>45928</v>
      </c>
      <c r="BF218" s="4" t="s">
        <v>98</v>
      </c>
      <c r="BG218" s="4" t="s">
        <v>97</v>
      </c>
      <c r="BH218" s="4" t="s">
        <v>97</v>
      </c>
      <c r="BI218" s="4" t="s">
        <v>145</v>
      </c>
    </row>
    <row r="219" spans="1:61" x14ac:dyDescent="0.35">
      <c r="A219" s="8" t="str">
        <f t="shared" si="22"/>
        <v>Semaine 39-2025</v>
      </c>
      <c r="B219" s="8" t="str">
        <f t="shared" si="18"/>
        <v>2025</v>
      </c>
      <c r="C219" s="2" t="s">
        <v>54</v>
      </c>
      <c r="D219" s="6" t="str">
        <f t="shared" si="19"/>
        <v>Kaolack</v>
      </c>
      <c r="E219" s="6">
        <f t="shared" si="20"/>
        <v>470647</v>
      </c>
      <c r="F219" s="6">
        <f t="shared" si="21"/>
        <v>1267013</v>
      </c>
      <c r="G219" s="4" t="s">
        <v>681</v>
      </c>
      <c r="H219" s="4" t="s">
        <v>686</v>
      </c>
      <c r="I219" s="4">
        <v>45</v>
      </c>
      <c r="J219" s="4" t="s">
        <v>96</v>
      </c>
      <c r="K219" s="4"/>
      <c r="L219" s="4"/>
      <c r="M219" s="4"/>
      <c r="N219" s="4"/>
      <c r="O219" s="4" t="s">
        <v>238</v>
      </c>
      <c r="P219" s="4" t="s">
        <v>97</v>
      </c>
      <c r="Q219" s="4" t="s">
        <v>97</v>
      </c>
      <c r="R219" s="14" t="s">
        <v>100</v>
      </c>
      <c r="S219" s="14" t="s">
        <v>100</v>
      </c>
      <c r="T219" s="14" t="s">
        <v>100</v>
      </c>
      <c r="U219" s="8"/>
      <c r="V219" s="14"/>
      <c r="W219" s="14"/>
      <c r="X219" s="14"/>
      <c r="Y219" s="5">
        <v>45922</v>
      </c>
      <c r="Z219" s="5">
        <v>45924</v>
      </c>
      <c r="AA219" s="7" t="s">
        <v>103</v>
      </c>
      <c r="AB219" s="7"/>
      <c r="AC219" s="7" t="s">
        <v>103</v>
      </c>
      <c r="AD219" s="7" t="s">
        <v>97</v>
      </c>
      <c r="AE219" s="7" t="s">
        <v>97</v>
      </c>
      <c r="AF219" s="7" t="s">
        <v>103</v>
      </c>
      <c r="AG219" s="7" t="s">
        <v>103</v>
      </c>
      <c r="AH219" s="7" t="s">
        <v>103</v>
      </c>
      <c r="AI219" s="5">
        <v>45922</v>
      </c>
      <c r="AJ219" s="7" t="s">
        <v>103</v>
      </c>
      <c r="AK219" s="7" t="s">
        <v>103</v>
      </c>
      <c r="AL219" s="7" t="s">
        <v>97</v>
      </c>
      <c r="AM219" s="7" t="s">
        <v>97</v>
      </c>
      <c r="AN219" s="7" t="s">
        <v>103</v>
      </c>
      <c r="AO219" s="7" t="s">
        <v>97</v>
      </c>
      <c r="AP219" s="7" t="s">
        <v>97</v>
      </c>
      <c r="AQ219" s="7" t="s">
        <v>97</v>
      </c>
      <c r="AR219" s="7" t="s">
        <v>97</v>
      </c>
      <c r="AS219" s="7" t="s">
        <v>97</v>
      </c>
      <c r="AT219" s="7"/>
      <c r="AU219" s="7"/>
      <c r="AV219" s="4" t="s">
        <v>103</v>
      </c>
      <c r="AW219" s="4" t="s">
        <v>97</v>
      </c>
      <c r="AX219" s="4" t="s">
        <v>97</v>
      </c>
      <c r="AY219" s="4" t="s">
        <v>97</v>
      </c>
      <c r="AZ219" s="4" t="s">
        <v>97</v>
      </c>
      <c r="BA219" s="4" t="s">
        <v>97</v>
      </c>
      <c r="BB219" s="5">
        <v>45924</v>
      </c>
      <c r="BC219" s="5">
        <v>45926</v>
      </c>
      <c r="BD219" s="5">
        <v>45927</v>
      </c>
      <c r="BE219" s="5">
        <v>45928</v>
      </c>
      <c r="BF219" s="4" t="s">
        <v>98</v>
      </c>
      <c r="BG219" s="4" t="s">
        <v>103</v>
      </c>
      <c r="BH219" s="4" t="s">
        <v>103</v>
      </c>
      <c r="BI219" s="4" t="s">
        <v>115</v>
      </c>
    </row>
    <row r="220" spans="1:61" x14ac:dyDescent="0.35">
      <c r="A220" s="8" t="str">
        <f t="shared" si="22"/>
        <v>Semaine 38-2025</v>
      </c>
      <c r="B220" s="8" t="str">
        <f t="shared" si="18"/>
        <v>2025</v>
      </c>
      <c r="C220" s="2" t="s">
        <v>32</v>
      </c>
      <c r="D220" s="6" t="str">
        <f t="shared" si="19"/>
        <v>Kaolack</v>
      </c>
      <c r="E220" s="6">
        <f t="shared" si="20"/>
        <v>151881</v>
      </c>
      <c r="F220" s="6">
        <f t="shared" si="21"/>
        <v>1267013</v>
      </c>
      <c r="G220" s="4" t="s">
        <v>682</v>
      </c>
      <c r="H220" s="4" t="s">
        <v>687</v>
      </c>
      <c r="I220" s="4">
        <v>39</v>
      </c>
      <c r="J220" s="4" t="s">
        <v>114</v>
      </c>
      <c r="K220" s="4"/>
      <c r="L220" s="4"/>
      <c r="M220" s="4"/>
      <c r="N220" s="4"/>
      <c r="O220" s="4" t="s">
        <v>238</v>
      </c>
      <c r="P220" s="4" t="s">
        <v>97</v>
      </c>
      <c r="Q220" s="4" t="s">
        <v>97</v>
      </c>
      <c r="R220" s="14" t="s">
        <v>100</v>
      </c>
      <c r="S220" s="14" t="s">
        <v>100</v>
      </c>
      <c r="T220" s="14" t="s">
        <v>100</v>
      </c>
      <c r="U220" s="8"/>
      <c r="V220" s="14"/>
      <c r="W220" s="14"/>
      <c r="X220" s="14"/>
      <c r="Y220" s="5">
        <v>45918</v>
      </c>
      <c r="Z220" s="5">
        <v>45925</v>
      </c>
      <c r="AA220" s="7" t="s">
        <v>103</v>
      </c>
      <c r="AB220" s="7" t="s">
        <v>272</v>
      </c>
      <c r="AC220" s="7" t="s">
        <v>103</v>
      </c>
      <c r="AD220" s="7" t="s">
        <v>103</v>
      </c>
      <c r="AE220" s="7" t="s">
        <v>97</v>
      </c>
      <c r="AF220" s="7" t="s">
        <v>103</v>
      </c>
      <c r="AG220" s="7" t="s">
        <v>103</v>
      </c>
      <c r="AH220" s="7" t="s">
        <v>103</v>
      </c>
      <c r="AI220" s="5">
        <v>45917</v>
      </c>
      <c r="AJ220" s="7" t="s">
        <v>97</v>
      </c>
      <c r="AK220" s="7" t="s">
        <v>103</v>
      </c>
      <c r="AL220" s="7" t="s">
        <v>103</v>
      </c>
      <c r="AM220" s="7" t="s">
        <v>97</v>
      </c>
      <c r="AN220" s="7" t="s">
        <v>97</v>
      </c>
      <c r="AO220" s="7" t="s">
        <v>97</v>
      </c>
      <c r="AP220" s="7" t="s">
        <v>103</v>
      </c>
      <c r="AQ220" s="7" t="s">
        <v>97</v>
      </c>
      <c r="AR220" s="7" t="s">
        <v>97</v>
      </c>
      <c r="AS220" s="7" t="s">
        <v>97</v>
      </c>
      <c r="AT220" s="7"/>
      <c r="AU220" s="7"/>
      <c r="AV220" s="4" t="s">
        <v>103</v>
      </c>
      <c r="AW220" s="4" t="s">
        <v>97</v>
      </c>
      <c r="AX220" s="4" t="s">
        <v>97</v>
      </c>
      <c r="AY220" s="4" t="s">
        <v>97</v>
      </c>
      <c r="AZ220" s="4" t="s">
        <v>97</v>
      </c>
      <c r="BA220" s="4" t="s">
        <v>97</v>
      </c>
      <c r="BB220" s="5">
        <v>45926</v>
      </c>
      <c r="BC220" s="5">
        <v>45926</v>
      </c>
      <c r="BD220" s="5">
        <v>45926</v>
      </c>
      <c r="BE220" s="5">
        <v>45928</v>
      </c>
      <c r="BF220" s="4" t="s">
        <v>98</v>
      </c>
      <c r="BG220" s="4" t="s">
        <v>97</v>
      </c>
      <c r="BH220" s="4" t="s">
        <v>103</v>
      </c>
      <c r="BI220" s="4" t="s">
        <v>115</v>
      </c>
    </row>
    <row r="221" spans="1:61" x14ac:dyDescent="0.35">
      <c r="A221" s="8" t="str">
        <f t="shared" si="22"/>
        <v>Semaine 37-2025</v>
      </c>
      <c r="B221" s="8" t="str">
        <f t="shared" si="18"/>
        <v>2025</v>
      </c>
      <c r="C221" s="2" t="s">
        <v>60</v>
      </c>
      <c r="D221" s="6" t="str">
        <f t="shared" si="19"/>
        <v>Thies</v>
      </c>
      <c r="E221" s="6">
        <f t="shared" si="20"/>
        <v>92691</v>
      </c>
      <c r="F221" s="6">
        <f t="shared" si="21"/>
        <v>2280463</v>
      </c>
      <c r="G221" s="4" t="s">
        <v>677</v>
      </c>
      <c r="H221" s="4" t="s">
        <v>678</v>
      </c>
      <c r="I221" s="4">
        <v>19</v>
      </c>
      <c r="J221" s="4" t="s">
        <v>96</v>
      </c>
      <c r="K221" s="4" t="s">
        <v>422</v>
      </c>
      <c r="L221" s="5">
        <v>45927</v>
      </c>
      <c r="M221" s="4"/>
      <c r="N221" s="4"/>
      <c r="O221" s="4" t="s">
        <v>238</v>
      </c>
      <c r="P221" s="4" t="s">
        <v>97</v>
      </c>
      <c r="Q221" s="4" t="s">
        <v>97</v>
      </c>
      <c r="R221" s="14" t="s">
        <v>100</v>
      </c>
      <c r="S221" s="14" t="s">
        <v>100</v>
      </c>
      <c r="T221" s="14" t="s">
        <v>100</v>
      </c>
      <c r="U221" s="8"/>
      <c r="V221" s="14"/>
      <c r="W221" s="14"/>
      <c r="X221" s="14"/>
      <c r="Y221" s="5">
        <v>45912</v>
      </c>
      <c r="Z221" s="5">
        <v>45927</v>
      </c>
      <c r="AA221" s="7" t="s">
        <v>97</v>
      </c>
      <c r="AB221" s="7"/>
      <c r="AC221" s="7" t="s">
        <v>97</v>
      </c>
      <c r="AD221" s="7" t="s">
        <v>97</v>
      </c>
      <c r="AE221" s="7" t="s">
        <v>97</v>
      </c>
      <c r="AF221" s="7" t="s">
        <v>97</v>
      </c>
      <c r="AG221" s="7" t="s">
        <v>97</v>
      </c>
      <c r="AH221" s="7" t="s">
        <v>103</v>
      </c>
      <c r="AI221" s="5">
        <v>45914</v>
      </c>
      <c r="AJ221" s="7" t="s">
        <v>97</v>
      </c>
      <c r="AK221" s="7" t="s">
        <v>97</v>
      </c>
      <c r="AL221" s="7" t="s">
        <v>103</v>
      </c>
      <c r="AM221" s="7" t="s">
        <v>103</v>
      </c>
      <c r="AN221" s="7" t="s">
        <v>97</v>
      </c>
      <c r="AO221" s="7" t="s">
        <v>97</v>
      </c>
      <c r="AP221" s="7" t="s">
        <v>97</v>
      </c>
      <c r="AQ221" s="7" t="s">
        <v>97</v>
      </c>
      <c r="AR221" s="7" t="s">
        <v>97</v>
      </c>
      <c r="AS221" s="7" t="s">
        <v>97</v>
      </c>
      <c r="AT221" s="7"/>
      <c r="AU221" s="7"/>
      <c r="AV221" s="4" t="s">
        <v>103</v>
      </c>
      <c r="AW221" s="4" t="s">
        <v>97</v>
      </c>
      <c r="AX221" s="4" t="s">
        <v>97</v>
      </c>
      <c r="AY221" s="4" t="s">
        <v>97</v>
      </c>
      <c r="AZ221" s="4" t="s">
        <v>103</v>
      </c>
      <c r="BA221" s="4" t="s">
        <v>97</v>
      </c>
      <c r="BB221" s="5">
        <v>45927</v>
      </c>
      <c r="BC221" s="5">
        <v>45927</v>
      </c>
      <c r="BD221" s="5">
        <v>45927</v>
      </c>
      <c r="BE221" s="5">
        <v>45928</v>
      </c>
      <c r="BF221" s="4" t="s">
        <v>98</v>
      </c>
      <c r="BG221" s="4" t="s">
        <v>97</v>
      </c>
      <c r="BH221" s="4" t="s">
        <v>103</v>
      </c>
      <c r="BI221" s="4" t="s">
        <v>115</v>
      </c>
    </row>
    <row r="222" spans="1:61" x14ac:dyDescent="0.35">
      <c r="A222" s="8" t="str">
        <f t="shared" si="22"/>
        <v>Semaine 38-2025</v>
      </c>
      <c r="B222" s="8" t="str">
        <f t="shared" si="18"/>
        <v>2025</v>
      </c>
      <c r="C222" s="2" t="s">
        <v>74</v>
      </c>
      <c r="D222" s="6" t="str">
        <f t="shared" si="19"/>
        <v>Thies</v>
      </c>
      <c r="E222" s="6">
        <f t="shared" si="20"/>
        <v>374824</v>
      </c>
      <c r="F222" s="6">
        <f t="shared" si="21"/>
        <v>2280463</v>
      </c>
      <c r="G222" s="4" t="s">
        <v>688</v>
      </c>
      <c r="H222" s="4" t="s">
        <v>691</v>
      </c>
      <c r="I222" s="4">
        <v>35</v>
      </c>
      <c r="J222" s="4" t="s">
        <v>114</v>
      </c>
      <c r="K222" s="4"/>
      <c r="L222" s="4"/>
      <c r="M222" s="4"/>
      <c r="N222" s="4"/>
      <c r="O222" s="4" t="s">
        <v>238</v>
      </c>
      <c r="P222" s="4" t="s">
        <v>97</v>
      </c>
      <c r="Q222" s="4" t="s">
        <v>97</v>
      </c>
      <c r="R222" s="14" t="s">
        <v>100</v>
      </c>
      <c r="S222" s="14" t="s">
        <v>100</v>
      </c>
      <c r="T222" s="14" t="s">
        <v>100</v>
      </c>
      <c r="U222" s="8"/>
      <c r="V222" s="14"/>
      <c r="W222" s="14"/>
      <c r="X222" s="14"/>
      <c r="Y222" s="5">
        <v>45921</v>
      </c>
      <c r="Z222" s="5">
        <v>45929</v>
      </c>
      <c r="AA222" s="7" t="s">
        <v>97</v>
      </c>
      <c r="AB222" s="7" t="s">
        <v>537</v>
      </c>
      <c r="AC222" s="7" t="s">
        <v>97</v>
      </c>
      <c r="AD222" s="7" t="s">
        <v>103</v>
      </c>
      <c r="AE222" s="7" t="s">
        <v>103</v>
      </c>
      <c r="AF222" s="7" t="s">
        <v>97</v>
      </c>
      <c r="AG222" s="7" t="s">
        <v>97</v>
      </c>
      <c r="AH222" s="7" t="s">
        <v>103</v>
      </c>
      <c r="AI222" s="5">
        <v>45921</v>
      </c>
      <c r="AJ222" s="7" t="s">
        <v>97</v>
      </c>
      <c r="AK222" s="7" t="s">
        <v>97</v>
      </c>
      <c r="AL222" s="7" t="s">
        <v>97</v>
      </c>
      <c r="AM222" s="7" t="s">
        <v>103</v>
      </c>
      <c r="AN222" s="7" t="s">
        <v>97</v>
      </c>
      <c r="AO222" s="7" t="s">
        <v>103</v>
      </c>
      <c r="AP222" s="7" t="s">
        <v>103</v>
      </c>
      <c r="AQ222" s="7" t="s">
        <v>97</v>
      </c>
      <c r="AR222" s="7" t="s">
        <v>103</v>
      </c>
      <c r="AS222" s="7" t="s">
        <v>97</v>
      </c>
      <c r="AT222" s="7"/>
      <c r="AU222" s="7"/>
      <c r="AV222" s="4" t="s">
        <v>97</v>
      </c>
      <c r="AW222" s="4" t="s">
        <v>103</v>
      </c>
      <c r="AX222" s="4" t="s">
        <v>97</v>
      </c>
      <c r="AY222" s="4" t="s">
        <v>97</v>
      </c>
      <c r="AZ222" s="4" t="s">
        <v>103</v>
      </c>
      <c r="BA222" s="4" t="s">
        <v>97</v>
      </c>
      <c r="BB222" s="5">
        <v>45929</v>
      </c>
      <c r="BC222" s="5">
        <v>45929</v>
      </c>
      <c r="BD222" s="5">
        <v>45929</v>
      </c>
      <c r="BE222" s="5">
        <v>45929</v>
      </c>
      <c r="BF222" s="4" t="s">
        <v>98</v>
      </c>
      <c r="BG222" s="4" t="s">
        <v>97</v>
      </c>
      <c r="BH222" s="4" t="s">
        <v>103</v>
      </c>
      <c r="BI222" s="5" t="s">
        <v>360</v>
      </c>
    </row>
    <row r="223" spans="1:61" x14ac:dyDescent="0.35">
      <c r="A223" s="8" t="str">
        <f t="shared" si="22"/>
        <v>Semaine 37-2025</v>
      </c>
      <c r="B223" s="8" t="str">
        <f t="shared" si="18"/>
        <v>2025</v>
      </c>
      <c r="C223" s="2" t="s">
        <v>72</v>
      </c>
      <c r="D223" s="6" t="str">
        <f t="shared" si="19"/>
        <v>Thies</v>
      </c>
      <c r="E223" s="6">
        <f t="shared" si="20"/>
        <v>520145</v>
      </c>
      <c r="F223" s="6">
        <f t="shared" si="21"/>
        <v>2280463</v>
      </c>
      <c r="G223" s="4" t="s">
        <v>690</v>
      </c>
      <c r="H223" s="4" t="s">
        <v>692</v>
      </c>
      <c r="I223" s="4">
        <v>42</v>
      </c>
      <c r="J223" s="4" t="s">
        <v>96</v>
      </c>
      <c r="K223" s="4"/>
      <c r="L223" s="4"/>
      <c r="M223" s="4"/>
      <c r="N223" s="4"/>
      <c r="O223" s="4" t="s">
        <v>238</v>
      </c>
      <c r="P223" s="4" t="s">
        <v>97</v>
      </c>
      <c r="Q223" s="4" t="s">
        <v>97</v>
      </c>
      <c r="R223" s="14" t="s">
        <v>100</v>
      </c>
      <c r="S223" s="14" t="s">
        <v>100</v>
      </c>
      <c r="T223" s="14" t="s">
        <v>100</v>
      </c>
      <c r="U223" s="8"/>
      <c r="V223" s="14"/>
      <c r="W223" s="14"/>
      <c r="X223" s="14"/>
      <c r="Y223" s="5">
        <v>45913</v>
      </c>
      <c r="Z223" s="5">
        <v>45929</v>
      </c>
      <c r="AA223" s="7" t="s">
        <v>103</v>
      </c>
      <c r="AB223" s="7"/>
      <c r="AC223" s="7" t="s">
        <v>103</v>
      </c>
      <c r="AD223" s="7" t="s">
        <v>97</v>
      </c>
      <c r="AE223" s="7" t="s">
        <v>97</v>
      </c>
      <c r="AF223" s="7" t="s">
        <v>97</v>
      </c>
      <c r="AG223" s="7" t="s">
        <v>97</v>
      </c>
      <c r="AH223" s="7" t="s">
        <v>103</v>
      </c>
      <c r="AI223" s="5">
        <v>45913</v>
      </c>
      <c r="AJ223" s="7" t="s">
        <v>97</v>
      </c>
      <c r="AK223" s="7" t="s">
        <v>97</v>
      </c>
      <c r="AL223" s="7" t="s">
        <v>103</v>
      </c>
      <c r="AM223" s="7" t="s">
        <v>103</v>
      </c>
      <c r="AN223" s="7" t="s">
        <v>103</v>
      </c>
      <c r="AO223" s="7" t="s">
        <v>97</v>
      </c>
      <c r="AP223" s="7" t="s">
        <v>97</v>
      </c>
      <c r="AQ223" s="7" t="s">
        <v>103</v>
      </c>
      <c r="AR223" s="7" t="s">
        <v>97</v>
      </c>
      <c r="AS223" s="7" t="s">
        <v>97</v>
      </c>
      <c r="AT223" s="7"/>
      <c r="AU223" s="7"/>
      <c r="AV223" s="4" t="s">
        <v>103</v>
      </c>
      <c r="AW223" s="4" t="s">
        <v>97</v>
      </c>
      <c r="AX223" s="4" t="s">
        <v>97</v>
      </c>
      <c r="AY223" s="4" t="s">
        <v>97</v>
      </c>
      <c r="AZ223" s="4" t="s">
        <v>103</v>
      </c>
      <c r="BA223" s="4" t="s">
        <v>97</v>
      </c>
      <c r="BB223" s="5">
        <v>45929</v>
      </c>
      <c r="BC223" s="5">
        <v>45929</v>
      </c>
      <c r="BD223" s="5">
        <v>45929</v>
      </c>
      <c r="BE223" s="5">
        <v>45929</v>
      </c>
      <c r="BF223" s="4" t="s">
        <v>98</v>
      </c>
      <c r="BG223" s="4" t="s">
        <v>97</v>
      </c>
      <c r="BH223" s="4" t="s">
        <v>103</v>
      </c>
      <c r="BI223" s="5" t="s">
        <v>360</v>
      </c>
    </row>
    <row r="224" spans="1:61" x14ac:dyDescent="0.35">
      <c r="A224" s="8" t="str">
        <f t="shared" si="22"/>
        <v>Semaine 39-2025</v>
      </c>
      <c r="B224" s="8" t="str">
        <f t="shared" si="18"/>
        <v>2025</v>
      </c>
      <c r="C224" s="2" t="s">
        <v>75</v>
      </c>
      <c r="D224" s="6" t="str">
        <f t="shared" si="19"/>
        <v>Diourbel</v>
      </c>
      <c r="E224" s="6">
        <f t="shared" si="20"/>
        <v>996481</v>
      </c>
      <c r="F224" s="6">
        <f t="shared" si="21"/>
        <v>1980827</v>
      </c>
      <c r="G224" s="4" t="s">
        <v>693</v>
      </c>
      <c r="H224" s="4" t="s">
        <v>695</v>
      </c>
      <c r="I224" s="4">
        <v>25</v>
      </c>
      <c r="J224" s="4" t="s">
        <v>96</v>
      </c>
      <c r="K224" s="4"/>
      <c r="L224" s="4"/>
      <c r="M224" s="4"/>
      <c r="N224" s="4"/>
      <c r="O224" s="4" t="s">
        <v>238</v>
      </c>
      <c r="P224" s="4" t="s">
        <v>97</v>
      </c>
      <c r="Q224" s="4" t="s">
        <v>97</v>
      </c>
      <c r="R224" s="14" t="s">
        <v>100</v>
      </c>
      <c r="S224" s="14" t="s">
        <v>100</v>
      </c>
      <c r="T224" s="14" t="s">
        <v>100</v>
      </c>
      <c r="U224" s="8"/>
      <c r="V224" s="14"/>
      <c r="W224" s="14"/>
      <c r="X224" s="14"/>
      <c r="Y224" s="5">
        <v>45924</v>
      </c>
      <c r="Z224" s="5">
        <v>45927</v>
      </c>
      <c r="AA224" s="7" t="s">
        <v>103</v>
      </c>
      <c r="AB224" s="7"/>
      <c r="AC224" s="7" t="s">
        <v>103</v>
      </c>
      <c r="AD224" s="7" t="s">
        <v>103</v>
      </c>
      <c r="AE224" s="7" t="s">
        <v>103</v>
      </c>
      <c r="AF224" s="7" t="s">
        <v>103</v>
      </c>
      <c r="AG224" s="7" t="s">
        <v>97</v>
      </c>
      <c r="AH224" s="7" t="s">
        <v>103</v>
      </c>
      <c r="AI224" s="5">
        <v>45924</v>
      </c>
      <c r="AJ224" s="7" t="s">
        <v>97</v>
      </c>
      <c r="AK224" s="7" t="s">
        <v>97</v>
      </c>
      <c r="AL224" s="7" t="s">
        <v>97</v>
      </c>
      <c r="AM224" s="7" t="s">
        <v>97</v>
      </c>
      <c r="AN224" s="7" t="s">
        <v>103</v>
      </c>
      <c r="AO224" s="7" t="s">
        <v>103</v>
      </c>
      <c r="AP224" s="7" t="s">
        <v>103</v>
      </c>
      <c r="AQ224" s="7" t="s">
        <v>97</v>
      </c>
      <c r="AR224" s="7" t="s">
        <v>97</v>
      </c>
      <c r="AS224" s="7" t="s">
        <v>97</v>
      </c>
      <c r="AT224" s="7"/>
      <c r="AU224" s="7"/>
      <c r="AV224" s="4" t="s">
        <v>103</v>
      </c>
      <c r="AW224" s="4" t="s">
        <v>97</v>
      </c>
      <c r="AX224" s="4" t="s">
        <v>97</v>
      </c>
      <c r="AY224" s="4" t="s">
        <v>97</v>
      </c>
      <c r="AZ224" s="4" t="s">
        <v>103</v>
      </c>
      <c r="BA224" s="4" t="s">
        <v>97</v>
      </c>
      <c r="BB224" s="5">
        <v>45927</v>
      </c>
      <c r="BC224" s="5">
        <v>45928</v>
      </c>
      <c r="BD224" s="5">
        <v>45929</v>
      </c>
      <c r="BE224" s="5">
        <v>45929</v>
      </c>
      <c r="BF224" s="4" t="s">
        <v>98</v>
      </c>
      <c r="BG224" s="4" t="s">
        <v>97</v>
      </c>
      <c r="BH224" s="4" t="s">
        <v>103</v>
      </c>
      <c r="BI224" s="4" t="s">
        <v>115</v>
      </c>
    </row>
    <row r="225" spans="1:61" x14ac:dyDescent="0.35">
      <c r="A225" s="8" t="str">
        <f t="shared" si="22"/>
        <v>Semaine 39-2025</v>
      </c>
      <c r="B225" s="8" t="str">
        <f t="shared" si="18"/>
        <v>2025</v>
      </c>
      <c r="C225" s="2" t="s">
        <v>0</v>
      </c>
      <c r="D225" s="6" t="str">
        <f t="shared" si="19"/>
        <v>Matam</v>
      </c>
      <c r="E225" s="6">
        <f t="shared" si="20"/>
        <v>271560</v>
      </c>
      <c r="F225" s="6">
        <f t="shared" si="21"/>
        <v>789215</v>
      </c>
      <c r="G225" s="4" t="s">
        <v>694</v>
      </c>
      <c r="H225" s="4" t="s">
        <v>697</v>
      </c>
      <c r="I225" s="4">
        <v>24</v>
      </c>
      <c r="J225" s="4" t="s">
        <v>114</v>
      </c>
      <c r="K225" s="4"/>
      <c r="L225" s="4"/>
      <c r="M225" s="4"/>
      <c r="N225" s="4"/>
      <c r="O225" s="4" t="s">
        <v>238</v>
      </c>
      <c r="P225" s="4" t="s">
        <v>97</v>
      </c>
      <c r="Q225" s="4" t="s">
        <v>97</v>
      </c>
      <c r="R225" s="14" t="s">
        <v>100</v>
      </c>
      <c r="S225" s="14" t="s">
        <v>100</v>
      </c>
      <c r="T225" s="14" t="s">
        <v>100</v>
      </c>
      <c r="U225" s="8"/>
      <c r="V225" s="14"/>
      <c r="W225" s="14"/>
      <c r="X225" s="14"/>
      <c r="Y225" s="5">
        <v>45927</v>
      </c>
      <c r="Z225" s="5">
        <v>45928</v>
      </c>
      <c r="AA225" s="7" t="s">
        <v>103</v>
      </c>
      <c r="AB225" s="7" t="s">
        <v>698</v>
      </c>
      <c r="AC225" s="7" t="s">
        <v>103</v>
      </c>
      <c r="AD225" s="7" t="s">
        <v>97</v>
      </c>
      <c r="AE225" s="7" t="s">
        <v>97</v>
      </c>
      <c r="AF225" s="7" t="s">
        <v>103</v>
      </c>
      <c r="AG225" s="7" t="s">
        <v>103</v>
      </c>
      <c r="AH225" s="7" t="s">
        <v>103</v>
      </c>
      <c r="AI225" s="5">
        <v>45927</v>
      </c>
      <c r="AJ225" s="7" t="s">
        <v>97</v>
      </c>
      <c r="AK225" s="7" t="s">
        <v>103</v>
      </c>
      <c r="AL225" s="7" t="s">
        <v>97</v>
      </c>
      <c r="AM225" s="7" t="s">
        <v>103</v>
      </c>
      <c r="AN225" s="7" t="s">
        <v>103</v>
      </c>
      <c r="AO225" s="7" t="s">
        <v>97</v>
      </c>
      <c r="AP225" s="7" t="s">
        <v>97</v>
      </c>
      <c r="AQ225" s="7" t="s">
        <v>103</v>
      </c>
      <c r="AR225" s="7" t="s">
        <v>97</v>
      </c>
      <c r="AS225" s="7" t="s">
        <v>97</v>
      </c>
      <c r="AT225" s="7"/>
      <c r="AU225" s="7"/>
      <c r="AV225" s="4" t="s">
        <v>103</v>
      </c>
      <c r="AW225" s="4" t="s">
        <v>97</v>
      </c>
      <c r="AX225" s="4" t="s">
        <v>97</v>
      </c>
      <c r="AY225" s="4" t="s">
        <v>97</v>
      </c>
      <c r="AZ225" s="4" t="s">
        <v>103</v>
      </c>
      <c r="BA225" s="4" t="s">
        <v>97</v>
      </c>
      <c r="BB225" s="5">
        <v>45928</v>
      </c>
      <c r="BC225" s="5">
        <v>45928</v>
      </c>
      <c r="BD225" s="5">
        <v>45929</v>
      </c>
      <c r="BE225" s="5">
        <v>45929</v>
      </c>
      <c r="BF225" s="4" t="s">
        <v>98</v>
      </c>
      <c r="BG225" s="4" t="s">
        <v>103</v>
      </c>
      <c r="BH225" s="4" t="s">
        <v>103</v>
      </c>
      <c r="BI225" s="4" t="s">
        <v>115</v>
      </c>
    </row>
    <row r="226" spans="1:61" x14ac:dyDescent="0.35">
      <c r="A226" s="8" t="str">
        <f t="shared" si="22"/>
        <v>Semaine 39-2025</v>
      </c>
      <c r="B226" s="8" t="str">
        <f t="shared" si="18"/>
        <v>2025</v>
      </c>
      <c r="C226" s="2" t="s">
        <v>18</v>
      </c>
      <c r="D226" s="6" t="str">
        <f t="shared" si="19"/>
        <v>Dakar</v>
      </c>
      <c r="E226" s="6">
        <f t="shared" si="20"/>
        <v>419489</v>
      </c>
      <c r="F226" s="6">
        <f t="shared" si="21"/>
        <v>4042240</v>
      </c>
      <c r="G226" s="4" t="s">
        <v>689</v>
      </c>
      <c r="H226" s="4" t="s">
        <v>699</v>
      </c>
      <c r="I226" s="4">
        <v>20</v>
      </c>
      <c r="J226" s="4" t="s">
        <v>114</v>
      </c>
      <c r="K226" s="4"/>
      <c r="L226" s="4"/>
      <c r="M226" s="4"/>
      <c r="N226" s="4"/>
      <c r="O226" s="4" t="s">
        <v>238</v>
      </c>
      <c r="P226" s="4" t="s">
        <v>97</v>
      </c>
      <c r="Q226" s="4" t="s">
        <v>97</v>
      </c>
      <c r="R226" s="14" t="s">
        <v>100</v>
      </c>
      <c r="S226" s="14" t="s">
        <v>100</v>
      </c>
      <c r="T226" s="14" t="s">
        <v>100</v>
      </c>
      <c r="U226" s="8"/>
      <c r="V226" s="14"/>
      <c r="W226" s="14"/>
      <c r="X226" s="14"/>
      <c r="Y226" s="5">
        <v>45925</v>
      </c>
      <c r="Z226" s="5">
        <v>45929</v>
      </c>
      <c r="AA226" s="7" t="s">
        <v>103</v>
      </c>
      <c r="AB226" s="7" t="s">
        <v>276</v>
      </c>
      <c r="AC226" s="7" t="s">
        <v>97</v>
      </c>
      <c r="AD226" s="7" t="s">
        <v>97</v>
      </c>
      <c r="AE226" s="7" t="s">
        <v>97</v>
      </c>
      <c r="AF226" s="7" t="s">
        <v>97</v>
      </c>
      <c r="AG226" s="7" t="s">
        <v>97</v>
      </c>
      <c r="AH226" s="7" t="s">
        <v>103</v>
      </c>
      <c r="AI226" s="5">
        <v>45925</v>
      </c>
      <c r="AJ226" s="7" t="s">
        <v>103</v>
      </c>
      <c r="AK226" s="7" t="s">
        <v>103</v>
      </c>
      <c r="AL226" s="7" t="s">
        <v>97</v>
      </c>
      <c r="AM226" s="7" t="s">
        <v>103</v>
      </c>
      <c r="AN226" s="7" t="s">
        <v>103</v>
      </c>
      <c r="AO226" s="7" t="s">
        <v>97</v>
      </c>
      <c r="AP226" s="7" t="s">
        <v>103</v>
      </c>
      <c r="AQ226" s="7" t="s">
        <v>97</v>
      </c>
      <c r="AR226" s="7" t="s">
        <v>97</v>
      </c>
      <c r="AS226" s="7" t="s">
        <v>103</v>
      </c>
      <c r="AT226" s="7"/>
      <c r="AU226" s="7"/>
      <c r="AV226" s="4" t="s">
        <v>103</v>
      </c>
      <c r="AW226" s="4" t="s">
        <v>103</v>
      </c>
      <c r="AX226" s="4" t="s">
        <v>97</v>
      </c>
      <c r="AY226" s="4" t="s">
        <v>97</v>
      </c>
      <c r="AZ226" s="4" t="s">
        <v>103</v>
      </c>
      <c r="BA226" s="4" t="s">
        <v>97</v>
      </c>
      <c r="BB226" s="5">
        <v>45929</v>
      </c>
      <c r="BC226" s="5">
        <v>45929</v>
      </c>
      <c r="BD226" s="5">
        <v>45929</v>
      </c>
      <c r="BE226" s="5">
        <v>45929</v>
      </c>
      <c r="BF226" s="4" t="s">
        <v>98</v>
      </c>
      <c r="BG226" s="4" t="s">
        <v>97</v>
      </c>
      <c r="BH226" s="4" t="s">
        <v>103</v>
      </c>
      <c r="BI226" s="4" t="s">
        <v>115</v>
      </c>
    </row>
    <row r="227" spans="1:61" x14ac:dyDescent="0.35">
      <c r="A227" s="8" t="str">
        <f t="shared" si="22"/>
        <v>Semaine 38-2025</v>
      </c>
      <c r="B227" s="8" t="str">
        <f t="shared" si="18"/>
        <v>2025</v>
      </c>
      <c r="C227" s="2" t="s">
        <v>3</v>
      </c>
      <c r="D227" s="6" t="str">
        <f t="shared" si="19"/>
        <v>Kaolack</v>
      </c>
      <c r="E227" s="6">
        <f t="shared" si="20"/>
        <v>412872</v>
      </c>
      <c r="F227" s="6">
        <f t="shared" si="21"/>
        <v>1267013</v>
      </c>
      <c r="G227" s="4" t="s">
        <v>696</v>
      </c>
      <c r="H227" s="4" t="s">
        <v>700</v>
      </c>
      <c r="I227" s="4">
        <v>2</v>
      </c>
      <c r="J227" s="4" t="s">
        <v>96</v>
      </c>
      <c r="K227" s="4"/>
      <c r="L227" s="4"/>
      <c r="M227" s="4"/>
      <c r="N227" s="4"/>
      <c r="O227" s="4" t="s">
        <v>238</v>
      </c>
      <c r="P227" s="4" t="s">
        <v>97</v>
      </c>
      <c r="Q227" s="4" t="s">
        <v>97</v>
      </c>
      <c r="R227" s="14" t="s">
        <v>100</v>
      </c>
      <c r="S227" s="14" t="s">
        <v>100</v>
      </c>
      <c r="T227" s="14" t="s">
        <v>100</v>
      </c>
      <c r="U227" s="8"/>
      <c r="V227" s="14"/>
      <c r="W227" s="14"/>
      <c r="X227" s="14"/>
      <c r="Y227" s="5">
        <v>45920</v>
      </c>
      <c r="Z227" s="5">
        <v>45927</v>
      </c>
      <c r="AA227" s="7" t="s">
        <v>103</v>
      </c>
      <c r="AB227" s="7"/>
      <c r="AC227" s="7" t="s">
        <v>103</v>
      </c>
      <c r="AD227" s="7" t="s">
        <v>97</v>
      </c>
      <c r="AE227" s="7" t="s">
        <v>97</v>
      </c>
      <c r="AF227" s="7" t="s">
        <v>97</v>
      </c>
      <c r="AG227" s="7" t="s">
        <v>97</v>
      </c>
      <c r="AH227" s="7" t="s">
        <v>103</v>
      </c>
      <c r="AI227" s="5">
        <v>45920</v>
      </c>
      <c r="AJ227" s="7" t="s">
        <v>103</v>
      </c>
      <c r="AK227" s="7" t="s">
        <v>97</v>
      </c>
      <c r="AL227" s="7" t="s">
        <v>103</v>
      </c>
      <c r="AM227" s="7" t="s">
        <v>103</v>
      </c>
      <c r="AN227" s="7" t="s">
        <v>103</v>
      </c>
      <c r="AO227" s="7" t="s">
        <v>97</v>
      </c>
      <c r="AP227" s="7" t="s">
        <v>97</v>
      </c>
      <c r="AQ227" s="7" t="s">
        <v>97</v>
      </c>
      <c r="AR227" s="7" t="s">
        <v>97</v>
      </c>
      <c r="AS227" s="7" t="s">
        <v>97</v>
      </c>
      <c r="AT227" s="7"/>
      <c r="AU227" s="7"/>
      <c r="AV227" s="4" t="s">
        <v>103</v>
      </c>
      <c r="AW227" s="4" t="s">
        <v>97</v>
      </c>
      <c r="AX227" s="4" t="s">
        <v>97</v>
      </c>
      <c r="AY227" s="4" t="s">
        <v>97</v>
      </c>
      <c r="AZ227" s="4" t="s">
        <v>103</v>
      </c>
      <c r="BA227" s="4" t="s">
        <v>97</v>
      </c>
      <c r="BB227" s="5">
        <v>45927</v>
      </c>
      <c r="BC227" s="5">
        <v>45928</v>
      </c>
      <c r="BD227" s="5">
        <v>45929</v>
      </c>
      <c r="BE227" s="5">
        <v>45929</v>
      </c>
      <c r="BF227" s="4" t="s">
        <v>98</v>
      </c>
      <c r="BG227" s="4" t="s">
        <v>103</v>
      </c>
      <c r="BH227" s="4" t="s">
        <v>103</v>
      </c>
      <c r="BI227" s="4" t="s">
        <v>115</v>
      </c>
    </row>
    <row r="228" spans="1:61" x14ac:dyDescent="0.35">
      <c r="A228" s="8" t="str">
        <f t="shared" si="22"/>
        <v>Semaine 39-2025</v>
      </c>
      <c r="B228" s="8" t="str">
        <f t="shared" si="18"/>
        <v>2025</v>
      </c>
      <c r="C228" s="2" t="s">
        <v>75</v>
      </c>
      <c r="D228" s="6" t="str">
        <f t="shared" si="19"/>
        <v>Diourbel</v>
      </c>
      <c r="E228" s="6">
        <f t="shared" si="20"/>
        <v>996481</v>
      </c>
      <c r="F228" s="6">
        <f t="shared" si="21"/>
        <v>1980827</v>
      </c>
      <c r="G228" s="4" t="s">
        <v>701</v>
      </c>
      <c r="H228" s="4" t="s">
        <v>703</v>
      </c>
      <c r="I228" s="4">
        <v>5</v>
      </c>
      <c r="J228" s="4" t="s">
        <v>114</v>
      </c>
      <c r="K228" s="4"/>
      <c r="L228" s="4"/>
      <c r="M228" s="4"/>
      <c r="N228" s="4"/>
      <c r="O228" s="4" t="s">
        <v>238</v>
      </c>
      <c r="P228" s="4" t="s">
        <v>97</v>
      </c>
      <c r="Q228" s="4" t="s">
        <v>97</v>
      </c>
      <c r="R228" s="14" t="s">
        <v>100</v>
      </c>
      <c r="S228" s="14" t="s">
        <v>100</v>
      </c>
      <c r="T228" s="14" t="s">
        <v>100</v>
      </c>
      <c r="U228" s="8"/>
      <c r="V228" s="14"/>
      <c r="W228" s="14"/>
      <c r="X228" s="14"/>
      <c r="Y228" s="5">
        <v>45925</v>
      </c>
      <c r="Z228" s="5">
        <v>45929</v>
      </c>
      <c r="AA228" s="7" t="s">
        <v>97</v>
      </c>
      <c r="AB228" s="7"/>
      <c r="AC228" s="7" t="s">
        <v>97</v>
      </c>
      <c r="AD228" s="7" t="s">
        <v>97</v>
      </c>
      <c r="AE228" s="7" t="s">
        <v>97</v>
      </c>
      <c r="AF228" s="7" t="s">
        <v>97</v>
      </c>
      <c r="AG228" s="7" t="s">
        <v>97</v>
      </c>
      <c r="AH228" s="7" t="s">
        <v>103</v>
      </c>
      <c r="AI228" s="5">
        <v>45925</v>
      </c>
      <c r="AJ228" s="7" t="s">
        <v>97</v>
      </c>
      <c r="AK228" s="7" t="s">
        <v>97</v>
      </c>
      <c r="AL228" s="7" t="s">
        <v>97</v>
      </c>
      <c r="AM228" s="7" t="s">
        <v>103</v>
      </c>
      <c r="AN228" s="7" t="s">
        <v>103</v>
      </c>
      <c r="AO228" s="7" t="s">
        <v>97</v>
      </c>
      <c r="AP228" s="7" t="s">
        <v>97</v>
      </c>
      <c r="AQ228" s="7" t="s">
        <v>97</v>
      </c>
      <c r="AR228" s="7" t="s">
        <v>97</v>
      </c>
      <c r="AS228" s="7" t="s">
        <v>97</v>
      </c>
      <c r="AT228" s="7"/>
      <c r="AU228" s="7"/>
      <c r="AV228" s="4" t="s">
        <v>103</v>
      </c>
      <c r="AW228" s="4" t="s">
        <v>97</v>
      </c>
      <c r="AX228" s="4" t="s">
        <v>97</v>
      </c>
      <c r="AY228" s="4" t="s">
        <v>97</v>
      </c>
      <c r="AZ228" s="4" t="s">
        <v>97</v>
      </c>
      <c r="BA228" s="4" t="s">
        <v>97</v>
      </c>
      <c r="BB228" s="5">
        <v>45929</v>
      </c>
      <c r="BC228" s="5">
        <v>45930</v>
      </c>
      <c r="BD228" s="5">
        <v>45930</v>
      </c>
      <c r="BE228" s="5">
        <v>45930</v>
      </c>
      <c r="BF228" s="4" t="s">
        <v>98</v>
      </c>
      <c r="BG228" s="4" t="s">
        <v>97</v>
      </c>
      <c r="BH228" s="4" t="s">
        <v>103</v>
      </c>
      <c r="BI228" s="4" t="s">
        <v>115</v>
      </c>
    </row>
    <row r="229" spans="1:61" x14ac:dyDescent="0.35">
      <c r="A229" s="8" t="str">
        <f t="shared" si="22"/>
        <v>Semaine 39-2025</v>
      </c>
      <c r="B229" s="8" t="str">
        <f t="shared" si="18"/>
        <v>2025</v>
      </c>
      <c r="C229" s="2" t="s">
        <v>31</v>
      </c>
      <c r="D229" s="6" t="str">
        <f t="shared" si="19"/>
        <v>Dakar</v>
      </c>
      <c r="E229" s="6">
        <f t="shared" si="20"/>
        <v>424760</v>
      </c>
      <c r="F229" s="6">
        <f t="shared" si="21"/>
        <v>4042240</v>
      </c>
      <c r="G229" s="4" t="s">
        <v>702</v>
      </c>
      <c r="H229" s="4" t="s">
        <v>706</v>
      </c>
      <c r="I229" s="4">
        <v>7</v>
      </c>
      <c r="J229" s="4" t="s">
        <v>114</v>
      </c>
      <c r="K229" s="4"/>
      <c r="L229" s="4"/>
      <c r="M229" s="4"/>
      <c r="N229" s="4"/>
      <c r="O229" s="4" t="s">
        <v>238</v>
      </c>
      <c r="P229" s="4" t="s">
        <v>97</v>
      </c>
      <c r="Q229" s="4" t="s">
        <v>97</v>
      </c>
      <c r="R229" s="14" t="s">
        <v>100</v>
      </c>
      <c r="S229" s="14" t="s">
        <v>100</v>
      </c>
      <c r="T229" s="14" t="s">
        <v>100</v>
      </c>
      <c r="U229" s="8"/>
      <c r="V229" s="14"/>
      <c r="W229" s="14"/>
      <c r="X229" s="14"/>
      <c r="Y229" s="5">
        <v>45928</v>
      </c>
      <c r="Z229" s="5">
        <v>45929</v>
      </c>
      <c r="AA229" s="7" t="s">
        <v>97</v>
      </c>
      <c r="AB229" s="7" t="s">
        <v>396</v>
      </c>
      <c r="AC229" s="7" t="s">
        <v>97</v>
      </c>
      <c r="AD229" s="7" t="s">
        <v>97</v>
      </c>
      <c r="AE229" s="7" t="s">
        <v>97</v>
      </c>
      <c r="AF229" s="7" t="s">
        <v>97</v>
      </c>
      <c r="AG229" s="7" t="s">
        <v>97</v>
      </c>
      <c r="AH229" s="7" t="s">
        <v>103</v>
      </c>
      <c r="AI229" s="5">
        <v>45928</v>
      </c>
      <c r="AJ229" s="7" t="s">
        <v>103</v>
      </c>
      <c r="AK229" s="7" t="s">
        <v>103</v>
      </c>
      <c r="AL229" s="7" t="s">
        <v>97</v>
      </c>
      <c r="AM229" s="7" t="s">
        <v>103</v>
      </c>
      <c r="AN229" s="7" t="s">
        <v>103</v>
      </c>
      <c r="AO229" s="7" t="s">
        <v>103</v>
      </c>
      <c r="AP229" s="7" t="s">
        <v>97</v>
      </c>
      <c r="AQ229" s="7" t="s">
        <v>97</v>
      </c>
      <c r="AR229" s="7" t="s">
        <v>97</v>
      </c>
      <c r="AS229" s="7" t="s">
        <v>97</v>
      </c>
      <c r="AT229" s="7"/>
      <c r="AU229" s="7"/>
      <c r="AV229" s="4" t="s">
        <v>103</v>
      </c>
      <c r="AW229" s="4" t="s">
        <v>97</v>
      </c>
      <c r="AX229" s="4" t="s">
        <v>97</v>
      </c>
      <c r="AY229" s="4" t="s">
        <v>97</v>
      </c>
      <c r="AZ229" s="4" t="s">
        <v>97</v>
      </c>
      <c r="BA229" s="4" t="s">
        <v>97</v>
      </c>
      <c r="BB229" s="5">
        <v>45929</v>
      </c>
      <c r="BC229" s="5">
        <v>45930</v>
      </c>
      <c r="BD229" s="5">
        <v>45930</v>
      </c>
      <c r="BE229" s="5">
        <v>45930</v>
      </c>
      <c r="BF229" s="4" t="s">
        <v>98</v>
      </c>
      <c r="BG229" s="4" t="s">
        <v>97</v>
      </c>
      <c r="BH229" s="4" t="s">
        <v>103</v>
      </c>
      <c r="BI229" s="4" t="s">
        <v>115</v>
      </c>
    </row>
    <row r="230" spans="1:61" x14ac:dyDescent="0.35">
      <c r="A230" s="8" t="str">
        <f t="shared" si="22"/>
        <v>Semaine 39-2025</v>
      </c>
      <c r="B230" s="8" t="str">
        <f t="shared" si="18"/>
        <v>2025</v>
      </c>
      <c r="C230" s="2" t="s">
        <v>8</v>
      </c>
      <c r="D230" s="6" t="str">
        <f t="shared" si="19"/>
        <v>Fatick</v>
      </c>
      <c r="E230" s="6">
        <f t="shared" si="20"/>
        <v>102630</v>
      </c>
      <c r="F230" s="6">
        <f t="shared" si="21"/>
        <v>965914</v>
      </c>
      <c r="G230" s="4" t="s">
        <v>704</v>
      </c>
      <c r="H230" s="4" t="s">
        <v>707</v>
      </c>
      <c r="I230" s="4">
        <v>7</v>
      </c>
      <c r="J230" s="4" t="s">
        <v>114</v>
      </c>
      <c r="K230" s="4"/>
      <c r="L230" s="4"/>
      <c r="M230" s="4"/>
      <c r="N230" s="4"/>
      <c r="O230" s="4" t="s">
        <v>238</v>
      </c>
      <c r="P230" s="4" t="s">
        <v>97</v>
      </c>
      <c r="Q230" s="4" t="s">
        <v>97</v>
      </c>
      <c r="R230" s="14" t="s">
        <v>100</v>
      </c>
      <c r="S230" s="14" t="s">
        <v>100</v>
      </c>
      <c r="T230" s="14" t="s">
        <v>100</v>
      </c>
      <c r="U230" s="8"/>
      <c r="V230" s="14"/>
      <c r="W230" s="14"/>
      <c r="X230" s="14"/>
      <c r="Y230" s="5">
        <v>45922</v>
      </c>
      <c r="Z230" s="5">
        <v>45929</v>
      </c>
      <c r="AA230" s="7" t="s">
        <v>103</v>
      </c>
      <c r="AB230" s="7" t="s">
        <v>303</v>
      </c>
      <c r="AC230" s="7" t="s">
        <v>97</v>
      </c>
      <c r="AD230" s="7" t="s">
        <v>97</v>
      </c>
      <c r="AE230" s="7" t="s">
        <v>97</v>
      </c>
      <c r="AF230" s="7" t="s">
        <v>103</v>
      </c>
      <c r="AG230" s="7" t="s">
        <v>97</v>
      </c>
      <c r="AH230" s="7" t="s">
        <v>103</v>
      </c>
      <c r="AI230" s="5">
        <v>45926</v>
      </c>
      <c r="AJ230" s="7" t="s">
        <v>97</v>
      </c>
      <c r="AK230" s="7" t="s">
        <v>97</v>
      </c>
      <c r="AL230" s="7" t="s">
        <v>97</v>
      </c>
      <c r="AM230" s="7" t="s">
        <v>103</v>
      </c>
      <c r="AN230" s="7" t="s">
        <v>103</v>
      </c>
      <c r="AO230" s="7" t="s">
        <v>103</v>
      </c>
      <c r="AP230" s="7" t="s">
        <v>103</v>
      </c>
      <c r="AQ230" s="7" t="s">
        <v>103</v>
      </c>
      <c r="AR230" s="7" t="s">
        <v>97</v>
      </c>
      <c r="AS230" s="7" t="s">
        <v>103</v>
      </c>
      <c r="AT230" s="7"/>
      <c r="AU230" s="7"/>
      <c r="AV230" s="4" t="s">
        <v>103</v>
      </c>
      <c r="AW230" s="4" t="s">
        <v>97</v>
      </c>
      <c r="AX230" s="4" t="s">
        <v>97</v>
      </c>
      <c r="AY230" s="4" t="s">
        <v>97</v>
      </c>
      <c r="AZ230" s="4" t="s">
        <v>97</v>
      </c>
      <c r="BA230" s="4" t="s">
        <v>97</v>
      </c>
      <c r="BB230" s="5">
        <v>45929</v>
      </c>
      <c r="BC230" s="5">
        <v>45930</v>
      </c>
      <c r="BD230" s="5">
        <v>45930</v>
      </c>
      <c r="BE230" s="5">
        <v>45930</v>
      </c>
      <c r="BF230" s="4" t="s">
        <v>98</v>
      </c>
      <c r="BG230" s="4" t="s">
        <v>97</v>
      </c>
      <c r="BH230" s="4" t="s">
        <v>103</v>
      </c>
      <c r="BI230" s="4" t="s">
        <v>115</v>
      </c>
    </row>
    <row r="231" spans="1:61" x14ac:dyDescent="0.35">
      <c r="A231" s="8" t="str">
        <f t="shared" si="22"/>
        <v>Semaine 38-2025</v>
      </c>
      <c r="B231" s="8" t="str">
        <f t="shared" si="18"/>
        <v>2025</v>
      </c>
      <c r="C231" s="2" t="s">
        <v>16</v>
      </c>
      <c r="D231" s="6" t="str">
        <f t="shared" si="19"/>
        <v>Saint-Louis</v>
      </c>
      <c r="E231" s="6">
        <f t="shared" si="20"/>
        <v>99833</v>
      </c>
      <c r="F231" s="6">
        <f t="shared" si="21"/>
        <v>1150065</v>
      </c>
      <c r="G231" s="4" t="s">
        <v>705</v>
      </c>
      <c r="H231" s="4" t="s">
        <v>708</v>
      </c>
      <c r="I231" s="4">
        <v>24</v>
      </c>
      <c r="J231" s="4" t="s">
        <v>114</v>
      </c>
      <c r="K231" s="4"/>
      <c r="L231" s="4"/>
      <c r="M231" s="4"/>
      <c r="N231" s="4"/>
      <c r="O231" s="4" t="s">
        <v>238</v>
      </c>
      <c r="P231" s="4" t="s">
        <v>97</v>
      </c>
      <c r="Q231" s="4" t="s">
        <v>97</v>
      </c>
      <c r="R231" s="14" t="s">
        <v>100</v>
      </c>
      <c r="S231" s="14" t="s">
        <v>100</v>
      </c>
      <c r="T231" s="14" t="s">
        <v>100</v>
      </c>
      <c r="U231" s="8"/>
      <c r="V231" s="14"/>
      <c r="W231" s="14"/>
      <c r="X231" s="14"/>
      <c r="Y231" s="5">
        <v>45920</v>
      </c>
      <c r="Z231" s="5">
        <v>45925</v>
      </c>
      <c r="AA231" s="7" t="s">
        <v>97</v>
      </c>
      <c r="AB231" s="7" t="s">
        <v>709</v>
      </c>
      <c r="AC231" s="7" t="s">
        <v>103</v>
      </c>
      <c r="AD231" s="7" t="s">
        <v>103</v>
      </c>
      <c r="AE231" s="7" t="s">
        <v>97</v>
      </c>
      <c r="AF231" s="7" t="s">
        <v>97</v>
      </c>
      <c r="AG231" s="7" t="s">
        <v>97</v>
      </c>
      <c r="AH231" s="7" t="s">
        <v>103</v>
      </c>
      <c r="AI231" s="5">
        <v>45920</v>
      </c>
      <c r="AJ231" s="7" t="s">
        <v>97</v>
      </c>
      <c r="AK231" s="7" t="s">
        <v>97</v>
      </c>
      <c r="AL231" s="7" t="s">
        <v>103</v>
      </c>
      <c r="AM231" s="7" t="s">
        <v>103</v>
      </c>
      <c r="AN231" s="7" t="s">
        <v>103</v>
      </c>
      <c r="AO231" s="7" t="s">
        <v>97</v>
      </c>
      <c r="AP231" s="7" t="s">
        <v>97</v>
      </c>
      <c r="AQ231" s="7" t="s">
        <v>97</v>
      </c>
      <c r="AR231" s="7" t="s">
        <v>97</v>
      </c>
      <c r="AS231" s="7" t="s">
        <v>97</v>
      </c>
      <c r="AT231" s="7"/>
      <c r="AU231" s="7"/>
      <c r="AV231" s="4" t="s">
        <v>103</v>
      </c>
      <c r="AW231" s="4" t="s">
        <v>97</v>
      </c>
      <c r="AX231" s="4" t="s">
        <v>97</v>
      </c>
      <c r="AY231" s="4" t="s">
        <v>97</v>
      </c>
      <c r="AZ231" s="4" t="s">
        <v>103</v>
      </c>
      <c r="BA231" s="4" t="s">
        <v>97</v>
      </c>
      <c r="BB231" s="5">
        <v>45925</v>
      </c>
      <c r="BC231" s="5">
        <v>45929</v>
      </c>
      <c r="BD231" s="5">
        <v>45929</v>
      </c>
      <c r="BE231" s="5">
        <v>45930</v>
      </c>
      <c r="BF231" s="4" t="s">
        <v>98</v>
      </c>
      <c r="BG231" s="4" t="s">
        <v>103</v>
      </c>
      <c r="BH231" s="4" t="s">
        <v>103</v>
      </c>
      <c r="BI231" s="4" t="s">
        <v>115</v>
      </c>
    </row>
    <row r="232" spans="1:61" x14ac:dyDescent="0.35">
      <c r="A232" s="8" t="str">
        <f t="shared" si="22"/>
        <v>Semaine 38-2025</v>
      </c>
      <c r="B232" s="8" t="str">
        <f t="shared" si="18"/>
        <v>2025</v>
      </c>
      <c r="C232" s="2" t="s">
        <v>31</v>
      </c>
      <c r="D232" s="6" t="str">
        <f t="shared" si="19"/>
        <v>Dakar</v>
      </c>
      <c r="E232" s="6">
        <f t="shared" si="20"/>
        <v>424760</v>
      </c>
      <c r="F232" s="6">
        <f t="shared" si="21"/>
        <v>4042240</v>
      </c>
      <c r="G232" s="4" t="s">
        <v>710</v>
      </c>
      <c r="H232" s="4" t="s">
        <v>711</v>
      </c>
      <c r="I232" s="4">
        <v>3</v>
      </c>
      <c r="J232" s="4" t="s">
        <v>96</v>
      </c>
      <c r="K232" s="4"/>
      <c r="L232" s="4"/>
      <c r="M232" s="4"/>
      <c r="N232" s="4"/>
      <c r="O232" s="4" t="s">
        <v>238</v>
      </c>
      <c r="P232" s="4" t="s">
        <v>103</v>
      </c>
      <c r="Q232" s="4" t="s">
        <v>97</v>
      </c>
      <c r="R232" s="14" t="s">
        <v>100</v>
      </c>
      <c r="S232" s="14" t="s">
        <v>100</v>
      </c>
      <c r="T232" s="14" t="s">
        <v>100</v>
      </c>
      <c r="U232" s="8"/>
      <c r="V232" s="14"/>
      <c r="W232" s="14"/>
      <c r="X232" s="14"/>
      <c r="Y232" s="5">
        <v>45921</v>
      </c>
      <c r="Z232" s="5">
        <v>45924</v>
      </c>
      <c r="AA232" s="7" t="s">
        <v>103</v>
      </c>
      <c r="AB232" s="7"/>
      <c r="AC232" s="7" t="s">
        <v>97</v>
      </c>
      <c r="AD232" s="7" t="s">
        <v>97</v>
      </c>
      <c r="AE232" s="7" t="s">
        <v>97</v>
      </c>
      <c r="AF232" s="7" t="s">
        <v>97</v>
      </c>
      <c r="AG232" s="7" t="s">
        <v>97</v>
      </c>
      <c r="AH232" s="7" t="s">
        <v>103</v>
      </c>
      <c r="AI232" s="5">
        <v>45921</v>
      </c>
      <c r="AJ232" s="7" t="s">
        <v>97</v>
      </c>
      <c r="AK232" s="7" t="s">
        <v>103</v>
      </c>
      <c r="AL232" s="7" t="s">
        <v>97</v>
      </c>
      <c r="AM232" s="7" t="s">
        <v>103</v>
      </c>
      <c r="AN232" s="7" t="s">
        <v>103</v>
      </c>
      <c r="AO232" s="7" t="s">
        <v>97</v>
      </c>
      <c r="AP232" s="7" t="s">
        <v>97</v>
      </c>
      <c r="AQ232" s="7" t="s">
        <v>97</v>
      </c>
      <c r="AR232" s="7" t="s">
        <v>97</v>
      </c>
      <c r="AS232" s="7" t="s">
        <v>97</v>
      </c>
      <c r="AT232" s="7"/>
      <c r="AU232" s="7"/>
      <c r="AV232" s="4" t="s">
        <v>97</v>
      </c>
      <c r="AW232" s="4" t="s">
        <v>97</v>
      </c>
      <c r="AX232" s="4" t="s">
        <v>103</v>
      </c>
      <c r="AY232" s="4" t="s">
        <v>97</v>
      </c>
      <c r="AZ232" s="4" t="s">
        <v>103</v>
      </c>
      <c r="BA232" s="4" t="s">
        <v>97</v>
      </c>
      <c r="BB232" s="5">
        <v>45924</v>
      </c>
      <c r="BC232" s="5">
        <v>45924</v>
      </c>
      <c r="BD232" s="5">
        <v>45924</v>
      </c>
      <c r="BE232" s="5">
        <v>45931</v>
      </c>
      <c r="BF232" s="4" t="s">
        <v>98</v>
      </c>
      <c r="BG232" s="4" t="s">
        <v>97</v>
      </c>
      <c r="BH232" s="4" t="s">
        <v>103</v>
      </c>
      <c r="BI232" s="4" t="s">
        <v>115</v>
      </c>
    </row>
    <row r="233" spans="1:61" x14ac:dyDescent="0.35">
      <c r="A233" s="8" t="str">
        <f t="shared" si="22"/>
        <v>Semaine 39-2025</v>
      </c>
      <c r="B233" s="8" t="str">
        <f t="shared" si="18"/>
        <v>2025</v>
      </c>
      <c r="C233" s="2" t="s">
        <v>75</v>
      </c>
      <c r="D233" s="6" t="str">
        <f t="shared" si="19"/>
        <v>Diourbel</v>
      </c>
      <c r="E233" s="6">
        <f t="shared" si="20"/>
        <v>996481</v>
      </c>
      <c r="F233" s="6">
        <f t="shared" si="21"/>
        <v>1980827</v>
      </c>
      <c r="G233" s="4" t="s">
        <v>712</v>
      </c>
      <c r="H233" s="4" t="s">
        <v>717</v>
      </c>
      <c r="I233" s="4">
        <v>6</v>
      </c>
      <c r="J233" s="4" t="s">
        <v>114</v>
      </c>
      <c r="K233" s="4"/>
      <c r="L233" s="4"/>
      <c r="M233" s="4"/>
      <c r="N233" s="4"/>
      <c r="O233" s="4" t="s">
        <v>238</v>
      </c>
      <c r="P233" s="4" t="s">
        <v>97</v>
      </c>
      <c r="Q233" s="4" t="s">
        <v>97</v>
      </c>
      <c r="R233" s="14" t="s">
        <v>100</v>
      </c>
      <c r="S233" s="14" t="s">
        <v>100</v>
      </c>
      <c r="T233" s="14" t="s">
        <v>100</v>
      </c>
      <c r="U233" s="8"/>
      <c r="V233" s="14"/>
      <c r="W233" s="14"/>
      <c r="X233" s="14"/>
      <c r="Y233" s="5">
        <v>45925</v>
      </c>
      <c r="Z233" s="5">
        <v>45930</v>
      </c>
      <c r="AA233" s="7" t="s">
        <v>97</v>
      </c>
      <c r="AB233" s="7" t="s">
        <v>546</v>
      </c>
      <c r="AC233" s="7" t="s">
        <v>103</v>
      </c>
      <c r="AD233" s="7" t="s">
        <v>97</v>
      </c>
      <c r="AE233" s="7" t="s">
        <v>97</v>
      </c>
      <c r="AF233" s="7" t="s">
        <v>97</v>
      </c>
      <c r="AG233" s="7" t="s">
        <v>97</v>
      </c>
      <c r="AH233" s="7" t="s">
        <v>103</v>
      </c>
      <c r="AI233" s="5">
        <v>45925</v>
      </c>
      <c r="AJ233" s="7" t="s">
        <v>97</v>
      </c>
      <c r="AK233" s="7" t="s">
        <v>97</v>
      </c>
      <c r="AL233" s="7" t="s">
        <v>97</v>
      </c>
      <c r="AM233" s="7" t="s">
        <v>103</v>
      </c>
      <c r="AN233" s="7" t="s">
        <v>103</v>
      </c>
      <c r="AO233" s="7" t="s">
        <v>97</v>
      </c>
      <c r="AP233" s="7" t="s">
        <v>97</v>
      </c>
      <c r="AQ233" s="7" t="s">
        <v>97</v>
      </c>
      <c r="AR233" s="7" t="s">
        <v>97</v>
      </c>
      <c r="AS233" s="7" t="s">
        <v>97</v>
      </c>
      <c r="AT233" s="7"/>
      <c r="AU233" s="7"/>
      <c r="AV233" s="4" t="s">
        <v>97</v>
      </c>
      <c r="AW233" s="4" t="s">
        <v>97</v>
      </c>
      <c r="AX233" s="4" t="s">
        <v>97</v>
      </c>
      <c r="AY233" s="4" t="s">
        <v>97</v>
      </c>
      <c r="AZ233" s="4" t="s">
        <v>103</v>
      </c>
      <c r="BA233" s="4" t="s">
        <v>97</v>
      </c>
      <c r="BB233" s="5">
        <v>45930</v>
      </c>
      <c r="BC233" s="5">
        <v>45931</v>
      </c>
      <c r="BD233" s="5">
        <v>45932</v>
      </c>
      <c r="BE233" s="5">
        <v>45932</v>
      </c>
      <c r="BF233" s="4" t="s">
        <v>98</v>
      </c>
      <c r="BG233" s="4" t="s">
        <v>97</v>
      </c>
      <c r="BH233" s="4" t="s">
        <v>103</v>
      </c>
      <c r="BI233" s="4" t="s">
        <v>145</v>
      </c>
    </row>
    <row r="234" spans="1:61" x14ac:dyDescent="0.35">
      <c r="A234" s="8" t="str">
        <f t="shared" si="22"/>
        <v>Semaine 39-2025</v>
      </c>
      <c r="B234" s="8" t="str">
        <f t="shared" si="18"/>
        <v>2025</v>
      </c>
      <c r="C234" s="2" t="s">
        <v>22</v>
      </c>
      <c r="D234" s="6" t="str">
        <f t="shared" si="19"/>
        <v>Louga</v>
      </c>
      <c r="E234" s="6">
        <f t="shared" si="20"/>
        <v>106333</v>
      </c>
      <c r="F234" s="6">
        <f t="shared" si="21"/>
        <v>1121619</v>
      </c>
      <c r="G234" s="4" t="s">
        <v>713</v>
      </c>
      <c r="H234" s="4" t="s">
        <v>718</v>
      </c>
      <c r="I234" s="4">
        <v>1</v>
      </c>
      <c r="J234" s="4" t="s">
        <v>96</v>
      </c>
      <c r="K234" s="4"/>
      <c r="L234" s="4"/>
      <c r="M234" s="4"/>
      <c r="N234" s="4"/>
      <c r="O234" s="4" t="s">
        <v>238</v>
      </c>
      <c r="P234" s="4" t="s">
        <v>97</v>
      </c>
      <c r="Q234" s="4" t="s">
        <v>97</v>
      </c>
      <c r="R234" s="14" t="s">
        <v>100</v>
      </c>
      <c r="S234" s="14" t="s">
        <v>100</v>
      </c>
      <c r="T234" s="14" t="s">
        <v>100</v>
      </c>
      <c r="U234" s="8"/>
      <c r="V234" s="14"/>
      <c r="W234" s="14"/>
      <c r="X234" s="14"/>
      <c r="Y234" s="5">
        <v>45926</v>
      </c>
      <c r="Z234" s="5">
        <v>45930</v>
      </c>
      <c r="AA234" s="7" t="s">
        <v>103</v>
      </c>
      <c r="AB234" s="7" t="s">
        <v>488</v>
      </c>
      <c r="AC234" s="7" t="s">
        <v>103</v>
      </c>
      <c r="AD234" s="7" t="s">
        <v>103</v>
      </c>
      <c r="AE234" s="7" t="s">
        <v>97</v>
      </c>
      <c r="AF234" s="7" t="s">
        <v>97</v>
      </c>
      <c r="AG234" s="7" t="s">
        <v>103</v>
      </c>
      <c r="AH234" s="7" t="s">
        <v>103</v>
      </c>
      <c r="AI234" s="5">
        <v>45926</v>
      </c>
      <c r="AJ234" s="7" t="s">
        <v>103</v>
      </c>
      <c r="AK234" s="7" t="s">
        <v>97</v>
      </c>
      <c r="AL234" s="7" t="s">
        <v>97</v>
      </c>
      <c r="AM234" s="7" t="s">
        <v>103</v>
      </c>
      <c r="AN234" s="7" t="s">
        <v>97</v>
      </c>
      <c r="AO234" s="7" t="s">
        <v>103</v>
      </c>
      <c r="AP234" s="7" t="s">
        <v>103</v>
      </c>
      <c r="AQ234" s="7" t="s">
        <v>97</v>
      </c>
      <c r="AR234" s="7" t="s">
        <v>97</v>
      </c>
      <c r="AS234" s="7" t="s">
        <v>97</v>
      </c>
      <c r="AT234" s="7"/>
      <c r="AU234" s="7"/>
      <c r="AV234" s="4" t="s">
        <v>103</v>
      </c>
      <c r="AW234" s="4" t="s">
        <v>97</v>
      </c>
      <c r="AX234" s="4" t="s">
        <v>97</v>
      </c>
      <c r="AY234" s="4" t="s">
        <v>97</v>
      </c>
      <c r="AZ234" s="4" t="s">
        <v>103</v>
      </c>
      <c r="BA234" s="4" t="s">
        <v>97</v>
      </c>
      <c r="BB234" s="5">
        <v>45930</v>
      </c>
      <c r="BC234" s="5">
        <v>45931</v>
      </c>
      <c r="BD234" s="5">
        <v>45932</v>
      </c>
      <c r="BE234" s="5">
        <v>45932</v>
      </c>
      <c r="BF234" s="4" t="s">
        <v>98</v>
      </c>
      <c r="BG234" s="4" t="s">
        <v>97</v>
      </c>
      <c r="BH234" s="4" t="s">
        <v>103</v>
      </c>
      <c r="BI234" s="4" t="s">
        <v>115</v>
      </c>
    </row>
    <row r="235" spans="1:61" x14ac:dyDescent="0.35">
      <c r="A235" s="8" t="str">
        <f t="shared" si="22"/>
        <v>Semaine 38-2025</v>
      </c>
      <c r="B235" s="8" t="str">
        <f t="shared" si="18"/>
        <v>2025</v>
      </c>
      <c r="C235" s="2" t="s">
        <v>70</v>
      </c>
      <c r="D235" s="6" t="str">
        <f t="shared" si="19"/>
        <v>Fatick</v>
      </c>
      <c r="E235" s="6">
        <f t="shared" si="20"/>
        <v>198755</v>
      </c>
      <c r="F235" s="6">
        <f t="shared" si="21"/>
        <v>965914</v>
      </c>
      <c r="G235" s="4" t="s">
        <v>714</v>
      </c>
      <c r="H235" s="4" t="s">
        <v>719</v>
      </c>
      <c r="I235" s="4">
        <v>21</v>
      </c>
      <c r="J235" s="4" t="s">
        <v>96</v>
      </c>
      <c r="K235" s="4"/>
      <c r="L235" s="4"/>
      <c r="M235" s="4"/>
      <c r="N235" s="4"/>
      <c r="O235" s="4" t="s">
        <v>238</v>
      </c>
      <c r="P235" s="4" t="s">
        <v>97</v>
      </c>
      <c r="Q235" s="4" t="s">
        <v>97</v>
      </c>
      <c r="R235" s="14" t="s">
        <v>100</v>
      </c>
      <c r="S235" s="14" t="s">
        <v>100</v>
      </c>
      <c r="T235" s="14" t="s">
        <v>100</v>
      </c>
      <c r="U235" s="8"/>
      <c r="V235" s="14"/>
      <c r="W235" s="14"/>
      <c r="X235" s="14"/>
      <c r="Y235" s="5">
        <v>45920</v>
      </c>
      <c r="Z235" s="5">
        <v>45924</v>
      </c>
      <c r="AA235" s="7" t="s">
        <v>103</v>
      </c>
      <c r="AB235" s="7" t="s">
        <v>477</v>
      </c>
      <c r="AC235" s="7" t="s">
        <v>97</v>
      </c>
      <c r="AD235" s="7" t="s">
        <v>97</v>
      </c>
      <c r="AE235" s="7" t="s">
        <v>97</v>
      </c>
      <c r="AF235" s="7" t="s">
        <v>97</v>
      </c>
      <c r="AG235" s="7" t="s">
        <v>97</v>
      </c>
      <c r="AH235" s="7" t="s">
        <v>103</v>
      </c>
      <c r="AI235" s="5">
        <v>45920</v>
      </c>
      <c r="AJ235" s="7" t="s">
        <v>103</v>
      </c>
      <c r="AK235" s="7" t="s">
        <v>103</v>
      </c>
      <c r="AL235" s="7" t="s">
        <v>97</v>
      </c>
      <c r="AM235" s="7" t="s">
        <v>103</v>
      </c>
      <c r="AN235" s="7" t="s">
        <v>97</v>
      </c>
      <c r="AO235" s="7" t="s">
        <v>97</v>
      </c>
      <c r="AP235" s="7" t="s">
        <v>103</v>
      </c>
      <c r="AQ235" s="7" t="s">
        <v>97</v>
      </c>
      <c r="AR235" s="7" t="s">
        <v>97</v>
      </c>
      <c r="AS235" s="7" t="s">
        <v>97</v>
      </c>
      <c r="AT235" s="7"/>
      <c r="AU235" s="7"/>
      <c r="AV235" s="4" t="s">
        <v>103</v>
      </c>
      <c r="AW235" s="4" t="s">
        <v>97</v>
      </c>
      <c r="AX235" s="4" t="s">
        <v>97</v>
      </c>
      <c r="AY235" s="4" t="s">
        <v>97</v>
      </c>
      <c r="AZ235" s="4" t="s">
        <v>103</v>
      </c>
      <c r="BA235" s="4" t="s">
        <v>97</v>
      </c>
      <c r="BB235" s="5">
        <v>45929</v>
      </c>
      <c r="BC235" s="5">
        <v>45930</v>
      </c>
      <c r="BD235" s="5">
        <v>45930</v>
      </c>
      <c r="BE235" s="5">
        <v>45932</v>
      </c>
      <c r="BF235" s="4" t="s">
        <v>98</v>
      </c>
      <c r="BG235" s="4" t="s">
        <v>97</v>
      </c>
      <c r="BH235" s="4" t="s">
        <v>103</v>
      </c>
      <c r="BI235" s="4" t="s">
        <v>115</v>
      </c>
    </row>
    <row r="236" spans="1:61" x14ac:dyDescent="0.35">
      <c r="A236" s="8" t="str">
        <f t="shared" si="22"/>
        <v>Semaine 38-2025</v>
      </c>
      <c r="B236" s="8" t="str">
        <f t="shared" si="18"/>
        <v>2025</v>
      </c>
      <c r="C236" s="2" t="s">
        <v>18</v>
      </c>
      <c r="D236" s="6" t="str">
        <f t="shared" si="19"/>
        <v>Dakar</v>
      </c>
      <c r="E236" s="6">
        <f t="shared" si="20"/>
        <v>419489</v>
      </c>
      <c r="F236" s="6">
        <f t="shared" si="21"/>
        <v>4042240</v>
      </c>
      <c r="G236" s="4" t="s">
        <v>715</v>
      </c>
      <c r="H236" s="4" t="s">
        <v>720</v>
      </c>
      <c r="I236" s="4">
        <v>3</v>
      </c>
      <c r="J236" s="4" t="s">
        <v>114</v>
      </c>
      <c r="K236" s="4"/>
      <c r="L236" s="4"/>
      <c r="M236" s="4"/>
      <c r="N236" s="4"/>
      <c r="O236" s="4" t="s">
        <v>238</v>
      </c>
      <c r="P236" s="4" t="s">
        <v>97</v>
      </c>
      <c r="Q236" s="4" t="s">
        <v>97</v>
      </c>
      <c r="R236" s="14" t="s">
        <v>100</v>
      </c>
      <c r="S236" s="14" t="s">
        <v>100</v>
      </c>
      <c r="T236" s="14" t="s">
        <v>100</v>
      </c>
      <c r="U236" s="8"/>
      <c r="V236" s="14"/>
      <c r="W236" s="14"/>
      <c r="X236" s="14"/>
      <c r="Y236" s="5">
        <v>45916</v>
      </c>
      <c r="Z236" s="5">
        <v>45930</v>
      </c>
      <c r="AA236" s="7" t="s">
        <v>97</v>
      </c>
      <c r="AB236" s="7"/>
      <c r="AC236" s="7" t="s">
        <v>97</v>
      </c>
      <c r="AD236" s="7" t="s">
        <v>97</v>
      </c>
      <c r="AE236" s="7" t="s">
        <v>97</v>
      </c>
      <c r="AF236" s="7" t="s">
        <v>97</v>
      </c>
      <c r="AG236" s="7" t="s">
        <v>97</v>
      </c>
      <c r="AH236" s="7" t="s">
        <v>103</v>
      </c>
      <c r="AI236" s="5">
        <v>45916</v>
      </c>
      <c r="AJ236" s="7" t="s">
        <v>103</v>
      </c>
      <c r="AK236" s="7" t="s">
        <v>97</v>
      </c>
      <c r="AL236" s="7" t="s">
        <v>103</v>
      </c>
      <c r="AM236" s="7" t="s">
        <v>97</v>
      </c>
      <c r="AN236" s="7" t="s">
        <v>97</v>
      </c>
      <c r="AO236" s="7" t="s">
        <v>97</v>
      </c>
      <c r="AP236" s="7" t="s">
        <v>97</v>
      </c>
      <c r="AQ236" s="7" t="s">
        <v>103</v>
      </c>
      <c r="AR236" s="7" t="s">
        <v>97</v>
      </c>
      <c r="AS236" s="7" t="s">
        <v>97</v>
      </c>
      <c r="AT236" s="7"/>
      <c r="AU236" s="7"/>
      <c r="AV236" s="4" t="s">
        <v>103</v>
      </c>
      <c r="AW236" s="4" t="s">
        <v>97</v>
      </c>
      <c r="AX236" s="4" t="s">
        <v>97</v>
      </c>
      <c r="AY236" s="4" t="s">
        <v>97</v>
      </c>
      <c r="AZ236" s="4" t="s">
        <v>103</v>
      </c>
      <c r="BA236" s="4" t="s">
        <v>97</v>
      </c>
      <c r="BB236" s="5">
        <v>45930</v>
      </c>
      <c r="BC236" s="5">
        <v>45930</v>
      </c>
      <c r="BD236" s="5">
        <v>45930</v>
      </c>
      <c r="BE236" s="5">
        <v>45932</v>
      </c>
      <c r="BF236" s="4" t="s">
        <v>98</v>
      </c>
      <c r="BG236" s="4" t="s">
        <v>97</v>
      </c>
      <c r="BH236" s="4" t="s">
        <v>103</v>
      </c>
      <c r="BI236" s="4" t="s">
        <v>115</v>
      </c>
    </row>
    <row r="237" spans="1:61" x14ac:dyDescent="0.35">
      <c r="A237" s="8" t="str">
        <f t="shared" si="22"/>
        <v>Semaine 39-2025</v>
      </c>
      <c r="B237" s="8" t="str">
        <f t="shared" si="18"/>
        <v>2025</v>
      </c>
      <c r="C237" s="2" t="s">
        <v>19</v>
      </c>
      <c r="D237" s="6" t="str">
        <f t="shared" si="19"/>
        <v>Dakar</v>
      </c>
      <c r="E237" s="6">
        <f t="shared" si="20"/>
        <v>565040</v>
      </c>
      <c r="F237" s="6">
        <f t="shared" si="21"/>
        <v>4042240</v>
      </c>
      <c r="G237" s="4" t="s">
        <v>716</v>
      </c>
      <c r="H237" s="4" t="s">
        <v>721</v>
      </c>
      <c r="I237" s="4">
        <v>49</v>
      </c>
      <c r="J237" s="4" t="s">
        <v>114</v>
      </c>
      <c r="K237" s="4"/>
      <c r="L237" s="4"/>
      <c r="M237" s="4"/>
      <c r="N237" s="4"/>
      <c r="O237" s="4" t="s">
        <v>238</v>
      </c>
      <c r="P237" s="4" t="s">
        <v>97</v>
      </c>
      <c r="Q237" s="4" t="s">
        <v>103</v>
      </c>
      <c r="R237" s="14" t="s">
        <v>100</v>
      </c>
      <c r="S237" s="14" t="s">
        <v>100</v>
      </c>
      <c r="T237" s="14" t="s">
        <v>100</v>
      </c>
      <c r="U237" s="8"/>
      <c r="V237" s="14"/>
      <c r="W237" s="14"/>
      <c r="X237" s="14"/>
      <c r="Y237" s="5">
        <v>45927</v>
      </c>
      <c r="Z237" s="5">
        <v>45930</v>
      </c>
      <c r="AA237" s="7" t="s">
        <v>103</v>
      </c>
      <c r="AB237" s="7" t="s">
        <v>488</v>
      </c>
      <c r="AC237" s="7" t="s">
        <v>103</v>
      </c>
      <c r="AD237" s="7" t="s">
        <v>97</v>
      </c>
      <c r="AE237" s="7" t="s">
        <v>97</v>
      </c>
      <c r="AF237" s="7" t="s">
        <v>103</v>
      </c>
      <c r="AG237" s="7" t="s">
        <v>103</v>
      </c>
      <c r="AH237" s="7" t="s">
        <v>103</v>
      </c>
      <c r="AI237" s="5">
        <v>45928</v>
      </c>
      <c r="AJ237" s="7" t="s">
        <v>103</v>
      </c>
      <c r="AK237" s="7" t="s">
        <v>97</v>
      </c>
      <c r="AL237" s="7" t="s">
        <v>97</v>
      </c>
      <c r="AM237" s="7" t="s">
        <v>97</v>
      </c>
      <c r="AN237" s="7" t="s">
        <v>103</v>
      </c>
      <c r="AO237" s="7" t="s">
        <v>103</v>
      </c>
      <c r="AP237" s="7" t="s">
        <v>97</v>
      </c>
      <c r="AQ237" s="7" t="s">
        <v>97</v>
      </c>
      <c r="AR237" s="7" t="s">
        <v>97</v>
      </c>
      <c r="AS237" s="7" t="s">
        <v>97</v>
      </c>
      <c r="AT237" s="7"/>
      <c r="AU237" s="7"/>
      <c r="AV237" s="4" t="s">
        <v>103</v>
      </c>
      <c r="AW237" s="4" t="s">
        <v>97</v>
      </c>
      <c r="AX237" s="4" t="s">
        <v>97</v>
      </c>
      <c r="AY237" s="4" t="s">
        <v>97</v>
      </c>
      <c r="AZ237" s="4" t="s">
        <v>97</v>
      </c>
      <c r="BA237" s="4" t="s">
        <v>97</v>
      </c>
      <c r="BB237" s="5">
        <v>45930</v>
      </c>
      <c r="BC237" s="5">
        <v>45930</v>
      </c>
      <c r="BD237" s="5">
        <v>45930</v>
      </c>
      <c r="BE237" s="5">
        <v>45932</v>
      </c>
      <c r="BF237" s="4" t="s">
        <v>98</v>
      </c>
      <c r="BG237" s="4" t="s">
        <v>97</v>
      </c>
      <c r="BH237" s="4" t="s">
        <v>103</v>
      </c>
      <c r="BI237" s="4" t="s">
        <v>115</v>
      </c>
    </row>
    <row r="238" spans="1:61" x14ac:dyDescent="0.35">
      <c r="A238" s="8" t="str">
        <f t="shared" si="22"/>
        <v>Semaine 40-2025</v>
      </c>
      <c r="B238" s="8" t="str">
        <f t="shared" si="18"/>
        <v>2025</v>
      </c>
      <c r="C238" s="2" t="s">
        <v>23</v>
      </c>
      <c r="D238" s="6" t="str">
        <f t="shared" si="19"/>
        <v>Dakar</v>
      </c>
      <c r="E238" s="6">
        <f t="shared" si="20"/>
        <v>167577</v>
      </c>
      <c r="F238" s="6">
        <f t="shared" si="21"/>
        <v>4042240</v>
      </c>
      <c r="G238" s="4" t="s">
        <v>722</v>
      </c>
      <c r="H238" s="4" t="s">
        <v>726</v>
      </c>
      <c r="I238" s="4">
        <v>9</v>
      </c>
      <c r="J238" s="4" t="s">
        <v>114</v>
      </c>
      <c r="K238" s="4"/>
      <c r="L238" s="4"/>
      <c r="M238" s="4"/>
      <c r="N238" s="4"/>
      <c r="O238" s="4" t="s">
        <v>238</v>
      </c>
      <c r="P238" s="4" t="s">
        <v>97</v>
      </c>
      <c r="Q238" s="4" t="s">
        <v>97</v>
      </c>
      <c r="R238" s="14" t="s">
        <v>100</v>
      </c>
      <c r="S238" s="14" t="s">
        <v>100</v>
      </c>
      <c r="T238" s="14" t="s">
        <v>100</v>
      </c>
      <c r="U238" s="8"/>
      <c r="V238" s="14"/>
      <c r="W238" s="14"/>
      <c r="X238" s="14"/>
      <c r="Y238" s="5">
        <v>45929</v>
      </c>
      <c r="Z238" s="5">
        <v>45931</v>
      </c>
      <c r="AA238" s="7"/>
      <c r="AB238" s="7"/>
      <c r="AC238" s="7"/>
      <c r="AD238" s="7"/>
      <c r="AE238" s="7"/>
      <c r="AF238" s="7"/>
      <c r="AG238" s="7"/>
      <c r="AH238" s="7"/>
      <c r="AI238" s="7"/>
      <c r="AJ238" s="7"/>
      <c r="AK238" s="7"/>
      <c r="AL238" s="7"/>
      <c r="AM238" s="7"/>
      <c r="AN238" s="7"/>
      <c r="AO238" s="7"/>
      <c r="AP238" s="7"/>
      <c r="AQ238" s="7"/>
      <c r="AR238" s="7"/>
      <c r="AS238" s="7"/>
      <c r="AT238" s="7"/>
      <c r="AU238" s="7"/>
      <c r="AV238" s="4" t="s">
        <v>103</v>
      </c>
      <c r="AW238" s="4" t="s">
        <v>97</v>
      </c>
      <c r="AX238" s="4" t="s">
        <v>97</v>
      </c>
      <c r="AY238" s="4" t="s">
        <v>97</v>
      </c>
      <c r="AZ238" s="4" t="s">
        <v>103</v>
      </c>
      <c r="BA238" s="4" t="s">
        <v>97</v>
      </c>
      <c r="BB238" s="5">
        <v>45931</v>
      </c>
      <c r="BC238" s="5">
        <v>45931</v>
      </c>
      <c r="BD238" s="5">
        <v>45931</v>
      </c>
      <c r="BE238" s="5">
        <v>45933</v>
      </c>
      <c r="BF238" s="4" t="s">
        <v>98</v>
      </c>
      <c r="BG238" s="4" t="s">
        <v>97</v>
      </c>
      <c r="BH238" s="4" t="s">
        <v>103</v>
      </c>
      <c r="BI238" s="4" t="s">
        <v>115</v>
      </c>
    </row>
    <row r="239" spans="1:61" x14ac:dyDescent="0.35">
      <c r="A239" s="8" t="str">
        <f t="shared" si="22"/>
        <v>Semaine 40-2025</v>
      </c>
      <c r="B239" s="8" t="str">
        <f t="shared" si="18"/>
        <v>2025</v>
      </c>
      <c r="C239" s="2" t="s">
        <v>20</v>
      </c>
      <c r="D239" s="6" t="str">
        <f t="shared" si="19"/>
        <v>Dakar</v>
      </c>
      <c r="E239" s="6">
        <f t="shared" si="20"/>
        <v>272276</v>
      </c>
      <c r="F239" s="6">
        <f t="shared" si="21"/>
        <v>4042240</v>
      </c>
      <c r="G239" s="4" t="s">
        <v>723</v>
      </c>
      <c r="H239" s="4" t="s">
        <v>727</v>
      </c>
      <c r="I239" s="4">
        <v>27</v>
      </c>
      <c r="J239" s="4" t="s">
        <v>114</v>
      </c>
      <c r="K239" s="4"/>
      <c r="L239" s="4"/>
      <c r="M239" s="4"/>
      <c r="N239" s="4"/>
      <c r="O239" s="4" t="s">
        <v>238</v>
      </c>
      <c r="P239" s="4" t="s">
        <v>97</v>
      </c>
      <c r="Q239" s="4" t="s">
        <v>97</v>
      </c>
      <c r="R239" s="14" t="s">
        <v>100</v>
      </c>
      <c r="S239" s="14" t="s">
        <v>100</v>
      </c>
      <c r="T239" s="14" t="s">
        <v>100</v>
      </c>
      <c r="U239" s="8"/>
      <c r="V239" s="14"/>
      <c r="W239" s="14"/>
      <c r="X239" s="14"/>
      <c r="Y239" s="5">
        <v>45930</v>
      </c>
      <c r="Z239" s="5">
        <v>45931</v>
      </c>
      <c r="AA239" s="7" t="s">
        <v>103</v>
      </c>
      <c r="AB239" s="7" t="s">
        <v>272</v>
      </c>
      <c r="AC239" s="7" t="s">
        <v>103</v>
      </c>
      <c r="AD239" s="7" t="s">
        <v>103</v>
      </c>
      <c r="AE239" s="7" t="s">
        <v>103</v>
      </c>
      <c r="AF239" s="7" t="s">
        <v>103</v>
      </c>
      <c r="AG239" s="7" t="s">
        <v>103</v>
      </c>
      <c r="AH239" s="7" t="s">
        <v>103</v>
      </c>
      <c r="AI239" s="5">
        <v>45930</v>
      </c>
      <c r="AJ239" s="7" t="s">
        <v>97</v>
      </c>
      <c r="AK239" s="7" t="s">
        <v>103</v>
      </c>
      <c r="AL239" s="7" t="s">
        <v>97</v>
      </c>
      <c r="AM239" s="7" t="s">
        <v>103</v>
      </c>
      <c r="AN239" s="7" t="s">
        <v>97</v>
      </c>
      <c r="AO239" s="7" t="s">
        <v>103</v>
      </c>
      <c r="AP239" s="7" t="s">
        <v>103</v>
      </c>
      <c r="AQ239" s="7" t="s">
        <v>103</v>
      </c>
      <c r="AR239" s="7" t="s">
        <v>103</v>
      </c>
      <c r="AS239" s="7" t="s">
        <v>103</v>
      </c>
      <c r="AT239" s="7"/>
      <c r="AU239" s="7"/>
      <c r="AV239" s="4" t="s">
        <v>103</v>
      </c>
      <c r="AW239" s="4" t="s">
        <v>97</v>
      </c>
      <c r="AX239" s="4" t="s">
        <v>97</v>
      </c>
      <c r="AY239" s="4" t="s">
        <v>97</v>
      </c>
      <c r="AZ239" s="4" t="s">
        <v>103</v>
      </c>
      <c r="BA239" s="4" t="s">
        <v>97</v>
      </c>
      <c r="BB239" s="5">
        <v>45931</v>
      </c>
      <c r="BC239" s="5">
        <v>45931</v>
      </c>
      <c r="BD239" s="5">
        <v>45931</v>
      </c>
      <c r="BE239" s="5">
        <v>45933</v>
      </c>
      <c r="BF239" s="4" t="s">
        <v>98</v>
      </c>
      <c r="BG239" s="4" t="s">
        <v>97</v>
      </c>
      <c r="BH239" s="4" t="s">
        <v>103</v>
      </c>
      <c r="BI239" s="4" t="s">
        <v>115</v>
      </c>
    </row>
    <row r="240" spans="1:61" x14ac:dyDescent="0.35">
      <c r="A240" s="8" t="str">
        <f t="shared" si="22"/>
        <v>Semaine 39-2025</v>
      </c>
      <c r="B240" s="8" t="str">
        <f t="shared" si="18"/>
        <v>2025</v>
      </c>
      <c r="C240" s="2" t="s">
        <v>52</v>
      </c>
      <c r="D240" s="6" t="str">
        <f t="shared" si="19"/>
        <v>Kaolack</v>
      </c>
      <c r="E240" s="6">
        <f t="shared" si="20"/>
        <v>231613</v>
      </c>
      <c r="F240" s="6">
        <f t="shared" si="21"/>
        <v>1267013</v>
      </c>
      <c r="G240" s="4" t="s">
        <v>724</v>
      </c>
      <c r="H240" s="4" t="s">
        <v>728</v>
      </c>
      <c r="I240" s="4">
        <v>86</v>
      </c>
      <c r="J240" s="4" t="s">
        <v>96</v>
      </c>
      <c r="K240" s="4"/>
      <c r="L240" s="4"/>
      <c r="M240" s="4"/>
      <c r="N240" s="4"/>
      <c r="O240" s="4" t="s">
        <v>238</v>
      </c>
      <c r="P240" s="4" t="s">
        <v>97</v>
      </c>
      <c r="Q240" s="4" t="s">
        <v>97</v>
      </c>
      <c r="R240" s="14" t="s">
        <v>100</v>
      </c>
      <c r="S240" s="14" t="s">
        <v>100</v>
      </c>
      <c r="T240" s="14" t="s">
        <v>100</v>
      </c>
      <c r="U240" s="8"/>
      <c r="V240" s="14"/>
      <c r="W240" s="14"/>
      <c r="X240" s="14"/>
      <c r="Y240" s="5">
        <v>45924</v>
      </c>
      <c r="Z240" s="5">
        <v>45929</v>
      </c>
      <c r="AA240" s="5" t="s">
        <v>97</v>
      </c>
      <c r="AB240" s="7" t="s">
        <v>546</v>
      </c>
      <c r="AC240" s="5" t="s">
        <v>103</v>
      </c>
      <c r="AD240" s="5" t="s">
        <v>97</v>
      </c>
      <c r="AE240" s="5" t="s">
        <v>97</v>
      </c>
      <c r="AF240" s="5" t="s">
        <v>103</v>
      </c>
      <c r="AG240" s="5" t="s">
        <v>97</v>
      </c>
      <c r="AH240" s="5" t="s">
        <v>103</v>
      </c>
      <c r="AI240" s="5">
        <v>45924</v>
      </c>
      <c r="AJ240" s="5" t="s">
        <v>103</v>
      </c>
      <c r="AK240" s="5" t="s">
        <v>97</v>
      </c>
      <c r="AL240" s="5" t="s">
        <v>103</v>
      </c>
      <c r="AM240" s="5" t="s">
        <v>97</v>
      </c>
      <c r="AN240" s="5" t="s">
        <v>103</v>
      </c>
      <c r="AO240" s="5" t="s">
        <v>97</v>
      </c>
      <c r="AP240" s="5" t="s">
        <v>97</v>
      </c>
      <c r="AQ240" s="5" t="s">
        <v>97</v>
      </c>
      <c r="AR240" s="5" t="s">
        <v>97</v>
      </c>
      <c r="AS240" s="5" t="s">
        <v>97</v>
      </c>
      <c r="AT240" s="5"/>
      <c r="AU240" s="5"/>
      <c r="AV240" s="4" t="s">
        <v>103</v>
      </c>
      <c r="AW240" s="4" t="s">
        <v>97</v>
      </c>
      <c r="AX240" s="4" t="s">
        <v>97</v>
      </c>
      <c r="AY240" s="4" t="s">
        <v>97</v>
      </c>
      <c r="AZ240" s="4" t="s">
        <v>103</v>
      </c>
      <c r="BA240" s="4" t="s">
        <v>97</v>
      </c>
      <c r="BB240" s="5">
        <v>45930</v>
      </c>
      <c r="BC240" s="5">
        <v>45931</v>
      </c>
      <c r="BD240" s="5">
        <v>45931</v>
      </c>
      <c r="BE240" s="5">
        <v>45933</v>
      </c>
      <c r="BF240" s="4" t="s">
        <v>98</v>
      </c>
      <c r="BG240" s="4" t="s">
        <v>97</v>
      </c>
      <c r="BH240" s="4" t="s">
        <v>103</v>
      </c>
      <c r="BI240" s="4" t="s">
        <v>115</v>
      </c>
    </row>
    <row r="241" spans="1:61" x14ac:dyDescent="0.35">
      <c r="A241" s="8" t="str">
        <f t="shared" si="22"/>
        <v>Semaine 36-2025</v>
      </c>
      <c r="B241" s="8" t="str">
        <f t="shared" si="18"/>
        <v>2025</v>
      </c>
      <c r="C241" s="2" t="s">
        <v>18</v>
      </c>
      <c r="D241" s="6" t="str">
        <f t="shared" si="19"/>
        <v>Dakar</v>
      </c>
      <c r="E241" s="6">
        <f t="shared" si="20"/>
        <v>419489</v>
      </c>
      <c r="F241" s="6">
        <f t="shared" si="21"/>
        <v>4042240</v>
      </c>
      <c r="G241" s="4" t="s">
        <v>725</v>
      </c>
      <c r="H241" s="4" t="s">
        <v>729</v>
      </c>
      <c r="I241" s="4">
        <v>84</v>
      </c>
      <c r="J241" s="4" t="s">
        <v>114</v>
      </c>
      <c r="K241" s="4" t="s">
        <v>256</v>
      </c>
      <c r="L241" s="5">
        <v>45839</v>
      </c>
      <c r="M241" s="4"/>
      <c r="N241" s="4"/>
      <c r="O241" s="4" t="s">
        <v>238</v>
      </c>
      <c r="P241" s="4" t="s">
        <v>97</v>
      </c>
      <c r="Q241" s="4" t="s">
        <v>97</v>
      </c>
      <c r="R241" s="14" t="s">
        <v>100</v>
      </c>
      <c r="S241" s="14" t="s">
        <v>100</v>
      </c>
      <c r="T241" s="14" t="s">
        <v>100</v>
      </c>
      <c r="U241" s="8"/>
      <c r="V241" s="14"/>
      <c r="W241" s="14"/>
      <c r="X241" s="14"/>
      <c r="Y241" s="5">
        <v>45901</v>
      </c>
      <c r="Z241" s="5">
        <v>45931</v>
      </c>
      <c r="AA241" s="5" t="s">
        <v>97</v>
      </c>
      <c r="AB241" s="5"/>
      <c r="AC241" s="5" t="s">
        <v>97</v>
      </c>
      <c r="AD241" s="5" t="s">
        <v>97</v>
      </c>
      <c r="AE241" s="5" t="s">
        <v>97</v>
      </c>
      <c r="AF241" s="5" t="s">
        <v>103</v>
      </c>
      <c r="AG241" s="5" t="s">
        <v>97</v>
      </c>
      <c r="AH241" s="5" t="s">
        <v>103</v>
      </c>
      <c r="AI241" s="5">
        <v>45924</v>
      </c>
      <c r="AJ241" s="5" t="s">
        <v>103</v>
      </c>
      <c r="AK241" s="5" t="s">
        <v>103</v>
      </c>
      <c r="AL241" s="5" t="s">
        <v>103</v>
      </c>
      <c r="AM241" s="5" t="s">
        <v>103</v>
      </c>
      <c r="AN241" s="5" t="s">
        <v>103</v>
      </c>
      <c r="AO241" s="5" t="s">
        <v>97</v>
      </c>
      <c r="AP241" s="5" t="s">
        <v>103</v>
      </c>
      <c r="AQ241" s="5" t="s">
        <v>97</v>
      </c>
      <c r="AR241" s="5" t="s">
        <v>97</v>
      </c>
      <c r="AS241" s="5" t="s">
        <v>97</v>
      </c>
      <c r="AT241" s="5"/>
      <c r="AU241" s="5"/>
      <c r="AV241" s="4" t="s">
        <v>103</v>
      </c>
      <c r="AW241" s="4" t="s">
        <v>97</v>
      </c>
      <c r="AX241" s="4" t="s">
        <v>103</v>
      </c>
      <c r="AY241" s="4" t="s">
        <v>97</v>
      </c>
      <c r="AZ241" s="4" t="s">
        <v>103</v>
      </c>
      <c r="BA241" s="4" t="s">
        <v>97</v>
      </c>
      <c r="BB241" s="5">
        <v>45931</v>
      </c>
      <c r="BC241" s="5">
        <v>45931</v>
      </c>
      <c r="BD241" s="5">
        <v>45931</v>
      </c>
      <c r="BE241" s="5">
        <v>45933</v>
      </c>
      <c r="BF241" s="4" t="s">
        <v>98</v>
      </c>
      <c r="BG241" s="4" t="s">
        <v>103</v>
      </c>
      <c r="BH241" s="4" t="s">
        <v>103</v>
      </c>
      <c r="BI241" s="4" t="s">
        <v>115</v>
      </c>
    </row>
    <row r="242" spans="1:61" x14ac:dyDescent="0.35">
      <c r="A242" s="8" t="str">
        <f t="shared" si="22"/>
        <v>Semaine 39-2025</v>
      </c>
      <c r="B242" s="8" t="str">
        <f t="shared" si="18"/>
        <v>2025</v>
      </c>
      <c r="C242" s="2" t="s">
        <v>50</v>
      </c>
      <c r="D242" s="6" t="str">
        <f t="shared" si="19"/>
        <v>Kolda</v>
      </c>
      <c r="E242" s="6">
        <f t="shared" si="20"/>
        <v>182525</v>
      </c>
      <c r="F242" s="6">
        <f t="shared" si="21"/>
        <v>875661</v>
      </c>
      <c r="G242" s="4" t="s">
        <v>730</v>
      </c>
      <c r="H242" s="4" t="s">
        <v>732</v>
      </c>
      <c r="I242" s="4">
        <v>40</v>
      </c>
      <c r="J242" s="4" t="s">
        <v>114</v>
      </c>
      <c r="K242" s="4"/>
      <c r="L242" s="4"/>
      <c r="M242" s="4"/>
      <c r="N242" s="4"/>
      <c r="O242" s="4" t="s">
        <v>238</v>
      </c>
      <c r="P242" s="4" t="s">
        <v>97</v>
      </c>
      <c r="Q242" s="4" t="s">
        <v>97</v>
      </c>
      <c r="R242" s="14" t="s">
        <v>100</v>
      </c>
      <c r="S242" s="14" t="s">
        <v>100</v>
      </c>
      <c r="T242" s="14" t="s">
        <v>100</v>
      </c>
      <c r="U242" s="8"/>
      <c r="V242" s="14"/>
      <c r="W242" s="14"/>
      <c r="X242" s="14"/>
      <c r="Y242" s="5">
        <v>45922</v>
      </c>
      <c r="Z242" s="5">
        <v>45930</v>
      </c>
      <c r="AA242" s="5" t="s">
        <v>97</v>
      </c>
      <c r="AB242" s="5"/>
      <c r="AC242" s="5" t="s">
        <v>97</v>
      </c>
      <c r="AD242" s="5" t="s">
        <v>97</v>
      </c>
      <c r="AE242" s="5" t="s">
        <v>97</v>
      </c>
      <c r="AF242" s="5" t="s">
        <v>103</v>
      </c>
      <c r="AG242" s="5" t="s">
        <v>103</v>
      </c>
      <c r="AH242" s="5" t="s">
        <v>103</v>
      </c>
      <c r="AI242" s="5">
        <v>45922</v>
      </c>
      <c r="AJ242" s="5" t="s">
        <v>103</v>
      </c>
      <c r="AK242" s="5" t="s">
        <v>97</v>
      </c>
      <c r="AL242" s="5" t="s">
        <v>103</v>
      </c>
      <c r="AM242" s="5" t="s">
        <v>97</v>
      </c>
      <c r="AN242" s="5" t="s">
        <v>103</v>
      </c>
      <c r="AO242" s="5" t="s">
        <v>97</v>
      </c>
      <c r="AP242" s="5" t="s">
        <v>103</v>
      </c>
      <c r="AQ242" s="5" t="s">
        <v>97</v>
      </c>
      <c r="AR242" s="5" t="s">
        <v>97</v>
      </c>
      <c r="AS242" s="5" t="s">
        <v>97</v>
      </c>
      <c r="AT242" s="5"/>
      <c r="AU242" s="5"/>
      <c r="AV242" s="4" t="s">
        <v>103</v>
      </c>
      <c r="AW242" s="4" t="s">
        <v>97</v>
      </c>
      <c r="AX242" s="4" t="s">
        <v>97</v>
      </c>
      <c r="AY242" s="4" t="s">
        <v>97</v>
      </c>
      <c r="AZ242" s="4" t="s">
        <v>103</v>
      </c>
      <c r="BA242" s="4" t="s">
        <v>97</v>
      </c>
      <c r="BB242" s="5">
        <v>45930</v>
      </c>
      <c r="BC242" s="5">
        <v>45930</v>
      </c>
      <c r="BD242" s="5">
        <v>45932</v>
      </c>
      <c r="BE242" s="5">
        <v>45934</v>
      </c>
      <c r="BF242" s="4" t="s">
        <v>98</v>
      </c>
      <c r="BG242" s="4" t="s">
        <v>97</v>
      </c>
      <c r="BH242" s="4" t="s">
        <v>103</v>
      </c>
      <c r="BI242" s="4" t="s">
        <v>115</v>
      </c>
    </row>
    <row r="243" spans="1:61" x14ac:dyDescent="0.35">
      <c r="A243" s="8" t="str">
        <f t="shared" si="22"/>
        <v>Semaine 36-2025</v>
      </c>
      <c r="B243" s="8" t="str">
        <f t="shared" si="18"/>
        <v>2025</v>
      </c>
      <c r="C243" s="2" t="s">
        <v>52</v>
      </c>
      <c r="D243" s="6" t="str">
        <f t="shared" si="19"/>
        <v>Kaolack</v>
      </c>
      <c r="E243" s="6">
        <f t="shared" si="20"/>
        <v>231613</v>
      </c>
      <c r="F243" s="6">
        <f t="shared" si="21"/>
        <v>1267013</v>
      </c>
      <c r="G243" s="4" t="s">
        <v>731</v>
      </c>
      <c r="H243" s="4" t="s">
        <v>733</v>
      </c>
      <c r="I243" s="4">
        <v>50</v>
      </c>
      <c r="J243" s="4" t="s">
        <v>96</v>
      </c>
      <c r="K243" s="4"/>
      <c r="L243" s="4"/>
      <c r="M243" s="4"/>
      <c r="N243" s="4"/>
      <c r="O243" s="4" t="s">
        <v>238</v>
      </c>
      <c r="P243" s="4" t="s">
        <v>97</v>
      </c>
      <c r="Q243" s="4" t="s">
        <v>97</v>
      </c>
      <c r="R243" s="14" t="s">
        <v>100</v>
      </c>
      <c r="S243" s="14" t="s">
        <v>100</v>
      </c>
      <c r="T243" s="14" t="s">
        <v>100</v>
      </c>
      <c r="U243" s="8"/>
      <c r="V243" s="14"/>
      <c r="W243" s="14"/>
      <c r="X243" s="14"/>
      <c r="Y243" s="5">
        <v>45901</v>
      </c>
      <c r="Z243" s="5">
        <v>45931</v>
      </c>
      <c r="AA243" s="5" t="s">
        <v>97</v>
      </c>
      <c r="AB243" s="5" t="s">
        <v>537</v>
      </c>
      <c r="AC243" s="5" t="s">
        <v>97</v>
      </c>
      <c r="AD243" s="5" t="s">
        <v>97</v>
      </c>
      <c r="AE243" s="5" t="s">
        <v>97</v>
      </c>
      <c r="AF243" s="5" t="s">
        <v>103</v>
      </c>
      <c r="AG243" s="5" t="s">
        <v>103</v>
      </c>
      <c r="AH243" s="5" t="s">
        <v>103</v>
      </c>
      <c r="AI243" s="5">
        <v>45901</v>
      </c>
      <c r="AJ243" s="5" t="s">
        <v>103</v>
      </c>
      <c r="AK243" s="5" t="s">
        <v>103</v>
      </c>
      <c r="AL243" s="5" t="s">
        <v>97</v>
      </c>
      <c r="AM243" s="5" t="s">
        <v>97</v>
      </c>
      <c r="AN243" s="5" t="s">
        <v>103</v>
      </c>
      <c r="AO243" s="5" t="s">
        <v>97</v>
      </c>
      <c r="AP243" s="5" t="s">
        <v>97</v>
      </c>
      <c r="AQ243" s="5" t="s">
        <v>97</v>
      </c>
      <c r="AR243" s="5" t="s">
        <v>97</v>
      </c>
      <c r="AS243" s="5" t="s">
        <v>97</v>
      </c>
      <c r="AT243" s="5"/>
      <c r="AU243" s="5"/>
      <c r="AV243" s="4" t="s">
        <v>103</v>
      </c>
      <c r="AW243" s="4" t="s">
        <v>103</v>
      </c>
      <c r="AX243" s="4" t="s">
        <v>97</v>
      </c>
      <c r="AY243" s="4" t="s">
        <v>97</v>
      </c>
      <c r="AZ243" s="4" t="s">
        <v>97</v>
      </c>
      <c r="BA243" s="4" t="s">
        <v>97</v>
      </c>
      <c r="BB243" s="5">
        <v>45931</v>
      </c>
      <c r="BC243" s="5">
        <v>45932</v>
      </c>
      <c r="BD243" s="5">
        <v>45932</v>
      </c>
      <c r="BE243" s="5">
        <v>45934</v>
      </c>
      <c r="BF243" s="4" t="s">
        <v>98</v>
      </c>
      <c r="BG243" s="4" t="s">
        <v>97</v>
      </c>
      <c r="BH243" s="4" t="s">
        <v>103</v>
      </c>
      <c r="BI243" s="4" t="s">
        <v>115</v>
      </c>
    </row>
    <row r="244" spans="1:61" x14ac:dyDescent="0.35">
      <c r="A244" s="8" t="str">
        <f t="shared" si="22"/>
        <v>Semaine 39-2025</v>
      </c>
      <c r="B244" s="8" t="str">
        <f t="shared" si="18"/>
        <v>2025</v>
      </c>
      <c r="C244" s="2" t="s">
        <v>2</v>
      </c>
      <c r="D244" s="6" t="str">
        <f t="shared" si="19"/>
        <v>Fatick</v>
      </c>
      <c r="E244" s="6">
        <f t="shared" si="20"/>
        <v>151740</v>
      </c>
      <c r="F244" s="6">
        <f t="shared" si="21"/>
        <v>965914</v>
      </c>
      <c r="G244" s="4" t="s">
        <v>734</v>
      </c>
      <c r="H244" s="4" t="s">
        <v>742</v>
      </c>
      <c r="I244" s="4">
        <v>9</v>
      </c>
      <c r="J244" s="4" t="s">
        <v>114</v>
      </c>
      <c r="K244" s="4"/>
      <c r="L244" s="4"/>
      <c r="M244" s="4"/>
      <c r="N244" s="4"/>
      <c r="O244" s="4" t="s">
        <v>238</v>
      </c>
      <c r="P244" s="4" t="s">
        <v>97</v>
      </c>
      <c r="Q244" s="4" t="s">
        <v>97</v>
      </c>
      <c r="R244" s="14" t="s">
        <v>100</v>
      </c>
      <c r="S244" s="14" t="s">
        <v>100</v>
      </c>
      <c r="T244" s="14" t="s">
        <v>100</v>
      </c>
      <c r="U244" s="8"/>
      <c r="V244" s="14"/>
      <c r="W244" s="14"/>
      <c r="X244" s="14"/>
      <c r="Y244" s="5">
        <v>45928</v>
      </c>
      <c r="Z244" s="5">
        <v>45931</v>
      </c>
      <c r="AA244" s="5" t="s">
        <v>103</v>
      </c>
      <c r="AB244" s="5" t="s">
        <v>272</v>
      </c>
      <c r="AC244" s="5" t="s">
        <v>97</v>
      </c>
      <c r="AD244" s="5" t="s">
        <v>103</v>
      </c>
      <c r="AE244" s="5" t="s">
        <v>97</v>
      </c>
      <c r="AF244" s="5" t="s">
        <v>97</v>
      </c>
      <c r="AG244" s="5" t="s">
        <v>97</v>
      </c>
      <c r="AH244" s="5" t="s">
        <v>103</v>
      </c>
      <c r="AI244" s="5">
        <v>45928</v>
      </c>
      <c r="AJ244" s="5" t="s">
        <v>103</v>
      </c>
      <c r="AK244" s="5" t="s">
        <v>103</v>
      </c>
      <c r="AL244" s="5" t="s">
        <v>97</v>
      </c>
      <c r="AM244" s="5" t="s">
        <v>103</v>
      </c>
      <c r="AN244" s="5" t="s">
        <v>103</v>
      </c>
      <c r="AO244" s="5" t="s">
        <v>103</v>
      </c>
      <c r="AP244" s="5" t="s">
        <v>103</v>
      </c>
      <c r="AQ244" s="5" t="s">
        <v>103</v>
      </c>
      <c r="AR244" s="5" t="s">
        <v>103</v>
      </c>
      <c r="AS244" s="5" t="s">
        <v>103</v>
      </c>
      <c r="AT244" s="5"/>
      <c r="AU244" s="5"/>
      <c r="AV244" s="4" t="s">
        <v>103</v>
      </c>
      <c r="AW244" s="4" t="s">
        <v>97</v>
      </c>
      <c r="AX244" s="4" t="s">
        <v>97</v>
      </c>
      <c r="AY244" s="4" t="s">
        <v>97</v>
      </c>
      <c r="AZ244" s="4" t="s">
        <v>103</v>
      </c>
      <c r="BA244" s="4" t="s">
        <v>97</v>
      </c>
      <c r="BB244" s="5">
        <v>45931</v>
      </c>
      <c r="BC244" s="5">
        <v>45932</v>
      </c>
      <c r="BD244" s="5">
        <v>45933</v>
      </c>
      <c r="BE244" s="5">
        <v>45935</v>
      </c>
      <c r="BF244" s="4" t="s">
        <v>98</v>
      </c>
      <c r="BG244" s="4" t="s">
        <v>97</v>
      </c>
      <c r="BH244" s="4" t="s">
        <v>103</v>
      </c>
      <c r="BI244" s="4" t="s">
        <v>115</v>
      </c>
    </row>
    <row r="245" spans="1:61" x14ac:dyDescent="0.35">
      <c r="A245" s="8" t="str">
        <f t="shared" si="22"/>
        <v>Semaine 38-2025</v>
      </c>
      <c r="B245" s="8" t="str">
        <f t="shared" si="18"/>
        <v>2025</v>
      </c>
      <c r="C245" s="2" t="s">
        <v>20</v>
      </c>
      <c r="D245" s="6" t="str">
        <f t="shared" si="19"/>
        <v>Dakar</v>
      </c>
      <c r="E245" s="6">
        <f t="shared" si="20"/>
        <v>272276</v>
      </c>
      <c r="F245" s="6">
        <f t="shared" si="21"/>
        <v>4042240</v>
      </c>
      <c r="G245" s="4" t="s">
        <v>735</v>
      </c>
      <c r="H245" s="4" t="s">
        <v>743</v>
      </c>
      <c r="I245" s="4">
        <v>17</v>
      </c>
      <c r="J245" s="4" t="s">
        <v>114</v>
      </c>
      <c r="K245" s="4"/>
      <c r="L245" s="4"/>
      <c r="M245" s="4"/>
      <c r="N245" s="4"/>
      <c r="O245" s="4" t="s">
        <v>238</v>
      </c>
      <c r="P245" s="4" t="s">
        <v>97</v>
      </c>
      <c r="Q245" s="4" t="s">
        <v>97</v>
      </c>
      <c r="R245" s="14" t="s">
        <v>100</v>
      </c>
      <c r="S245" s="14" t="s">
        <v>100</v>
      </c>
      <c r="T245" s="14" t="s">
        <v>100</v>
      </c>
      <c r="U245" s="8"/>
      <c r="V245" s="14"/>
      <c r="W245" s="14"/>
      <c r="X245" s="14"/>
      <c r="Y245" s="5">
        <v>45919</v>
      </c>
      <c r="Z245" s="5">
        <v>45933</v>
      </c>
      <c r="AA245" s="5" t="s">
        <v>97</v>
      </c>
      <c r="AB245" s="5" t="s">
        <v>392</v>
      </c>
      <c r="AC245" s="5" t="s">
        <v>103</v>
      </c>
      <c r="AD245" s="5" t="s">
        <v>97</v>
      </c>
      <c r="AE245" s="5" t="s">
        <v>97</v>
      </c>
      <c r="AF245" s="5" t="s">
        <v>97</v>
      </c>
      <c r="AG245" s="5" t="s">
        <v>97</v>
      </c>
      <c r="AH245" s="5" t="s">
        <v>103</v>
      </c>
      <c r="AI245" s="5">
        <v>45931</v>
      </c>
      <c r="AJ245" s="5" t="s">
        <v>103</v>
      </c>
      <c r="AK245" s="5" t="s">
        <v>97</v>
      </c>
      <c r="AL245" s="5" t="s">
        <v>97</v>
      </c>
      <c r="AM245" s="5" t="s">
        <v>97</v>
      </c>
      <c r="AN245" s="5" t="s">
        <v>103</v>
      </c>
      <c r="AO245" s="5" t="s">
        <v>97</v>
      </c>
      <c r="AP245" s="5" t="s">
        <v>97</v>
      </c>
      <c r="AQ245" s="5" t="s">
        <v>97</v>
      </c>
      <c r="AR245" s="5" t="s">
        <v>97</v>
      </c>
      <c r="AS245" s="5" t="s">
        <v>97</v>
      </c>
      <c r="AT245" s="5"/>
      <c r="AU245" s="5"/>
      <c r="AV245" s="4" t="s">
        <v>97</v>
      </c>
      <c r="AW245" s="4" t="s">
        <v>97</v>
      </c>
      <c r="AX245" s="4" t="s">
        <v>97</v>
      </c>
      <c r="AY245" s="4" t="s">
        <v>97</v>
      </c>
      <c r="AZ245" s="4" t="s">
        <v>103</v>
      </c>
      <c r="BA245" s="4" t="s">
        <v>97</v>
      </c>
      <c r="BB245" s="5">
        <v>45933</v>
      </c>
      <c r="BC245" s="5">
        <v>45933</v>
      </c>
      <c r="BD245" s="5">
        <v>45933</v>
      </c>
      <c r="BE245" s="5">
        <v>45935</v>
      </c>
      <c r="BF245" s="4" t="s">
        <v>98</v>
      </c>
      <c r="BG245" s="4" t="s">
        <v>103</v>
      </c>
      <c r="BH245" s="4" t="s">
        <v>103</v>
      </c>
      <c r="BI245" s="4" t="s">
        <v>744</v>
      </c>
    </row>
    <row r="246" spans="1:61" x14ac:dyDescent="0.35">
      <c r="A246" s="8" t="str">
        <f t="shared" si="22"/>
        <v>Semaine 39-2025</v>
      </c>
      <c r="B246" s="8" t="str">
        <f t="shared" si="18"/>
        <v>2025</v>
      </c>
      <c r="C246" s="2" t="s">
        <v>31</v>
      </c>
      <c r="D246" s="6" t="str">
        <f t="shared" si="19"/>
        <v>Dakar</v>
      </c>
      <c r="E246" s="6">
        <f t="shared" si="20"/>
        <v>424760</v>
      </c>
      <c r="F246" s="6">
        <f t="shared" si="21"/>
        <v>4042240</v>
      </c>
      <c r="G246" s="4" t="s">
        <v>736</v>
      </c>
      <c r="H246" s="4" t="s">
        <v>745</v>
      </c>
      <c r="I246" s="4">
        <v>4</v>
      </c>
      <c r="J246" s="4" t="s">
        <v>96</v>
      </c>
      <c r="K246" s="4" t="s">
        <v>746</v>
      </c>
      <c r="L246" s="5">
        <v>45926</v>
      </c>
      <c r="M246" s="4"/>
      <c r="N246" s="4"/>
      <c r="O246" s="4" t="s">
        <v>238</v>
      </c>
      <c r="P246" s="4" t="s">
        <v>97</v>
      </c>
      <c r="Q246" s="4" t="s">
        <v>97</v>
      </c>
      <c r="R246" s="14" t="s">
        <v>100</v>
      </c>
      <c r="S246" s="14" t="s">
        <v>100</v>
      </c>
      <c r="T246" s="14" t="s">
        <v>100</v>
      </c>
      <c r="U246" s="8"/>
      <c r="V246" s="14"/>
      <c r="W246" s="14"/>
      <c r="X246" s="14"/>
      <c r="Y246" s="5">
        <v>45926</v>
      </c>
      <c r="Z246" s="5">
        <v>45933</v>
      </c>
      <c r="AA246" s="5" t="s">
        <v>103</v>
      </c>
      <c r="AB246" s="5" t="s">
        <v>314</v>
      </c>
      <c r="AC246" s="5" t="s">
        <v>97</v>
      </c>
      <c r="AD246" s="5" t="s">
        <v>97</v>
      </c>
      <c r="AE246" s="5" t="s">
        <v>97</v>
      </c>
      <c r="AF246" s="5" t="s">
        <v>97</v>
      </c>
      <c r="AG246" s="5" t="s">
        <v>97</v>
      </c>
      <c r="AH246" s="5" t="s">
        <v>103</v>
      </c>
      <c r="AI246" s="5">
        <v>45931</v>
      </c>
      <c r="AJ246" s="5" t="s">
        <v>103</v>
      </c>
      <c r="AK246" s="5" t="s">
        <v>97</v>
      </c>
      <c r="AL246" s="5" t="s">
        <v>97</v>
      </c>
      <c r="AM246" s="5" t="s">
        <v>103</v>
      </c>
      <c r="AN246" s="5" t="s">
        <v>103</v>
      </c>
      <c r="AO246" s="5" t="s">
        <v>97</v>
      </c>
      <c r="AP246" s="5" t="s">
        <v>97</v>
      </c>
      <c r="AQ246" s="5" t="s">
        <v>97</v>
      </c>
      <c r="AR246" s="5" t="s">
        <v>97</v>
      </c>
      <c r="AS246" s="5" t="s">
        <v>97</v>
      </c>
      <c r="AT246" s="5"/>
      <c r="AU246" s="5"/>
      <c r="AV246" s="4" t="s">
        <v>103</v>
      </c>
      <c r="AW246" s="4" t="s">
        <v>97</v>
      </c>
      <c r="AX246" s="4" t="s">
        <v>97</v>
      </c>
      <c r="AY246" s="4" t="s">
        <v>97</v>
      </c>
      <c r="AZ246" s="4" t="s">
        <v>103</v>
      </c>
      <c r="BA246" s="4" t="s">
        <v>97</v>
      </c>
      <c r="BB246" s="5">
        <v>45933</v>
      </c>
      <c r="BC246" s="5">
        <v>45933</v>
      </c>
      <c r="BD246" s="5">
        <v>45933</v>
      </c>
      <c r="BE246" s="5">
        <v>45935</v>
      </c>
      <c r="BF246" s="4" t="s">
        <v>98</v>
      </c>
      <c r="BG246" s="4" t="s">
        <v>97</v>
      </c>
      <c r="BH246" s="4" t="s">
        <v>103</v>
      </c>
      <c r="BI246" s="4" t="s">
        <v>115</v>
      </c>
    </row>
    <row r="247" spans="1:61" x14ac:dyDescent="0.35">
      <c r="A247" s="8" t="str">
        <f t="shared" si="22"/>
        <v>Semaine 40-2025</v>
      </c>
      <c r="B247" s="8" t="str">
        <f t="shared" si="18"/>
        <v>2025</v>
      </c>
      <c r="C247" s="2" t="s">
        <v>49</v>
      </c>
      <c r="D247" s="6" t="str">
        <f t="shared" si="19"/>
        <v>Dakar</v>
      </c>
      <c r="E247" s="6">
        <f t="shared" si="20"/>
        <v>441950</v>
      </c>
      <c r="F247" s="6">
        <f t="shared" si="21"/>
        <v>4042240</v>
      </c>
      <c r="G247" s="4" t="s">
        <v>737</v>
      </c>
      <c r="H247" s="4" t="s">
        <v>747</v>
      </c>
      <c r="I247" s="4">
        <v>35</v>
      </c>
      <c r="J247" s="4" t="s">
        <v>114</v>
      </c>
      <c r="K247" s="4"/>
      <c r="L247" s="4"/>
      <c r="M247" s="4"/>
      <c r="N247" s="4"/>
      <c r="O247" s="4" t="s">
        <v>238</v>
      </c>
      <c r="P247" s="4" t="s">
        <v>97</v>
      </c>
      <c r="Q247" s="4" t="s">
        <v>97</v>
      </c>
      <c r="R247" s="14" t="s">
        <v>100</v>
      </c>
      <c r="S247" s="14" t="s">
        <v>100</v>
      </c>
      <c r="T247" s="14" t="s">
        <v>100</v>
      </c>
      <c r="U247" s="8"/>
      <c r="V247" s="14"/>
      <c r="W247" s="14"/>
      <c r="X247" s="14"/>
      <c r="Y247" s="5">
        <v>45932</v>
      </c>
      <c r="Z247" s="5">
        <v>45933</v>
      </c>
      <c r="AA247" s="5" t="s">
        <v>97</v>
      </c>
      <c r="AB247" s="5"/>
      <c r="AC247" s="5" t="s">
        <v>97</v>
      </c>
      <c r="AD247" s="5" t="s">
        <v>97</v>
      </c>
      <c r="AE247" s="5" t="s">
        <v>97</v>
      </c>
      <c r="AF247" s="5" t="s">
        <v>103</v>
      </c>
      <c r="AG247" s="5" t="s">
        <v>103</v>
      </c>
      <c r="AH247" s="5" t="s">
        <v>103</v>
      </c>
      <c r="AI247" s="5">
        <v>45932</v>
      </c>
      <c r="AJ247" s="5" t="s">
        <v>103</v>
      </c>
      <c r="AK247" s="5" t="s">
        <v>97</v>
      </c>
      <c r="AL247" s="5" t="s">
        <v>103</v>
      </c>
      <c r="AM247" s="5" t="s">
        <v>103</v>
      </c>
      <c r="AN247" s="5" t="s">
        <v>103</v>
      </c>
      <c r="AO247" s="5" t="s">
        <v>97</v>
      </c>
      <c r="AP247" s="5" t="s">
        <v>97</v>
      </c>
      <c r="AQ247" s="5" t="s">
        <v>97</v>
      </c>
      <c r="AR247" s="5" t="s">
        <v>97</v>
      </c>
      <c r="AS247" s="5" t="s">
        <v>97</v>
      </c>
      <c r="AT247" s="5"/>
      <c r="AU247" s="5"/>
      <c r="AV247" s="4" t="s">
        <v>103</v>
      </c>
      <c r="AW247" s="4" t="s">
        <v>97</v>
      </c>
      <c r="AX247" s="4" t="s">
        <v>97</v>
      </c>
      <c r="AY247" s="4" t="s">
        <v>97</v>
      </c>
      <c r="AZ247" s="4" t="s">
        <v>103</v>
      </c>
      <c r="BA247" s="4" t="s">
        <v>97</v>
      </c>
      <c r="BB247" s="5">
        <v>45933</v>
      </c>
      <c r="BC247" s="5">
        <v>45933</v>
      </c>
      <c r="BD247" s="5">
        <v>45933</v>
      </c>
      <c r="BE247" s="5">
        <v>45935</v>
      </c>
      <c r="BF247" s="4" t="s">
        <v>98</v>
      </c>
      <c r="BG247" s="4" t="s">
        <v>97</v>
      </c>
      <c r="BH247" s="4" t="s">
        <v>103</v>
      </c>
      <c r="BI247" s="4" t="s">
        <v>115</v>
      </c>
    </row>
    <row r="248" spans="1:61" x14ac:dyDescent="0.35">
      <c r="A248" s="8" t="str">
        <f t="shared" si="22"/>
        <v>Semaine 39-2025</v>
      </c>
      <c r="B248" s="8" t="str">
        <f t="shared" si="18"/>
        <v>2025</v>
      </c>
      <c r="C248" s="2" t="s">
        <v>31</v>
      </c>
      <c r="D248" s="6" t="str">
        <f t="shared" si="19"/>
        <v>Dakar</v>
      </c>
      <c r="E248" s="6">
        <f t="shared" si="20"/>
        <v>424760</v>
      </c>
      <c r="F248" s="6">
        <f t="shared" si="21"/>
        <v>4042240</v>
      </c>
      <c r="G248" s="4" t="s">
        <v>738</v>
      </c>
      <c r="H248" s="4" t="s">
        <v>748</v>
      </c>
      <c r="I248" s="4">
        <v>11</v>
      </c>
      <c r="J248" s="4" t="s">
        <v>96</v>
      </c>
      <c r="K248" s="4" t="s">
        <v>746</v>
      </c>
      <c r="L248" s="5">
        <v>45926</v>
      </c>
      <c r="M248" s="4"/>
      <c r="N248" s="4"/>
      <c r="O248" s="4" t="s">
        <v>238</v>
      </c>
      <c r="P248" s="4" t="s">
        <v>97</v>
      </c>
      <c r="Q248" s="4" t="s">
        <v>97</v>
      </c>
      <c r="R248" s="14" t="s">
        <v>100</v>
      </c>
      <c r="S248" s="14" t="s">
        <v>100</v>
      </c>
      <c r="T248" s="14" t="s">
        <v>100</v>
      </c>
      <c r="U248" s="8"/>
      <c r="V248" s="14"/>
      <c r="W248" s="14"/>
      <c r="X248" s="14"/>
      <c r="Y248" s="5">
        <v>45925</v>
      </c>
      <c r="Z248" s="5">
        <v>45933</v>
      </c>
      <c r="AA248" s="5" t="s">
        <v>103</v>
      </c>
      <c r="AB248" s="5" t="s">
        <v>509</v>
      </c>
      <c r="AC248" s="5" t="s">
        <v>97</v>
      </c>
      <c r="AD248" s="5" t="s">
        <v>97</v>
      </c>
      <c r="AE248" s="5" t="s">
        <v>97</v>
      </c>
      <c r="AF248" s="5" t="s">
        <v>97</v>
      </c>
      <c r="AG248" s="5" t="s">
        <v>97</v>
      </c>
      <c r="AH248" s="5" t="s">
        <v>103</v>
      </c>
      <c r="AI248" s="5">
        <v>45926</v>
      </c>
      <c r="AJ248" s="5" t="s">
        <v>103</v>
      </c>
      <c r="AK248" s="5" t="s">
        <v>97</v>
      </c>
      <c r="AL248" s="5" t="s">
        <v>97</v>
      </c>
      <c r="AM248" s="5" t="s">
        <v>103</v>
      </c>
      <c r="AN248" s="5" t="s">
        <v>103</v>
      </c>
      <c r="AO248" s="5" t="s">
        <v>97</v>
      </c>
      <c r="AP248" s="5" t="s">
        <v>97</v>
      </c>
      <c r="AQ248" s="5" t="s">
        <v>97</v>
      </c>
      <c r="AR248" s="5" t="s">
        <v>97</v>
      </c>
      <c r="AS248" s="5" t="s">
        <v>97</v>
      </c>
      <c r="AT248" s="5"/>
      <c r="AU248" s="5"/>
      <c r="AV248" s="4" t="s">
        <v>103</v>
      </c>
      <c r="AW248" s="4" t="s">
        <v>97</v>
      </c>
      <c r="AX248" s="4" t="s">
        <v>97</v>
      </c>
      <c r="AY248" s="4" t="s">
        <v>97</v>
      </c>
      <c r="AZ248" s="4" t="s">
        <v>103</v>
      </c>
      <c r="BA248" s="4" t="s">
        <v>97</v>
      </c>
      <c r="BB248" s="5">
        <v>45933</v>
      </c>
      <c r="BC248" s="5">
        <v>45933</v>
      </c>
      <c r="BD248" s="5">
        <v>45933</v>
      </c>
      <c r="BE248" s="5">
        <v>45935</v>
      </c>
      <c r="BF248" s="4" t="s">
        <v>98</v>
      </c>
      <c r="BG248" s="4" t="s">
        <v>97</v>
      </c>
      <c r="BH248" s="4" t="s">
        <v>103</v>
      </c>
      <c r="BI248" s="4" t="s">
        <v>115</v>
      </c>
    </row>
    <row r="249" spans="1:61" x14ac:dyDescent="0.35">
      <c r="A249" s="8" t="str">
        <f t="shared" si="22"/>
        <v>Semaine 40-2025</v>
      </c>
      <c r="B249" s="8" t="str">
        <f t="shared" si="18"/>
        <v>2025</v>
      </c>
      <c r="C249" s="2" t="s">
        <v>31</v>
      </c>
      <c r="D249" s="6" t="str">
        <f t="shared" si="19"/>
        <v>Dakar</v>
      </c>
      <c r="E249" s="6">
        <f t="shared" si="20"/>
        <v>424760</v>
      </c>
      <c r="F249" s="6">
        <f t="shared" si="21"/>
        <v>4042240</v>
      </c>
      <c r="G249" s="4" t="s">
        <v>739</v>
      </c>
      <c r="H249" s="4" t="s">
        <v>749</v>
      </c>
      <c r="I249" s="4">
        <v>1</v>
      </c>
      <c r="J249" s="4" t="s">
        <v>96</v>
      </c>
      <c r="K249" s="4" t="s">
        <v>746</v>
      </c>
      <c r="L249" s="5">
        <v>45926</v>
      </c>
      <c r="M249" s="4"/>
      <c r="N249" s="4"/>
      <c r="O249" s="4" t="s">
        <v>238</v>
      </c>
      <c r="P249" s="4" t="s">
        <v>97</v>
      </c>
      <c r="Q249" s="4" t="s">
        <v>97</v>
      </c>
      <c r="R249" s="14" t="s">
        <v>100</v>
      </c>
      <c r="S249" s="14" t="s">
        <v>100</v>
      </c>
      <c r="T249" s="14" t="s">
        <v>100</v>
      </c>
      <c r="U249" s="8"/>
      <c r="V249" s="14"/>
      <c r="W249" s="14"/>
      <c r="X249" s="14"/>
      <c r="Y249" s="5">
        <v>45929</v>
      </c>
      <c r="Z249" s="5">
        <v>45933</v>
      </c>
      <c r="AA249" s="5" t="s">
        <v>97</v>
      </c>
      <c r="AB249" s="5" t="s">
        <v>636</v>
      </c>
      <c r="AC249" s="5" t="s">
        <v>97</v>
      </c>
      <c r="AD249" s="5" t="s">
        <v>97</v>
      </c>
      <c r="AE249" s="5" t="s">
        <v>97</v>
      </c>
      <c r="AF249" s="5" t="s">
        <v>97</v>
      </c>
      <c r="AG249" s="5" t="s">
        <v>97</v>
      </c>
      <c r="AH249" s="5" t="s">
        <v>103</v>
      </c>
      <c r="AI249" s="5">
        <v>45931</v>
      </c>
      <c r="AJ249" s="5" t="s">
        <v>103</v>
      </c>
      <c r="AK249" s="5" t="s">
        <v>97</v>
      </c>
      <c r="AL249" s="5" t="s">
        <v>97</v>
      </c>
      <c r="AM249" s="5" t="s">
        <v>103</v>
      </c>
      <c r="AN249" s="5" t="s">
        <v>103</v>
      </c>
      <c r="AO249" s="5" t="s">
        <v>97</v>
      </c>
      <c r="AP249" s="5" t="s">
        <v>97</v>
      </c>
      <c r="AQ249" s="5" t="s">
        <v>97</v>
      </c>
      <c r="AR249" s="5" t="s">
        <v>97</v>
      </c>
      <c r="AS249" s="5" t="s">
        <v>97</v>
      </c>
      <c r="AT249" s="5"/>
      <c r="AU249" s="5"/>
      <c r="AV249" s="4" t="s">
        <v>103</v>
      </c>
      <c r="AW249" s="4" t="s">
        <v>97</v>
      </c>
      <c r="AX249" s="4" t="s">
        <v>97</v>
      </c>
      <c r="AY249" s="4" t="s">
        <v>97</v>
      </c>
      <c r="AZ249" s="4" t="s">
        <v>103</v>
      </c>
      <c r="BA249" s="4" t="s">
        <v>97</v>
      </c>
      <c r="BB249" s="5">
        <v>45933</v>
      </c>
      <c r="BC249" s="5">
        <v>45933</v>
      </c>
      <c r="BD249" s="5">
        <v>45933</v>
      </c>
      <c r="BE249" s="5">
        <v>45935</v>
      </c>
      <c r="BF249" s="4" t="s">
        <v>98</v>
      </c>
      <c r="BG249" s="4" t="s">
        <v>97</v>
      </c>
      <c r="BH249" s="4" t="s">
        <v>103</v>
      </c>
      <c r="BI249" s="4" t="s">
        <v>115</v>
      </c>
    </row>
    <row r="250" spans="1:61" x14ac:dyDescent="0.35">
      <c r="A250" s="8" t="str">
        <f t="shared" si="22"/>
        <v>Semaine 40-2025</v>
      </c>
      <c r="B250" s="8" t="str">
        <f t="shared" si="18"/>
        <v>2025</v>
      </c>
      <c r="C250" s="2" t="s">
        <v>18</v>
      </c>
      <c r="D250" s="6" t="str">
        <f t="shared" si="19"/>
        <v>Dakar</v>
      </c>
      <c r="E250" s="6">
        <f t="shared" si="20"/>
        <v>419489</v>
      </c>
      <c r="F250" s="6">
        <f t="shared" si="21"/>
        <v>4042240</v>
      </c>
      <c r="G250" s="4" t="s">
        <v>740</v>
      </c>
      <c r="H250" s="4" t="s">
        <v>750</v>
      </c>
      <c r="I250" s="4">
        <v>34</v>
      </c>
      <c r="J250" s="4" t="s">
        <v>114</v>
      </c>
      <c r="K250" s="4"/>
      <c r="L250" s="4"/>
      <c r="M250" s="4"/>
      <c r="N250" s="4"/>
      <c r="O250" s="4" t="s">
        <v>238</v>
      </c>
      <c r="P250" s="4" t="s">
        <v>97</v>
      </c>
      <c r="Q250" s="4" t="s">
        <v>97</v>
      </c>
      <c r="R250" s="14" t="s">
        <v>100</v>
      </c>
      <c r="S250" s="14" t="s">
        <v>100</v>
      </c>
      <c r="T250" s="14" t="s">
        <v>100</v>
      </c>
      <c r="U250" s="8"/>
      <c r="V250" s="14"/>
      <c r="W250" s="14"/>
      <c r="X250" s="14"/>
      <c r="Y250" s="5">
        <v>45930</v>
      </c>
      <c r="Z250" s="5">
        <v>45933</v>
      </c>
      <c r="AA250" s="5" t="s">
        <v>103</v>
      </c>
      <c r="AB250" s="5"/>
      <c r="AC250" s="5" t="s">
        <v>103</v>
      </c>
      <c r="AD250" s="5" t="s">
        <v>97</v>
      </c>
      <c r="AE250" s="5" t="s">
        <v>97</v>
      </c>
      <c r="AF250" s="5" t="s">
        <v>97</v>
      </c>
      <c r="AG250" s="5" t="s">
        <v>97</v>
      </c>
      <c r="AH250" s="5" t="s">
        <v>103</v>
      </c>
      <c r="AI250" s="5">
        <v>45930</v>
      </c>
      <c r="AJ250" s="5" t="s">
        <v>97</v>
      </c>
      <c r="AK250" s="5" t="s">
        <v>97</v>
      </c>
      <c r="AL250" s="5" t="s">
        <v>97</v>
      </c>
      <c r="AM250" s="5" t="s">
        <v>103</v>
      </c>
      <c r="AN250" s="5" t="s">
        <v>103</v>
      </c>
      <c r="AO250" s="5" t="s">
        <v>97</v>
      </c>
      <c r="AP250" s="5" t="s">
        <v>97</v>
      </c>
      <c r="AQ250" s="5" t="s">
        <v>97</v>
      </c>
      <c r="AR250" s="5" t="s">
        <v>97</v>
      </c>
      <c r="AS250" s="5" t="s">
        <v>97</v>
      </c>
      <c r="AT250" s="5" t="s">
        <v>751</v>
      </c>
      <c r="AU250" s="5"/>
      <c r="AV250" s="4" t="s">
        <v>103</v>
      </c>
      <c r="AW250" s="4" t="s">
        <v>97</v>
      </c>
      <c r="AX250" s="4" t="s">
        <v>97</v>
      </c>
      <c r="AY250" s="4" t="s">
        <v>97</v>
      </c>
      <c r="AZ250" s="4" t="s">
        <v>103</v>
      </c>
      <c r="BA250" s="4" t="s">
        <v>97</v>
      </c>
      <c r="BB250" s="5">
        <v>45933</v>
      </c>
      <c r="BC250" s="5">
        <v>45934</v>
      </c>
      <c r="BD250" s="5">
        <v>45934</v>
      </c>
      <c r="BE250" s="5">
        <v>45935</v>
      </c>
      <c r="BF250" s="4" t="s">
        <v>98</v>
      </c>
      <c r="BG250" s="4" t="s">
        <v>97</v>
      </c>
      <c r="BH250" s="4" t="s">
        <v>103</v>
      </c>
      <c r="BI250" s="4" t="s">
        <v>115</v>
      </c>
    </row>
    <row r="251" spans="1:61" x14ac:dyDescent="0.35">
      <c r="A251" s="8" t="str">
        <f t="shared" si="22"/>
        <v>Semaine 40-2025</v>
      </c>
      <c r="B251" s="8" t="str">
        <f t="shared" si="18"/>
        <v>2025</v>
      </c>
      <c r="C251" s="2" t="s">
        <v>18</v>
      </c>
      <c r="D251" s="6" t="str">
        <f t="shared" si="19"/>
        <v>Dakar</v>
      </c>
      <c r="E251" s="6">
        <f t="shared" si="20"/>
        <v>419489</v>
      </c>
      <c r="F251" s="6">
        <f t="shared" si="21"/>
        <v>4042240</v>
      </c>
      <c r="G251" s="4" t="s">
        <v>741</v>
      </c>
      <c r="H251" s="4" t="s">
        <v>752</v>
      </c>
      <c r="I251" s="4">
        <v>46</v>
      </c>
      <c r="J251" s="4" t="s">
        <v>114</v>
      </c>
      <c r="K251" s="4"/>
      <c r="L251" s="4"/>
      <c r="M251" s="4"/>
      <c r="N251" s="4"/>
      <c r="O251" s="4" t="s">
        <v>238</v>
      </c>
      <c r="P251" s="4" t="s">
        <v>97</v>
      </c>
      <c r="Q251" s="4" t="s">
        <v>97</v>
      </c>
      <c r="R251" s="14" t="s">
        <v>100</v>
      </c>
      <c r="S251" s="14" t="s">
        <v>100</v>
      </c>
      <c r="T251" s="14" t="s">
        <v>100</v>
      </c>
      <c r="U251" s="8"/>
      <c r="V251" s="14"/>
      <c r="W251" s="14"/>
      <c r="X251" s="14"/>
      <c r="Y251" s="5">
        <v>45932</v>
      </c>
      <c r="Z251" s="5">
        <v>45934</v>
      </c>
      <c r="AA251" s="5" t="s">
        <v>97</v>
      </c>
      <c r="AB251" s="5" t="s">
        <v>546</v>
      </c>
      <c r="AC251" s="5" t="s">
        <v>103</v>
      </c>
      <c r="AD251" s="5" t="s">
        <v>103</v>
      </c>
      <c r="AE251" s="5" t="s">
        <v>97</v>
      </c>
      <c r="AF251" s="5" t="s">
        <v>103</v>
      </c>
      <c r="AG251" s="5" t="s">
        <v>97</v>
      </c>
      <c r="AH251" s="5" t="s">
        <v>103</v>
      </c>
      <c r="AI251" s="5">
        <v>45932</v>
      </c>
      <c r="AJ251" s="5" t="s">
        <v>103</v>
      </c>
      <c r="AK251" s="5" t="s">
        <v>103</v>
      </c>
      <c r="AL251" s="5" t="s">
        <v>103</v>
      </c>
      <c r="AM251" s="5" t="s">
        <v>103</v>
      </c>
      <c r="AN251" s="5" t="s">
        <v>103</v>
      </c>
      <c r="AO251" s="5" t="s">
        <v>103</v>
      </c>
      <c r="AP251" s="5" t="s">
        <v>103</v>
      </c>
      <c r="AQ251" s="5" t="s">
        <v>97</v>
      </c>
      <c r="AR251" s="5" t="s">
        <v>103</v>
      </c>
      <c r="AS251" s="5" t="s">
        <v>103</v>
      </c>
      <c r="AT251" s="5"/>
      <c r="AU251" s="5"/>
      <c r="AV251" s="4" t="s">
        <v>103</v>
      </c>
      <c r="AW251" s="4" t="s">
        <v>97</v>
      </c>
      <c r="AX251" s="4" t="s">
        <v>97</v>
      </c>
      <c r="AY251" s="4" t="s">
        <v>97</v>
      </c>
      <c r="AZ251" s="4" t="s">
        <v>103</v>
      </c>
      <c r="BA251" s="4" t="s">
        <v>97</v>
      </c>
      <c r="BB251" s="5">
        <v>45934</v>
      </c>
      <c r="BC251" s="5">
        <v>45934</v>
      </c>
      <c r="BD251" s="5">
        <v>45934</v>
      </c>
      <c r="BE251" s="5">
        <v>45935</v>
      </c>
      <c r="BF251" s="4" t="s">
        <v>98</v>
      </c>
      <c r="BG251" s="4" t="s">
        <v>97</v>
      </c>
      <c r="BH251" s="4" t="s">
        <v>103</v>
      </c>
      <c r="BI251" s="4" t="s">
        <v>115</v>
      </c>
    </row>
    <row r="252" spans="1:61" x14ac:dyDescent="0.35">
      <c r="A252" s="8" t="str">
        <f t="shared" si="22"/>
        <v>Semaine 39-2025</v>
      </c>
      <c r="B252" s="8" t="str">
        <f t="shared" si="18"/>
        <v>2025</v>
      </c>
      <c r="C252" s="2" t="s">
        <v>4</v>
      </c>
      <c r="D252" s="6" t="str">
        <f t="shared" si="19"/>
        <v>Thies</v>
      </c>
      <c r="E252" s="6">
        <f t="shared" si="20"/>
        <v>462449</v>
      </c>
      <c r="F252" s="6">
        <f t="shared" si="21"/>
        <v>2280463</v>
      </c>
      <c r="G252" s="4" t="s">
        <v>753</v>
      </c>
      <c r="H252" s="4" t="s">
        <v>754</v>
      </c>
      <c r="I252" s="4">
        <v>12</v>
      </c>
      <c r="J252" s="4" t="s">
        <v>96</v>
      </c>
      <c r="K252" s="4"/>
      <c r="L252" s="4"/>
      <c r="M252" s="4"/>
      <c r="N252" s="4"/>
      <c r="O252" s="4" t="s">
        <v>238</v>
      </c>
      <c r="P252" s="4" t="s">
        <v>97</v>
      </c>
      <c r="Q252" s="4" t="s">
        <v>97</v>
      </c>
      <c r="R252" s="14" t="s">
        <v>100</v>
      </c>
      <c r="S252" s="14" t="s">
        <v>100</v>
      </c>
      <c r="T252" s="14" t="s">
        <v>100</v>
      </c>
      <c r="U252" s="8"/>
      <c r="V252" s="14"/>
      <c r="W252" s="14"/>
      <c r="X252" s="14"/>
      <c r="Y252" s="5">
        <v>45926</v>
      </c>
      <c r="Z252" s="5">
        <v>45933</v>
      </c>
      <c r="AA252" s="5" t="s">
        <v>103</v>
      </c>
      <c r="AB252" s="5"/>
      <c r="AC252" s="5" t="s">
        <v>103</v>
      </c>
      <c r="AD252" s="5" t="s">
        <v>97</v>
      </c>
      <c r="AE252" s="5" t="s">
        <v>97</v>
      </c>
      <c r="AF252" s="5" t="s">
        <v>97</v>
      </c>
      <c r="AG252" s="5" t="s">
        <v>97</v>
      </c>
      <c r="AH252" s="5" t="s">
        <v>103</v>
      </c>
      <c r="AI252" s="5">
        <v>45926</v>
      </c>
      <c r="AJ252" s="5" t="s">
        <v>97</v>
      </c>
      <c r="AK252" s="5" t="s">
        <v>97</v>
      </c>
      <c r="AL252" s="5" t="s">
        <v>103</v>
      </c>
      <c r="AM252" s="5" t="s">
        <v>97</v>
      </c>
      <c r="AN252" s="5" t="s">
        <v>103</v>
      </c>
      <c r="AO252" s="5" t="s">
        <v>97</v>
      </c>
      <c r="AP252" s="5" t="s">
        <v>97</v>
      </c>
      <c r="AQ252" s="5" t="s">
        <v>97</v>
      </c>
      <c r="AR252" s="5" t="s">
        <v>97</v>
      </c>
      <c r="AS252" s="5" t="s">
        <v>97</v>
      </c>
      <c r="AT252" s="5" t="s">
        <v>755</v>
      </c>
      <c r="AU252" s="5"/>
      <c r="AV252" s="4" t="s">
        <v>97</v>
      </c>
      <c r="AW252" s="4" t="s">
        <v>97</v>
      </c>
      <c r="AX252" s="4" t="s">
        <v>97</v>
      </c>
      <c r="AY252" s="4" t="s">
        <v>97</v>
      </c>
      <c r="AZ252" s="4" t="s">
        <v>103</v>
      </c>
      <c r="BA252" s="4" t="s">
        <v>97</v>
      </c>
      <c r="BB252" s="5">
        <v>45933</v>
      </c>
      <c r="BC252" s="5">
        <v>45936</v>
      </c>
      <c r="BD252" s="5">
        <v>45936</v>
      </c>
      <c r="BE252" s="5">
        <v>45936</v>
      </c>
      <c r="BF252" s="4" t="s">
        <v>98</v>
      </c>
      <c r="BG252" s="4" t="s">
        <v>97</v>
      </c>
      <c r="BH252" s="4" t="s">
        <v>103</v>
      </c>
      <c r="BI252" s="5" t="s">
        <v>360</v>
      </c>
    </row>
    <row r="253" spans="1:61" x14ac:dyDescent="0.35">
      <c r="A253" s="8" t="str">
        <f t="shared" si="22"/>
        <v>Semaine 40-2025</v>
      </c>
      <c r="B253" s="8" t="str">
        <f t="shared" si="18"/>
        <v>2025</v>
      </c>
      <c r="C253" s="2" t="s">
        <v>19</v>
      </c>
      <c r="D253" s="6" t="str">
        <f t="shared" si="19"/>
        <v>Dakar</v>
      </c>
      <c r="E253" s="6">
        <f t="shared" si="20"/>
        <v>565040</v>
      </c>
      <c r="F253" s="6">
        <f t="shared" si="21"/>
        <v>4042240</v>
      </c>
      <c r="G253" s="4" t="s">
        <v>756</v>
      </c>
      <c r="H253" s="4" t="s">
        <v>761</v>
      </c>
      <c r="I253" s="4">
        <v>18</v>
      </c>
      <c r="J253" s="4" t="s">
        <v>114</v>
      </c>
      <c r="K253" s="4" t="s">
        <v>256</v>
      </c>
      <c r="L253" s="5">
        <v>45930</v>
      </c>
      <c r="M253" s="4"/>
      <c r="N253" s="4"/>
      <c r="O253" s="4" t="s">
        <v>238</v>
      </c>
      <c r="P253" s="4" t="s">
        <v>97</v>
      </c>
      <c r="Q253" s="4" t="s">
        <v>97</v>
      </c>
      <c r="R253" s="14" t="s">
        <v>100</v>
      </c>
      <c r="S253" s="14" t="s">
        <v>100</v>
      </c>
      <c r="T253" s="14" t="s">
        <v>100</v>
      </c>
      <c r="U253" s="8"/>
      <c r="V253" s="14"/>
      <c r="W253" s="14"/>
      <c r="X253" s="14"/>
      <c r="Y253" s="5">
        <v>45930</v>
      </c>
      <c r="Z253" s="5">
        <v>45934</v>
      </c>
      <c r="AA253" s="5" t="s">
        <v>103</v>
      </c>
      <c r="AB253" s="5" t="s">
        <v>550</v>
      </c>
      <c r="AC253" s="5" t="s">
        <v>97</v>
      </c>
      <c r="AD253" s="5" t="s">
        <v>97</v>
      </c>
      <c r="AE253" s="5" t="s">
        <v>97</v>
      </c>
      <c r="AF253" s="5" t="s">
        <v>97</v>
      </c>
      <c r="AG253" s="5" t="s">
        <v>97</v>
      </c>
      <c r="AH253" s="5" t="s">
        <v>103</v>
      </c>
      <c r="AI253" s="5">
        <v>45930</v>
      </c>
      <c r="AJ253" s="5" t="s">
        <v>97</v>
      </c>
      <c r="AK253" s="5" t="s">
        <v>97</v>
      </c>
      <c r="AL253" s="5" t="s">
        <v>97</v>
      </c>
      <c r="AM253" s="5" t="s">
        <v>103</v>
      </c>
      <c r="AN253" s="5" t="s">
        <v>103</v>
      </c>
      <c r="AO253" s="5" t="s">
        <v>97</v>
      </c>
      <c r="AP253" s="5" t="s">
        <v>97</v>
      </c>
      <c r="AQ253" s="5" t="s">
        <v>97</v>
      </c>
      <c r="AR253" s="5" t="s">
        <v>97</v>
      </c>
      <c r="AS253" s="5" t="s">
        <v>97</v>
      </c>
      <c r="AT253" s="5"/>
      <c r="AU253" s="5"/>
      <c r="AV253" s="4" t="s">
        <v>103</v>
      </c>
      <c r="AW253" s="4" t="s">
        <v>97</v>
      </c>
      <c r="AX253" s="4" t="s">
        <v>97</v>
      </c>
      <c r="AY253" s="4" t="s">
        <v>97</v>
      </c>
      <c r="AZ253" s="4" t="s">
        <v>103</v>
      </c>
      <c r="BA253" s="4" t="s">
        <v>97</v>
      </c>
      <c r="BB253" s="5">
        <v>45934</v>
      </c>
      <c r="BC253" s="5">
        <v>45934</v>
      </c>
      <c r="BD253" s="5">
        <v>45936</v>
      </c>
      <c r="BE253" s="5">
        <v>45936</v>
      </c>
      <c r="BF253" s="4" t="s">
        <v>98</v>
      </c>
      <c r="BG253" s="4" t="s">
        <v>103</v>
      </c>
      <c r="BH253" s="4" t="s">
        <v>103</v>
      </c>
      <c r="BI253" s="4" t="s">
        <v>115</v>
      </c>
    </row>
    <row r="254" spans="1:61" x14ac:dyDescent="0.35">
      <c r="A254" s="8" t="str">
        <f t="shared" si="22"/>
        <v>Semaine 40-2025</v>
      </c>
      <c r="B254" s="8" t="str">
        <f t="shared" ref="B254:B318" si="27">RIGHT(A254,4)</f>
        <v>2025</v>
      </c>
      <c r="C254" s="2" t="s">
        <v>65</v>
      </c>
      <c r="D254" s="6" t="str">
        <f t="shared" ref="D254:D318" si="28">IF(C254="","",VLOOKUP(C254,district_region,2,FALSE))</f>
        <v>Saint-Louis</v>
      </c>
      <c r="E254" s="6">
        <f t="shared" ref="E254:E318" si="29">IF(C254="","",VLOOKUP(C254,liste_pop,3,FALSE))</f>
        <v>375150</v>
      </c>
      <c r="F254" s="6">
        <f t="shared" ref="F254:F318" si="30">IF(D254="","",IF(D254="Dakar",4042240,VLOOKUP(D254,liste_pop,4,FALSE)))</f>
        <v>1150065</v>
      </c>
      <c r="G254" s="4" t="s">
        <v>757</v>
      </c>
      <c r="H254" s="4" t="s">
        <v>762</v>
      </c>
      <c r="I254" s="4">
        <v>30</v>
      </c>
      <c r="J254" s="4" t="s">
        <v>96</v>
      </c>
      <c r="K254" s="4"/>
      <c r="L254" s="4"/>
      <c r="M254" s="4"/>
      <c r="N254" s="4"/>
      <c r="O254" s="4" t="s">
        <v>238</v>
      </c>
      <c r="P254" s="4" t="s">
        <v>97</v>
      </c>
      <c r="Q254" s="4" t="s">
        <v>97</v>
      </c>
      <c r="R254" s="14" t="s">
        <v>100</v>
      </c>
      <c r="S254" s="14" t="s">
        <v>100</v>
      </c>
      <c r="T254" s="14" t="s">
        <v>100</v>
      </c>
      <c r="U254" s="8"/>
      <c r="V254" s="14"/>
      <c r="W254" s="14"/>
      <c r="X254" s="14"/>
      <c r="Y254" s="5">
        <v>45930</v>
      </c>
      <c r="Z254" s="5">
        <v>45933</v>
      </c>
      <c r="AA254" s="5" t="s">
        <v>103</v>
      </c>
      <c r="AB254" s="5" t="s">
        <v>272</v>
      </c>
      <c r="AC254" s="5" t="s">
        <v>103</v>
      </c>
      <c r="AD254" s="5" t="s">
        <v>97</v>
      </c>
      <c r="AE254" s="5" t="s">
        <v>97</v>
      </c>
      <c r="AF254" s="5" t="s">
        <v>103</v>
      </c>
      <c r="AG254" s="5" t="s">
        <v>103</v>
      </c>
      <c r="AH254" s="5" t="s">
        <v>103</v>
      </c>
      <c r="AI254" s="5">
        <v>45931</v>
      </c>
      <c r="AJ254" s="5" t="s">
        <v>103</v>
      </c>
      <c r="AK254" s="5" t="s">
        <v>103</v>
      </c>
      <c r="AL254" s="5" t="s">
        <v>103</v>
      </c>
      <c r="AM254" s="5" t="s">
        <v>103</v>
      </c>
      <c r="AN254" s="5" t="s">
        <v>103</v>
      </c>
      <c r="AO254" s="5" t="s">
        <v>97</v>
      </c>
      <c r="AP254" s="5" t="s">
        <v>97</v>
      </c>
      <c r="AQ254" s="5" t="s">
        <v>97</v>
      </c>
      <c r="AR254" s="5" t="s">
        <v>97</v>
      </c>
      <c r="AS254" s="5" t="s">
        <v>97</v>
      </c>
      <c r="AT254" s="5"/>
      <c r="AU254" s="5"/>
      <c r="AV254" s="4" t="s">
        <v>103</v>
      </c>
      <c r="AW254" s="4" t="s">
        <v>103</v>
      </c>
      <c r="AX254" s="4" t="s">
        <v>97</v>
      </c>
      <c r="AY254" s="4" t="s">
        <v>97</v>
      </c>
      <c r="AZ254" s="4" t="s">
        <v>103</v>
      </c>
      <c r="BA254" s="4" t="s">
        <v>97</v>
      </c>
      <c r="BB254" s="5">
        <v>45933</v>
      </c>
      <c r="BC254" s="5">
        <v>45934</v>
      </c>
      <c r="BD254" s="5">
        <v>45936</v>
      </c>
      <c r="BE254" s="5">
        <v>45936</v>
      </c>
      <c r="BF254" s="4" t="s">
        <v>98</v>
      </c>
      <c r="BG254" s="4" t="s">
        <v>97</v>
      </c>
      <c r="BH254" s="4" t="s">
        <v>103</v>
      </c>
      <c r="BI254" s="4" t="s">
        <v>115</v>
      </c>
    </row>
    <row r="255" spans="1:61" x14ac:dyDescent="0.35">
      <c r="A255" s="8" t="str">
        <f t="shared" si="22"/>
        <v>Semaine 40-2025</v>
      </c>
      <c r="B255" s="8" t="str">
        <f t="shared" si="27"/>
        <v>2025</v>
      </c>
      <c r="C255" s="2" t="s">
        <v>18</v>
      </c>
      <c r="D255" s="6" t="str">
        <f t="shared" si="28"/>
        <v>Dakar</v>
      </c>
      <c r="E255" s="6">
        <f t="shared" si="29"/>
        <v>419489</v>
      </c>
      <c r="F255" s="6">
        <f t="shared" si="30"/>
        <v>4042240</v>
      </c>
      <c r="G255" s="4" t="s">
        <v>758</v>
      </c>
      <c r="H255" s="4" t="s">
        <v>763</v>
      </c>
      <c r="I255" s="4">
        <v>20</v>
      </c>
      <c r="J255" s="4" t="s">
        <v>114</v>
      </c>
      <c r="K255" s="4"/>
      <c r="L255" s="4"/>
      <c r="M255" s="4"/>
      <c r="N255" s="4"/>
      <c r="O255" s="4" t="s">
        <v>238</v>
      </c>
      <c r="P255" s="4" t="s">
        <v>97</v>
      </c>
      <c r="Q255" s="4" t="s">
        <v>97</v>
      </c>
      <c r="R255" s="14" t="s">
        <v>100</v>
      </c>
      <c r="S255" s="14" t="s">
        <v>100</v>
      </c>
      <c r="T255" s="14" t="s">
        <v>100</v>
      </c>
      <c r="U255" s="8"/>
      <c r="V255" s="14"/>
      <c r="W255" s="14"/>
      <c r="X255" s="14"/>
      <c r="Y255" s="5">
        <v>45932</v>
      </c>
      <c r="Z255" s="5">
        <v>45934</v>
      </c>
      <c r="AA255" s="5" t="s">
        <v>103</v>
      </c>
      <c r="AB255" s="5"/>
      <c r="AC255" s="5" t="s">
        <v>103</v>
      </c>
      <c r="AD255" s="5" t="s">
        <v>97</v>
      </c>
      <c r="AE255" s="5" t="s">
        <v>97</v>
      </c>
      <c r="AF255" s="5" t="s">
        <v>103</v>
      </c>
      <c r="AG255" s="5" t="s">
        <v>103</v>
      </c>
      <c r="AH255" s="5" t="s">
        <v>103</v>
      </c>
      <c r="AI255" s="5">
        <v>45933</v>
      </c>
      <c r="AJ255" s="5" t="s">
        <v>103</v>
      </c>
      <c r="AK255" s="5" t="s">
        <v>97</v>
      </c>
      <c r="AL255" s="5" t="s">
        <v>103</v>
      </c>
      <c r="AM255" s="5" t="s">
        <v>103</v>
      </c>
      <c r="AN255" s="5" t="s">
        <v>103</v>
      </c>
      <c r="AO255" s="5" t="s">
        <v>97</v>
      </c>
      <c r="AP255" s="5" t="s">
        <v>97</v>
      </c>
      <c r="AQ255" s="5" t="s">
        <v>97</v>
      </c>
      <c r="AR255" s="5" t="s">
        <v>103</v>
      </c>
      <c r="AS255" s="5" t="s">
        <v>103</v>
      </c>
      <c r="AT255" s="5"/>
      <c r="AU255" s="5"/>
      <c r="AV255" s="4" t="s">
        <v>103</v>
      </c>
      <c r="AW255" s="4" t="s">
        <v>97</v>
      </c>
      <c r="AX255" s="4" t="s">
        <v>97</v>
      </c>
      <c r="AY255" s="4" t="s">
        <v>97</v>
      </c>
      <c r="AZ255" s="4" t="s">
        <v>103</v>
      </c>
      <c r="BA255" s="4" t="s">
        <v>97</v>
      </c>
      <c r="BB255" s="5">
        <v>45934</v>
      </c>
      <c r="BC255" s="5">
        <v>45936</v>
      </c>
      <c r="BD255" s="5">
        <v>45936</v>
      </c>
      <c r="BE255" s="5">
        <v>45936</v>
      </c>
      <c r="BF255" s="4" t="s">
        <v>98</v>
      </c>
      <c r="BG255" s="4" t="s">
        <v>97</v>
      </c>
      <c r="BH255" s="4" t="s">
        <v>103</v>
      </c>
      <c r="BI255" s="4" t="s">
        <v>115</v>
      </c>
    </row>
    <row r="256" spans="1:61" x14ac:dyDescent="0.35">
      <c r="A256" s="8" t="str">
        <f t="shared" si="22"/>
        <v>Semaine 39-2025</v>
      </c>
      <c r="B256" s="8" t="str">
        <f t="shared" si="27"/>
        <v>2025</v>
      </c>
      <c r="C256" s="2" t="s">
        <v>20</v>
      </c>
      <c r="D256" s="6" t="str">
        <f t="shared" si="28"/>
        <v>Dakar</v>
      </c>
      <c r="E256" s="6">
        <f t="shared" si="29"/>
        <v>272276</v>
      </c>
      <c r="F256" s="6">
        <f t="shared" si="30"/>
        <v>4042240</v>
      </c>
      <c r="G256" s="4" t="s">
        <v>759</v>
      </c>
      <c r="H256" s="4" t="s">
        <v>764</v>
      </c>
      <c r="I256" s="4">
        <v>26</v>
      </c>
      <c r="J256" s="4" t="s">
        <v>96</v>
      </c>
      <c r="K256" s="4"/>
      <c r="L256" s="4"/>
      <c r="M256" s="4"/>
      <c r="N256" s="4"/>
      <c r="O256" s="4" t="s">
        <v>238</v>
      </c>
      <c r="P256" s="4" t="s">
        <v>97</v>
      </c>
      <c r="Q256" s="4" t="s">
        <v>97</v>
      </c>
      <c r="R256" s="14" t="s">
        <v>481</v>
      </c>
      <c r="S256" s="14" t="s">
        <v>100</v>
      </c>
      <c r="T256" s="14" t="s">
        <v>100</v>
      </c>
      <c r="U256" s="8"/>
      <c r="V256" s="14"/>
      <c r="W256" s="14"/>
      <c r="X256" t="s">
        <v>1136</v>
      </c>
      <c r="Y256" s="5">
        <v>45926</v>
      </c>
      <c r="Z256" s="5">
        <v>45933</v>
      </c>
      <c r="AA256" s="5" t="s">
        <v>103</v>
      </c>
      <c r="AB256" s="5"/>
      <c r="AC256" s="5" t="s">
        <v>97</v>
      </c>
      <c r="AD256" s="5" t="s">
        <v>103</v>
      </c>
      <c r="AE256" s="5" t="s">
        <v>97</v>
      </c>
      <c r="AF256" s="5" t="s">
        <v>103</v>
      </c>
      <c r="AG256" s="5" t="s">
        <v>103</v>
      </c>
      <c r="AH256" s="5" t="s">
        <v>103</v>
      </c>
      <c r="AI256" s="5">
        <v>45926</v>
      </c>
      <c r="AJ256" s="5" t="s">
        <v>97</v>
      </c>
      <c r="AK256" s="5" t="s">
        <v>103</v>
      </c>
      <c r="AL256" s="5" t="s">
        <v>103</v>
      </c>
      <c r="AM256" s="5" t="s">
        <v>103</v>
      </c>
      <c r="AN256" s="5" t="s">
        <v>103</v>
      </c>
      <c r="AO256" s="5" t="s">
        <v>97</v>
      </c>
      <c r="AP256" s="5" t="s">
        <v>97</v>
      </c>
      <c r="AQ256" s="5" t="s">
        <v>97</v>
      </c>
      <c r="AR256" s="5" t="s">
        <v>97</v>
      </c>
      <c r="AS256" s="5" t="s">
        <v>103</v>
      </c>
      <c r="AT256" s="5"/>
      <c r="AU256" s="5"/>
      <c r="AV256" s="4" t="s">
        <v>103</v>
      </c>
      <c r="AW256" s="4" t="s">
        <v>97</v>
      </c>
      <c r="AX256" s="4" t="s">
        <v>97</v>
      </c>
      <c r="AY256" s="4" t="s">
        <v>97</v>
      </c>
      <c r="AZ256" s="4" t="s">
        <v>103</v>
      </c>
      <c r="BA256" s="4" t="s">
        <v>97</v>
      </c>
      <c r="BB256" s="5">
        <v>45933</v>
      </c>
      <c r="BC256" s="5">
        <v>45936</v>
      </c>
      <c r="BD256" s="5">
        <v>45936</v>
      </c>
      <c r="BE256" s="5">
        <v>45936</v>
      </c>
      <c r="BF256" s="4" t="s">
        <v>98</v>
      </c>
      <c r="BG256" s="4" t="s">
        <v>97</v>
      </c>
      <c r="BH256" s="4" t="s">
        <v>103</v>
      </c>
      <c r="BI256" s="4" t="s">
        <v>482</v>
      </c>
    </row>
    <row r="257" spans="1:61" x14ac:dyDescent="0.35">
      <c r="A257" s="8" t="str">
        <f t="shared" si="22"/>
        <v>Semaine 40-2025</v>
      </c>
      <c r="B257" s="8" t="str">
        <f t="shared" si="27"/>
        <v>2025</v>
      </c>
      <c r="C257" s="2" t="s">
        <v>19</v>
      </c>
      <c r="D257" s="6" t="str">
        <f t="shared" si="28"/>
        <v>Dakar</v>
      </c>
      <c r="E257" s="6">
        <f t="shared" si="29"/>
        <v>565040</v>
      </c>
      <c r="F257" s="6">
        <f t="shared" si="30"/>
        <v>4042240</v>
      </c>
      <c r="G257" s="4" t="s">
        <v>760</v>
      </c>
      <c r="H257" s="4" t="s">
        <v>765</v>
      </c>
      <c r="I257" s="4">
        <v>6</v>
      </c>
      <c r="J257" s="4" t="s">
        <v>114</v>
      </c>
      <c r="K257" s="4"/>
      <c r="L257" s="4"/>
      <c r="M257" s="4"/>
      <c r="N257" s="4"/>
      <c r="O257" s="4" t="s">
        <v>238</v>
      </c>
      <c r="P257" s="4" t="s">
        <v>97</v>
      </c>
      <c r="Q257" s="4" t="s">
        <v>97</v>
      </c>
      <c r="R257" s="14" t="s">
        <v>100</v>
      </c>
      <c r="S257" s="14" t="s">
        <v>100</v>
      </c>
      <c r="T257" s="14" t="s">
        <v>100</v>
      </c>
      <c r="U257" s="8"/>
      <c r="V257" s="14"/>
      <c r="W257" s="14"/>
      <c r="X257" s="14"/>
      <c r="Y257" s="5">
        <v>45934</v>
      </c>
      <c r="Z257" s="5">
        <v>45934</v>
      </c>
      <c r="AA257" s="5" t="s">
        <v>103</v>
      </c>
      <c r="AB257" s="5" t="s">
        <v>296</v>
      </c>
      <c r="AC257" s="5" t="s">
        <v>103</v>
      </c>
      <c r="AD257" s="5" t="s">
        <v>97</v>
      </c>
      <c r="AE257" s="5" t="s">
        <v>97</v>
      </c>
      <c r="AF257" s="5" t="s">
        <v>103</v>
      </c>
      <c r="AG257" s="5" t="s">
        <v>103</v>
      </c>
      <c r="AH257" s="5" t="s">
        <v>103</v>
      </c>
      <c r="AI257" s="5">
        <v>45934</v>
      </c>
      <c r="AJ257" s="5" t="s">
        <v>103</v>
      </c>
      <c r="AK257" s="5" t="s">
        <v>97</v>
      </c>
      <c r="AL257" s="5" t="s">
        <v>97</v>
      </c>
      <c r="AM257" s="5" t="s">
        <v>103</v>
      </c>
      <c r="AN257" s="5" t="s">
        <v>103</v>
      </c>
      <c r="AO257" s="5" t="s">
        <v>103</v>
      </c>
      <c r="AP257" s="5" t="s">
        <v>103</v>
      </c>
      <c r="AQ257" s="5" t="s">
        <v>103</v>
      </c>
      <c r="AR257" s="5" t="s">
        <v>97</v>
      </c>
      <c r="AS257" s="5" t="s">
        <v>97</v>
      </c>
      <c r="AT257" s="5"/>
      <c r="AU257" s="5"/>
      <c r="AV257" s="4" t="s">
        <v>103</v>
      </c>
      <c r="AW257" s="4" t="s">
        <v>97</v>
      </c>
      <c r="AX257" s="4" t="s">
        <v>97</v>
      </c>
      <c r="AY257" s="4" t="s">
        <v>97</v>
      </c>
      <c r="AZ257" s="4" t="s">
        <v>103</v>
      </c>
      <c r="BA257" s="4" t="s">
        <v>97</v>
      </c>
      <c r="BB257" s="5">
        <v>45934</v>
      </c>
      <c r="BC257" s="5">
        <v>45936</v>
      </c>
      <c r="BD257" s="5">
        <v>45936</v>
      </c>
      <c r="BE257" s="5">
        <v>45936</v>
      </c>
      <c r="BF257" s="4" t="s">
        <v>98</v>
      </c>
      <c r="BG257" s="4" t="s">
        <v>103</v>
      </c>
      <c r="BH257" s="4" t="s">
        <v>103</v>
      </c>
      <c r="BI257" s="4" t="s">
        <v>115</v>
      </c>
    </row>
    <row r="258" spans="1:61" x14ac:dyDescent="0.35">
      <c r="A258" s="8" t="str">
        <f t="shared" si="22"/>
        <v>Semaine 40-2025</v>
      </c>
      <c r="B258" s="8" t="str">
        <f t="shared" si="27"/>
        <v>2025</v>
      </c>
      <c r="C258" s="2" t="s">
        <v>71</v>
      </c>
      <c r="D258" s="6" t="str">
        <f t="shared" si="28"/>
        <v>Thies</v>
      </c>
      <c r="E258" s="6">
        <f t="shared" si="29"/>
        <v>195082</v>
      </c>
      <c r="F258" s="6">
        <f t="shared" si="30"/>
        <v>2280463</v>
      </c>
      <c r="G258" s="4" t="s">
        <v>766</v>
      </c>
      <c r="H258" s="4" t="s">
        <v>769</v>
      </c>
      <c r="I258" s="4">
        <v>18</v>
      </c>
      <c r="J258" s="4" t="s">
        <v>114</v>
      </c>
      <c r="K258" s="4"/>
      <c r="L258" s="4"/>
      <c r="M258" s="4"/>
      <c r="N258" s="4"/>
      <c r="O258" s="4" t="s">
        <v>238</v>
      </c>
      <c r="P258" s="4" t="s">
        <v>97</v>
      </c>
      <c r="Q258" s="4" t="s">
        <v>97</v>
      </c>
      <c r="R258" s="14" t="s">
        <v>100</v>
      </c>
      <c r="S258" s="14" t="s">
        <v>100</v>
      </c>
      <c r="T258" s="14" t="s">
        <v>100</v>
      </c>
      <c r="U258" s="8"/>
      <c r="V258" s="14"/>
      <c r="W258" s="14"/>
      <c r="X258" s="14"/>
      <c r="Y258" s="5">
        <v>45930</v>
      </c>
      <c r="Z258" s="5">
        <v>45933</v>
      </c>
      <c r="AA258" s="5" t="s">
        <v>103</v>
      </c>
      <c r="AB258" s="5"/>
      <c r="AC258" s="5" t="s">
        <v>97</v>
      </c>
      <c r="AD258" s="5" t="s">
        <v>97</v>
      </c>
      <c r="AE258" s="5" t="s">
        <v>97</v>
      </c>
      <c r="AF258" s="5" t="s">
        <v>103</v>
      </c>
      <c r="AG258" s="5" t="s">
        <v>103</v>
      </c>
      <c r="AH258" s="5" t="s">
        <v>103</v>
      </c>
      <c r="AI258" s="5">
        <v>45930</v>
      </c>
      <c r="AJ258" s="5" t="s">
        <v>97</v>
      </c>
      <c r="AK258" s="5" t="s">
        <v>103</v>
      </c>
      <c r="AL258" s="5" t="s">
        <v>97</v>
      </c>
      <c r="AM258" s="5" t="s">
        <v>103</v>
      </c>
      <c r="AN258" s="5" t="s">
        <v>103</v>
      </c>
      <c r="AO258" s="5" t="s">
        <v>103</v>
      </c>
      <c r="AP258" s="5" t="s">
        <v>97</v>
      </c>
      <c r="AQ258" s="5" t="s">
        <v>97</v>
      </c>
      <c r="AR258" s="5" t="s">
        <v>97</v>
      </c>
      <c r="AS258" s="5" t="s">
        <v>103</v>
      </c>
      <c r="AT258" s="5"/>
      <c r="AU258" s="5"/>
      <c r="AV258" s="4" t="s">
        <v>103</v>
      </c>
      <c r="AW258" s="4" t="s">
        <v>97</v>
      </c>
      <c r="AX258" s="4" t="s">
        <v>97</v>
      </c>
      <c r="AY258" s="4" t="s">
        <v>97</v>
      </c>
      <c r="AZ258" s="4" t="s">
        <v>97</v>
      </c>
      <c r="BA258" s="4" t="s">
        <v>97</v>
      </c>
      <c r="BB258" s="5">
        <v>45933</v>
      </c>
      <c r="BC258" s="5">
        <v>45937</v>
      </c>
      <c r="BD258" s="5">
        <v>45937</v>
      </c>
      <c r="BE258" s="5">
        <v>45937</v>
      </c>
      <c r="BF258" s="4" t="s">
        <v>98</v>
      </c>
      <c r="BG258" s="4" t="s">
        <v>97</v>
      </c>
      <c r="BH258" s="4" t="s">
        <v>103</v>
      </c>
      <c r="BI258" s="5" t="s">
        <v>360</v>
      </c>
    </row>
    <row r="259" spans="1:61" x14ac:dyDescent="0.35">
      <c r="A259" s="8" t="str">
        <f t="shared" si="22"/>
        <v>Semaine 40-2025</v>
      </c>
      <c r="B259" s="8" t="str">
        <f t="shared" si="27"/>
        <v>2025</v>
      </c>
      <c r="C259" s="2" t="s">
        <v>71</v>
      </c>
      <c r="D259" s="6" t="str">
        <f t="shared" si="28"/>
        <v>Thies</v>
      </c>
      <c r="E259" s="6">
        <f t="shared" si="29"/>
        <v>195082</v>
      </c>
      <c r="F259" s="6">
        <f t="shared" si="30"/>
        <v>2280463</v>
      </c>
      <c r="G259" s="4" t="s">
        <v>767</v>
      </c>
      <c r="H259" s="4" t="s">
        <v>770</v>
      </c>
      <c r="I259" s="4">
        <v>18</v>
      </c>
      <c r="J259" s="4" t="s">
        <v>114</v>
      </c>
      <c r="K259" s="4"/>
      <c r="L259" s="4"/>
      <c r="M259" s="4"/>
      <c r="N259" s="4"/>
      <c r="O259" s="4" t="s">
        <v>238</v>
      </c>
      <c r="P259" s="4" t="s">
        <v>97</v>
      </c>
      <c r="Q259" s="4" t="s">
        <v>97</v>
      </c>
      <c r="R259" s="14" t="s">
        <v>100</v>
      </c>
      <c r="S259" s="14" t="s">
        <v>100</v>
      </c>
      <c r="T259" s="14" t="s">
        <v>100</v>
      </c>
      <c r="U259" s="8"/>
      <c r="V259" s="14"/>
      <c r="W259" s="14"/>
      <c r="X259" s="14"/>
      <c r="Y259" s="5">
        <v>45933</v>
      </c>
      <c r="Z259" s="5">
        <v>45936</v>
      </c>
      <c r="AA259" s="5" t="s">
        <v>97</v>
      </c>
      <c r="AB259" s="5" t="s">
        <v>578</v>
      </c>
      <c r="AC259" s="5" t="s">
        <v>97</v>
      </c>
      <c r="AD259" s="5" t="s">
        <v>97</v>
      </c>
      <c r="AE259" s="5" t="s">
        <v>97</v>
      </c>
      <c r="AF259" s="5" t="s">
        <v>103</v>
      </c>
      <c r="AG259" s="5" t="s">
        <v>103</v>
      </c>
      <c r="AH259" s="5" t="s">
        <v>103</v>
      </c>
      <c r="AI259" s="5">
        <v>45933</v>
      </c>
      <c r="AJ259" s="5" t="s">
        <v>103</v>
      </c>
      <c r="AK259" s="5" t="s">
        <v>97</v>
      </c>
      <c r="AL259" s="5" t="s">
        <v>97</v>
      </c>
      <c r="AM259" s="5" t="s">
        <v>97</v>
      </c>
      <c r="AN259" s="5" t="s">
        <v>103</v>
      </c>
      <c r="AO259" s="5" t="s">
        <v>97</v>
      </c>
      <c r="AP259" s="5" t="s">
        <v>97</v>
      </c>
      <c r="AQ259" s="5" t="s">
        <v>97</v>
      </c>
      <c r="AR259" s="5" t="s">
        <v>97</v>
      </c>
      <c r="AS259" s="5" t="s">
        <v>97</v>
      </c>
      <c r="AT259" s="5"/>
      <c r="AU259" s="5"/>
      <c r="AV259" s="4" t="s">
        <v>103</v>
      </c>
      <c r="AW259" s="4" t="s">
        <v>103</v>
      </c>
      <c r="AX259" s="4" t="s">
        <v>97</v>
      </c>
      <c r="AY259" s="4" t="s">
        <v>97</v>
      </c>
      <c r="AZ259" s="4" t="s">
        <v>97</v>
      </c>
      <c r="BA259" s="4" t="s">
        <v>97</v>
      </c>
      <c r="BB259" s="5">
        <v>45936</v>
      </c>
      <c r="BC259" s="5">
        <v>45937</v>
      </c>
      <c r="BD259" s="5">
        <v>45937</v>
      </c>
      <c r="BE259" s="5">
        <v>45937</v>
      </c>
      <c r="BF259" s="4" t="s">
        <v>98</v>
      </c>
      <c r="BG259" s="4" t="s">
        <v>97</v>
      </c>
      <c r="BH259" s="4" t="s">
        <v>103</v>
      </c>
      <c r="BI259" s="5" t="s">
        <v>360</v>
      </c>
    </row>
    <row r="260" spans="1:61" x14ac:dyDescent="0.35">
      <c r="A260" s="8" t="str">
        <f t="shared" si="22"/>
        <v>Semaine 40-2025</v>
      </c>
      <c r="B260" s="8" t="str">
        <f t="shared" si="27"/>
        <v>2025</v>
      </c>
      <c r="C260" s="2" t="s">
        <v>71</v>
      </c>
      <c r="D260" s="6" t="str">
        <f t="shared" si="28"/>
        <v>Thies</v>
      </c>
      <c r="E260" s="6">
        <f t="shared" si="29"/>
        <v>195082</v>
      </c>
      <c r="F260" s="6">
        <f t="shared" si="30"/>
        <v>2280463</v>
      </c>
      <c r="G260" s="4" t="s">
        <v>768</v>
      </c>
      <c r="H260" s="4" t="s">
        <v>771</v>
      </c>
      <c r="I260" s="4">
        <v>27</v>
      </c>
      <c r="J260" s="4" t="s">
        <v>96</v>
      </c>
      <c r="K260" s="4"/>
      <c r="L260" s="4"/>
      <c r="M260" s="4"/>
      <c r="N260" s="4"/>
      <c r="O260" s="4" t="s">
        <v>238</v>
      </c>
      <c r="P260" s="4" t="s">
        <v>97</v>
      </c>
      <c r="Q260" s="4" t="s">
        <v>97</v>
      </c>
      <c r="R260" s="14" t="s">
        <v>100</v>
      </c>
      <c r="S260" s="14" t="s">
        <v>100</v>
      </c>
      <c r="T260" s="14" t="s">
        <v>100</v>
      </c>
      <c r="U260" s="8"/>
      <c r="V260" s="14"/>
      <c r="W260" s="14"/>
      <c r="X260" s="14"/>
      <c r="Y260" s="5">
        <v>45933</v>
      </c>
      <c r="Z260" s="5">
        <v>45936</v>
      </c>
      <c r="AA260" s="5" t="s">
        <v>103</v>
      </c>
      <c r="AB260" s="5" t="s">
        <v>387</v>
      </c>
      <c r="AC260" s="5" t="s">
        <v>103</v>
      </c>
      <c r="AD260" s="5" t="s">
        <v>97</v>
      </c>
      <c r="AE260" s="5" t="s">
        <v>97</v>
      </c>
      <c r="AF260" s="5" t="s">
        <v>103</v>
      </c>
      <c r="AG260" s="5" t="s">
        <v>103</v>
      </c>
      <c r="AH260" s="5" t="s">
        <v>103</v>
      </c>
      <c r="AI260" s="5">
        <v>45934</v>
      </c>
      <c r="AJ260" s="5" t="s">
        <v>97</v>
      </c>
      <c r="AK260" s="5" t="s">
        <v>97</v>
      </c>
      <c r="AL260" s="5" t="s">
        <v>97</v>
      </c>
      <c r="AM260" s="5" t="s">
        <v>97</v>
      </c>
      <c r="AN260" s="5" t="s">
        <v>97</v>
      </c>
      <c r="AO260" s="5" t="s">
        <v>103</v>
      </c>
      <c r="AP260" s="5" t="s">
        <v>103</v>
      </c>
      <c r="AQ260" s="5" t="s">
        <v>97</v>
      </c>
      <c r="AR260" s="5" t="s">
        <v>97</v>
      </c>
      <c r="AS260" s="5" t="s">
        <v>97</v>
      </c>
      <c r="AT260" s="5"/>
      <c r="AU260" s="5"/>
      <c r="AV260" s="4" t="s">
        <v>97</v>
      </c>
      <c r="AW260" s="4" t="s">
        <v>97</v>
      </c>
      <c r="AX260" s="4" t="s">
        <v>97</v>
      </c>
      <c r="AY260" s="4" t="s">
        <v>97</v>
      </c>
      <c r="AZ260" s="4" t="s">
        <v>103</v>
      </c>
      <c r="BA260" s="4" t="s">
        <v>97</v>
      </c>
      <c r="BB260" s="5">
        <v>45936</v>
      </c>
      <c r="BC260" s="5">
        <v>45937</v>
      </c>
      <c r="BD260" s="5">
        <v>45937</v>
      </c>
      <c r="BE260" s="5">
        <v>45937</v>
      </c>
      <c r="BF260" s="4" t="s">
        <v>98</v>
      </c>
      <c r="BG260" s="4" t="s">
        <v>97</v>
      </c>
      <c r="BH260" s="4" t="s">
        <v>103</v>
      </c>
      <c r="BI260" s="5" t="s">
        <v>360</v>
      </c>
    </row>
    <row r="261" spans="1:61" x14ac:dyDescent="0.35">
      <c r="A261" s="8" t="str">
        <f t="shared" si="22"/>
        <v>Semaine 39-2025</v>
      </c>
      <c r="B261" s="8" t="str">
        <f t="shared" si="27"/>
        <v>2025</v>
      </c>
      <c r="C261" s="2" t="s">
        <v>44</v>
      </c>
      <c r="D261" s="6" t="str">
        <f t="shared" si="28"/>
        <v>Louga</v>
      </c>
      <c r="E261" s="6">
        <f t="shared" si="29"/>
        <v>141243</v>
      </c>
      <c r="F261" s="6">
        <f t="shared" si="30"/>
        <v>1121619</v>
      </c>
      <c r="G261" s="4" t="s">
        <v>772</v>
      </c>
      <c r="H261" s="4" t="s">
        <v>781</v>
      </c>
      <c r="I261" s="4">
        <v>19</v>
      </c>
      <c r="J261" s="4" t="s">
        <v>114</v>
      </c>
      <c r="K261" s="4"/>
      <c r="L261" s="4"/>
      <c r="M261" s="4"/>
      <c r="N261" s="4"/>
      <c r="O261" s="4" t="s">
        <v>238</v>
      </c>
      <c r="P261" s="4" t="s">
        <v>97</v>
      </c>
      <c r="Q261" s="4" t="s">
        <v>97</v>
      </c>
      <c r="R261" s="14" t="s">
        <v>100</v>
      </c>
      <c r="S261" s="14" t="s">
        <v>100</v>
      </c>
      <c r="T261" s="14" t="s">
        <v>100</v>
      </c>
      <c r="U261" s="8"/>
      <c r="V261" s="14"/>
      <c r="W261" s="14"/>
      <c r="X261" s="14"/>
      <c r="Y261" s="5">
        <v>45925</v>
      </c>
      <c r="Z261" s="5">
        <v>45929</v>
      </c>
      <c r="AA261" s="5" t="s">
        <v>103</v>
      </c>
      <c r="AB261" s="5" t="s">
        <v>272</v>
      </c>
      <c r="AC261" s="5" t="s">
        <v>103</v>
      </c>
      <c r="AD261" s="5" t="s">
        <v>97</v>
      </c>
      <c r="AE261" s="5" t="s">
        <v>97</v>
      </c>
      <c r="AF261" s="5" t="s">
        <v>97</v>
      </c>
      <c r="AG261" s="5" t="s">
        <v>97</v>
      </c>
      <c r="AH261" s="5" t="s">
        <v>103</v>
      </c>
      <c r="AI261" s="5">
        <v>45925</v>
      </c>
      <c r="AJ261" s="5" t="s">
        <v>97</v>
      </c>
      <c r="AK261" s="5" t="s">
        <v>97</v>
      </c>
      <c r="AL261" s="5" t="s">
        <v>97</v>
      </c>
      <c r="AM261" s="5" t="s">
        <v>103</v>
      </c>
      <c r="AN261" s="5" t="s">
        <v>103</v>
      </c>
      <c r="AO261" s="5" t="s">
        <v>103</v>
      </c>
      <c r="AP261" s="5" t="s">
        <v>103</v>
      </c>
      <c r="AQ261" s="5" t="s">
        <v>97</v>
      </c>
      <c r="AR261" s="5" t="s">
        <v>97</v>
      </c>
      <c r="AS261" s="5" t="s">
        <v>97</v>
      </c>
      <c r="AT261" s="5"/>
      <c r="AU261" s="5"/>
      <c r="AV261" s="4" t="s">
        <v>103</v>
      </c>
      <c r="AW261" s="4" t="s">
        <v>103</v>
      </c>
      <c r="AX261" s="4" t="s">
        <v>97</v>
      </c>
      <c r="AY261" s="4" t="s">
        <v>97</v>
      </c>
      <c r="AZ261" s="4" t="s">
        <v>97</v>
      </c>
      <c r="BA261" s="4" t="s">
        <v>97</v>
      </c>
      <c r="BB261" s="5">
        <v>45931</v>
      </c>
      <c r="BC261" s="5">
        <v>45933</v>
      </c>
      <c r="BD261" s="5">
        <v>45937</v>
      </c>
      <c r="BE261" s="5">
        <v>45937</v>
      </c>
      <c r="BF261" s="4" t="s">
        <v>98</v>
      </c>
      <c r="BG261" s="4" t="s">
        <v>97</v>
      </c>
      <c r="BH261" s="4" t="s">
        <v>103</v>
      </c>
      <c r="BI261" s="4" t="s">
        <v>115</v>
      </c>
    </row>
    <row r="262" spans="1:61" x14ac:dyDescent="0.35">
      <c r="A262" s="8" t="str">
        <f t="shared" ref="A262:A321" si="31">"Semaine " &amp; _xlfn.ISOWEEKNUM(Y262) &amp; "-" &amp; YEAR(Y262)</f>
        <v>Semaine 39-2025</v>
      </c>
      <c r="B262" s="8" t="str">
        <f t="shared" si="27"/>
        <v>2025</v>
      </c>
      <c r="C262" s="2" t="s">
        <v>44</v>
      </c>
      <c r="D262" s="6" t="str">
        <f t="shared" si="28"/>
        <v>Louga</v>
      </c>
      <c r="E262" s="6">
        <f t="shared" si="29"/>
        <v>141243</v>
      </c>
      <c r="F262" s="6">
        <f t="shared" si="30"/>
        <v>1121619</v>
      </c>
      <c r="G262" s="4" t="s">
        <v>773</v>
      </c>
      <c r="H262" s="4" t="s">
        <v>782</v>
      </c>
      <c r="I262" s="4">
        <v>16</v>
      </c>
      <c r="J262" s="4" t="s">
        <v>114</v>
      </c>
      <c r="K262" s="4"/>
      <c r="L262" s="4"/>
      <c r="M262" s="4"/>
      <c r="N262" s="4"/>
      <c r="O262" s="4" t="s">
        <v>238</v>
      </c>
      <c r="P262" s="4" t="s">
        <v>97</v>
      </c>
      <c r="Q262" s="4" t="s">
        <v>97</v>
      </c>
      <c r="R262" s="14" t="s">
        <v>100</v>
      </c>
      <c r="S262" s="14" t="s">
        <v>100</v>
      </c>
      <c r="T262" s="14" t="s">
        <v>100</v>
      </c>
      <c r="U262" s="8"/>
      <c r="V262" s="14"/>
      <c r="W262" s="14"/>
      <c r="X262" s="14"/>
      <c r="Y262" s="5">
        <v>45923</v>
      </c>
      <c r="Z262" s="5">
        <v>45928</v>
      </c>
      <c r="AA262" s="5" t="s">
        <v>103</v>
      </c>
      <c r="AB262" s="5" t="s">
        <v>272</v>
      </c>
      <c r="AC262" s="5" t="s">
        <v>103</v>
      </c>
      <c r="AD262" s="5" t="s">
        <v>103</v>
      </c>
      <c r="AE262" s="5" t="s">
        <v>97</v>
      </c>
      <c r="AF262" s="5" t="s">
        <v>97</v>
      </c>
      <c r="AG262" s="5" t="s">
        <v>97</v>
      </c>
      <c r="AH262" s="5" t="s">
        <v>103</v>
      </c>
      <c r="AI262" s="5">
        <v>45923</v>
      </c>
      <c r="AJ262" s="5" t="s">
        <v>97</v>
      </c>
      <c r="AK262" s="5" t="s">
        <v>97</v>
      </c>
      <c r="AL262" s="5" t="s">
        <v>97</v>
      </c>
      <c r="AM262" s="5" t="s">
        <v>103</v>
      </c>
      <c r="AN262" s="5" t="s">
        <v>103</v>
      </c>
      <c r="AO262" s="5" t="s">
        <v>103</v>
      </c>
      <c r="AP262" s="5" t="s">
        <v>103</v>
      </c>
      <c r="AQ262" s="5" t="s">
        <v>97</v>
      </c>
      <c r="AR262" s="5" t="s">
        <v>97</v>
      </c>
      <c r="AS262" s="5" t="s">
        <v>97</v>
      </c>
      <c r="AT262" s="5"/>
      <c r="AU262" s="5"/>
      <c r="AV262" s="4" t="s">
        <v>103</v>
      </c>
      <c r="AW262" s="4" t="s">
        <v>103</v>
      </c>
      <c r="AX262" s="4" t="s">
        <v>97</v>
      </c>
      <c r="AY262" s="4" t="s">
        <v>97</v>
      </c>
      <c r="AZ262" s="4" t="s">
        <v>97</v>
      </c>
      <c r="BA262" s="4" t="s">
        <v>97</v>
      </c>
      <c r="BB262" s="5">
        <v>45931</v>
      </c>
      <c r="BC262" s="5">
        <v>45933</v>
      </c>
      <c r="BD262" s="5">
        <v>45937</v>
      </c>
      <c r="BE262" s="5">
        <v>45937</v>
      </c>
      <c r="BF262" s="4" t="s">
        <v>98</v>
      </c>
      <c r="BG262" s="4" t="s">
        <v>97</v>
      </c>
      <c r="BH262" s="4" t="s">
        <v>103</v>
      </c>
      <c r="BI262" s="4" t="s">
        <v>115</v>
      </c>
    </row>
    <row r="263" spans="1:61" x14ac:dyDescent="0.35">
      <c r="A263" s="8" t="str">
        <f t="shared" si="31"/>
        <v>Semaine 40-2025</v>
      </c>
      <c r="B263" s="8" t="str">
        <f t="shared" si="27"/>
        <v>2025</v>
      </c>
      <c r="C263" s="2" t="s">
        <v>75</v>
      </c>
      <c r="D263" s="6" t="str">
        <f t="shared" si="28"/>
        <v>Diourbel</v>
      </c>
      <c r="E263" s="6">
        <f t="shared" si="29"/>
        <v>996481</v>
      </c>
      <c r="F263" s="6">
        <f t="shared" si="30"/>
        <v>1980827</v>
      </c>
      <c r="G263" s="4" t="s">
        <v>774</v>
      </c>
      <c r="H263" s="4" t="s">
        <v>783</v>
      </c>
      <c r="I263" s="4">
        <v>7</v>
      </c>
      <c r="J263" s="4" t="s">
        <v>114</v>
      </c>
      <c r="K263" s="4"/>
      <c r="L263" s="4"/>
      <c r="M263" s="4"/>
      <c r="N263" s="4"/>
      <c r="O263" s="4" t="s">
        <v>238</v>
      </c>
      <c r="P263" s="4" t="s">
        <v>97</v>
      </c>
      <c r="Q263" s="4" t="s">
        <v>103</v>
      </c>
      <c r="R263" s="14" t="s">
        <v>100</v>
      </c>
      <c r="S263" s="14" t="s">
        <v>100</v>
      </c>
      <c r="T263" s="14" t="s">
        <v>100</v>
      </c>
      <c r="U263" s="8"/>
      <c r="V263" s="14"/>
      <c r="W263" s="14"/>
      <c r="X263" s="14"/>
      <c r="Y263" s="5">
        <v>45930</v>
      </c>
      <c r="Z263" s="5">
        <v>45932</v>
      </c>
      <c r="AA263" s="5" t="s">
        <v>103</v>
      </c>
      <c r="AB263" s="5"/>
      <c r="AC263" s="5" t="s">
        <v>103</v>
      </c>
      <c r="AD263" s="5" t="s">
        <v>103</v>
      </c>
      <c r="AE263" s="5" t="s">
        <v>97</v>
      </c>
      <c r="AF263" s="5" t="s">
        <v>97</v>
      </c>
      <c r="AG263" s="5" t="s">
        <v>97</v>
      </c>
      <c r="AH263" s="5" t="s">
        <v>103</v>
      </c>
      <c r="AI263" s="5">
        <v>45930</v>
      </c>
      <c r="AJ263" s="5" t="s">
        <v>97</v>
      </c>
      <c r="AK263" s="5" t="s">
        <v>97</v>
      </c>
      <c r="AL263" s="5" t="s">
        <v>97</v>
      </c>
      <c r="AM263" s="5" t="s">
        <v>103</v>
      </c>
      <c r="AN263" s="5" t="s">
        <v>103</v>
      </c>
      <c r="AO263" s="5" t="s">
        <v>97</v>
      </c>
      <c r="AP263" s="5" t="s">
        <v>97</v>
      </c>
      <c r="AQ263" s="5" t="s">
        <v>97</v>
      </c>
      <c r="AR263" s="5" t="s">
        <v>97</v>
      </c>
      <c r="AS263" s="5" t="s">
        <v>97</v>
      </c>
      <c r="AT263" s="5"/>
      <c r="AU263" s="5"/>
      <c r="AV263" s="4" t="s">
        <v>103</v>
      </c>
      <c r="AW263" s="4" t="s">
        <v>103</v>
      </c>
      <c r="AX263" s="4" t="s">
        <v>97</v>
      </c>
      <c r="AY263" s="4" t="s">
        <v>97</v>
      </c>
      <c r="AZ263" s="4" t="s">
        <v>97</v>
      </c>
      <c r="BA263" s="4" t="s">
        <v>97</v>
      </c>
      <c r="BB263" s="5">
        <v>45932</v>
      </c>
      <c r="BC263" s="5">
        <v>45933</v>
      </c>
      <c r="BD263" s="5">
        <v>45937</v>
      </c>
      <c r="BE263" s="5">
        <v>45937</v>
      </c>
      <c r="BF263" s="4" t="s">
        <v>98</v>
      </c>
      <c r="BG263" s="4" t="s">
        <v>103</v>
      </c>
      <c r="BH263" s="4" t="s">
        <v>103</v>
      </c>
      <c r="BI263" s="4" t="s">
        <v>115</v>
      </c>
    </row>
    <row r="264" spans="1:61" x14ac:dyDescent="0.35">
      <c r="A264" s="8" t="str">
        <f t="shared" si="31"/>
        <v>Semaine 38-2025</v>
      </c>
      <c r="B264" s="8" t="str">
        <f t="shared" si="27"/>
        <v>2025</v>
      </c>
      <c r="C264" s="2" t="s">
        <v>62</v>
      </c>
      <c r="D264" s="6" t="str">
        <f t="shared" si="28"/>
        <v>Matam</v>
      </c>
      <c r="E264" s="6">
        <f t="shared" si="29"/>
        <v>71989</v>
      </c>
      <c r="F264" s="6">
        <f t="shared" si="30"/>
        <v>789215</v>
      </c>
      <c r="G264" s="4" t="s">
        <v>775</v>
      </c>
      <c r="H264" s="4" t="s">
        <v>750</v>
      </c>
      <c r="I264" s="4">
        <v>33</v>
      </c>
      <c r="J264" s="4" t="s">
        <v>114</v>
      </c>
      <c r="K264" s="4"/>
      <c r="L264" s="4"/>
      <c r="M264" s="4"/>
      <c r="N264" s="4"/>
      <c r="O264" s="4" t="s">
        <v>238</v>
      </c>
      <c r="P264" s="4" t="s">
        <v>97</v>
      </c>
      <c r="Q264" s="4" t="s">
        <v>97</v>
      </c>
      <c r="R264" s="14" t="s">
        <v>100</v>
      </c>
      <c r="S264" s="14" t="s">
        <v>100</v>
      </c>
      <c r="T264" s="14" t="s">
        <v>100</v>
      </c>
      <c r="U264" s="8"/>
      <c r="V264" s="14"/>
      <c r="W264" s="14"/>
      <c r="X264" s="14"/>
      <c r="Y264" s="5">
        <v>45920</v>
      </c>
      <c r="Z264" s="5">
        <v>45934</v>
      </c>
      <c r="AA264" s="5" t="s">
        <v>103</v>
      </c>
      <c r="AB264" s="5"/>
      <c r="AC264" s="5" t="s">
        <v>103</v>
      </c>
      <c r="AD264" s="5" t="s">
        <v>103</v>
      </c>
      <c r="AE264" s="5" t="s">
        <v>103</v>
      </c>
      <c r="AF264" s="5" t="s">
        <v>103</v>
      </c>
      <c r="AG264" s="5" t="s">
        <v>103</v>
      </c>
      <c r="AH264" s="5" t="s">
        <v>103</v>
      </c>
      <c r="AI264" s="5">
        <v>45923</v>
      </c>
      <c r="AJ264" s="5" t="s">
        <v>103</v>
      </c>
      <c r="AK264" s="5" t="s">
        <v>103</v>
      </c>
      <c r="AL264" s="5" t="s">
        <v>103</v>
      </c>
      <c r="AM264" s="5" t="s">
        <v>103</v>
      </c>
      <c r="AN264" s="5" t="s">
        <v>97</v>
      </c>
      <c r="AO264" s="5" t="s">
        <v>103</v>
      </c>
      <c r="AP264" s="5" t="s">
        <v>103</v>
      </c>
      <c r="AQ264" s="5" t="s">
        <v>103</v>
      </c>
      <c r="AR264" s="5" t="s">
        <v>103</v>
      </c>
      <c r="AS264" s="5" t="s">
        <v>103</v>
      </c>
      <c r="AT264" s="5"/>
      <c r="AU264" s="5"/>
      <c r="AV264" s="4" t="s">
        <v>103</v>
      </c>
      <c r="AW264" s="4" t="s">
        <v>103</v>
      </c>
      <c r="AX264" s="4" t="s">
        <v>97</v>
      </c>
      <c r="AY264" s="4" t="s">
        <v>97</v>
      </c>
      <c r="AZ264" s="4" t="s">
        <v>103</v>
      </c>
      <c r="BA264" s="4" t="s">
        <v>97</v>
      </c>
      <c r="BB264" s="5">
        <v>45936</v>
      </c>
      <c r="BC264" s="5">
        <v>45937</v>
      </c>
      <c r="BD264" s="5">
        <v>45937</v>
      </c>
      <c r="BE264" s="5">
        <v>45937</v>
      </c>
      <c r="BF264" s="4" t="s">
        <v>98</v>
      </c>
      <c r="BG264" s="4" t="s">
        <v>97</v>
      </c>
      <c r="BH264" s="4" t="s">
        <v>103</v>
      </c>
      <c r="BI264" s="4" t="s">
        <v>115</v>
      </c>
    </row>
    <row r="265" spans="1:61" x14ac:dyDescent="0.35">
      <c r="A265" s="8" t="str">
        <f t="shared" si="31"/>
        <v>Semaine 40-2025</v>
      </c>
      <c r="B265" s="8" t="str">
        <f t="shared" si="27"/>
        <v>2025</v>
      </c>
      <c r="C265" s="2" t="s">
        <v>39</v>
      </c>
      <c r="D265" s="6" t="str">
        <f t="shared" si="28"/>
        <v>Thies</v>
      </c>
      <c r="E265" s="6">
        <f t="shared" si="29"/>
        <v>177609</v>
      </c>
      <c r="F265" s="6">
        <f t="shared" si="30"/>
        <v>2280463</v>
      </c>
      <c r="G265" s="4" t="s">
        <v>784</v>
      </c>
      <c r="H265" s="4" t="s">
        <v>785</v>
      </c>
      <c r="I265" s="4">
        <v>5</v>
      </c>
      <c r="J265" s="4" t="s">
        <v>114</v>
      </c>
      <c r="K265" s="4"/>
      <c r="L265" s="4"/>
      <c r="M265" s="4"/>
      <c r="N265" s="4"/>
      <c r="O265" s="4" t="s">
        <v>238</v>
      </c>
      <c r="P265" s="4" t="s">
        <v>97</v>
      </c>
      <c r="Q265" s="4" t="s">
        <v>97</v>
      </c>
      <c r="R265" s="14" t="s">
        <v>100</v>
      </c>
      <c r="S265" s="14" t="s">
        <v>100</v>
      </c>
      <c r="T265" s="14" t="s">
        <v>100</v>
      </c>
      <c r="U265" s="8"/>
      <c r="V265" s="14"/>
      <c r="W265" s="14"/>
      <c r="X265" s="14"/>
      <c r="Y265" s="5">
        <v>45934</v>
      </c>
      <c r="Z265" s="5">
        <v>45937</v>
      </c>
      <c r="AA265" s="5" t="s">
        <v>97</v>
      </c>
      <c r="AB265" s="5" t="s">
        <v>396</v>
      </c>
      <c r="AC265" s="5" t="s">
        <v>97</v>
      </c>
      <c r="AD265" s="5" t="s">
        <v>97</v>
      </c>
      <c r="AE265" s="5" t="s">
        <v>97</v>
      </c>
      <c r="AF265" s="5" t="s">
        <v>97</v>
      </c>
      <c r="AG265" s="5" t="s">
        <v>97</v>
      </c>
      <c r="AH265" s="5" t="s">
        <v>103</v>
      </c>
      <c r="AI265" s="5">
        <v>45934</v>
      </c>
      <c r="AJ265" s="5" t="s">
        <v>103</v>
      </c>
      <c r="AK265" s="5" t="s">
        <v>97</v>
      </c>
      <c r="AL265" s="5" t="s">
        <v>103</v>
      </c>
      <c r="AM265" s="5" t="s">
        <v>97</v>
      </c>
      <c r="AN265" s="5" t="s">
        <v>103</v>
      </c>
      <c r="AO265" s="5" t="s">
        <v>97</v>
      </c>
      <c r="AP265" s="5" t="s">
        <v>97</v>
      </c>
      <c r="AQ265" s="5" t="s">
        <v>97</v>
      </c>
      <c r="AR265" s="5" t="s">
        <v>97</v>
      </c>
      <c r="AS265" s="5" t="s">
        <v>97</v>
      </c>
      <c r="AT265" s="5"/>
      <c r="AU265" s="5"/>
      <c r="AV265" s="4" t="s">
        <v>103</v>
      </c>
      <c r="AW265" s="4" t="s">
        <v>103</v>
      </c>
      <c r="AX265" s="4" t="s">
        <v>97</v>
      </c>
      <c r="AY265" s="4" t="s">
        <v>97</v>
      </c>
      <c r="AZ265" s="4" t="s">
        <v>103</v>
      </c>
      <c r="BA265" s="4" t="s">
        <v>97</v>
      </c>
      <c r="BB265" s="5">
        <v>45937</v>
      </c>
      <c r="BC265" s="5">
        <v>45938</v>
      </c>
      <c r="BD265" s="5">
        <v>45938</v>
      </c>
      <c r="BE265" s="5">
        <v>45938</v>
      </c>
      <c r="BF265" s="4" t="s">
        <v>98</v>
      </c>
      <c r="BG265" s="4" t="s">
        <v>97</v>
      </c>
      <c r="BH265" s="4" t="s">
        <v>103</v>
      </c>
      <c r="BI265" s="4" t="s">
        <v>115</v>
      </c>
    </row>
    <row r="266" spans="1:61" x14ac:dyDescent="0.35">
      <c r="A266" s="8" t="str">
        <f t="shared" si="31"/>
        <v>Semaine 40-2025</v>
      </c>
      <c r="B266" s="8" t="str">
        <f t="shared" si="27"/>
        <v>2025</v>
      </c>
      <c r="C266" s="2" t="s">
        <v>26</v>
      </c>
      <c r="D266" s="6" t="str">
        <f t="shared" si="28"/>
        <v>Diourbel</v>
      </c>
      <c r="E266" s="6">
        <f t="shared" si="29"/>
        <v>354792</v>
      </c>
      <c r="F266" s="6">
        <f t="shared" si="30"/>
        <v>1980827</v>
      </c>
      <c r="G266" s="4" t="s">
        <v>776</v>
      </c>
      <c r="H266" s="4" t="s">
        <v>789</v>
      </c>
      <c r="I266" s="4">
        <v>40</v>
      </c>
      <c r="J266" s="4" t="s">
        <v>96</v>
      </c>
      <c r="K266" s="4"/>
      <c r="L266" s="4"/>
      <c r="M266" s="4"/>
      <c r="N266" s="4"/>
      <c r="O266" s="4" t="s">
        <v>238</v>
      </c>
      <c r="P266" s="4" t="s">
        <v>97</v>
      </c>
      <c r="Q266" s="4" t="s">
        <v>97</v>
      </c>
      <c r="R266" s="14" t="s">
        <v>100</v>
      </c>
      <c r="S266" s="14" t="s">
        <v>100</v>
      </c>
      <c r="T266" s="14" t="s">
        <v>100</v>
      </c>
      <c r="U266" s="8"/>
      <c r="V266" s="14"/>
      <c r="W266" s="14"/>
      <c r="X266" s="14"/>
      <c r="Y266" s="5">
        <v>45929</v>
      </c>
      <c r="Z266" s="5">
        <v>45937</v>
      </c>
      <c r="AA266" s="5" t="s">
        <v>97</v>
      </c>
      <c r="AB266" s="5"/>
      <c r="AC266" s="5" t="s">
        <v>97</v>
      </c>
      <c r="AD266" s="5" t="s">
        <v>97</v>
      </c>
      <c r="AE266" s="5" t="s">
        <v>97</v>
      </c>
      <c r="AF266" s="5" t="s">
        <v>97</v>
      </c>
      <c r="AG266" s="5" t="s">
        <v>97</v>
      </c>
      <c r="AH266" s="5" t="s">
        <v>103</v>
      </c>
      <c r="AI266" s="5">
        <v>45929</v>
      </c>
      <c r="AJ266" s="5" t="s">
        <v>97</v>
      </c>
      <c r="AK266" s="5" t="s">
        <v>97</v>
      </c>
      <c r="AL266" s="5" t="s">
        <v>97</v>
      </c>
      <c r="AM266" s="5" t="s">
        <v>97</v>
      </c>
      <c r="AN266" s="5" t="s">
        <v>97</v>
      </c>
      <c r="AO266" s="5" t="s">
        <v>97</v>
      </c>
      <c r="AP266" s="5" t="s">
        <v>97</v>
      </c>
      <c r="AQ266" s="5" t="s">
        <v>97</v>
      </c>
      <c r="AR266" s="5" t="s">
        <v>97</v>
      </c>
      <c r="AS266" s="5" t="s">
        <v>97</v>
      </c>
      <c r="AT266" s="5" t="s">
        <v>409</v>
      </c>
      <c r="AU266" s="5"/>
      <c r="AV266" s="4" t="s">
        <v>97</v>
      </c>
      <c r="AW266" s="4" t="s">
        <v>97</v>
      </c>
      <c r="AX266" s="4" t="s">
        <v>97</v>
      </c>
      <c r="AY266" s="4" t="s">
        <v>97</v>
      </c>
      <c r="AZ266" s="4" t="s">
        <v>103</v>
      </c>
      <c r="BA266" s="4" t="s">
        <v>97</v>
      </c>
      <c r="BB266" s="5">
        <v>45937</v>
      </c>
      <c r="BC266" s="5">
        <v>45939</v>
      </c>
      <c r="BD266" s="5">
        <v>45939</v>
      </c>
      <c r="BE266" s="5">
        <v>45939</v>
      </c>
      <c r="BF266" s="4" t="s">
        <v>98</v>
      </c>
      <c r="BG266" s="4" t="s">
        <v>97</v>
      </c>
      <c r="BH266" s="4" t="s">
        <v>103</v>
      </c>
      <c r="BI266" s="4" t="s">
        <v>744</v>
      </c>
    </row>
    <row r="267" spans="1:61" x14ac:dyDescent="0.35">
      <c r="A267" s="8" t="str">
        <f t="shared" si="31"/>
        <v>Semaine 40-2025</v>
      </c>
      <c r="B267" s="8" t="str">
        <f t="shared" si="27"/>
        <v>2025</v>
      </c>
      <c r="C267" s="2" t="s">
        <v>31</v>
      </c>
      <c r="D267" s="6" t="str">
        <f t="shared" si="28"/>
        <v>Dakar</v>
      </c>
      <c r="E267" s="6">
        <f t="shared" si="29"/>
        <v>424760</v>
      </c>
      <c r="F267" s="6">
        <f t="shared" si="30"/>
        <v>4042240</v>
      </c>
      <c r="G267" s="4" t="s">
        <v>777</v>
      </c>
      <c r="H267" s="4" t="s">
        <v>786</v>
      </c>
      <c r="I267" s="4">
        <v>17</v>
      </c>
      <c r="J267" s="4" t="s">
        <v>114</v>
      </c>
      <c r="K267" s="4"/>
      <c r="L267" s="4"/>
      <c r="M267" s="4"/>
      <c r="N267" s="4"/>
      <c r="O267" s="4" t="s">
        <v>238</v>
      </c>
      <c r="P267" s="4" t="s">
        <v>97</v>
      </c>
      <c r="Q267" s="4" t="s">
        <v>97</v>
      </c>
      <c r="R267" s="14" t="s">
        <v>100</v>
      </c>
      <c r="S267" s="14" t="s">
        <v>100</v>
      </c>
      <c r="T267" s="14" t="s">
        <v>100</v>
      </c>
      <c r="U267" s="8"/>
      <c r="V267" s="14"/>
      <c r="W267" s="14"/>
      <c r="X267" s="14"/>
      <c r="Y267" s="5">
        <v>45934</v>
      </c>
      <c r="Z267" s="5">
        <v>45936</v>
      </c>
      <c r="AA267" s="5" t="s">
        <v>97</v>
      </c>
      <c r="AB267" s="5" t="s">
        <v>787</v>
      </c>
      <c r="AC267" s="5" t="s">
        <v>97</v>
      </c>
      <c r="AD267" s="5" t="s">
        <v>97</v>
      </c>
      <c r="AE267" s="5" t="s">
        <v>97</v>
      </c>
      <c r="AF267" s="5" t="s">
        <v>97</v>
      </c>
      <c r="AG267" s="5" t="s">
        <v>97</v>
      </c>
      <c r="AH267" s="5" t="s">
        <v>103</v>
      </c>
      <c r="AI267" s="5">
        <v>45934</v>
      </c>
      <c r="AJ267" s="5" t="s">
        <v>97</v>
      </c>
      <c r="AK267" s="5" t="s">
        <v>97</v>
      </c>
      <c r="AL267" s="5" t="s">
        <v>103</v>
      </c>
      <c r="AM267" s="5" t="s">
        <v>103</v>
      </c>
      <c r="AN267" s="5" t="s">
        <v>97</v>
      </c>
      <c r="AO267" s="5" t="s">
        <v>97</v>
      </c>
      <c r="AP267" s="5" t="s">
        <v>97</v>
      </c>
      <c r="AQ267" s="5" t="s">
        <v>97</v>
      </c>
      <c r="AR267" s="5" t="s">
        <v>97</v>
      </c>
      <c r="AS267" s="5" t="s">
        <v>97</v>
      </c>
      <c r="AT267" s="5"/>
      <c r="AU267" s="5"/>
      <c r="AV267" s="4" t="s">
        <v>103</v>
      </c>
      <c r="AW267" s="4" t="s">
        <v>97</v>
      </c>
      <c r="AX267" s="4" t="s">
        <v>97</v>
      </c>
      <c r="AY267" s="4" t="s">
        <v>97</v>
      </c>
      <c r="AZ267" s="4" t="s">
        <v>103</v>
      </c>
      <c r="BA267" s="4" t="s">
        <v>97</v>
      </c>
      <c r="BB267" s="5">
        <v>45936</v>
      </c>
      <c r="BC267" s="5">
        <v>45936</v>
      </c>
      <c r="BD267" s="5">
        <v>45936</v>
      </c>
      <c r="BE267" s="5">
        <v>45937</v>
      </c>
      <c r="BF267" s="4" t="s">
        <v>98</v>
      </c>
      <c r="BG267" s="4" t="s">
        <v>97</v>
      </c>
      <c r="BH267" s="4" t="s">
        <v>103</v>
      </c>
      <c r="BI267" s="4" t="s">
        <v>115</v>
      </c>
    </row>
    <row r="268" spans="1:61" x14ac:dyDescent="0.35">
      <c r="A268" s="8" t="str">
        <f t="shared" si="31"/>
        <v>Semaine 38-2025</v>
      </c>
      <c r="B268" s="8" t="str">
        <f t="shared" si="27"/>
        <v>2025</v>
      </c>
      <c r="C268" s="2" t="s">
        <v>20</v>
      </c>
      <c r="D268" s="6" t="str">
        <f t="shared" si="28"/>
        <v>Dakar</v>
      </c>
      <c r="E268" s="6">
        <f t="shared" si="29"/>
        <v>272276</v>
      </c>
      <c r="F268" s="6">
        <f t="shared" si="30"/>
        <v>4042240</v>
      </c>
      <c r="G268" s="4" t="s">
        <v>778</v>
      </c>
      <c r="H268" s="4" t="s">
        <v>788</v>
      </c>
      <c r="I268" s="4">
        <v>36</v>
      </c>
      <c r="J268" s="4" t="s">
        <v>114</v>
      </c>
      <c r="K268" s="4"/>
      <c r="L268" s="4"/>
      <c r="M268" s="4"/>
      <c r="N268" s="4"/>
      <c r="O268" s="4" t="s">
        <v>238</v>
      </c>
      <c r="P268" s="4" t="s">
        <v>103</v>
      </c>
      <c r="Q268" s="4" t="s">
        <v>97</v>
      </c>
      <c r="R268" s="14" t="s">
        <v>100</v>
      </c>
      <c r="S268" s="14" t="s">
        <v>481</v>
      </c>
      <c r="T268" s="14" t="s">
        <v>481</v>
      </c>
      <c r="U268" s="8"/>
      <c r="V268" s="14"/>
      <c r="W268" s="14"/>
      <c r="X268" s="14"/>
      <c r="Y268" s="5">
        <v>45915</v>
      </c>
      <c r="Z268" s="5">
        <v>45937</v>
      </c>
      <c r="AA268" s="5" t="s">
        <v>103</v>
      </c>
      <c r="AB268" s="5"/>
      <c r="AC268" s="5" t="s">
        <v>97</v>
      </c>
      <c r="AD268" s="5" t="s">
        <v>97</v>
      </c>
      <c r="AE268" s="5" t="s">
        <v>97</v>
      </c>
      <c r="AF268" s="5" t="s">
        <v>97</v>
      </c>
      <c r="AG268" s="5" t="s">
        <v>103</v>
      </c>
      <c r="AH268" s="5" t="s">
        <v>103</v>
      </c>
      <c r="AI268" s="5">
        <v>45920</v>
      </c>
      <c r="AJ268" s="5" t="s">
        <v>97</v>
      </c>
      <c r="AK268" s="5" t="s">
        <v>97</v>
      </c>
      <c r="AL268" s="5" t="s">
        <v>97</v>
      </c>
      <c r="AM268" s="5" t="s">
        <v>97</v>
      </c>
      <c r="AN268" s="5" t="s">
        <v>103</v>
      </c>
      <c r="AO268" s="5" t="s">
        <v>97</v>
      </c>
      <c r="AP268" s="5" t="s">
        <v>103</v>
      </c>
      <c r="AQ268" s="5" t="s">
        <v>97</v>
      </c>
      <c r="AR268" s="5" t="s">
        <v>97</v>
      </c>
      <c r="AS268" s="5" t="s">
        <v>97</v>
      </c>
      <c r="AT268" s="5"/>
      <c r="AU268" s="5"/>
      <c r="AV268" s="4" t="s">
        <v>97</v>
      </c>
      <c r="AW268" s="4" t="s">
        <v>97</v>
      </c>
      <c r="AX268" s="4" t="s">
        <v>103</v>
      </c>
      <c r="AY268" s="4" t="s">
        <v>97</v>
      </c>
      <c r="AZ268" s="4" t="s">
        <v>103</v>
      </c>
      <c r="BA268" s="4" t="s">
        <v>103</v>
      </c>
      <c r="BB268" s="5">
        <v>45937</v>
      </c>
      <c r="BC268" s="5">
        <v>45938</v>
      </c>
      <c r="BD268" s="5">
        <v>45939</v>
      </c>
      <c r="BE268" s="5">
        <v>45940</v>
      </c>
      <c r="BF268" s="4" t="s">
        <v>98</v>
      </c>
      <c r="BG268" s="4" t="s">
        <v>97</v>
      </c>
      <c r="BH268" s="4" t="s">
        <v>103</v>
      </c>
      <c r="BI268" s="4" t="s">
        <v>482</v>
      </c>
    </row>
    <row r="269" spans="1:61" x14ac:dyDescent="0.35">
      <c r="A269" s="8" t="str">
        <f t="shared" si="31"/>
        <v>Semaine 39-2025</v>
      </c>
      <c r="B269" s="8" t="str">
        <f t="shared" si="27"/>
        <v>2025</v>
      </c>
      <c r="C269" s="2" t="s">
        <v>20</v>
      </c>
      <c r="D269" s="6" t="str">
        <f t="shared" si="28"/>
        <v>Dakar</v>
      </c>
      <c r="E269" s="6">
        <f t="shared" si="29"/>
        <v>272276</v>
      </c>
      <c r="F269" s="6">
        <f t="shared" si="30"/>
        <v>4042240</v>
      </c>
      <c r="G269" s="4" t="s">
        <v>779</v>
      </c>
      <c r="H269" s="4" t="s">
        <v>790</v>
      </c>
      <c r="I269" s="4">
        <v>14</v>
      </c>
      <c r="J269" s="4" t="s">
        <v>96</v>
      </c>
      <c r="K269" s="4" t="s">
        <v>256</v>
      </c>
      <c r="L269" s="5">
        <v>45931</v>
      </c>
      <c r="M269" s="4"/>
      <c r="N269" s="4"/>
      <c r="O269" s="4" t="s">
        <v>238</v>
      </c>
      <c r="P269" s="4" t="s">
        <v>97</v>
      </c>
      <c r="Q269" s="4" t="s">
        <v>97</v>
      </c>
      <c r="R269" s="14" t="s">
        <v>100</v>
      </c>
      <c r="S269" s="14" t="s">
        <v>100</v>
      </c>
      <c r="T269" s="14" t="s">
        <v>100</v>
      </c>
      <c r="U269" s="8"/>
      <c r="V269" s="14"/>
      <c r="W269" s="14"/>
      <c r="X269" s="14"/>
      <c r="Y269" s="5">
        <v>45923</v>
      </c>
      <c r="Z269" s="5">
        <v>45937</v>
      </c>
      <c r="AA269" s="5" t="s">
        <v>97</v>
      </c>
      <c r="AB269" s="5"/>
      <c r="AC269" s="5" t="s">
        <v>103</v>
      </c>
      <c r="AD269" s="5" t="s">
        <v>97</v>
      </c>
      <c r="AE269" s="5" t="s">
        <v>97</v>
      </c>
      <c r="AF269" s="5" t="s">
        <v>103</v>
      </c>
      <c r="AG269" s="5" t="s">
        <v>103</v>
      </c>
      <c r="AH269" s="5" t="s">
        <v>103</v>
      </c>
      <c r="AI269" s="5">
        <v>45931</v>
      </c>
      <c r="AJ269" s="5" t="s">
        <v>103</v>
      </c>
      <c r="AK269" s="5" t="s">
        <v>97</v>
      </c>
      <c r="AL269" s="5" t="s">
        <v>103</v>
      </c>
      <c r="AM269" s="5" t="s">
        <v>97</v>
      </c>
      <c r="AN269" s="5" t="s">
        <v>103</v>
      </c>
      <c r="AO269" s="5" t="s">
        <v>97</v>
      </c>
      <c r="AP269" s="5" t="s">
        <v>97</v>
      </c>
      <c r="AQ269" s="5" t="s">
        <v>97</v>
      </c>
      <c r="AR269" s="5" t="s">
        <v>97</v>
      </c>
      <c r="AS269" s="5" t="s">
        <v>97</v>
      </c>
      <c r="AT269" s="5"/>
      <c r="AU269" s="5"/>
      <c r="AV269" s="4" t="s">
        <v>103</v>
      </c>
      <c r="AW269" s="4" t="s">
        <v>97</v>
      </c>
      <c r="AX269" s="4" t="s">
        <v>97</v>
      </c>
      <c r="AY269" s="4" t="s">
        <v>97</v>
      </c>
      <c r="AZ269" s="4" t="s">
        <v>103</v>
      </c>
      <c r="BA269" s="4" t="s">
        <v>97</v>
      </c>
      <c r="BB269" s="5">
        <v>45938</v>
      </c>
      <c r="BC269" s="5">
        <v>45938</v>
      </c>
      <c r="BD269" s="5">
        <v>45939</v>
      </c>
      <c r="BE269" s="5">
        <v>45939</v>
      </c>
      <c r="BF269" s="4" t="s">
        <v>98</v>
      </c>
      <c r="BG269" s="4" t="s">
        <v>103</v>
      </c>
      <c r="BH269" s="4" t="s">
        <v>103</v>
      </c>
      <c r="BI269" s="4" t="s">
        <v>115</v>
      </c>
    </row>
    <row r="270" spans="1:61" x14ac:dyDescent="0.35">
      <c r="A270" s="8" t="str">
        <f t="shared" si="31"/>
        <v>Semaine 38-2025</v>
      </c>
      <c r="B270" s="8" t="str">
        <f t="shared" si="27"/>
        <v>2025</v>
      </c>
      <c r="C270" s="2" t="s">
        <v>52</v>
      </c>
      <c r="D270" s="6" t="str">
        <f t="shared" si="28"/>
        <v>Kaolack</v>
      </c>
      <c r="E270" s="6">
        <f t="shared" si="29"/>
        <v>231613</v>
      </c>
      <c r="F270" s="6">
        <f t="shared" si="30"/>
        <v>1267013</v>
      </c>
      <c r="G270" s="4" t="s">
        <v>780</v>
      </c>
      <c r="H270" s="4" t="s">
        <v>791</v>
      </c>
      <c r="I270" s="4">
        <v>60</v>
      </c>
      <c r="J270" s="4" t="s">
        <v>96</v>
      </c>
      <c r="K270" s="4"/>
      <c r="L270" s="4"/>
      <c r="M270" s="4"/>
      <c r="N270" s="4"/>
      <c r="O270" s="4" t="s">
        <v>238</v>
      </c>
      <c r="P270" s="4" t="s">
        <v>97</v>
      </c>
      <c r="Q270" s="4" t="s">
        <v>97</v>
      </c>
      <c r="R270" s="14" t="s">
        <v>100</v>
      </c>
      <c r="S270" s="14" t="s">
        <v>100</v>
      </c>
      <c r="T270" s="14" t="s">
        <v>100</v>
      </c>
      <c r="U270" s="8"/>
      <c r="V270" s="14"/>
      <c r="W270" s="14"/>
      <c r="X270" s="14"/>
      <c r="Y270" s="5">
        <v>45920</v>
      </c>
      <c r="Z270" s="5">
        <v>45924</v>
      </c>
      <c r="AA270" s="5" t="s">
        <v>97</v>
      </c>
      <c r="AB270" s="5" t="s">
        <v>396</v>
      </c>
      <c r="AC270" s="5" t="s">
        <v>103</v>
      </c>
      <c r="AD270" s="5" t="s">
        <v>97</v>
      </c>
      <c r="AE270" s="5" t="s">
        <v>97</v>
      </c>
      <c r="AF270" s="5" t="s">
        <v>103</v>
      </c>
      <c r="AG270" s="5" t="s">
        <v>103</v>
      </c>
      <c r="AH270" s="5" t="s">
        <v>103</v>
      </c>
      <c r="AI270" s="5">
        <v>45920</v>
      </c>
      <c r="AJ270" s="5" t="s">
        <v>103</v>
      </c>
      <c r="AK270" s="5" t="s">
        <v>103</v>
      </c>
      <c r="AL270" s="5" t="s">
        <v>97</v>
      </c>
      <c r="AM270" s="5" t="s">
        <v>103</v>
      </c>
      <c r="AN270" s="5" t="s">
        <v>103</v>
      </c>
      <c r="AO270" s="5" t="s">
        <v>103</v>
      </c>
      <c r="AP270" s="5" t="s">
        <v>103</v>
      </c>
      <c r="AQ270" s="5" t="s">
        <v>103</v>
      </c>
      <c r="AR270" s="5" t="s">
        <v>103</v>
      </c>
      <c r="AS270" s="5" t="s">
        <v>103</v>
      </c>
      <c r="AT270" s="5"/>
      <c r="AU270" s="5"/>
      <c r="AV270" s="4" t="s">
        <v>103</v>
      </c>
      <c r="AW270" s="4" t="s">
        <v>103</v>
      </c>
      <c r="AX270" s="4" t="s">
        <v>97</v>
      </c>
      <c r="AY270" s="4" t="s">
        <v>97</v>
      </c>
      <c r="AZ270" s="4" t="s">
        <v>103</v>
      </c>
      <c r="BA270" s="4" t="s">
        <v>97</v>
      </c>
      <c r="BB270" s="5">
        <v>45937</v>
      </c>
      <c r="BC270" s="5">
        <v>45938</v>
      </c>
      <c r="BD270" s="5">
        <v>45939</v>
      </c>
      <c r="BE270" s="5">
        <v>45939</v>
      </c>
      <c r="BF270" s="4" t="s">
        <v>98</v>
      </c>
      <c r="BG270" s="4" t="s">
        <v>97</v>
      </c>
      <c r="BH270" s="4" t="s">
        <v>103</v>
      </c>
      <c r="BI270" s="4" t="s">
        <v>115</v>
      </c>
    </row>
    <row r="271" spans="1:61" x14ac:dyDescent="0.35">
      <c r="A271" s="8" t="str">
        <f t="shared" si="31"/>
        <v>Semaine 39-2025</v>
      </c>
      <c r="B271" s="8" t="str">
        <f t="shared" si="27"/>
        <v>2025</v>
      </c>
      <c r="C271" s="2" t="s">
        <v>74</v>
      </c>
      <c r="D271" s="6" t="str">
        <f t="shared" si="28"/>
        <v>Thies</v>
      </c>
      <c r="E271" s="6">
        <f t="shared" si="29"/>
        <v>374824</v>
      </c>
      <c r="F271" s="6">
        <f t="shared" si="30"/>
        <v>2280463</v>
      </c>
      <c r="G271" s="4" t="s">
        <v>792</v>
      </c>
      <c r="H271" s="4" t="s">
        <v>793</v>
      </c>
      <c r="I271" s="4">
        <v>6</v>
      </c>
      <c r="J271" s="4" t="s">
        <v>114</v>
      </c>
      <c r="K271" s="4"/>
      <c r="L271" s="4"/>
      <c r="M271" s="4"/>
      <c r="N271" s="4"/>
      <c r="O271" s="4" t="s">
        <v>238</v>
      </c>
      <c r="P271" s="4" t="s">
        <v>97</v>
      </c>
      <c r="Q271" s="4" t="s">
        <v>103</v>
      </c>
      <c r="R271" s="14" t="s">
        <v>100</v>
      </c>
      <c r="S271" s="14" t="s">
        <v>100</v>
      </c>
      <c r="T271" s="14" t="s">
        <v>100</v>
      </c>
      <c r="U271" s="8"/>
      <c r="V271" s="14"/>
      <c r="W271" s="14"/>
      <c r="X271" s="14"/>
      <c r="Y271" s="5">
        <v>45928</v>
      </c>
      <c r="Z271" s="5">
        <v>45930</v>
      </c>
      <c r="AA271" s="5" t="s">
        <v>97</v>
      </c>
      <c r="AB271" s="5" t="s">
        <v>794</v>
      </c>
      <c r="AC271" s="5" t="s">
        <v>97</v>
      </c>
      <c r="AD271" s="5" t="s">
        <v>103</v>
      </c>
      <c r="AE271" s="5" t="s">
        <v>97</v>
      </c>
      <c r="AF271" s="5" t="s">
        <v>97</v>
      </c>
      <c r="AG271" s="5" t="s">
        <v>97</v>
      </c>
      <c r="AH271" s="5" t="s">
        <v>103</v>
      </c>
      <c r="AI271" s="5">
        <v>45930</v>
      </c>
      <c r="AJ271" s="5" t="s">
        <v>97</v>
      </c>
      <c r="AK271" s="5" t="s">
        <v>103</v>
      </c>
      <c r="AL271" s="5" t="s">
        <v>103</v>
      </c>
      <c r="AM271" s="5" t="s">
        <v>103</v>
      </c>
      <c r="AN271" s="5" t="s">
        <v>103</v>
      </c>
      <c r="AO271" s="5" t="s">
        <v>97</v>
      </c>
      <c r="AP271" s="5" t="s">
        <v>97</v>
      </c>
      <c r="AQ271" s="5" t="s">
        <v>103</v>
      </c>
      <c r="AR271" s="5" t="s">
        <v>103</v>
      </c>
      <c r="AS271" s="5" t="s">
        <v>103</v>
      </c>
      <c r="AT271" s="5" t="s">
        <v>795</v>
      </c>
      <c r="AU271" s="5"/>
      <c r="AV271" s="4" t="s">
        <v>103</v>
      </c>
      <c r="AW271" s="4" t="s">
        <v>103</v>
      </c>
      <c r="AX271" s="4" t="s">
        <v>97</v>
      </c>
      <c r="AY271" s="4" t="s">
        <v>97</v>
      </c>
      <c r="AZ271" s="4" t="s">
        <v>103</v>
      </c>
      <c r="BA271" s="4" t="s">
        <v>97</v>
      </c>
      <c r="BB271" s="5">
        <v>45940</v>
      </c>
      <c r="BC271" s="5">
        <v>45940</v>
      </c>
      <c r="BD271" s="5">
        <v>45940</v>
      </c>
      <c r="BE271" s="5">
        <v>45940</v>
      </c>
      <c r="BF271" s="4" t="s">
        <v>98</v>
      </c>
      <c r="BG271" s="4" t="s">
        <v>97</v>
      </c>
      <c r="BH271" s="4" t="s">
        <v>103</v>
      </c>
      <c r="BI271" s="4" t="s">
        <v>115</v>
      </c>
    </row>
    <row r="272" spans="1:61" x14ac:dyDescent="0.35">
      <c r="A272" s="8" t="str">
        <f t="shared" si="31"/>
        <v>Semaine 40-2025</v>
      </c>
      <c r="B272" s="8" t="str">
        <f t="shared" si="27"/>
        <v>2025</v>
      </c>
      <c r="C272" s="2" t="s">
        <v>75</v>
      </c>
      <c r="D272" s="6" t="str">
        <f t="shared" si="28"/>
        <v>Diourbel</v>
      </c>
      <c r="E272" s="6">
        <f t="shared" si="29"/>
        <v>996481</v>
      </c>
      <c r="F272" s="6">
        <f t="shared" si="30"/>
        <v>1980827</v>
      </c>
      <c r="G272" s="4" t="s">
        <v>796</v>
      </c>
      <c r="H272" s="4" t="s">
        <v>804</v>
      </c>
      <c r="I272" s="4">
        <v>16</v>
      </c>
      <c r="J272" s="4" t="s">
        <v>96</v>
      </c>
      <c r="K272" s="4"/>
      <c r="L272" s="4"/>
      <c r="M272" s="4"/>
      <c r="N272" s="4"/>
      <c r="O272" s="4" t="s">
        <v>238</v>
      </c>
      <c r="P272" s="4" t="s">
        <v>97</v>
      </c>
      <c r="Q272" s="4" t="s">
        <v>97</v>
      </c>
      <c r="R272" s="14" t="s">
        <v>100</v>
      </c>
      <c r="S272" s="14" t="s">
        <v>100</v>
      </c>
      <c r="T272" s="14" t="s">
        <v>100</v>
      </c>
      <c r="U272" s="8"/>
      <c r="V272" s="14"/>
      <c r="W272" s="14"/>
      <c r="X272" s="14"/>
      <c r="Y272" s="5">
        <v>45933</v>
      </c>
      <c r="Z272" s="5">
        <v>45939</v>
      </c>
      <c r="AA272" s="5" t="s">
        <v>103</v>
      </c>
      <c r="AB272" s="5" t="s">
        <v>488</v>
      </c>
      <c r="AC272" s="5" t="s">
        <v>97</v>
      </c>
      <c r="AD272" s="5" t="s">
        <v>103</v>
      </c>
      <c r="AE272" s="5" t="s">
        <v>97</v>
      </c>
      <c r="AF272" s="5" t="s">
        <v>97</v>
      </c>
      <c r="AG272" s="5" t="s">
        <v>97</v>
      </c>
      <c r="AH272" s="5" t="s">
        <v>103</v>
      </c>
      <c r="AI272" s="5">
        <v>45933</v>
      </c>
      <c r="AJ272" s="5" t="s">
        <v>97</v>
      </c>
      <c r="AK272" s="5" t="s">
        <v>103</v>
      </c>
      <c r="AL272" s="5" t="s">
        <v>97</v>
      </c>
      <c r="AM272" s="5" t="s">
        <v>103</v>
      </c>
      <c r="AN272" s="5" t="s">
        <v>103</v>
      </c>
      <c r="AO272" s="5" t="s">
        <v>97</v>
      </c>
      <c r="AP272" s="5" t="s">
        <v>103</v>
      </c>
      <c r="AQ272" s="5" t="s">
        <v>97</v>
      </c>
      <c r="AR272" s="5" t="s">
        <v>97</v>
      </c>
      <c r="AS272" s="5" t="s">
        <v>97</v>
      </c>
      <c r="AT272" s="5"/>
      <c r="AU272" s="5"/>
      <c r="AV272" s="4" t="s">
        <v>103</v>
      </c>
      <c r="AW272" s="4" t="s">
        <v>97</v>
      </c>
      <c r="AX272" s="4" t="s">
        <v>97</v>
      </c>
      <c r="AY272" s="4" t="s">
        <v>97</v>
      </c>
      <c r="AZ272" s="4" t="s">
        <v>103</v>
      </c>
      <c r="BA272" s="4" t="s">
        <v>97</v>
      </c>
      <c r="BB272" s="5">
        <v>45939</v>
      </c>
      <c r="BC272" s="5">
        <v>45939</v>
      </c>
      <c r="BD272" s="5">
        <v>45939</v>
      </c>
      <c r="BE272" s="5">
        <v>45940</v>
      </c>
      <c r="BF272" s="4" t="s">
        <v>98</v>
      </c>
      <c r="BG272" s="4" t="s">
        <v>97</v>
      </c>
      <c r="BH272" s="4" t="s">
        <v>103</v>
      </c>
      <c r="BI272" s="4" t="s">
        <v>115</v>
      </c>
    </row>
    <row r="273" spans="1:61" x14ac:dyDescent="0.35">
      <c r="A273" s="8" t="str">
        <f t="shared" si="31"/>
        <v>Semaine 40-2025</v>
      </c>
      <c r="B273" s="8" t="str">
        <f t="shared" si="27"/>
        <v>2025</v>
      </c>
      <c r="C273" s="2" t="s">
        <v>75</v>
      </c>
      <c r="D273" s="6" t="str">
        <f t="shared" si="28"/>
        <v>Diourbel</v>
      </c>
      <c r="E273" s="6">
        <f t="shared" si="29"/>
        <v>996481</v>
      </c>
      <c r="F273" s="6">
        <f t="shared" si="30"/>
        <v>1980827</v>
      </c>
      <c r="G273" s="4" t="s">
        <v>797</v>
      </c>
      <c r="H273" s="4" t="s">
        <v>805</v>
      </c>
      <c r="I273" s="4">
        <v>8</v>
      </c>
      <c r="J273" s="4" t="s">
        <v>96</v>
      </c>
      <c r="K273" s="4"/>
      <c r="L273" s="4"/>
      <c r="M273" s="4"/>
      <c r="N273" s="4"/>
      <c r="O273" s="4" t="s">
        <v>238</v>
      </c>
      <c r="P273" s="4" t="s">
        <v>97</v>
      </c>
      <c r="Q273" s="4" t="s">
        <v>97</v>
      </c>
      <c r="R273" s="14" t="s">
        <v>100</v>
      </c>
      <c r="S273" s="14" t="s">
        <v>100</v>
      </c>
      <c r="T273" s="14" t="s">
        <v>100</v>
      </c>
      <c r="U273" s="8"/>
      <c r="V273" s="14"/>
      <c r="W273" s="14"/>
      <c r="X273" s="14"/>
      <c r="Y273" s="5">
        <v>45935</v>
      </c>
      <c r="Z273" s="5">
        <v>45938</v>
      </c>
      <c r="AA273" s="5" t="s">
        <v>103</v>
      </c>
      <c r="AB273" s="5"/>
      <c r="AC273" s="5" t="s">
        <v>97</v>
      </c>
      <c r="AD273" s="5" t="s">
        <v>97</v>
      </c>
      <c r="AE273" s="5" t="s">
        <v>97</v>
      </c>
      <c r="AF273" s="5" t="s">
        <v>97</v>
      </c>
      <c r="AG273" s="5" t="s">
        <v>97</v>
      </c>
      <c r="AH273" s="5" t="s">
        <v>103</v>
      </c>
      <c r="AI273" s="5">
        <v>45935</v>
      </c>
      <c r="AJ273" s="5" t="s">
        <v>97</v>
      </c>
      <c r="AK273" s="5" t="s">
        <v>97</v>
      </c>
      <c r="AL273" s="5" t="s">
        <v>97</v>
      </c>
      <c r="AM273" s="5" t="s">
        <v>103</v>
      </c>
      <c r="AN273" s="5" t="s">
        <v>103</v>
      </c>
      <c r="AO273" s="5" t="s">
        <v>97</v>
      </c>
      <c r="AP273" s="5" t="s">
        <v>97</v>
      </c>
      <c r="AQ273" s="5" t="s">
        <v>103</v>
      </c>
      <c r="AR273" s="5" t="s">
        <v>97</v>
      </c>
      <c r="AS273" s="5" t="s">
        <v>103</v>
      </c>
      <c r="AT273" s="5" t="s">
        <v>344</v>
      </c>
      <c r="AU273" s="5"/>
      <c r="AV273" s="4" t="s">
        <v>103</v>
      </c>
      <c r="AW273" s="4" t="s">
        <v>97</v>
      </c>
      <c r="AX273" s="4" t="s">
        <v>97</v>
      </c>
      <c r="AY273" s="4" t="s">
        <v>97</v>
      </c>
      <c r="AZ273" s="4" t="s">
        <v>103</v>
      </c>
      <c r="BA273" s="4" t="s">
        <v>97</v>
      </c>
      <c r="BB273" s="5">
        <v>45939</v>
      </c>
      <c r="BC273" s="5">
        <v>45939</v>
      </c>
      <c r="BD273" s="5">
        <v>45939</v>
      </c>
      <c r="BE273" s="5">
        <v>45940</v>
      </c>
      <c r="BF273" s="4" t="s">
        <v>98</v>
      </c>
      <c r="BG273" s="4" t="s">
        <v>103</v>
      </c>
      <c r="BH273" s="4" t="s">
        <v>103</v>
      </c>
      <c r="BI273" s="4" t="s">
        <v>115</v>
      </c>
    </row>
    <row r="274" spans="1:61" x14ac:dyDescent="0.35">
      <c r="A274" s="8" t="str">
        <f t="shared" si="31"/>
        <v>Semaine 41-2025</v>
      </c>
      <c r="B274" s="8" t="str">
        <f t="shared" si="27"/>
        <v>2025</v>
      </c>
      <c r="C274" s="2" t="s">
        <v>19</v>
      </c>
      <c r="D274" s="6" t="str">
        <f t="shared" si="28"/>
        <v>Dakar</v>
      </c>
      <c r="E274" s="6">
        <f t="shared" si="29"/>
        <v>565040</v>
      </c>
      <c r="F274" s="6">
        <f t="shared" si="30"/>
        <v>4042240</v>
      </c>
      <c r="G274" s="4" t="s">
        <v>798</v>
      </c>
      <c r="H274" s="4" t="s">
        <v>806</v>
      </c>
      <c r="I274" s="4">
        <v>6</v>
      </c>
      <c r="J274" s="4" t="s">
        <v>96</v>
      </c>
      <c r="K274" s="4"/>
      <c r="L274" s="4"/>
      <c r="M274" s="4"/>
      <c r="N274" s="4"/>
      <c r="O274" s="4" t="s">
        <v>238</v>
      </c>
      <c r="P274" s="4" t="s">
        <v>97</v>
      </c>
      <c r="Q274" s="4" t="s">
        <v>97</v>
      </c>
      <c r="R274" s="14" t="s">
        <v>100</v>
      </c>
      <c r="S274" s="14" t="s">
        <v>100</v>
      </c>
      <c r="T274" s="14" t="s">
        <v>100</v>
      </c>
      <c r="U274" s="8"/>
      <c r="V274" s="14"/>
      <c r="W274" s="14"/>
      <c r="X274" s="14"/>
      <c r="Y274" s="5">
        <v>45938</v>
      </c>
      <c r="Z274" s="5">
        <v>45939</v>
      </c>
      <c r="AA274" s="5" t="s">
        <v>103</v>
      </c>
      <c r="AB274" s="5" t="s">
        <v>509</v>
      </c>
      <c r="AC274" s="5" t="s">
        <v>97</v>
      </c>
      <c r="AD274" s="5" t="s">
        <v>97</v>
      </c>
      <c r="AE274" s="5" t="s">
        <v>97</v>
      </c>
      <c r="AF274" s="5" t="s">
        <v>97</v>
      </c>
      <c r="AG274" s="5" t="s">
        <v>97</v>
      </c>
      <c r="AH274" s="5" t="s">
        <v>103</v>
      </c>
      <c r="AI274" s="5">
        <v>45938</v>
      </c>
      <c r="AJ274" s="5" t="s">
        <v>97</v>
      </c>
      <c r="AK274" s="5" t="s">
        <v>97</v>
      </c>
      <c r="AL274" s="5" t="s">
        <v>103</v>
      </c>
      <c r="AM274" s="5" t="s">
        <v>103</v>
      </c>
      <c r="AN274" s="5" t="s">
        <v>97</v>
      </c>
      <c r="AO274" s="5" t="s">
        <v>97</v>
      </c>
      <c r="AP274" s="5" t="s">
        <v>97</v>
      </c>
      <c r="AQ274" s="5" t="s">
        <v>97</v>
      </c>
      <c r="AR274" s="5" t="s">
        <v>97</v>
      </c>
      <c r="AS274" s="5" t="s">
        <v>97</v>
      </c>
      <c r="AT274" s="5"/>
      <c r="AU274" s="5"/>
      <c r="AV274" s="4" t="s">
        <v>103</v>
      </c>
      <c r="AW274" s="4" t="s">
        <v>97</v>
      </c>
      <c r="AX274" s="4" t="s">
        <v>97</v>
      </c>
      <c r="AY274" s="4" t="s">
        <v>97</v>
      </c>
      <c r="AZ274" s="4" t="s">
        <v>103</v>
      </c>
      <c r="BA274" s="4" t="s">
        <v>97</v>
      </c>
      <c r="BB274" s="5">
        <v>45939</v>
      </c>
      <c r="BC274" s="5">
        <v>45939</v>
      </c>
      <c r="BD274" s="5">
        <v>45939</v>
      </c>
      <c r="BE274" s="5">
        <v>45940</v>
      </c>
      <c r="BF274" s="4" t="s">
        <v>98</v>
      </c>
      <c r="BG274" s="4" t="s">
        <v>97</v>
      </c>
      <c r="BH274" s="4" t="s">
        <v>103</v>
      </c>
      <c r="BI274" s="4" t="s">
        <v>115</v>
      </c>
    </row>
    <row r="275" spans="1:61" x14ac:dyDescent="0.35">
      <c r="A275" s="8" t="str">
        <f t="shared" si="31"/>
        <v>Semaine 39-2025</v>
      </c>
      <c r="B275" s="8" t="str">
        <f t="shared" si="27"/>
        <v>2025</v>
      </c>
      <c r="C275" s="2" t="s">
        <v>6</v>
      </c>
      <c r="D275" s="6" t="str">
        <f t="shared" si="28"/>
        <v>Kaffrine</v>
      </c>
      <c r="E275" s="6">
        <f t="shared" si="29"/>
        <v>286531</v>
      </c>
      <c r="F275" s="6">
        <f t="shared" si="30"/>
        <v>782275</v>
      </c>
      <c r="G275" s="4" t="s">
        <v>799</v>
      </c>
      <c r="H275" s="4" t="s">
        <v>807</v>
      </c>
      <c r="I275" s="4">
        <v>40</v>
      </c>
      <c r="J275" s="4" t="s">
        <v>114</v>
      </c>
      <c r="K275" s="4"/>
      <c r="L275" s="4"/>
      <c r="M275" s="4"/>
      <c r="N275" s="4"/>
      <c r="O275" s="4" t="s">
        <v>238</v>
      </c>
      <c r="P275" s="4" t="s">
        <v>97</v>
      </c>
      <c r="Q275" s="4" t="s">
        <v>97</v>
      </c>
      <c r="R275" s="14" t="s">
        <v>100</v>
      </c>
      <c r="S275" s="14" t="s">
        <v>100</v>
      </c>
      <c r="T275" s="14" t="s">
        <v>100</v>
      </c>
      <c r="U275" s="8"/>
      <c r="V275" s="14"/>
      <c r="W275" s="14"/>
      <c r="X275" s="14"/>
      <c r="Y275" s="5">
        <v>45928</v>
      </c>
      <c r="Z275" s="5">
        <v>45930</v>
      </c>
      <c r="AA275" s="5" t="s">
        <v>103</v>
      </c>
      <c r="AB275" s="5" t="s">
        <v>808</v>
      </c>
      <c r="AC275" s="5" t="s">
        <v>103</v>
      </c>
      <c r="AD275" s="5" t="s">
        <v>97</v>
      </c>
      <c r="AE275" s="5" t="s">
        <v>97</v>
      </c>
      <c r="AF275" s="5" t="s">
        <v>103</v>
      </c>
      <c r="AG275" s="5" t="s">
        <v>97</v>
      </c>
      <c r="AH275" s="5" t="s">
        <v>103</v>
      </c>
      <c r="AI275" s="5">
        <v>45930</v>
      </c>
      <c r="AJ275" s="5" t="s">
        <v>103</v>
      </c>
      <c r="AK275" s="5" t="s">
        <v>97</v>
      </c>
      <c r="AL275" s="5" t="s">
        <v>103</v>
      </c>
      <c r="AM275" s="5" t="s">
        <v>103</v>
      </c>
      <c r="AN275" s="5" t="s">
        <v>97</v>
      </c>
      <c r="AO275" s="5" t="s">
        <v>97</v>
      </c>
      <c r="AP275" s="5" t="s">
        <v>97</v>
      </c>
      <c r="AQ275" s="5" t="s">
        <v>103</v>
      </c>
      <c r="AR275" s="5" t="s">
        <v>97</v>
      </c>
      <c r="AS275" s="5" t="s">
        <v>97</v>
      </c>
      <c r="AT275" s="5" t="s">
        <v>809</v>
      </c>
      <c r="AU275" s="5"/>
      <c r="AV275" s="4" t="s">
        <v>103</v>
      </c>
      <c r="AW275" s="4" t="s">
        <v>103</v>
      </c>
      <c r="AX275" s="4" t="s">
        <v>97</v>
      </c>
      <c r="AY275" s="4" t="s">
        <v>97</v>
      </c>
      <c r="AZ275" s="4" t="s">
        <v>97</v>
      </c>
      <c r="BA275" s="4" t="s">
        <v>97</v>
      </c>
      <c r="BB275" s="5">
        <v>45939</v>
      </c>
      <c r="BC275" s="5">
        <v>45939</v>
      </c>
      <c r="BD275" s="5">
        <v>45939</v>
      </c>
      <c r="BE275" s="5">
        <v>45940</v>
      </c>
      <c r="BF275" s="4" t="s">
        <v>98</v>
      </c>
      <c r="BG275" s="4" t="s">
        <v>103</v>
      </c>
      <c r="BH275" s="4" t="s">
        <v>103</v>
      </c>
      <c r="BI275" s="4" t="s">
        <v>115</v>
      </c>
    </row>
    <row r="276" spans="1:61" x14ac:dyDescent="0.35">
      <c r="A276" s="8" t="str">
        <f t="shared" si="31"/>
        <v>Semaine 40-2025</v>
      </c>
      <c r="B276" s="8" t="str">
        <f t="shared" si="27"/>
        <v>2025</v>
      </c>
      <c r="C276" s="2" t="s">
        <v>2</v>
      </c>
      <c r="D276" s="6" t="str">
        <f t="shared" si="28"/>
        <v>Fatick</v>
      </c>
      <c r="E276" s="6">
        <f t="shared" si="29"/>
        <v>151740</v>
      </c>
      <c r="F276" s="6">
        <f t="shared" si="30"/>
        <v>965914</v>
      </c>
      <c r="G276" s="4" t="s">
        <v>800</v>
      </c>
      <c r="H276" s="4" t="s">
        <v>810</v>
      </c>
      <c r="I276" s="4">
        <v>9</v>
      </c>
      <c r="J276" s="4" t="s">
        <v>114</v>
      </c>
      <c r="K276" s="4"/>
      <c r="L276" s="4"/>
      <c r="M276" s="4"/>
      <c r="N276" s="4"/>
      <c r="O276" s="4" t="s">
        <v>238</v>
      </c>
      <c r="P276" s="4" t="s">
        <v>97</v>
      </c>
      <c r="Q276" s="4" t="s">
        <v>97</v>
      </c>
      <c r="R276" s="14" t="s">
        <v>100</v>
      </c>
      <c r="S276" s="14" t="s">
        <v>100</v>
      </c>
      <c r="T276" s="14" t="s">
        <v>100</v>
      </c>
      <c r="U276" s="8"/>
      <c r="V276" s="14"/>
      <c r="W276" s="14"/>
      <c r="X276" s="14"/>
      <c r="Y276" s="5">
        <v>45932</v>
      </c>
      <c r="Z276" s="5">
        <v>45933</v>
      </c>
      <c r="AA276" s="5" t="s">
        <v>103</v>
      </c>
      <c r="AB276" s="5" t="s">
        <v>698</v>
      </c>
      <c r="AC276" s="5" t="s">
        <v>97</v>
      </c>
      <c r="AD276" s="5" t="s">
        <v>97</v>
      </c>
      <c r="AE276" s="5" t="s">
        <v>97</v>
      </c>
      <c r="AF276" s="5" t="s">
        <v>97</v>
      </c>
      <c r="AG276" s="5" t="s">
        <v>97</v>
      </c>
      <c r="AH276" s="5" t="s">
        <v>103</v>
      </c>
      <c r="AI276" s="5">
        <v>45932</v>
      </c>
      <c r="AJ276" s="5" t="s">
        <v>103</v>
      </c>
      <c r="AK276" s="5" t="s">
        <v>103</v>
      </c>
      <c r="AL276" s="5" t="s">
        <v>97</v>
      </c>
      <c r="AM276" s="5" t="s">
        <v>103</v>
      </c>
      <c r="AN276" s="5" t="s">
        <v>103</v>
      </c>
      <c r="AO276" s="5" t="s">
        <v>103</v>
      </c>
      <c r="AP276" s="5" t="s">
        <v>103</v>
      </c>
      <c r="AQ276" s="5" t="s">
        <v>97</v>
      </c>
      <c r="AR276" s="5" t="s">
        <v>103</v>
      </c>
      <c r="AS276" s="5" t="s">
        <v>97</v>
      </c>
      <c r="AT276" s="5"/>
      <c r="AU276" s="5"/>
      <c r="AV276" s="4" t="s">
        <v>103</v>
      </c>
      <c r="AW276" s="4" t="s">
        <v>97</v>
      </c>
      <c r="AX276" s="4" t="s">
        <v>103</v>
      </c>
      <c r="AY276" s="4" t="s">
        <v>97</v>
      </c>
      <c r="AZ276" s="4" t="s">
        <v>97</v>
      </c>
      <c r="BA276" s="4" t="s">
        <v>97</v>
      </c>
      <c r="BB276" s="5">
        <v>45933</v>
      </c>
      <c r="BC276" s="5">
        <v>45939</v>
      </c>
      <c r="BD276" s="5">
        <v>45939</v>
      </c>
      <c r="BE276" s="5">
        <v>45940</v>
      </c>
      <c r="BF276" s="4" t="s">
        <v>98</v>
      </c>
      <c r="BG276" s="4" t="s">
        <v>97</v>
      </c>
      <c r="BH276" s="4" t="s">
        <v>103</v>
      </c>
      <c r="BI276" s="4" t="s">
        <v>115</v>
      </c>
    </row>
    <row r="277" spans="1:61" x14ac:dyDescent="0.35">
      <c r="A277" s="8" t="str">
        <f t="shared" si="31"/>
        <v>Semaine 41-2025</v>
      </c>
      <c r="B277" s="8" t="str">
        <f t="shared" si="27"/>
        <v>2025</v>
      </c>
      <c r="C277" s="2" t="s">
        <v>19</v>
      </c>
      <c r="D277" s="6" t="str">
        <f t="shared" si="28"/>
        <v>Dakar</v>
      </c>
      <c r="E277" s="6">
        <f t="shared" si="29"/>
        <v>565040</v>
      </c>
      <c r="F277" s="6">
        <f t="shared" si="30"/>
        <v>4042240</v>
      </c>
      <c r="G277" s="4" t="s">
        <v>801</v>
      </c>
      <c r="H277" s="4" t="s">
        <v>811</v>
      </c>
      <c r="I277" s="4">
        <v>37</v>
      </c>
      <c r="J277" s="4" t="s">
        <v>114</v>
      </c>
      <c r="K277" s="4"/>
      <c r="L277" s="4"/>
      <c r="M277" s="4"/>
      <c r="N277" s="4"/>
      <c r="O277" s="4" t="s">
        <v>238</v>
      </c>
      <c r="P277" s="4" t="s">
        <v>97</v>
      </c>
      <c r="Q277" s="4" t="s">
        <v>97</v>
      </c>
      <c r="R277" s="14" t="s">
        <v>100</v>
      </c>
      <c r="S277" s="14" t="s">
        <v>100</v>
      </c>
      <c r="T277" s="14" t="s">
        <v>100</v>
      </c>
      <c r="U277" s="8"/>
      <c r="V277" s="14"/>
      <c r="W277" s="14"/>
      <c r="X277" s="14"/>
      <c r="Y277" s="5">
        <v>45938</v>
      </c>
      <c r="Z277" s="5">
        <v>45940</v>
      </c>
      <c r="AA277" s="5" t="s">
        <v>97</v>
      </c>
      <c r="AB277" s="5"/>
      <c r="AC277" s="5" t="s">
        <v>103</v>
      </c>
      <c r="AD277" s="5" t="s">
        <v>103</v>
      </c>
      <c r="AE277" s="5" t="s">
        <v>97</v>
      </c>
      <c r="AF277" s="5" t="s">
        <v>97</v>
      </c>
      <c r="AG277" s="5" t="s">
        <v>97</v>
      </c>
      <c r="AH277" s="5" t="s">
        <v>103</v>
      </c>
      <c r="AI277" s="5">
        <v>45939</v>
      </c>
      <c r="AJ277" s="5" t="s">
        <v>103</v>
      </c>
      <c r="AK277" s="5" t="s">
        <v>103</v>
      </c>
      <c r="AL277" s="5" t="s">
        <v>97</v>
      </c>
      <c r="AM277" s="5" t="s">
        <v>103</v>
      </c>
      <c r="AN277" s="5" t="s">
        <v>103</v>
      </c>
      <c r="AO277" s="5" t="s">
        <v>97</v>
      </c>
      <c r="AP277" s="5" t="s">
        <v>103</v>
      </c>
      <c r="AQ277" s="5" t="s">
        <v>103</v>
      </c>
      <c r="AR277" s="5" t="s">
        <v>97</v>
      </c>
      <c r="AS277" s="5" t="s">
        <v>103</v>
      </c>
      <c r="AT277" s="5"/>
      <c r="AU277" s="5"/>
      <c r="AV277" s="4" t="s">
        <v>103</v>
      </c>
      <c r="AW277" s="4" t="s">
        <v>103</v>
      </c>
      <c r="AX277" s="4" t="s">
        <v>97</v>
      </c>
      <c r="AY277" s="4" t="s">
        <v>97</v>
      </c>
      <c r="AZ277" s="4" t="s">
        <v>103</v>
      </c>
      <c r="BA277" s="4" t="s">
        <v>97</v>
      </c>
      <c r="BB277" s="5">
        <v>45940</v>
      </c>
      <c r="BC277" s="5">
        <v>45940</v>
      </c>
      <c r="BD277" s="5">
        <v>45940</v>
      </c>
      <c r="BE277" s="5">
        <v>45940</v>
      </c>
      <c r="BF277" s="4" t="s">
        <v>98</v>
      </c>
      <c r="BG277" s="4" t="s">
        <v>97</v>
      </c>
      <c r="BH277" s="4" t="s">
        <v>103</v>
      </c>
      <c r="BI277" s="4" t="s">
        <v>115</v>
      </c>
    </row>
    <row r="278" spans="1:61" x14ac:dyDescent="0.35">
      <c r="A278" s="8" t="str">
        <f t="shared" si="31"/>
        <v>Semaine 39-2025</v>
      </c>
      <c r="B278" s="8" t="str">
        <f t="shared" si="27"/>
        <v>2025</v>
      </c>
      <c r="C278" s="2" t="s">
        <v>91</v>
      </c>
      <c r="D278" s="6" t="str">
        <f t="shared" si="28"/>
        <v>Dakar</v>
      </c>
      <c r="E278" s="6">
        <f t="shared" si="29"/>
        <v>179835</v>
      </c>
      <c r="F278" s="6">
        <f t="shared" si="30"/>
        <v>4042240</v>
      </c>
      <c r="G278" s="4" t="s">
        <v>802</v>
      </c>
      <c r="H278" s="4" t="s">
        <v>812</v>
      </c>
      <c r="I278" s="4">
        <v>39</v>
      </c>
      <c r="J278" s="4" t="s">
        <v>96</v>
      </c>
      <c r="K278" s="4"/>
      <c r="L278" s="4"/>
      <c r="M278" s="4"/>
      <c r="N278" s="4"/>
      <c r="O278" s="4" t="s">
        <v>238</v>
      </c>
      <c r="P278" s="4" t="s">
        <v>97</v>
      </c>
      <c r="Q278" s="4" t="s">
        <v>97</v>
      </c>
      <c r="R278" s="14" t="s">
        <v>100</v>
      </c>
      <c r="S278" s="14" t="s">
        <v>100</v>
      </c>
      <c r="T278" s="14" t="s">
        <v>100</v>
      </c>
      <c r="U278" s="8"/>
      <c r="V278" s="14"/>
      <c r="W278" s="14"/>
      <c r="X278" s="14"/>
      <c r="Y278" s="5">
        <v>45925</v>
      </c>
      <c r="Z278" s="5">
        <v>45940</v>
      </c>
      <c r="AA278" s="5" t="s">
        <v>97</v>
      </c>
      <c r="AB278" s="5"/>
      <c r="AC278" s="5" t="s">
        <v>97</v>
      </c>
      <c r="AD278" s="5" t="s">
        <v>97</v>
      </c>
      <c r="AE278" s="5" t="s">
        <v>97</v>
      </c>
      <c r="AF278" s="5" t="s">
        <v>97</v>
      </c>
      <c r="AG278" s="5" t="s">
        <v>103</v>
      </c>
      <c r="AH278" s="5" t="s">
        <v>103</v>
      </c>
      <c r="AI278" s="5">
        <v>45925</v>
      </c>
      <c r="AJ278" s="5" t="s">
        <v>97</v>
      </c>
      <c r="AK278" s="5" t="s">
        <v>103</v>
      </c>
      <c r="AL278" s="5" t="s">
        <v>97</v>
      </c>
      <c r="AM278" s="5" t="s">
        <v>97</v>
      </c>
      <c r="AN278" s="5" t="s">
        <v>103</v>
      </c>
      <c r="AO278" s="5" t="s">
        <v>97</v>
      </c>
      <c r="AP278" s="5" t="s">
        <v>97</v>
      </c>
      <c r="AQ278" s="5" t="s">
        <v>97</v>
      </c>
      <c r="AR278" s="5" t="s">
        <v>97</v>
      </c>
      <c r="AS278" s="5" t="s">
        <v>97</v>
      </c>
      <c r="AT278" s="5"/>
      <c r="AU278" s="5"/>
      <c r="AV278" s="4" t="s">
        <v>103</v>
      </c>
      <c r="AW278" s="4" t="s">
        <v>97</v>
      </c>
      <c r="AX278" s="4" t="s">
        <v>103</v>
      </c>
      <c r="AY278" s="4" t="s">
        <v>97</v>
      </c>
      <c r="AZ278" s="4" t="s">
        <v>97</v>
      </c>
      <c r="BA278" s="4" t="s">
        <v>97</v>
      </c>
      <c r="BB278" s="5">
        <v>45940</v>
      </c>
      <c r="BC278" s="5">
        <v>45940</v>
      </c>
      <c r="BD278" s="5">
        <v>45940</v>
      </c>
      <c r="BE278" s="5">
        <v>45940</v>
      </c>
      <c r="BF278" s="4" t="s">
        <v>98</v>
      </c>
      <c r="BG278" s="4" t="s">
        <v>97</v>
      </c>
      <c r="BH278" s="4" t="s">
        <v>103</v>
      </c>
      <c r="BI278" s="4" t="s">
        <v>115</v>
      </c>
    </row>
    <row r="279" spans="1:61" x14ac:dyDescent="0.35">
      <c r="A279" s="8" t="str">
        <f t="shared" si="31"/>
        <v>Semaine 39-2025</v>
      </c>
      <c r="B279" s="8" t="str">
        <f t="shared" si="27"/>
        <v>2025</v>
      </c>
      <c r="C279" s="2" t="s">
        <v>18</v>
      </c>
      <c r="D279" s="6" t="str">
        <f t="shared" si="28"/>
        <v>Dakar</v>
      </c>
      <c r="E279" s="6">
        <f t="shared" si="29"/>
        <v>419489</v>
      </c>
      <c r="F279" s="6">
        <f t="shared" si="30"/>
        <v>4042240</v>
      </c>
      <c r="G279" s="4" t="s">
        <v>803</v>
      </c>
      <c r="H279" s="4" t="s">
        <v>813</v>
      </c>
      <c r="I279" s="4">
        <v>27</v>
      </c>
      <c r="J279" s="4" t="s">
        <v>96</v>
      </c>
      <c r="K279" s="4"/>
      <c r="L279" s="4"/>
      <c r="M279" s="4"/>
      <c r="N279" s="4"/>
      <c r="O279" s="4" t="s">
        <v>238</v>
      </c>
      <c r="P279" s="4" t="s">
        <v>97</v>
      </c>
      <c r="Q279" s="4" t="s">
        <v>97</v>
      </c>
      <c r="R279" s="14" t="s">
        <v>100</v>
      </c>
      <c r="S279" s="14" t="s">
        <v>100</v>
      </c>
      <c r="T279" s="14" t="s">
        <v>100</v>
      </c>
      <c r="U279" s="8"/>
      <c r="V279" s="14"/>
      <c r="W279" s="14"/>
      <c r="X279" s="14"/>
      <c r="Y279" s="5">
        <v>45922</v>
      </c>
      <c r="Z279" s="5">
        <v>45940</v>
      </c>
      <c r="AA279" s="5" t="s">
        <v>97</v>
      </c>
      <c r="AB279" s="5"/>
      <c r="AC279" s="5" t="s">
        <v>103</v>
      </c>
      <c r="AD279" s="5" t="s">
        <v>97</v>
      </c>
      <c r="AE279" s="5" t="s">
        <v>97</v>
      </c>
      <c r="AF279" s="5" t="s">
        <v>97</v>
      </c>
      <c r="AG279" s="5" t="s">
        <v>97</v>
      </c>
      <c r="AH279" s="5" t="s">
        <v>103</v>
      </c>
      <c r="AI279" s="5">
        <v>45922</v>
      </c>
      <c r="AJ279" s="5" t="s">
        <v>97</v>
      </c>
      <c r="AK279" s="5" t="s">
        <v>97</v>
      </c>
      <c r="AL279" s="5" t="s">
        <v>97</v>
      </c>
      <c r="AM279" s="5" t="s">
        <v>97</v>
      </c>
      <c r="AN279" s="5" t="s">
        <v>103</v>
      </c>
      <c r="AO279" s="5" t="s">
        <v>97</v>
      </c>
      <c r="AP279" s="5" t="s">
        <v>97</v>
      </c>
      <c r="AQ279" s="5" t="s">
        <v>97</v>
      </c>
      <c r="AR279" s="5" t="s">
        <v>97</v>
      </c>
      <c r="AS279" s="5" t="s">
        <v>97</v>
      </c>
      <c r="AT279" s="5" t="s">
        <v>382</v>
      </c>
      <c r="AU279" s="5"/>
      <c r="AV279" s="4" t="s">
        <v>97</v>
      </c>
      <c r="AW279" s="4" t="s">
        <v>97</v>
      </c>
      <c r="AX279" s="4" t="s">
        <v>97</v>
      </c>
      <c r="AY279" s="4" t="s">
        <v>97</v>
      </c>
      <c r="AZ279" s="4" t="s">
        <v>103</v>
      </c>
      <c r="BA279" s="4" t="s">
        <v>97</v>
      </c>
      <c r="BB279" s="5">
        <v>45940</v>
      </c>
      <c r="BC279" s="5">
        <v>45940</v>
      </c>
      <c r="BD279" s="5">
        <v>45940</v>
      </c>
      <c r="BE279" s="5">
        <v>45940</v>
      </c>
      <c r="BF279" s="4" t="s">
        <v>98</v>
      </c>
      <c r="BG279" s="4" t="s">
        <v>97</v>
      </c>
      <c r="BH279" s="4" t="s">
        <v>103</v>
      </c>
      <c r="BI279" s="4" t="s">
        <v>744</v>
      </c>
    </row>
    <row r="280" spans="1:61" x14ac:dyDescent="0.35">
      <c r="A280" s="8" t="str">
        <f t="shared" si="31"/>
        <v>Semaine 39-2025</v>
      </c>
      <c r="B280" s="8" t="str">
        <f t="shared" si="27"/>
        <v>2025</v>
      </c>
      <c r="C280" s="2" t="s">
        <v>74</v>
      </c>
      <c r="D280" s="6" t="str">
        <f t="shared" si="28"/>
        <v>Thies</v>
      </c>
      <c r="E280" s="6">
        <f t="shared" si="29"/>
        <v>374824</v>
      </c>
      <c r="F280" s="6">
        <f t="shared" si="30"/>
        <v>2280463</v>
      </c>
      <c r="G280" s="4" t="s">
        <v>817</v>
      </c>
      <c r="H280" s="4" t="s">
        <v>821</v>
      </c>
      <c r="I280" s="4">
        <v>50</v>
      </c>
      <c r="J280" s="4" t="s">
        <v>96</v>
      </c>
      <c r="K280" s="4"/>
      <c r="L280" s="4"/>
      <c r="M280" s="4"/>
      <c r="N280" s="4"/>
      <c r="O280" s="4" t="s">
        <v>238</v>
      </c>
      <c r="P280" s="4" t="s">
        <v>97</v>
      </c>
      <c r="Q280" s="4" t="s">
        <v>97</v>
      </c>
      <c r="R280" s="14" t="s">
        <v>100</v>
      </c>
      <c r="S280" s="14" t="s">
        <v>100</v>
      </c>
      <c r="T280" s="14" t="s">
        <v>100</v>
      </c>
      <c r="U280" s="8"/>
      <c r="V280" s="14"/>
      <c r="W280" s="14"/>
      <c r="X280" s="14"/>
      <c r="Y280" s="5">
        <v>45927</v>
      </c>
      <c r="Z280" s="5">
        <v>45943</v>
      </c>
      <c r="AA280" s="5" t="s">
        <v>103</v>
      </c>
      <c r="AB280" s="5" t="s">
        <v>387</v>
      </c>
      <c r="AC280" s="5" t="s">
        <v>97</v>
      </c>
      <c r="AD280" s="5" t="s">
        <v>97</v>
      </c>
      <c r="AE280" s="5" t="s">
        <v>97</v>
      </c>
      <c r="AF280" s="5" t="s">
        <v>97</v>
      </c>
      <c r="AG280" s="5" t="s">
        <v>97</v>
      </c>
      <c r="AH280" s="5" t="s">
        <v>103</v>
      </c>
      <c r="AI280" s="5">
        <v>45927</v>
      </c>
      <c r="AJ280" s="5" t="s">
        <v>103</v>
      </c>
      <c r="AK280" s="5" t="s">
        <v>97</v>
      </c>
      <c r="AL280" s="5" t="s">
        <v>103</v>
      </c>
      <c r="AM280" s="5" t="s">
        <v>103</v>
      </c>
      <c r="AN280" s="5" t="s">
        <v>103</v>
      </c>
      <c r="AO280" s="5" t="s">
        <v>97</v>
      </c>
      <c r="AP280" s="5" t="s">
        <v>97</v>
      </c>
      <c r="AQ280" s="5" t="s">
        <v>97</v>
      </c>
      <c r="AR280" s="5" t="s">
        <v>97</v>
      </c>
      <c r="AS280" s="5" t="s">
        <v>97</v>
      </c>
      <c r="AT280" s="5"/>
      <c r="AU280" s="5"/>
      <c r="AV280" s="4" t="s">
        <v>103</v>
      </c>
      <c r="AW280" s="4" t="s">
        <v>97</v>
      </c>
      <c r="AX280" s="4" t="s">
        <v>97</v>
      </c>
      <c r="AY280" s="4" t="s">
        <v>97</v>
      </c>
      <c r="AZ280" s="4" t="s">
        <v>103</v>
      </c>
      <c r="BA280" s="4" t="s">
        <v>97</v>
      </c>
      <c r="BB280" s="5">
        <v>45943</v>
      </c>
      <c r="BC280" s="5">
        <v>45943</v>
      </c>
      <c r="BD280" s="5">
        <v>45943</v>
      </c>
      <c r="BE280" s="5">
        <v>45944</v>
      </c>
      <c r="BF280" s="4" t="s">
        <v>98</v>
      </c>
      <c r="BG280" s="4" t="s">
        <v>97</v>
      </c>
      <c r="BH280" s="4" t="s">
        <v>103</v>
      </c>
      <c r="BI280" s="4" t="s">
        <v>360</v>
      </c>
    </row>
    <row r="281" spans="1:61" x14ac:dyDescent="0.35">
      <c r="A281" s="8" t="str">
        <f t="shared" si="31"/>
        <v>Semaine 39-2025</v>
      </c>
      <c r="B281" s="8" t="str">
        <f t="shared" si="27"/>
        <v>2025</v>
      </c>
      <c r="C281" s="2" t="s">
        <v>74</v>
      </c>
      <c r="D281" s="6" t="str">
        <f t="shared" si="28"/>
        <v>Thies</v>
      </c>
      <c r="E281" s="6">
        <f t="shared" si="29"/>
        <v>374824</v>
      </c>
      <c r="F281" s="6">
        <f t="shared" si="30"/>
        <v>2280463</v>
      </c>
      <c r="G281" s="4" t="s">
        <v>818</v>
      </c>
      <c r="H281" s="4" t="s">
        <v>822</v>
      </c>
      <c r="I281" s="4">
        <v>19</v>
      </c>
      <c r="J281" s="4" t="s">
        <v>96</v>
      </c>
      <c r="K281" s="4"/>
      <c r="L281" s="4"/>
      <c r="M281" s="4"/>
      <c r="N281" s="4"/>
      <c r="O281" s="4" t="s">
        <v>238</v>
      </c>
      <c r="P281" s="4" t="s">
        <v>97</v>
      </c>
      <c r="Q281" s="4" t="s">
        <v>97</v>
      </c>
      <c r="R281" s="14" t="s">
        <v>100</v>
      </c>
      <c r="S281" s="14" t="s">
        <v>100</v>
      </c>
      <c r="T281" s="14" t="s">
        <v>100</v>
      </c>
      <c r="U281" s="8"/>
      <c r="V281" s="14"/>
      <c r="W281" s="14"/>
      <c r="X281" s="14"/>
      <c r="Y281" s="5">
        <v>45926</v>
      </c>
      <c r="Z281" s="5">
        <v>45943</v>
      </c>
      <c r="AA281" s="5" t="s">
        <v>103</v>
      </c>
      <c r="AB281" s="5" t="s">
        <v>272</v>
      </c>
      <c r="AC281" s="5" t="s">
        <v>103</v>
      </c>
      <c r="AD281" s="5" t="s">
        <v>103</v>
      </c>
      <c r="AE281" s="5" t="s">
        <v>97</v>
      </c>
      <c r="AF281" s="5" t="s">
        <v>103</v>
      </c>
      <c r="AG281" s="5" t="s">
        <v>103</v>
      </c>
      <c r="AH281" s="5" t="s">
        <v>103</v>
      </c>
      <c r="AI281" s="5">
        <v>45926</v>
      </c>
      <c r="AJ281" s="5" t="s">
        <v>97</v>
      </c>
      <c r="AK281" s="5" t="s">
        <v>97</v>
      </c>
      <c r="AL281" s="5" t="s">
        <v>103</v>
      </c>
      <c r="AM281" s="5" t="s">
        <v>103</v>
      </c>
      <c r="AN281" s="5" t="s">
        <v>103</v>
      </c>
      <c r="AO281" s="5" t="s">
        <v>103</v>
      </c>
      <c r="AP281" s="5" t="s">
        <v>103</v>
      </c>
      <c r="AQ281" s="5" t="s">
        <v>97</v>
      </c>
      <c r="AR281" s="5" t="s">
        <v>97</v>
      </c>
      <c r="AS281" s="5" t="s">
        <v>97</v>
      </c>
      <c r="AT281" s="5"/>
      <c r="AU281" s="5"/>
      <c r="AV281" s="4" t="s">
        <v>103</v>
      </c>
      <c r="AW281" s="4" t="s">
        <v>103</v>
      </c>
      <c r="AX281" s="4" t="s">
        <v>97</v>
      </c>
      <c r="AY281" s="4" t="s">
        <v>97</v>
      </c>
      <c r="AZ281" s="4" t="s">
        <v>103</v>
      </c>
      <c r="BA281" s="4" t="s">
        <v>97</v>
      </c>
      <c r="BB281" s="5">
        <v>45943</v>
      </c>
      <c r="BC281" s="5">
        <v>45943</v>
      </c>
      <c r="BD281" s="5">
        <v>45943</v>
      </c>
      <c r="BE281" s="5">
        <v>45944</v>
      </c>
      <c r="BF281" s="4" t="s">
        <v>98</v>
      </c>
      <c r="BG281" s="4" t="s">
        <v>97</v>
      </c>
      <c r="BH281" s="4" t="s">
        <v>103</v>
      </c>
      <c r="BI281" s="4" t="s">
        <v>360</v>
      </c>
    </row>
    <row r="282" spans="1:61" x14ac:dyDescent="0.35">
      <c r="A282" s="8" t="str">
        <f t="shared" si="31"/>
        <v>Semaine 41-2025</v>
      </c>
      <c r="B282" s="8" t="str">
        <f t="shared" si="27"/>
        <v>2025</v>
      </c>
      <c r="C282" s="2" t="s">
        <v>74</v>
      </c>
      <c r="D282" s="6" t="str">
        <f t="shared" si="28"/>
        <v>Thies</v>
      </c>
      <c r="E282" s="6">
        <f t="shared" si="29"/>
        <v>374824</v>
      </c>
      <c r="F282" s="6">
        <f t="shared" si="30"/>
        <v>2280463</v>
      </c>
      <c r="G282" s="4" t="s">
        <v>819</v>
      </c>
      <c r="H282" s="4" t="s">
        <v>823</v>
      </c>
      <c r="I282" s="4">
        <v>52</v>
      </c>
      <c r="J282" s="4" t="s">
        <v>114</v>
      </c>
      <c r="K282" s="4"/>
      <c r="L282" s="4"/>
      <c r="M282" s="4"/>
      <c r="N282" s="4"/>
      <c r="O282" s="4" t="s">
        <v>238</v>
      </c>
      <c r="P282" s="4" t="s">
        <v>97</v>
      </c>
      <c r="Q282" s="4" t="s">
        <v>97</v>
      </c>
      <c r="R282" s="14" t="s">
        <v>100</v>
      </c>
      <c r="S282" s="14" t="s">
        <v>100</v>
      </c>
      <c r="T282" s="14" t="s">
        <v>100</v>
      </c>
      <c r="U282" s="8"/>
      <c r="V282" s="14"/>
      <c r="W282" s="14"/>
      <c r="X282" s="14"/>
      <c r="Y282" s="5">
        <v>45937</v>
      </c>
      <c r="Z282" s="5">
        <v>45943</v>
      </c>
      <c r="AA282" s="5" t="s">
        <v>97</v>
      </c>
      <c r="AB282" s="5"/>
      <c r="AC282" s="5" t="s">
        <v>97</v>
      </c>
      <c r="AD282" s="5" t="s">
        <v>97</v>
      </c>
      <c r="AE282" s="5" t="s">
        <v>97</v>
      </c>
      <c r="AF282" s="5" t="s">
        <v>97</v>
      </c>
      <c r="AG282" s="5" t="s">
        <v>97</v>
      </c>
      <c r="AH282" s="5" t="s">
        <v>103</v>
      </c>
      <c r="AI282" s="5">
        <v>45937</v>
      </c>
      <c r="AJ282" s="5" t="s">
        <v>103</v>
      </c>
      <c r="AK282" s="5" t="s">
        <v>103</v>
      </c>
      <c r="AL282" s="5" t="s">
        <v>97</v>
      </c>
      <c r="AM282" s="5" t="s">
        <v>97</v>
      </c>
      <c r="AN282" s="5" t="s">
        <v>103</v>
      </c>
      <c r="AO282" s="5" t="s">
        <v>97</v>
      </c>
      <c r="AP282" s="5" t="s">
        <v>97</v>
      </c>
      <c r="AQ282" s="5" t="s">
        <v>97</v>
      </c>
      <c r="AR282" s="5" t="s">
        <v>97</v>
      </c>
      <c r="AS282" s="5" t="s">
        <v>97</v>
      </c>
      <c r="AT282" s="5"/>
      <c r="AU282" s="5"/>
      <c r="AV282" s="4" t="s">
        <v>103</v>
      </c>
      <c r="AW282" s="4" t="s">
        <v>97</v>
      </c>
      <c r="AX282" s="4" t="s">
        <v>97</v>
      </c>
      <c r="AY282" s="4" t="s">
        <v>97</v>
      </c>
      <c r="AZ282" s="4" t="s">
        <v>97</v>
      </c>
      <c r="BA282" s="4" t="s">
        <v>97</v>
      </c>
      <c r="BB282" s="5">
        <v>45943</v>
      </c>
      <c r="BC282" s="5">
        <v>45943</v>
      </c>
      <c r="BD282" s="5">
        <v>45943</v>
      </c>
      <c r="BE282" s="5">
        <v>45944</v>
      </c>
      <c r="BF282" s="4" t="s">
        <v>98</v>
      </c>
      <c r="BG282" s="4" t="s">
        <v>103</v>
      </c>
      <c r="BH282" s="4" t="s">
        <v>103</v>
      </c>
      <c r="BI282" s="4" t="s">
        <v>360</v>
      </c>
    </row>
    <row r="283" spans="1:61" x14ac:dyDescent="0.35">
      <c r="A283" s="8" t="str">
        <f t="shared" si="31"/>
        <v>Semaine 41-2025</v>
      </c>
      <c r="B283" s="8" t="str">
        <f t="shared" si="27"/>
        <v>2025</v>
      </c>
      <c r="C283" s="2" t="s">
        <v>51</v>
      </c>
      <c r="D283" s="6" t="str">
        <f t="shared" si="28"/>
        <v>Thies</v>
      </c>
      <c r="E283" s="6">
        <f t="shared" si="29"/>
        <v>201606</v>
      </c>
      <c r="F283" s="6">
        <f t="shared" si="30"/>
        <v>2280463</v>
      </c>
      <c r="G283" s="4" t="s">
        <v>820</v>
      </c>
      <c r="H283" s="4" t="s">
        <v>824</v>
      </c>
      <c r="I283" s="4">
        <v>7</v>
      </c>
      <c r="J283" s="4" t="s">
        <v>96</v>
      </c>
      <c r="K283" s="4"/>
      <c r="L283" s="4"/>
      <c r="M283" s="4"/>
      <c r="N283" s="4"/>
      <c r="O283" s="4" t="s">
        <v>238</v>
      </c>
      <c r="P283" s="4" t="s">
        <v>97</v>
      </c>
      <c r="Q283" s="4" t="s">
        <v>97</v>
      </c>
      <c r="R283" s="14" t="s">
        <v>100</v>
      </c>
      <c r="S283" s="14" t="s">
        <v>100</v>
      </c>
      <c r="T283" s="14" t="s">
        <v>100</v>
      </c>
      <c r="U283" s="8"/>
      <c r="V283" s="14"/>
      <c r="W283" s="14"/>
      <c r="X283" s="14"/>
      <c r="Y283" s="5">
        <v>45940</v>
      </c>
      <c r="Z283" s="5">
        <v>45942</v>
      </c>
      <c r="AA283" s="5" t="s">
        <v>103</v>
      </c>
      <c r="AB283" s="5" t="s">
        <v>272</v>
      </c>
      <c r="AC283" s="5" t="s">
        <v>97</v>
      </c>
      <c r="AD283" s="5" t="s">
        <v>97</v>
      </c>
      <c r="AE283" s="5" t="s">
        <v>97</v>
      </c>
      <c r="AF283" s="5" t="s">
        <v>103</v>
      </c>
      <c r="AG283" s="5" t="s">
        <v>97</v>
      </c>
      <c r="AH283" s="5" t="s">
        <v>103</v>
      </c>
      <c r="AI283" s="5">
        <v>45940</v>
      </c>
      <c r="AJ283" s="5" t="s">
        <v>103</v>
      </c>
      <c r="AK283" s="5" t="s">
        <v>97</v>
      </c>
      <c r="AL283" s="5" t="s">
        <v>97</v>
      </c>
      <c r="AM283" s="5" t="s">
        <v>103</v>
      </c>
      <c r="AN283" s="5" t="s">
        <v>103</v>
      </c>
      <c r="AO283" s="5" t="s">
        <v>97</v>
      </c>
      <c r="AP283" s="5" t="s">
        <v>97</v>
      </c>
      <c r="AQ283" s="5" t="s">
        <v>103</v>
      </c>
      <c r="AR283" s="5" t="s">
        <v>97</v>
      </c>
      <c r="AS283" s="5" t="s">
        <v>97</v>
      </c>
      <c r="AT283" s="5" t="s">
        <v>825</v>
      </c>
      <c r="AU283" s="5"/>
      <c r="AV283" s="4" t="s">
        <v>103</v>
      </c>
      <c r="AW283" s="4" t="s">
        <v>97</v>
      </c>
      <c r="AX283" s="4" t="s">
        <v>97</v>
      </c>
      <c r="AY283" s="4" t="s">
        <v>97</v>
      </c>
      <c r="AZ283" s="4" t="s">
        <v>103</v>
      </c>
      <c r="BA283" s="4" t="s">
        <v>97</v>
      </c>
      <c r="BB283" s="5">
        <v>45943</v>
      </c>
      <c r="BC283" s="5">
        <v>45943</v>
      </c>
      <c r="BD283" s="5">
        <v>45943</v>
      </c>
      <c r="BE283" s="5">
        <v>45944</v>
      </c>
      <c r="BF283" s="4" t="s">
        <v>98</v>
      </c>
      <c r="BG283" s="4" t="s">
        <v>103</v>
      </c>
      <c r="BH283" s="4" t="s">
        <v>103</v>
      </c>
      <c r="BI283" s="4" t="s">
        <v>360</v>
      </c>
    </row>
    <row r="284" spans="1:61" x14ac:dyDescent="0.35">
      <c r="A284" s="8" t="str">
        <f t="shared" si="31"/>
        <v>Semaine 40-2025</v>
      </c>
      <c r="B284" s="8" t="str">
        <f t="shared" si="27"/>
        <v>2025</v>
      </c>
      <c r="C284" s="2" t="s">
        <v>63</v>
      </c>
      <c r="D284" s="6" t="str">
        <f t="shared" si="28"/>
        <v>Saint-Louis</v>
      </c>
      <c r="E284" s="6">
        <f t="shared" si="29"/>
        <v>205977</v>
      </c>
      <c r="F284" s="6">
        <f t="shared" si="30"/>
        <v>1150065</v>
      </c>
      <c r="G284" s="4" t="s">
        <v>826</v>
      </c>
      <c r="H284" s="4" t="s">
        <v>832</v>
      </c>
      <c r="I284" s="4">
        <v>7</v>
      </c>
      <c r="J284" s="4" t="s">
        <v>114</v>
      </c>
      <c r="K284" s="4"/>
      <c r="L284" s="4"/>
      <c r="M284" s="4"/>
      <c r="N284" s="4"/>
      <c r="O284" s="4" t="s">
        <v>238</v>
      </c>
      <c r="P284" s="4" t="s">
        <v>97</v>
      </c>
      <c r="Q284" s="4" t="s">
        <v>97</v>
      </c>
      <c r="R284" s="14" t="s">
        <v>100</v>
      </c>
      <c r="S284" s="14" t="s">
        <v>100</v>
      </c>
      <c r="T284" s="14" t="s">
        <v>100</v>
      </c>
      <c r="U284" s="8"/>
      <c r="V284" s="14"/>
      <c r="W284" s="14"/>
      <c r="X284" s="14"/>
      <c r="Y284" s="5">
        <v>45931</v>
      </c>
      <c r="Z284" s="5">
        <v>45940</v>
      </c>
      <c r="AA284" s="5" t="s">
        <v>97</v>
      </c>
      <c r="AB284" s="5"/>
      <c r="AC284" s="5" t="s">
        <v>97</v>
      </c>
      <c r="AD284" s="5" t="s">
        <v>103</v>
      </c>
      <c r="AE284" s="5" t="s">
        <v>97</v>
      </c>
      <c r="AF284" s="5" t="s">
        <v>97</v>
      </c>
      <c r="AG284" s="5" t="s">
        <v>97</v>
      </c>
      <c r="AH284" s="5" t="s">
        <v>103</v>
      </c>
      <c r="AI284" s="5">
        <v>45933</v>
      </c>
      <c r="AJ284" s="5" t="s">
        <v>97</v>
      </c>
      <c r="AK284" s="5" t="s">
        <v>97</v>
      </c>
      <c r="AL284" s="5" t="s">
        <v>103</v>
      </c>
      <c r="AM284" s="5" t="s">
        <v>103</v>
      </c>
      <c r="AN284" s="5" t="s">
        <v>103</v>
      </c>
      <c r="AO284" s="5" t="s">
        <v>97</v>
      </c>
      <c r="AP284" s="5" t="s">
        <v>97</v>
      </c>
      <c r="AQ284" s="5" t="s">
        <v>103</v>
      </c>
      <c r="AR284" s="5" t="s">
        <v>103</v>
      </c>
      <c r="AS284" s="5" t="s">
        <v>103</v>
      </c>
      <c r="AT284" s="5"/>
      <c r="AU284" s="5"/>
      <c r="AV284" s="4" t="s">
        <v>97</v>
      </c>
      <c r="AW284" s="4" t="s">
        <v>97</v>
      </c>
      <c r="AX284" s="4" t="s">
        <v>97</v>
      </c>
      <c r="AY284" s="4" t="s">
        <v>97</v>
      </c>
      <c r="AZ284" s="4" t="s">
        <v>103</v>
      </c>
      <c r="BA284" s="4" t="s">
        <v>97</v>
      </c>
      <c r="BB284" s="5">
        <v>45941</v>
      </c>
      <c r="BC284" s="5">
        <v>45942</v>
      </c>
      <c r="BD284" s="5">
        <v>45942</v>
      </c>
      <c r="BE284" s="5">
        <v>45943</v>
      </c>
      <c r="BF284" s="4" t="s">
        <v>98</v>
      </c>
      <c r="BG284" s="4" t="s">
        <v>97</v>
      </c>
      <c r="BH284" s="4" t="s">
        <v>103</v>
      </c>
      <c r="BI284" s="4" t="s">
        <v>833</v>
      </c>
    </row>
    <row r="285" spans="1:61" x14ac:dyDescent="0.35">
      <c r="A285" s="8" t="str">
        <f t="shared" si="31"/>
        <v>Semaine 41-2025</v>
      </c>
      <c r="B285" s="8" t="str">
        <f t="shared" si="27"/>
        <v>2025</v>
      </c>
      <c r="C285" s="2" t="s">
        <v>31</v>
      </c>
      <c r="D285" s="6" t="str">
        <f t="shared" si="28"/>
        <v>Dakar</v>
      </c>
      <c r="E285" s="6">
        <f t="shared" si="29"/>
        <v>424760</v>
      </c>
      <c r="F285" s="6">
        <f t="shared" si="30"/>
        <v>4042240</v>
      </c>
      <c r="G285" s="4" t="s">
        <v>827</v>
      </c>
      <c r="H285" s="4" t="s">
        <v>811</v>
      </c>
      <c r="I285" s="4">
        <v>37</v>
      </c>
      <c r="J285" s="4" t="s">
        <v>114</v>
      </c>
      <c r="K285" s="4"/>
      <c r="L285" s="4"/>
      <c r="M285" s="4"/>
      <c r="N285" s="4"/>
      <c r="O285" s="4" t="s">
        <v>238</v>
      </c>
      <c r="P285" s="4" t="s">
        <v>97</v>
      </c>
      <c r="Q285" s="4" t="s">
        <v>97</v>
      </c>
      <c r="R285" s="14" t="s">
        <v>100</v>
      </c>
      <c r="S285" s="14" t="s">
        <v>100</v>
      </c>
      <c r="T285" s="14" t="s">
        <v>100</v>
      </c>
      <c r="U285" s="8"/>
      <c r="V285" s="14"/>
      <c r="W285" s="14"/>
      <c r="X285" s="14"/>
      <c r="Y285" s="5">
        <v>45939</v>
      </c>
      <c r="Z285" s="5">
        <v>45941</v>
      </c>
      <c r="AA285" s="5" t="s">
        <v>97</v>
      </c>
      <c r="AB285" s="5" t="s">
        <v>513</v>
      </c>
      <c r="AC285" s="5" t="s">
        <v>97</v>
      </c>
      <c r="AD285" s="5" t="s">
        <v>97</v>
      </c>
      <c r="AE285" s="5" t="s">
        <v>97</v>
      </c>
      <c r="AF285" s="5" t="s">
        <v>97</v>
      </c>
      <c r="AG285" s="5" t="s">
        <v>97</v>
      </c>
      <c r="AH285" s="5" t="s">
        <v>103</v>
      </c>
      <c r="AI285" s="5">
        <v>45940</v>
      </c>
      <c r="AJ285" s="5" t="s">
        <v>97</v>
      </c>
      <c r="AK285" s="5" t="s">
        <v>97</v>
      </c>
      <c r="AL285" s="5" t="s">
        <v>97</v>
      </c>
      <c r="AM285" s="5" t="s">
        <v>103</v>
      </c>
      <c r="AN285" s="5" t="s">
        <v>103</v>
      </c>
      <c r="AO285" s="5" t="s">
        <v>97</v>
      </c>
      <c r="AP285" s="5" t="s">
        <v>103</v>
      </c>
      <c r="AQ285" s="5" t="s">
        <v>97</v>
      </c>
      <c r="AR285" s="5" t="s">
        <v>97</v>
      </c>
      <c r="AS285" s="5" t="s">
        <v>103</v>
      </c>
      <c r="AT285" s="5"/>
      <c r="AU285" s="5"/>
      <c r="AV285" s="4" t="s">
        <v>103</v>
      </c>
      <c r="AW285" s="4" t="s">
        <v>97</v>
      </c>
      <c r="AX285" s="4" t="s">
        <v>97</v>
      </c>
      <c r="AY285" s="4" t="s">
        <v>97</v>
      </c>
      <c r="AZ285" s="4" t="s">
        <v>103</v>
      </c>
      <c r="BA285" s="4" t="s">
        <v>97</v>
      </c>
      <c r="BB285" s="5">
        <v>45941</v>
      </c>
      <c r="BC285" s="5">
        <v>45942</v>
      </c>
      <c r="BD285" s="5">
        <v>45942</v>
      </c>
      <c r="BE285" s="5">
        <v>45943</v>
      </c>
      <c r="BF285" s="4" t="s">
        <v>98</v>
      </c>
      <c r="BG285" s="4" t="s">
        <v>103</v>
      </c>
      <c r="BH285" s="4" t="s">
        <v>103</v>
      </c>
      <c r="BI285" s="4" t="s">
        <v>834</v>
      </c>
    </row>
    <row r="286" spans="1:61" x14ac:dyDescent="0.35">
      <c r="A286" s="8" t="str">
        <f t="shared" si="31"/>
        <v>Semaine 40-2025</v>
      </c>
      <c r="B286" s="8" t="str">
        <f t="shared" si="27"/>
        <v>2025</v>
      </c>
      <c r="C286" s="2" t="s">
        <v>18</v>
      </c>
      <c r="D286" s="6" t="str">
        <f t="shared" si="28"/>
        <v>Dakar</v>
      </c>
      <c r="E286" s="6">
        <f t="shared" si="29"/>
        <v>419489</v>
      </c>
      <c r="F286" s="6">
        <f t="shared" si="30"/>
        <v>4042240</v>
      </c>
      <c r="G286" s="4" t="s">
        <v>828</v>
      </c>
      <c r="H286" s="4" t="s">
        <v>835</v>
      </c>
      <c r="I286" s="4">
        <v>65</v>
      </c>
      <c r="J286" s="4" t="s">
        <v>96</v>
      </c>
      <c r="K286" s="4"/>
      <c r="L286" s="4"/>
      <c r="M286" s="4"/>
      <c r="N286" s="4"/>
      <c r="O286" s="4" t="s">
        <v>238</v>
      </c>
      <c r="P286" s="4" t="s">
        <v>97</v>
      </c>
      <c r="Q286" s="4" t="s">
        <v>97</v>
      </c>
      <c r="R286" s="14" t="s">
        <v>100</v>
      </c>
      <c r="S286" s="14" t="s">
        <v>100</v>
      </c>
      <c r="T286" s="14" t="s">
        <v>100</v>
      </c>
      <c r="U286" s="8"/>
      <c r="V286" s="14"/>
      <c r="W286" s="14"/>
      <c r="X286" s="14"/>
      <c r="Y286" s="5">
        <v>45933</v>
      </c>
      <c r="Z286" s="5">
        <v>45941</v>
      </c>
      <c r="AA286" s="5" t="s">
        <v>103</v>
      </c>
      <c r="AB286" s="5" t="s">
        <v>509</v>
      </c>
      <c r="AC286" s="5" t="s">
        <v>97</v>
      </c>
      <c r="AD286" s="5" t="s">
        <v>103</v>
      </c>
      <c r="AE286" s="5" t="s">
        <v>97</v>
      </c>
      <c r="AF286" s="5" t="s">
        <v>103</v>
      </c>
      <c r="AG286" s="5" t="s">
        <v>103</v>
      </c>
      <c r="AH286" s="5" t="s">
        <v>103</v>
      </c>
      <c r="AI286" s="5">
        <v>45933</v>
      </c>
      <c r="AJ286" s="5" t="s">
        <v>97</v>
      </c>
      <c r="AK286" s="5" t="s">
        <v>103</v>
      </c>
      <c r="AL286" s="5" t="s">
        <v>97</v>
      </c>
      <c r="AM286" s="5" t="s">
        <v>97</v>
      </c>
      <c r="AN286" s="5" t="s">
        <v>103</v>
      </c>
      <c r="AO286" s="5" t="s">
        <v>97</v>
      </c>
      <c r="AP286" s="5" t="s">
        <v>97</v>
      </c>
      <c r="AQ286" s="5" t="s">
        <v>97</v>
      </c>
      <c r="AR286" s="5" t="s">
        <v>97</v>
      </c>
      <c r="AS286" s="5" t="s">
        <v>103</v>
      </c>
      <c r="AT286" s="5"/>
      <c r="AU286" s="5"/>
      <c r="AV286" s="4" t="s">
        <v>103</v>
      </c>
      <c r="AW286" s="4" t="s">
        <v>97</v>
      </c>
      <c r="AX286" s="4" t="s">
        <v>97</v>
      </c>
      <c r="AY286" s="4" t="s">
        <v>97</v>
      </c>
      <c r="AZ286" s="4" t="s">
        <v>103</v>
      </c>
      <c r="BA286" s="4" t="s">
        <v>97</v>
      </c>
      <c r="BB286" s="5">
        <v>45941</v>
      </c>
      <c r="BC286" s="5">
        <v>45942</v>
      </c>
      <c r="BD286" s="5">
        <v>45942</v>
      </c>
      <c r="BE286" s="5">
        <v>45943</v>
      </c>
      <c r="BF286" s="4" t="s">
        <v>98</v>
      </c>
      <c r="BG286" s="4" t="s">
        <v>97</v>
      </c>
      <c r="BH286" s="4" t="s">
        <v>103</v>
      </c>
      <c r="BI286" s="4" t="s">
        <v>834</v>
      </c>
    </row>
    <row r="287" spans="1:61" x14ac:dyDescent="0.35">
      <c r="A287" s="8" t="str">
        <f t="shared" si="31"/>
        <v>Semaine 41-2025</v>
      </c>
      <c r="B287" s="8" t="str">
        <f t="shared" si="27"/>
        <v>2025</v>
      </c>
      <c r="C287" s="2" t="s">
        <v>18</v>
      </c>
      <c r="D287" s="6" t="str">
        <f t="shared" si="28"/>
        <v>Dakar</v>
      </c>
      <c r="E287" s="6">
        <f t="shared" si="29"/>
        <v>419489</v>
      </c>
      <c r="F287" s="6">
        <f t="shared" si="30"/>
        <v>4042240</v>
      </c>
      <c r="G287" s="4" t="s">
        <v>829</v>
      </c>
      <c r="H287" s="4" t="s">
        <v>836</v>
      </c>
      <c r="I287" s="4">
        <v>23</v>
      </c>
      <c r="J287" s="4" t="s">
        <v>114</v>
      </c>
      <c r="K287" s="4"/>
      <c r="L287" s="4"/>
      <c r="M287" s="4"/>
      <c r="N287" s="4"/>
      <c r="O287" s="4" t="s">
        <v>238</v>
      </c>
      <c r="P287" s="4" t="s">
        <v>97</v>
      </c>
      <c r="Q287" s="4" t="s">
        <v>97</v>
      </c>
      <c r="R287" s="14" t="s">
        <v>100</v>
      </c>
      <c r="S287" s="14" t="s">
        <v>100</v>
      </c>
      <c r="T287" s="14" t="s">
        <v>100</v>
      </c>
      <c r="U287" s="8"/>
      <c r="V287" s="14"/>
      <c r="W287" s="14"/>
      <c r="X287" s="14"/>
      <c r="Y287" s="5">
        <v>45940</v>
      </c>
      <c r="Z287" s="5">
        <v>45942</v>
      </c>
      <c r="AA287" s="4" t="s">
        <v>103</v>
      </c>
      <c r="AB287" s="4"/>
      <c r="AC287" s="4" t="s">
        <v>103</v>
      </c>
      <c r="AD287" s="4" t="s">
        <v>103</v>
      </c>
      <c r="AE287" s="4" t="s">
        <v>97</v>
      </c>
      <c r="AF287" s="4" t="s">
        <v>97</v>
      </c>
      <c r="AG287" s="4" t="s">
        <v>97</v>
      </c>
      <c r="AH287" s="5" t="s">
        <v>103</v>
      </c>
      <c r="AI287" s="5">
        <v>45940</v>
      </c>
      <c r="AJ287" s="4" t="s">
        <v>97</v>
      </c>
      <c r="AK287" s="4" t="s">
        <v>97</v>
      </c>
      <c r="AL287" s="4" t="s">
        <v>97</v>
      </c>
      <c r="AM287" s="4" t="s">
        <v>103</v>
      </c>
      <c r="AN287" s="4" t="s">
        <v>103</v>
      </c>
      <c r="AO287" s="4" t="s">
        <v>97</v>
      </c>
      <c r="AP287" s="4" t="s">
        <v>97</v>
      </c>
      <c r="AQ287" s="4" t="s">
        <v>97</v>
      </c>
      <c r="AR287" s="4" t="s">
        <v>97</v>
      </c>
      <c r="AS287" s="4" t="s">
        <v>103</v>
      </c>
      <c r="AT287" s="4"/>
      <c r="AU287" s="4"/>
      <c r="AV287" s="4" t="s">
        <v>103</v>
      </c>
      <c r="AW287" s="4" t="s">
        <v>97</v>
      </c>
      <c r="AX287" s="4" t="s">
        <v>97</v>
      </c>
      <c r="AY287" s="4" t="s">
        <v>97</v>
      </c>
      <c r="AZ287" s="4" t="s">
        <v>103</v>
      </c>
      <c r="BA287" s="4" t="s">
        <v>97</v>
      </c>
      <c r="BB287" s="5">
        <v>45942</v>
      </c>
      <c r="BC287" s="5">
        <v>45942</v>
      </c>
      <c r="BD287" s="5">
        <v>45943</v>
      </c>
      <c r="BE287" s="5">
        <v>45943</v>
      </c>
      <c r="BF287" s="4" t="s">
        <v>98</v>
      </c>
      <c r="BG287" s="4" t="s">
        <v>97</v>
      </c>
      <c r="BH287" s="4" t="s">
        <v>103</v>
      </c>
      <c r="BI287" s="4" t="s">
        <v>834</v>
      </c>
    </row>
    <row r="288" spans="1:61" x14ac:dyDescent="0.35">
      <c r="A288" s="8" t="str">
        <f t="shared" si="31"/>
        <v>Semaine 41-2025</v>
      </c>
      <c r="B288" s="8" t="str">
        <f t="shared" si="27"/>
        <v>2025</v>
      </c>
      <c r="C288" s="2" t="s">
        <v>31</v>
      </c>
      <c r="D288" s="6" t="str">
        <f t="shared" si="28"/>
        <v>Dakar</v>
      </c>
      <c r="E288" s="6">
        <f t="shared" si="29"/>
        <v>424760</v>
      </c>
      <c r="F288" s="6">
        <f t="shared" si="30"/>
        <v>4042240</v>
      </c>
      <c r="G288" s="4" t="s">
        <v>830</v>
      </c>
      <c r="H288" s="4" t="s">
        <v>837</v>
      </c>
      <c r="I288" s="4">
        <v>1</v>
      </c>
      <c r="J288" s="4" t="s">
        <v>114</v>
      </c>
      <c r="K288" s="4"/>
      <c r="L288" s="4"/>
      <c r="M288" s="4"/>
      <c r="N288" s="4"/>
      <c r="O288" s="4" t="s">
        <v>238</v>
      </c>
      <c r="P288" s="4" t="s">
        <v>97</v>
      </c>
      <c r="Q288" s="4" t="s">
        <v>97</v>
      </c>
      <c r="R288" s="14" t="s">
        <v>100</v>
      </c>
      <c r="S288" s="14" t="s">
        <v>100</v>
      </c>
      <c r="T288" s="14" t="s">
        <v>100</v>
      </c>
      <c r="U288" s="8"/>
      <c r="V288" s="14"/>
      <c r="W288" s="14"/>
      <c r="X288" s="14"/>
      <c r="Y288" s="5">
        <v>45940</v>
      </c>
      <c r="Z288" s="5">
        <v>45941</v>
      </c>
      <c r="AA288" s="4" t="s">
        <v>97</v>
      </c>
      <c r="AB288" s="4" t="s">
        <v>396</v>
      </c>
      <c r="AC288" s="4" t="s">
        <v>97</v>
      </c>
      <c r="AD288" s="4" t="s">
        <v>97</v>
      </c>
      <c r="AE288" s="4" t="s">
        <v>97</v>
      </c>
      <c r="AF288" s="4" t="s">
        <v>97</v>
      </c>
      <c r="AG288" s="4" t="s">
        <v>97</v>
      </c>
      <c r="AH288" s="5" t="s">
        <v>103</v>
      </c>
      <c r="AI288" s="5">
        <v>45940</v>
      </c>
      <c r="AJ288" s="4" t="s">
        <v>97</v>
      </c>
      <c r="AK288" s="4" t="s">
        <v>103</v>
      </c>
      <c r="AL288" s="4" t="s">
        <v>97</v>
      </c>
      <c r="AM288" s="4" t="s">
        <v>97</v>
      </c>
      <c r="AN288" s="4" t="s">
        <v>103</v>
      </c>
      <c r="AO288" s="4" t="s">
        <v>97</v>
      </c>
      <c r="AP288" s="4" t="s">
        <v>97</v>
      </c>
      <c r="AQ288" s="4" t="s">
        <v>97</v>
      </c>
      <c r="AR288" s="4" t="s">
        <v>97</v>
      </c>
      <c r="AS288" s="4" t="s">
        <v>103</v>
      </c>
      <c r="AT288" s="4"/>
      <c r="AU288" s="4"/>
      <c r="AV288" s="4" t="s">
        <v>103</v>
      </c>
      <c r="AW288" s="4" t="s">
        <v>97</v>
      </c>
      <c r="AX288" s="4" t="s">
        <v>97</v>
      </c>
      <c r="AY288" s="4" t="s">
        <v>97</v>
      </c>
      <c r="AZ288" s="4" t="s">
        <v>103</v>
      </c>
      <c r="BA288" s="4" t="s">
        <v>97</v>
      </c>
      <c r="BB288" s="5">
        <v>45941</v>
      </c>
      <c r="BC288" s="5">
        <v>45941</v>
      </c>
      <c r="BD288" s="5">
        <v>45942</v>
      </c>
      <c r="BE288" s="5">
        <v>45943</v>
      </c>
      <c r="BF288" s="4" t="s">
        <v>98</v>
      </c>
      <c r="BG288" s="4" t="s">
        <v>97</v>
      </c>
      <c r="BH288" s="4" t="s">
        <v>103</v>
      </c>
      <c r="BI288" s="4" t="s">
        <v>834</v>
      </c>
    </row>
    <row r="289" spans="1:61" x14ac:dyDescent="0.35">
      <c r="A289" s="8" t="str">
        <f t="shared" si="31"/>
        <v>Semaine 41-2025</v>
      </c>
      <c r="B289" s="8" t="str">
        <f t="shared" si="27"/>
        <v>2025</v>
      </c>
      <c r="C289" s="2" t="s">
        <v>18</v>
      </c>
      <c r="D289" s="6" t="str">
        <f t="shared" si="28"/>
        <v>Dakar</v>
      </c>
      <c r="E289" s="6">
        <f t="shared" si="29"/>
        <v>419489</v>
      </c>
      <c r="F289" s="6">
        <f t="shared" si="30"/>
        <v>4042240</v>
      </c>
      <c r="G289" s="4" t="s">
        <v>831</v>
      </c>
      <c r="H289" s="4" t="s">
        <v>839</v>
      </c>
      <c r="I289" s="4">
        <v>1</v>
      </c>
      <c r="J289" s="4" t="s">
        <v>114</v>
      </c>
      <c r="K289" s="4"/>
      <c r="L289" s="4"/>
      <c r="M289" s="4"/>
      <c r="N289" s="4"/>
      <c r="O289" s="4" t="s">
        <v>238</v>
      </c>
      <c r="P289" s="4" t="s">
        <v>97</v>
      </c>
      <c r="Q289" s="4" t="s">
        <v>97</v>
      </c>
      <c r="R289" s="14" t="s">
        <v>100</v>
      </c>
      <c r="S289" s="14" t="s">
        <v>100</v>
      </c>
      <c r="T289" s="14" t="s">
        <v>100</v>
      </c>
      <c r="U289" s="8"/>
      <c r="V289" s="14"/>
      <c r="W289" s="14"/>
      <c r="X289" s="14"/>
      <c r="Y289" s="5">
        <v>45941</v>
      </c>
      <c r="Z289" s="5">
        <v>45943</v>
      </c>
      <c r="AA289" s="4" t="s">
        <v>103</v>
      </c>
      <c r="AB289" s="4" t="s">
        <v>272</v>
      </c>
      <c r="AC289" s="4" t="s">
        <v>97</v>
      </c>
      <c r="AD289" s="4" t="s">
        <v>97</v>
      </c>
      <c r="AE289" s="4" t="s">
        <v>97</v>
      </c>
      <c r="AF289" s="4" t="s">
        <v>103</v>
      </c>
      <c r="AG289" s="4" t="s">
        <v>97</v>
      </c>
      <c r="AH289" s="5" t="s">
        <v>103</v>
      </c>
      <c r="AI289" s="5">
        <v>45941</v>
      </c>
      <c r="AJ289" s="4" t="s">
        <v>97</v>
      </c>
      <c r="AK289" s="4" t="s">
        <v>97</v>
      </c>
      <c r="AL289" s="4" t="s">
        <v>97</v>
      </c>
      <c r="AM289" s="4" t="s">
        <v>97</v>
      </c>
      <c r="AN289" s="4" t="s">
        <v>103</v>
      </c>
      <c r="AO289" s="4" t="s">
        <v>97</v>
      </c>
      <c r="AP289" s="4" t="s">
        <v>97</v>
      </c>
      <c r="AQ289" s="4" t="s">
        <v>97</v>
      </c>
      <c r="AR289" s="4" t="s">
        <v>103</v>
      </c>
      <c r="AS289" s="4" t="s">
        <v>97</v>
      </c>
      <c r="AT289" s="4"/>
      <c r="AU289" s="4"/>
      <c r="AV289" s="4" t="s">
        <v>103</v>
      </c>
      <c r="AW289" s="4" t="s">
        <v>97</v>
      </c>
      <c r="AX289" s="4" t="s">
        <v>97</v>
      </c>
      <c r="AY289" s="4" t="s">
        <v>97</v>
      </c>
      <c r="AZ289" s="4" t="s">
        <v>103</v>
      </c>
      <c r="BA289" s="4" t="s">
        <v>97</v>
      </c>
      <c r="BB289" s="5">
        <v>45943</v>
      </c>
      <c r="BC289" s="5">
        <v>45943</v>
      </c>
      <c r="BD289" s="5">
        <v>45943</v>
      </c>
      <c r="BE289" s="5">
        <v>45943</v>
      </c>
      <c r="BF289" s="4" t="s">
        <v>98</v>
      </c>
      <c r="BG289" s="4" t="s">
        <v>97</v>
      </c>
      <c r="BH289" s="4" t="s">
        <v>103</v>
      </c>
      <c r="BI289" s="4" t="s">
        <v>834</v>
      </c>
    </row>
    <row r="290" spans="1:61" x14ac:dyDescent="0.35">
      <c r="A290" s="8" t="str">
        <f t="shared" si="31"/>
        <v>Semaine 41-2025</v>
      </c>
      <c r="B290" s="8" t="str">
        <f t="shared" si="27"/>
        <v>2025</v>
      </c>
      <c r="C290" s="2" t="s">
        <v>19</v>
      </c>
      <c r="D290" s="6" t="str">
        <f t="shared" si="28"/>
        <v>Dakar</v>
      </c>
      <c r="E290" s="6">
        <f t="shared" si="29"/>
        <v>565040</v>
      </c>
      <c r="F290" s="6">
        <f t="shared" si="30"/>
        <v>4042240</v>
      </c>
      <c r="G290" s="4" t="s">
        <v>838</v>
      </c>
      <c r="H290" s="4" t="s">
        <v>840</v>
      </c>
      <c r="I290" s="4">
        <v>3</v>
      </c>
      <c r="J290" s="4" t="s">
        <v>114</v>
      </c>
      <c r="K290" s="4"/>
      <c r="L290" s="4"/>
      <c r="M290" s="4"/>
      <c r="N290" s="4"/>
      <c r="O290" s="4" t="s">
        <v>238</v>
      </c>
      <c r="P290" s="4" t="s">
        <v>97</v>
      </c>
      <c r="Q290" s="4" t="s">
        <v>97</v>
      </c>
      <c r="R290" s="14" t="s">
        <v>100</v>
      </c>
      <c r="S290" s="14" t="s">
        <v>100</v>
      </c>
      <c r="T290" s="14" t="s">
        <v>100</v>
      </c>
      <c r="U290" s="8"/>
      <c r="V290" s="14"/>
      <c r="W290" s="14"/>
      <c r="X290" s="14"/>
      <c r="Y290" s="5">
        <v>45940</v>
      </c>
      <c r="Z290" s="5">
        <v>45942</v>
      </c>
      <c r="AA290" s="4" t="s">
        <v>103</v>
      </c>
      <c r="AB290" s="4" t="s">
        <v>272</v>
      </c>
      <c r="AC290" s="4" t="s">
        <v>97</v>
      </c>
      <c r="AD290" s="4" t="s">
        <v>97</v>
      </c>
      <c r="AE290" s="4" t="s">
        <v>97</v>
      </c>
      <c r="AF290" s="4" t="s">
        <v>97</v>
      </c>
      <c r="AG290" s="4" t="s">
        <v>97</v>
      </c>
      <c r="AH290" s="5" t="s">
        <v>103</v>
      </c>
      <c r="AI290" s="5">
        <v>45940</v>
      </c>
      <c r="AJ290" s="4" t="s">
        <v>97</v>
      </c>
      <c r="AK290" s="4" t="s">
        <v>97</v>
      </c>
      <c r="AL290" s="4" t="s">
        <v>97</v>
      </c>
      <c r="AM290" s="4" t="s">
        <v>103</v>
      </c>
      <c r="AN290" s="4" t="s">
        <v>103</v>
      </c>
      <c r="AO290" s="4" t="s">
        <v>97</v>
      </c>
      <c r="AP290" s="4" t="s">
        <v>97</v>
      </c>
      <c r="AQ290" s="4" t="s">
        <v>97</v>
      </c>
      <c r="AR290" s="4" t="s">
        <v>97</v>
      </c>
      <c r="AS290" s="4" t="s">
        <v>97</v>
      </c>
      <c r="AT290" s="4"/>
      <c r="AU290" s="4"/>
      <c r="AV290" s="4" t="s">
        <v>97</v>
      </c>
      <c r="AW290" s="4" t="s">
        <v>97</v>
      </c>
      <c r="AX290" s="4" t="s">
        <v>103</v>
      </c>
      <c r="AY290" s="4" t="s">
        <v>97</v>
      </c>
      <c r="AZ290" s="4" t="s">
        <v>97</v>
      </c>
      <c r="BA290" s="4" t="s">
        <v>97</v>
      </c>
      <c r="BB290" s="5">
        <v>45943</v>
      </c>
      <c r="BC290" s="5">
        <v>45943</v>
      </c>
      <c r="BD290" s="5">
        <v>45943</v>
      </c>
      <c r="BE290" s="5">
        <v>45943</v>
      </c>
      <c r="BF290" s="4" t="s">
        <v>98</v>
      </c>
      <c r="BG290" s="4" t="s">
        <v>97</v>
      </c>
      <c r="BH290" s="4" t="s">
        <v>103</v>
      </c>
      <c r="BI290" s="4" t="s">
        <v>834</v>
      </c>
    </row>
    <row r="291" spans="1:61" x14ac:dyDescent="0.35">
      <c r="A291" s="8" t="str">
        <f t="shared" si="31"/>
        <v>Semaine 41-2025</v>
      </c>
      <c r="B291" s="8" t="str">
        <f t="shared" si="27"/>
        <v>2025</v>
      </c>
      <c r="C291" s="2" t="s">
        <v>52</v>
      </c>
      <c r="D291" s="6" t="str">
        <f t="shared" si="28"/>
        <v>Kaolack</v>
      </c>
      <c r="E291" s="6">
        <f t="shared" si="29"/>
        <v>231613</v>
      </c>
      <c r="F291" s="6">
        <f t="shared" si="30"/>
        <v>1267013</v>
      </c>
      <c r="G291" s="4" t="s">
        <v>841</v>
      </c>
      <c r="H291" s="4" t="s">
        <v>853</v>
      </c>
      <c r="I291" s="4">
        <v>12</v>
      </c>
      <c r="J291" s="4" t="s">
        <v>114</v>
      </c>
      <c r="K291" s="4"/>
      <c r="L291" s="4"/>
      <c r="M291" s="4"/>
      <c r="N291" s="4"/>
      <c r="O291" s="4" t="s">
        <v>238</v>
      </c>
      <c r="P291" s="4" t="s">
        <v>97</v>
      </c>
      <c r="Q291" s="4" t="s">
        <v>97</v>
      </c>
      <c r="R291" s="14" t="s">
        <v>100</v>
      </c>
      <c r="S291" s="14" t="s">
        <v>100</v>
      </c>
      <c r="T291" s="14" t="s">
        <v>100</v>
      </c>
      <c r="U291" s="8"/>
      <c r="V291" s="14"/>
      <c r="W291" s="14"/>
      <c r="X291" s="14"/>
      <c r="Y291" s="5">
        <v>45939</v>
      </c>
      <c r="Z291" s="5">
        <v>45941</v>
      </c>
      <c r="AA291" s="4" t="s">
        <v>103</v>
      </c>
      <c r="AB291" s="4" t="s">
        <v>387</v>
      </c>
      <c r="AC291" s="4" t="s">
        <v>97</v>
      </c>
      <c r="AD291" s="4" t="s">
        <v>103</v>
      </c>
      <c r="AE291" s="4" t="s">
        <v>97</v>
      </c>
      <c r="AF291" s="4" t="s">
        <v>103</v>
      </c>
      <c r="AG291" s="4" t="s">
        <v>97</v>
      </c>
      <c r="AH291" s="5" t="s">
        <v>103</v>
      </c>
      <c r="AI291" s="5">
        <v>45940</v>
      </c>
      <c r="AJ291" s="4" t="s">
        <v>97</v>
      </c>
      <c r="AK291" s="4" t="s">
        <v>97</v>
      </c>
      <c r="AL291" s="4" t="s">
        <v>103</v>
      </c>
      <c r="AM291" s="4" t="s">
        <v>97</v>
      </c>
      <c r="AN291" s="4" t="s">
        <v>103</v>
      </c>
      <c r="AO291" s="4" t="s">
        <v>97</v>
      </c>
      <c r="AP291" s="4" t="s">
        <v>97</v>
      </c>
      <c r="AQ291" s="4" t="s">
        <v>97</v>
      </c>
      <c r="AR291" s="4" t="s">
        <v>97</v>
      </c>
      <c r="AS291" s="4" t="s">
        <v>97</v>
      </c>
      <c r="AT291" s="4"/>
      <c r="AU291" s="4"/>
      <c r="AV291" s="4" t="s">
        <v>103</v>
      </c>
      <c r="AW291" s="4" t="s">
        <v>103</v>
      </c>
      <c r="AX291" s="4" t="s">
        <v>97</v>
      </c>
      <c r="AY291" s="4" t="s">
        <v>97</v>
      </c>
      <c r="AZ291" s="4" t="s">
        <v>97</v>
      </c>
      <c r="BA291" s="4" t="s">
        <v>97</v>
      </c>
      <c r="BB291" s="5">
        <v>45942</v>
      </c>
      <c r="BC291" s="5">
        <v>45943</v>
      </c>
      <c r="BD291" s="5">
        <v>45943</v>
      </c>
      <c r="BE291" s="5">
        <v>45944</v>
      </c>
      <c r="BF291" s="4" t="s">
        <v>98</v>
      </c>
      <c r="BG291" s="4" t="s">
        <v>97</v>
      </c>
      <c r="BH291" s="4" t="s">
        <v>103</v>
      </c>
      <c r="BI291" s="4" t="s">
        <v>834</v>
      </c>
    </row>
    <row r="292" spans="1:61" x14ac:dyDescent="0.35">
      <c r="A292" s="8" t="str">
        <f t="shared" si="31"/>
        <v>Semaine 39-2025</v>
      </c>
      <c r="B292" s="8" t="str">
        <f t="shared" si="27"/>
        <v>2025</v>
      </c>
      <c r="C292" s="2" t="s">
        <v>8</v>
      </c>
      <c r="D292" s="6" t="str">
        <f t="shared" si="28"/>
        <v>Fatick</v>
      </c>
      <c r="E292" s="6">
        <f t="shared" si="29"/>
        <v>102630</v>
      </c>
      <c r="F292" s="6">
        <f t="shared" si="30"/>
        <v>965914</v>
      </c>
      <c r="G292" s="4" t="s">
        <v>842</v>
      </c>
      <c r="H292" s="4" t="s">
        <v>854</v>
      </c>
      <c r="I292" s="4">
        <v>5</v>
      </c>
      <c r="J292" s="4" t="s">
        <v>96</v>
      </c>
      <c r="K292" s="4"/>
      <c r="L292" s="4"/>
      <c r="M292" s="4"/>
      <c r="N292" s="4"/>
      <c r="O292" s="4" t="s">
        <v>238</v>
      </c>
      <c r="P292" s="4" t="s">
        <v>97</v>
      </c>
      <c r="Q292" s="4" t="s">
        <v>97</v>
      </c>
      <c r="R292" s="14" t="s">
        <v>100</v>
      </c>
      <c r="S292" s="14" t="s">
        <v>100</v>
      </c>
      <c r="T292" s="14" t="s">
        <v>100</v>
      </c>
      <c r="U292" s="8"/>
      <c r="V292" s="14"/>
      <c r="W292" s="14"/>
      <c r="X292" s="14"/>
      <c r="Y292" s="5">
        <v>45926</v>
      </c>
      <c r="Z292" s="5">
        <v>45940</v>
      </c>
      <c r="AA292" s="4" t="s">
        <v>97</v>
      </c>
      <c r="AB292" s="4" t="s">
        <v>419</v>
      </c>
      <c r="AC292" s="4" t="s">
        <v>97</v>
      </c>
      <c r="AD292" s="4" t="s">
        <v>97</v>
      </c>
      <c r="AE292" s="4" t="s">
        <v>97</v>
      </c>
      <c r="AF292" s="4" t="s">
        <v>97</v>
      </c>
      <c r="AG292" s="4" t="s">
        <v>97</v>
      </c>
      <c r="AH292" s="5" t="s">
        <v>103</v>
      </c>
      <c r="AI292" s="5">
        <v>45926</v>
      </c>
      <c r="AJ292" s="4" t="s">
        <v>97</v>
      </c>
      <c r="AK292" s="4" t="s">
        <v>97</v>
      </c>
      <c r="AL292" s="4" t="s">
        <v>103</v>
      </c>
      <c r="AM292" s="4" t="s">
        <v>103</v>
      </c>
      <c r="AN292" s="4" t="s">
        <v>103</v>
      </c>
      <c r="AO292" s="4" t="s">
        <v>97</v>
      </c>
      <c r="AP292" s="4" t="s">
        <v>103</v>
      </c>
      <c r="AQ292" s="4" t="s">
        <v>103</v>
      </c>
      <c r="AR292" s="4" t="s">
        <v>97</v>
      </c>
      <c r="AS292" s="4" t="s">
        <v>103</v>
      </c>
      <c r="AT292" s="4"/>
      <c r="AU292" s="4"/>
      <c r="AV292" s="4" t="s">
        <v>103</v>
      </c>
      <c r="AW292" s="4" t="s">
        <v>97</v>
      </c>
      <c r="AX292" s="4" t="s">
        <v>97</v>
      </c>
      <c r="AY292" s="4" t="s">
        <v>97</v>
      </c>
      <c r="AZ292" s="4" t="s">
        <v>97</v>
      </c>
      <c r="BA292" s="4" t="s">
        <v>97</v>
      </c>
      <c r="BB292" s="5">
        <v>45942</v>
      </c>
      <c r="BC292" s="5">
        <v>45943</v>
      </c>
      <c r="BD292" s="5">
        <v>45944</v>
      </c>
      <c r="BE292" s="5">
        <v>45944</v>
      </c>
      <c r="BF292" s="4" t="s">
        <v>98</v>
      </c>
      <c r="BG292" s="4" t="s">
        <v>97</v>
      </c>
      <c r="BH292" s="4" t="s">
        <v>103</v>
      </c>
      <c r="BI292" s="4" t="s">
        <v>834</v>
      </c>
    </row>
    <row r="293" spans="1:61" x14ac:dyDescent="0.35">
      <c r="A293" s="8" t="str">
        <f t="shared" si="31"/>
        <v>Semaine 40-2025</v>
      </c>
      <c r="B293" s="8" t="str">
        <f t="shared" si="27"/>
        <v>2025</v>
      </c>
      <c r="C293" s="2" t="s">
        <v>8</v>
      </c>
      <c r="D293" s="6" t="str">
        <f t="shared" si="28"/>
        <v>Fatick</v>
      </c>
      <c r="E293" s="6">
        <f t="shared" si="29"/>
        <v>102630</v>
      </c>
      <c r="F293" s="6">
        <f t="shared" si="30"/>
        <v>965914</v>
      </c>
      <c r="G293" s="4" t="s">
        <v>843</v>
      </c>
      <c r="H293" s="4" t="s">
        <v>855</v>
      </c>
      <c r="I293" s="22">
        <v>4</v>
      </c>
      <c r="J293" s="4" t="s">
        <v>96</v>
      </c>
      <c r="K293" s="4"/>
      <c r="L293" s="4"/>
      <c r="M293" s="4"/>
      <c r="N293" s="4"/>
      <c r="O293" s="4" t="s">
        <v>238</v>
      </c>
      <c r="P293" s="4" t="s">
        <v>97</v>
      </c>
      <c r="Q293" s="4" t="s">
        <v>97</v>
      </c>
      <c r="R293" s="14" t="s">
        <v>100</v>
      </c>
      <c r="S293" s="14" t="s">
        <v>100</v>
      </c>
      <c r="T293" s="14" t="s">
        <v>100</v>
      </c>
      <c r="U293" s="8" t="s">
        <v>282</v>
      </c>
      <c r="V293" s="14"/>
      <c r="W293" s="14"/>
      <c r="X293" s="14"/>
      <c r="Y293" s="5">
        <v>45930</v>
      </c>
      <c r="Z293" s="5">
        <v>45940</v>
      </c>
      <c r="AA293" s="4" t="s">
        <v>97</v>
      </c>
      <c r="AB293" s="4" t="s">
        <v>578</v>
      </c>
      <c r="AC293" s="4" t="s">
        <v>97</v>
      </c>
      <c r="AD293" s="4" t="s">
        <v>97</v>
      </c>
      <c r="AE293" s="4" t="s">
        <v>97</v>
      </c>
      <c r="AF293" s="4" t="s">
        <v>97</v>
      </c>
      <c r="AG293" s="4" t="s">
        <v>97</v>
      </c>
      <c r="AH293" s="5" t="s">
        <v>103</v>
      </c>
      <c r="AI293" s="5">
        <v>45931</v>
      </c>
      <c r="AJ293" s="4" t="s">
        <v>97</v>
      </c>
      <c r="AK293" s="4" t="s">
        <v>103</v>
      </c>
      <c r="AL293" s="4" t="s">
        <v>97</v>
      </c>
      <c r="AM293" s="4" t="s">
        <v>103</v>
      </c>
      <c r="AN293" s="4" t="s">
        <v>103</v>
      </c>
      <c r="AO293" s="4" t="s">
        <v>97</v>
      </c>
      <c r="AP293" s="4" t="s">
        <v>97</v>
      </c>
      <c r="AQ293" s="4" t="s">
        <v>103</v>
      </c>
      <c r="AR293" s="4" t="s">
        <v>97</v>
      </c>
      <c r="AS293" s="4" t="s">
        <v>97</v>
      </c>
      <c r="AT293" s="4"/>
      <c r="AU293" s="4"/>
      <c r="AV293" s="4" t="s">
        <v>103</v>
      </c>
      <c r="AW293" s="4" t="s">
        <v>97</v>
      </c>
      <c r="AX293" s="4" t="s">
        <v>97</v>
      </c>
      <c r="AY293" s="4" t="s">
        <v>97</v>
      </c>
      <c r="AZ293" s="4" t="s">
        <v>97</v>
      </c>
      <c r="BA293" s="4" t="s">
        <v>97</v>
      </c>
      <c r="BB293" s="5">
        <v>45942</v>
      </c>
      <c r="BC293" s="5">
        <v>45943</v>
      </c>
      <c r="BD293" s="5">
        <v>45944</v>
      </c>
      <c r="BE293" s="5">
        <v>45944</v>
      </c>
      <c r="BF293" s="4" t="s">
        <v>98</v>
      </c>
      <c r="BG293" s="4" t="s">
        <v>97</v>
      </c>
      <c r="BH293" s="4" t="s">
        <v>103</v>
      </c>
      <c r="BI293" s="4" t="s">
        <v>834</v>
      </c>
    </row>
    <row r="294" spans="1:61" x14ac:dyDescent="0.35">
      <c r="A294" s="8" t="str">
        <f t="shared" si="31"/>
        <v>Semaine 40-2025</v>
      </c>
      <c r="B294" s="8" t="str">
        <f t="shared" si="27"/>
        <v>2025</v>
      </c>
      <c r="C294" s="2" t="s">
        <v>8</v>
      </c>
      <c r="D294" s="6" t="str">
        <f t="shared" si="28"/>
        <v>Fatick</v>
      </c>
      <c r="E294" s="6">
        <f t="shared" si="29"/>
        <v>102630</v>
      </c>
      <c r="F294" s="6">
        <f t="shared" si="30"/>
        <v>965914</v>
      </c>
      <c r="G294" s="4" t="s">
        <v>844</v>
      </c>
      <c r="H294" s="4" t="s">
        <v>856</v>
      </c>
      <c r="I294" s="22">
        <v>4</v>
      </c>
      <c r="J294" s="4" t="s">
        <v>96</v>
      </c>
      <c r="K294" s="4"/>
      <c r="L294" s="4"/>
      <c r="M294" s="4"/>
      <c r="N294" s="4"/>
      <c r="O294" s="4" t="s">
        <v>238</v>
      </c>
      <c r="P294" s="4" t="s">
        <v>97</v>
      </c>
      <c r="Q294" s="4" t="s">
        <v>97</v>
      </c>
      <c r="R294" s="14" t="s">
        <v>100</v>
      </c>
      <c r="S294" s="14" t="s">
        <v>100</v>
      </c>
      <c r="T294" s="14" t="s">
        <v>100</v>
      </c>
      <c r="U294" s="8" t="s">
        <v>327</v>
      </c>
      <c r="V294" s="14" t="s">
        <v>282</v>
      </c>
      <c r="W294" s="14"/>
      <c r="X294" s="14"/>
      <c r="Y294" s="5">
        <v>45931</v>
      </c>
      <c r="Z294" s="5">
        <v>45940</v>
      </c>
      <c r="AA294" s="4" t="s">
        <v>97</v>
      </c>
      <c r="AB294" s="4" t="s">
        <v>857</v>
      </c>
      <c r="AC294" s="4" t="s">
        <v>97</v>
      </c>
      <c r="AD294" s="4" t="s">
        <v>97</v>
      </c>
      <c r="AE294" s="4" t="s">
        <v>97</v>
      </c>
      <c r="AF294" s="4" t="s">
        <v>97</v>
      </c>
      <c r="AG294" s="4" t="s">
        <v>97</v>
      </c>
      <c r="AH294" s="5" t="s">
        <v>103</v>
      </c>
      <c r="AI294" s="5">
        <v>45931</v>
      </c>
      <c r="AJ294" s="4" t="s">
        <v>97</v>
      </c>
      <c r="AK294" s="4" t="s">
        <v>97</v>
      </c>
      <c r="AL294" s="4" t="s">
        <v>103</v>
      </c>
      <c r="AM294" s="4" t="s">
        <v>103</v>
      </c>
      <c r="AN294" s="4" t="s">
        <v>103</v>
      </c>
      <c r="AO294" s="4" t="s">
        <v>97</v>
      </c>
      <c r="AP294" s="4" t="s">
        <v>103</v>
      </c>
      <c r="AQ294" s="4" t="s">
        <v>103</v>
      </c>
      <c r="AR294" s="4" t="s">
        <v>97</v>
      </c>
      <c r="AS294" s="4" t="s">
        <v>97</v>
      </c>
      <c r="AT294" s="4"/>
      <c r="AU294" s="4"/>
      <c r="AV294" s="4" t="s">
        <v>103</v>
      </c>
      <c r="AW294" s="4" t="s">
        <v>97</v>
      </c>
      <c r="AX294" s="4" t="s">
        <v>97</v>
      </c>
      <c r="AY294" s="4" t="s">
        <v>97</v>
      </c>
      <c r="AZ294" s="4" t="s">
        <v>97</v>
      </c>
      <c r="BA294" s="4" t="s">
        <v>97</v>
      </c>
      <c r="BB294" s="5">
        <v>45942</v>
      </c>
      <c r="BC294" s="5">
        <v>45943</v>
      </c>
      <c r="BD294" s="5">
        <v>45944</v>
      </c>
      <c r="BE294" s="5">
        <v>45944</v>
      </c>
      <c r="BF294" s="4" t="s">
        <v>98</v>
      </c>
      <c r="BG294" s="4" t="s">
        <v>97</v>
      </c>
      <c r="BH294" s="4" t="s">
        <v>103</v>
      </c>
      <c r="BI294" s="4" t="s">
        <v>834</v>
      </c>
    </row>
    <row r="295" spans="1:61" x14ac:dyDescent="0.35">
      <c r="A295" s="8" t="str">
        <f t="shared" si="31"/>
        <v>Semaine 40-2025</v>
      </c>
      <c r="B295" s="8" t="str">
        <f t="shared" si="27"/>
        <v>2025</v>
      </c>
      <c r="C295" s="2" t="s">
        <v>8</v>
      </c>
      <c r="D295" s="6" t="str">
        <f t="shared" si="28"/>
        <v>Fatick</v>
      </c>
      <c r="E295" s="6">
        <f t="shared" si="29"/>
        <v>102630</v>
      </c>
      <c r="F295" s="6">
        <f t="shared" si="30"/>
        <v>965914</v>
      </c>
      <c r="G295" s="4" t="s">
        <v>845</v>
      </c>
      <c r="H295" s="4" t="s">
        <v>858</v>
      </c>
      <c r="I295" s="4">
        <v>35</v>
      </c>
      <c r="J295" s="4" t="s">
        <v>96</v>
      </c>
      <c r="K295" s="4"/>
      <c r="L295" s="4"/>
      <c r="M295" s="4"/>
      <c r="N295" s="4"/>
      <c r="O295" s="4" t="s">
        <v>238</v>
      </c>
      <c r="P295" s="4" t="s">
        <v>97</v>
      </c>
      <c r="Q295" s="4" t="s">
        <v>97</v>
      </c>
      <c r="R295" s="14" t="s">
        <v>100</v>
      </c>
      <c r="S295" s="14" t="s">
        <v>100</v>
      </c>
      <c r="T295" s="14" t="s">
        <v>100</v>
      </c>
      <c r="U295" s="8"/>
      <c r="V295" s="14"/>
      <c r="W295" s="14"/>
      <c r="X295" s="14"/>
      <c r="Y295" s="5">
        <v>45931</v>
      </c>
      <c r="Z295" s="5">
        <v>45940</v>
      </c>
      <c r="AA295" s="4" t="s">
        <v>97</v>
      </c>
      <c r="AB295" s="4"/>
      <c r="AC295" s="4" t="s">
        <v>103</v>
      </c>
      <c r="AD295" s="4" t="s">
        <v>97</v>
      </c>
      <c r="AE295" s="4" t="s">
        <v>97</v>
      </c>
      <c r="AF295" s="4" t="s">
        <v>103</v>
      </c>
      <c r="AG295" s="4" t="s">
        <v>97</v>
      </c>
      <c r="AH295" s="5" t="s">
        <v>103</v>
      </c>
      <c r="AI295" s="5">
        <v>45931</v>
      </c>
      <c r="AJ295" s="4" t="s">
        <v>97</v>
      </c>
      <c r="AK295" s="4" t="s">
        <v>103</v>
      </c>
      <c r="AL295" s="4" t="s">
        <v>97</v>
      </c>
      <c r="AM295" s="4" t="s">
        <v>103</v>
      </c>
      <c r="AN295" s="4" t="s">
        <v>103</v>
      </c>
      <c r="AO295" s="4" t="s">
        <v>97</v>
      </c>
      <c r="AP295" s="4" t="s">
        <v>103</v>
      </c>
      <c r="AQ295" s="4" t="s">
        <v>103</v>
      </c>
      <c r="AR295" s="4" t="s">
        <v>97</v>
      </c>
      <c r="AS295" s="4" t="s">
        <v>97</v>
      </c>
      <c r="AT295" s="4"/>
      <c r="AU295" s="4"/>
      <c r="AV295" s="4" t="s">
        <v>103</v>
      </c>
      <c r="AW295" s="4" t="s">
        <v>97</v>
      </c>
      <c r="AX295" s="4" t="s">
        <v>97</v>
      </c>
      <c r="AY295" s="4" t="s">
        <v>97</v>
      </c>
      <c r="AZ295" s="4" t="s">
        <v>97</v>
      </c>
      <c r="BA295" s="4" t="s">
        <v>97</v>
      </c>
      <c r="BB295" s="5">
        <v>45942</v>
      </c>
      <c r="BC295" s="5">
        <v>45943</v>
      </c>
      <c r="BD295" s="5">
        <v>45944</v>
      </c>
      <c r="BE295" s="5">
        <v>45944</v>
      </c>
      <c r="BF295" s="4" t="s">
        <v>98</v>
      </c>
      <c r="BG295" s="4" t="s">
        <v>97</v>
      </c>
      <c r="BH295" s="4" t="s">
        <v>103</v>
      </c>
      <c r="BI295" s="4" t="s">
        <v>834</v>
      </c>
    </row>
    <row r="296" spans="1:61" x14ac:dyDescent="0.35">
      <c r="A296" s="8" t="str">
        <f t="shared" si="31"/>
        <v>Semaine 40-2025</v>
      </c>
      <c r="B296" s="8" t="str">
        <f t="shared" si="27"/>
        <v>2025</v>
      </c>
      <c r="C296" s="2" t="s">
        <v>8</v>
      </c>
      <c r="D296" s="6" t="str">
        <f t="shared" si="28"/>
        <v>Fatick</v>
      </c>
      <c r="E296" s="6">
        <f t="shared" si="29"/>
        <v>102630</v>
      </c>
      <c r="F296" s="6">
        <f t="shared" si="30"/>
        <v>965914</v>
      </c>
      <c r="G296" s="4" t="s">
        <v>846</v>
      </c>
      <c r="H296" s="4" t="s">
        <v>859</v>
      </c>
      <c r="I296" s="4">
        <v>5</v>
      </c>
      <c r="J296" s="4" t="s">
        <v>96</v>
      </c>
      <c r="K296" s="4"/>
      <c r="L296" s="4"/>
      <c r="M296" s="4"/>
      <c r="N296" s="4"/>
      <c r="O296" s="4" t="s">
        <v>238</v>
      </c>
      <c r="P296" s="4" t="s">
        <v>97</v>
      </c>
      <c r="Q296" s="4" t="s">
        <v>97</v>
      </c>
      <c r="R296" s="14" t="s">
        <v>100</v>
      </c>
      <c r="S296" s="14" t="s">
        <v>100</v>
      </c>
      <c r="T296" s="14" t="s">
        <v>100</v>
      </c>
      <c r="U296" s="8"/>
      <c r="V296" s="14"/>
      <c r="W296" s="14"/>
      <c r="X296" s="14"/>
      <c r="Y296" s="5">
        <v>45931</v>
      </c>
      <c r="Z296" s="5">
        <v>45940</v>
      </c>
      <c r="AA296" s="4" t="s">
        <v>97</v>
      </c>
      <c r="AB296" s="4" t="s">
        <v>578</v>
      </c>
      <c r="AC296" s="4" t="s">
        <v>97</v>
      </c>
      <c r="AD296" s="4" t="s">
        <v>97</v>
      </c>
      <c r="AE296" s="4" t="s">
        <v>97</v>
      </c>
      <c r="AF296" s="4" t="s">
        <v>97</v>
      </c>
      <c r="AG296" s="4" t="s">
        <v>97</v>
      </c>
      <c r="AH296" s="5" t="s">
        <v>103</v>
      </c>
      <c r="AI296" s="5">
        <v>45931</v>
      </c>
      <c r="AJ296" s="4" t="s">
        <v>97</v>
      </c>
      <c r="AK296" s="4" t="s">
        <v>97</v>
      </c>
      <c r="AL296" s="4" t="s">
        <v>103</v>
      </c>
      <c r="AM296" s="4" t="s">
        <v>103</v>
      </c>
      <c r="AN296" s="4" t="s">
        <v>103</v>
      </c>
      <c r="AO296" s="4" t="s">
        <v>97</v>
      </c>
      <c r="AP296" s="4" t="s">
        <v>103</v>
      </c>
      <c r="AQ296" s="4" t="s">
        <v>103</v>
      </c>
      <c r="AR296" s="4" t="s">
        <v>97</v>
      </c>
      <c r="AS296" s="4" t="s">
        <v>97</v>
      </c>
      <c r="AT296" s="4" t="s">
        <v>641</v>
      </c>
      <c r="AU296" s="4"/>
      <c r="AV296" s="4" t="s">
        <v>103</v>
      </c>
      <c r="AW296" s="4" t="s">
        <v>97</v>
      </c>
      <c r="AX296" s="4" t="s">
        <v>97</v>
      </c>
      <c r="AY296" s="4" t="s">
        <v>97</v>
      </c>
      <c r="AZ296" s="4" t="s">
        <v>97</v>
      </c>
      <c r="BA296" s="4" t="s">
        <v>97</v>
      </c>
      <c r="BB296" s="5">
        <v>45942</v>
      </c>
      <c r="BC296" s="5">
        <v>45943</v>
      </c>
      <c r="BD296" s="5">
        <v>45944</v>
      </c>
      <c r="BE296" s="5">
        <v>45944</v>
      </c>
      <c r="BF296" s="4" t="s">
        <v>98</v>
      </c>
      <c r="BG296" s="4" t="s">
        <v>97</v>
      </c>
      <c r="BH296" s="4" t="s">
        <v>103</v>
      </c>
      <c r="BI296" s="4" t="s">
        <v>834</v>
      </c>
    </row>
    <row r="297" spans="1:61" x14ac:dyDescent="0.35">
      <c r="A297" s="8" t="str">
        <f t="shared" si="31"/>
        <v>Semaine 40-2025</v>
      </c>
      <c r="B297" s="8" t="str">
        <f t="shared" si="27"/>
        <v>2025</v>
      </c>
      <c r="C297" s="2" t="s">
        <v>8</v>
      </c>
      <c r="D297" s="6" t="str">
        <f t="shared" si="28"/>
        <v>Fatick</v>
      </c>
      <c r="E297" s="6">
        <f t="shared" si="29"/>
        <v>102630</v>
      </c>
      <c r="F297" s="6">
        <f t="shared" si="30"/>
        <v>965914</v>
      </c>
      <c r="G297" s="4" t="s">
        <v>847</v>
      </c>
      <c r="H297" s="4" t="s">
        <v>860</v>
      </c>
      <c r="I297" s="4">
        <v>5</v>
      </c>
      <c r="J297" s="4" t="s">
        <v>96</v>
      </c>
      <c r="K297" s="4"/>
      <c r="L297" s="4"/>
      <c r="M297" s="4"/>
      <c r="N297" s="4"/>
      <c r="O297" s="4" t="s">
        <v>238</v>
      </c>
      <c r="P297" s="4" t="s">
        <v>97</v>
      </c>
      <c r="Q297" s="4" t="s">
        <v>97</v>
      </c>
      <c r="R297" s="14" t="s">
        <v>100</v>
      </c>
      <c r="S297" s="14" t="s">
        <v>100</v>
      </c>
      <c r="T297" s="14" t="s">
        <v>100</v>
      </c>
      <c r="U297" s="8"/>
      <c r="V297" s="14"/>
      <c r="W297" s="14"/>
      <c r="X297" s="14"/>
      <c r="Y297" s="5">
        <v>45931</v>
      </c>
      <c r="Z297" s="5">
        <v>45940</v>
      </c>
      <c r="AA297" s="4" t="s">
        <v>97</v>
      </c>
      <c r="AB297" s="4" t="s">
        <v>537</v>
      </c>
      <c r="AC297" s="4" t="s">
        <v>97</v>
      </c>
      <c r="AD297" s="4" t="s">
        <v>97</v>
      </c>
      <c r="AE297" s="4" t="s">
        <v>97</v>
      </c>
      <c r="AF297" s="4" t="s">
        <v>97</v>
      </c>
      <c r="AG297" s="4" t="s">
        <v>97</v>
      </c>
      <c r="AH297" s="5" t="s">
        <v>103</v>
      </c>
      <c r="AI297" s="5">
        <v>45931</v>
      </c>
      <c r="AJ297" s="4" t="s">
        <v>97</v>
      </c>
      <c r="AK297" s="4" t="s">
        <v>97</v>
      </c>
      <c r="AL297" s="4" t="s">
        <v>103</v>
      </c>
      <c r="AM297" s="4" t="s">
        <v>103</v>
      </c>
      <c r="AN297" s="4" t="s">
        <v>103</v>
      </c>
      <c r="AO297" s="4" t="s">
        <v>97</v>
      </c>
      <c r="AP297" s="4" t="s">
        <v>103</v>
      </c>
      <c r="AQ297" s="4" t="s">
        <v>103</v>
      </c>
      <c r="AR297" s="4" t="s">
        <v>97</v>
      </c>
      <c r="AS297" s="4" t="s">
        <v>97</v>
      </c>
      <c r="AT297" s="4" t="s">
        <v>861</v>
      </c>
      <c r="AU297" s="4"/>
      <c r="AV297" s="4" t="s">
        <v>103</v>
      </c>
      <c r="AW297" s="4" t="s">
        <v>97</v>
      </c>
      <c r="AX297" s="4" t="s">
        <v>97</v>
      </c>
      <c r="AY297" s="4" t="s">
        <v>97</v>
      </c>
      <c r="AZ297" s="4" t="s">
        <v>97</v>
      </c>
      <c r="BA297" s="4" t="s">
        <v>97</v>
      </c>
      <c r="BB297" s="5">
        <v>45942</v>
      </c>
      <c r="BC297" s="5">
        <v>45943</v>
      </c>
      <c r="BD297" s="5">
        <v>45944</v>
      </c>
      <c r="BE297" s="5">
        <v>45944</v>
      </c>
      <c r="BF297" s="4" t="s">
        <v>98</v>
      </c>
      <c r="BG297" s="4" t="s">
        <v>97</v>
      </c>
      <c r="BH297" s="4" t="s">
        <v>103</v>
      </c>
      <c r="BI297" s="4" t="s">
        <v>834</v>
      </c>
    </row>
    <row r="298" spans="1:61" x14ac:dyDescent="0.35">
      <c r="A298" s="8" t="str">
        <f t="shared" si="31"/>
        <v>Semaine 40-2025</v>
      </c>
      <c r="B298" s="8" t="str">
        <f t="shared" si="27"/>
        <v>2025</v>
      </c>
      <c r="C298" s="2" t="s">
        <v>8</v>
      </c>
      <c r="D298" s="6" t="str">
        <f t="shared" si="28"/>
        <v>Fatick</v>
      </c>
      <c r="E298" s="6">
        <f t="shared" si="29"/>
        <v>102630</v>
      </c>
      <c r="F298" s="6">
        <f t="shared" si="30"/>
        <v>965914</v>
      </c>
      <c r="G298" s="4" t="s">
        <v>848</v>
      </c>
      <c r="H298" s="4" t="s">
        <v>862</v>
      </c>
      <c r="I298" s="4">
        <v>3</v>
      </c>
      <c r="J298" s="4" t="s">
        <v>96</v>
      </c>
      <c r="K298" s="4"/>
      <c r="L298" s="4"/>
      <c r="M298" s="4"/>
      <c r="N298" s="4"/>
      <c r="O298" s="4" t="s">
        <v>238</v>
      </c>
      <c r="P298" s="4" t="s">
        <v>97</v>
      </c>
      <c r="Q298" s="4" t="s">
        <v>97</v>
      </c>
      <c r="R298" s="14" t="s">
        <v>100</v>
      </c>
      <c r="S298" s="14" t="s">
        <v>100</v>
      </c>
      <c r="T298" s="14" t="s">
        <v>100</v>
      </c>
      <c r="U298" s="8" t="s">
        <v>327</v>
      </c>
      <c r="V298" s="14" t="s">
        <v>282</v>
      </c>
      <c r="W298" s="14"/>
      <c r="X298" s="14"/>
      <c r="Y298" s="5">
        <v>45930</v>
      </c>
      <c r="Z298" s="5">
        <v>45940</v>
      </c>
      <c r="AA298" s="4" t="s">
        <v>97</v>
      </c>
      <c r="AB298" s="4" t="s">
        <v>578</v>
      </c>
      <c r="AC298" s="4" t="s">
        <v>97</v>
      </c>
      <c r="AD298" s="4" t="s">
        <v>97</v>
      </c>
      <c r="AE298" s="4" t="s">
        <v>97</v>
      </c>
      <c r="AF298" s="4" t="s">
        <v>97</v>
      </c>
      <c r="AG298" s="4" t="s">
        <v>97</v>
      </c>
      <c r="AH298" s="5" t="s">
        <v>103</v>
      </c>
      <c r="AI298" s="5">
        <v>45930</v>
      </c>
      <c r="AJ298" s="4" t="s">
        <v>97</v>
      </c>
      <c r="AK298" s="4" t="s">
        <v>97</v>
      </c>
      <c r="AL298" s="4" t="s">
        <v>103</v>
      </c>
      <c r="AM298" s="4" t="s">
        <v>103</v>
      </c>
      <c r="AN298" s="4" t="s">
        <v>103</v>
      </c>
      <c r="AO298" s="4" t="s">
        <v>97</v>
      </c>
      <c r="AP298" s="4" t="s">
        <v>103</v>
      </c>
      <c r="AQ298" s="4" t="s">
        <v>103</v>
      </c>
      <c r="AR298" s="4" t="s">
        <v>97</v>
      </c>
      <c r="AS298" s="4" t="s">
        <v>97</v>
      </c>
      <c r="AT298" s="4"/>
      <c r="AU298" s="4"/>
      <c r="AV298" s="4" t="s">
        <v>103</v>
      </c>
      <c r="AW298" s="4" t="s">
        <v>97</v>
      </c>
      <c r="AX298" s="4" t="s">
        <v>97</v>
      </c>
      <c r="AY298" s="4" t="s">
        <v>97</v>
      </c>
      <c r="AZ298" s="4" t="s">
        <v>97</v>
      </c>
      <c r="BA298" s="4" t="s">
        <v>97</v>
      </c>
      <c r="BB298" s="5">
        <v>45942</v>
      </c>
      <c r="BC298" s="5">
        <v>45943</v>
      </c>
      <c r="BD298" s="5">
        <v>45944</v>
      </c>
      <c r="BE298" s="5">
        <v>45944</v>
      </c>
      <c r="BF298" s="4" t="s">
        <v>98</v>
      </c>
      <c r="BG298" s="4" t="s">
        <v>97</v>
      </c>
      <c r="BH298" s="4" t="s">
        <v>103</v>
      </c>
      <c r="BI298" s="4" t="s">
        <v>834</v>
      </c>
    </row>
    <row r="299" spans="1:61" x14ac:dyDescent="0.35">
      <c r="A299" s="8" t="str">
        <f t="shared" si="31"/>
        <v>Semaine 40-2025</v>
      </c>
      <c r="B299" s="8" t="str">
        <f t="shared" si="27"/>
        <v>2025</v>
      </c>
      <c r="C299" s="2" t="s">
        <v>8</v>
      </c>
      <c r="D299" s="6" t="str">
        <f t="shared" si="28"/>
        <v>Fatick</v>
      </c>
      <c r="E299" s="6">
        <f t="shared" si="29"/>
        <v>102630</v>
      </c>
      <c r="F299" s="6">
        <f t="shared" si="30"/>
        <v>965914</v>
      </c>
      <c r="G299" s="4" t="s">
        <v>849</v>
      </c>
      <c r="H299" s="4" t="s">
        <v>863</v>
      </c>
      <c r="I299" s="4">
        <v>2</v>
      </c>
      <c r="J299" s="4" t="s">
        <v>114</v>
      </c>
      <c r="K299" s="4"/>
      <c r="L299" s="4"/>
      <c r="M299" s="4"/>
      <c r="N299" s="4"/>
      <c r="O299" s="4" t="s">
        <v>238</v>
      </c>
      <c r="P299" s="4" t="s">
        <v>97</v>
      </c>
      <c r="Q299" s="4" t="s">
        <v>97</v>
      </c>
      <c r="R299" s="14" t="s">
        <v>100</v>
      </c>
      <c r="S299" s="14" t="s">
        <v>100</v>
      </c>
      <c r="T299" s="14" t="s">
        <v>100</v>
      </c>
      <c r="U299" s="8" t="s">
        <v>327</v>
      </c>
      <c r="V299" s="14" t="s">
        <v>282</v>
      </c>
      <c r="W299" s="14"/>
      <c r="X299" s="14"/>
      <c r="Y299" s="5">
        <v>45931</v>
      </c>
      <c r="Z299" s="5">
        <v>45940</v>
      </c>
      <c r="AA299" s="4" t="s">
        <v>97</v>
      </c>
      <c r="AB299" s="4" t="s">
        <v>537</v>
      </c>
      <c r="AC299" s="4" t="s">
        <v>97</v>
      </c>
      <c r="AD299" s="4" t="s">
        <v>97</v>
      </c>
      <c r="AE299" s="4" t="s">
        <v>97</v>
      </c>
      <c r="AF299" s="4" t="s">
        <v>97</v>
      </c>
      <c r="AG299" s="4" t="s">
        <v>97</v>
      </c>
      <c r="AH299" s="5" t="s">
        <v>103</v>
      </c>
      <c r="AI299" s="5">
        <v>45931</v>
      </c>
      <c r="AJ299" s="4" t="s">
        <v>97</v>
      </c>
      <c r="AK299" s="4" t="s">
        <v>97</v>
      </c>
      <c r="AL299" s="4" t="s">
        <v>103</v>
      </c>
      <c r="AM299" s="4" t="s">
        <v>103</v>
      </c>
      <c r="AN299" s="4" t="s">
        <v>97</v>
      </c>
      <c r="AO299" s="4" t="s">
        <v>97</v>
      </c>
      <c r="AP299" s="4" t="s">
        <v>103</v>
      </c>
      <c r="AQ299" s="4" t="s">
        <v>103</v>
      </c>
      <c r="AR299" s="4" t="s">
        <v>97</v>
      </c>
      <c r="AS299" s="4" t="s">
        <v>97</v>
      </c>
      <c r="AT299" s="4" t="s">
        <v>641</v>
      </c>
      <c r="AU299" s="4"/>
      <c r="AV299" s="4" t="s">
        <v>103</v>
      </c>
      <c r="AW299" s="4" t="s">
        <v>97</v>
      </c>
      <c r="AX299" s="4" t="s">
        <v>97</v>
      </c>
      <c r="AY299" s="4" t="s">
        <v>97</v>
      </c>
      <c r="AZ299" s="4" t="s">
        <v>97</v>
      </c>
      <c r="BA299" s="4" t="s">
        <v>97</v>
      </c>
      <c r="BB299" s="5">
        <v>45942</v>
      </c>
      <c r="BC299" s="5">
        <v>45943</v>
      </c>
      <c r="BD299" s="5">
        <v>45944</v>
      </c>
      <c r="BE299" s="5">
        <v>45944</v>
      </c>
      <c r="BF299" s="4" t="s">
        <v>98</v>
      </c>
      <c r="BG299" s="4" t="s">
        <v>97</v>
      </c>
      <c r="BH299" s="4" t="s">
        <v>103</v>
      </c>
      <c r="BI299" s="4" t="s">
        <v>834</v>
      </c>
    </row>
    <row r="300" spans="1:61" x14ac:dyDescent="0.35">
      <c r="A300" s="8" t="str">
        <f t="shared" si="31"/>
        <v>Semaine 41-2025</v>
      </c>
      <c r="B300" s="8" t="str">
        <f t="shared" si="27"/>
        <v>2025</v>
      </c>
      <c r="C300" s="2" t="s">
        <v>36</v>
      </c>
      <c r="D300" s="6" t="str">
        <f t="shared" si="28"/>
        <v>Kedougou</v>
      </c>
      <c r="E300" s="6">
        <f t="shared" si="29"/>
        <v>105689</v>
      </c>
      <c r="F300" s="6">
        <f t="shared" si="30"/>
        <v>203720</v>
      </c>
      <c r="G300" s="4" t="s">
        <v>850</v>
      </c>
      <c r="H300" s="4" t="s">
        <v>864</v>
      </c>
      <c r="I300" s="4">
        <v>27</v>
      </c>
      <c r="J300" s="4" t="s">
        <v>114</v>
      </c>
      <c r="K300" s="4"/>
      <c r="L300" s="4"/>
      <c r="M300" s="4"/>
      <c r="N300" s="4"/>
      <c r="O300" s="4" t="s">
        <v>238</v>
      </c>
      <c r="P300" s="4" t="s">
        <v>97</v>
      </c>
      <c r="Q300" s="4" t="s">
        <v>97</v>
      </c>
      <c r="R300" s="14" t="s">
        <v>100</v>
      </c>
      <c r="S300" s="14" t="s">
        <v>100</v>
      </c>
      <c r="T300" s="14" t="s">
        <v>100</v>
      </c>
      <c r="U300" s="8"/>
      <c r="V300" s="14"/>
      <c r="W300" s="14"/>
      <c r="X300" s="14"/>
      <c r="Y300" s="5">
        <v>45937</v>
      </c>
      <c r="Z300" s="5">
        <v>45941</v>
      </c>
      <c r="AA300" s="4" t="s">
        <v>97</v>
      </c>
      <c r="AB300" s="4" t="s">
        <v>396</v>
      </c>
      <c r="AC300" s="4" t="s">
        <v>103</v>
      </c>
      <c r="AD300" s="4" t="s">
        <v>97</v>
      </c>
      <c r="AE300" s="4" t="s">
        <v>97</v>
      </c>
      <c r="AF300" s="4" t="s">
        <v>97</v>
      </c>
      <c r="AG300" s="4" t="s">
        <v>97</v>
      </c>
      <c r="AH300" s="5" t="s">
        <v>103</v>
      </c>
      <c r="AI300" s="5">
        <v>45937</v>
      </c>
      <c r="AJ300" s="4" t="s">
        <v>97</v>
      </c>
      <c r="AK300" s="4" t="s">
        <v>103</v>
      </c>
      <c r="AL300" s="4" t="s">
        <v>97</v>
      </c>
      <c r="AM300" s="4" t="s">
        <v>103</v>
      </c>
      <c r="AN300" s="4" t="s">
        <v>103</v>
      </c>
      <c r="AO300" s="4" t="s">
        <v>103</v>
      </c>
      <c r="AP300" s="4" t="s">
        <v>103</v>
      </c>
      <c r="AQ300" s="4" t="s">
        <v>97</v>
      </c>
      <c r="AR300" s="4" t="s">
        <v>97</v>
      </c>
      <c r="AS300" s="4" t="s">
        <v>103</v>
      </c>
      <c r="AT300" s="4"/>
      <c r="AU300" s="4"/>
      <c r="AV300" s="4" t="s">
        <v>103</v>
      </c>
      <c r="AW300" s="4" t="s">
        <v>97</v>
      </c>
      <c r="AX300" s="4" t="s">
        <v>103</v>
      </c>
      <c r="AY300" s="4" t="s">
        <v>97</v>
      </c>
      <c r="AZ300" s="4" t="s">
        <v>103</v>
      </c>
      <c r="BA300" s="4" t="s">
        <v>97</v>
      </c>
      <c r="BB300" s="5">
        <v>45941</v>
      </c>
      <c r="BC300" s="5">
        <v>45943</v>
      </c>
      <c r="BD300" s="5">
        <v>45944</v>
      </c>
      <c r="BE300" s="5">
        <v>45944</v>
      </c>
      <c r="BF300" s="4" t="s">
        <v>98</v>
      </c>
      <c r="BG300" s="4" t="s">
        <v>97</v>
      </c>
      <c r="BH300" s="4" t="s">
        <v>103</v>
      </c>
      <c r="BI300" s="4" t="s">
        <v>834</v>
      </c>
    </row>
    <row r="301" spans="1:61" x14ac:dyDescent="0.35">
      <c r="A301" s="8" t="str">
        <f t="shared" si="31"/>
        <v>Semaine 41-2025</v>
      </c>
      <c r="B301" s="8" t="str">
        <f t="shared" si="27"/>
        <v>2025</v>
      </c>
      <c r="C301" s="2" t="s">
        <v>36</v>
      </c>
      <c r="D301" s="6" t="str">
        <f t="shared" si="28"/>
        <v>Kedougou</v>
      </c>
      <c r="E301" s="6">
        <f t="shared" si="29"/>
        <v>105689</v>
      </c>
      <c r="F301" s="6">
        <f t="shared" si="30"/>
        <v>203720</v>
      </c>
      <c r="G301" s="4" t="s">
        <v>851</v>
      </c>
      <c r="H301" s="4" t="s">
        <v>865</v>
      </c>
      <c r="I301" s="4">
        <v>20</v>
      </c>
      <c r="J301" s="4" t="s">
        <v>114</v>
      </c>
      <c r="K301" s="4"/>
      <c r="L301" s="4"/>
      <c r="M301" s="4"/>
      <c r="N301" s="4"/>
      <c r="O301" s="4" t="s">
        <v>238</v>
      </c>
      <c r="P301" s="4" t="s">
        <v>97</v>
      </c>
      <c r="Q301" s="4" t="s">
        <v>97</v>
      </c>
      <c r="R301" s="14" t="s">
        <v>100</v>
      </c>
      <c r="S301" s="14" t="s">
        <v>100</v>
      </c>
      <c r="T301" s="14" t="s">
        <v>100</v>
      </c>
      <c r="U301" s="8"/>
      <c r="V301" s="14"/>
      <c r="W301" s="14"/>
      <c r="X301" s="14"/>
      <c r="Y301" s="5">
        <v>45936</v>
      </c>
      <c r="Z301" s="5">
        <v>45940</v>
      </c>
      <c r="AA301" s="4" t="s">
        <v>103</v>
      </c>
      <c r="AB301" s="4" t="s">
        <v>488</v>
      </c>
      <c r="AC301" s="4" t="s">
        <v>103</v>
      </c>
      <c r="AD301" s="4" t="s">
        <v>97</v>
      </c>
      <c r="AE301" s="4" t="s">
        <v>103</v>
      </c>
      <c r="AF301" s="4" t="s">
        <v>97</v>
      </c>
      <c r="AG301" s="4" t="s">
        <v>103</v>
      </c>
      <c r="AH301" s="5" t="s">
        <v>103</v>
      </c>
      <c r="AI301" s="5">
        <v>45936</v>
      </c>
      <c r="AJ301" s="4" t="s">
        <v>97</v>
      </c>
      <c r="AK301" s="4" t="s">
        <v>97</v>
      </c>
      <c r="AL301" s="4" t="s">
        <v>97</v>
      </c>
      <c r="AM301" s="4" t="s">
        <v>103</v>
      </c>
      <c r="AN301" s="4" t="s">
        <v>103</v>
      </c>
      <c r="AO301" s="4" t="s">
        <v>97</v>
      </c>
      <c r="AP301" s="4" t="s">
        <v>97</v>
      </c>
      <c r="AQ301" s="4" t="s">
        <v>97</v>
      </c>
      <c r="AR301" s="4" t="s">
        <v>97</v>
      </c>
      <c r="AS301" s="4" t="s">
        <v>103</v>
      </c>
      <c r="AT301" s="4"/>
      <c r="AU301" s="4"/>
      <c r="AV301" s="4" t="s">
        <v>103</v>
      </c>
      <c r="AW301" s="4" t="s">
        <v>97</v>
      </c>
      <c r="AX301" s="4" t="s">
        <v>103</v>
      </c>
      <c r="AY301" s="4" t="s">
        <v>97</v>
      </c>
      <c r="AZ301" s="4" t="s">
        <v>103</v>
      </c>
      <c r="BA301" s="4" t="s">
        <v>97</v>
      </c>
      <c r="BB301" s="5">
        <v>45940</v>
      </c>
      <c r="BC301" s="5">
        <v>45943</v>
      </c>
      <c r="BD301" s="5">
        <v>45944</v>
      </c>
      <c r="BE301" s="5">
        <v>45944</v>
      </c>
      <c r="BF301" s="4" t="s">
        <v>98</v>
      </c>
      <c r="BG301" s="4" t="s">
        <v>97</v>
      </c>
      <c r="BH301" s="4" t="s">
        <v>103</v>
      </c>
      <c r="BI301" s="4" t="s">
        <v>834</v>
      </c>
    </row>
    <row r="302" spans="1:61" x14ac:dyDescent="0.35">
      <c r="A302" s="8" t="str">
        <f t="shared" si="31"/>
        <v>Semaine 41-2025</v>
      </c>
      <c r="B302" s="8" t="str">
        <f t="shared" si="27"/>
        <v>2025</v>
      </c>
      <c r="C302" s="2" t="s">
        <v>36</v>
      </c>
      <c r="D302" s="6" t="str">
        <f t="shared" si="28"/>
        <v>Kedougou</v>
      </c>
      <c r="E302" s="6">
        <f t="shared" si="29"/>
        <v>105689</v>
      </c>
      <c r="F302" s="6">
        <f t="shared" si="30"/>
        <v>203720</v>
      </c>
      <c r="G302" s="4" t="s">
        <v>852</v>
      </c>
      <c r="H302" s="4" t="s">
        <v>873</v>
      </c>
      <c r="I302" s="4">
        <v>2</v>
      </c>
      <c r="J302" s="4" t="s">
        <v>114</v>
      </c>
      <c r="K302" s="4"/>
      <c r="L302" s="4"/>
      <c r="M302" s="4"/>
      <c r="N302" s="4"/>
      <c r="O302" s="4" t="s">
        <v>238</v>
      </c>
      <c r="P302" s="4" t="s">
        <v>97</v>
      </c>
      <c r="Q302" s="4" t="s">
        <v>97</v>
      </c>
      <c r="R302" s="14" t="s">
        <v>100</v>
      </c>
      <c r="S302" s="14" t="s">
        <v>100</v>
      </c>
      <c r="T302" s="14" t="s">
        <v>100</v>
      </c>
      <c r="U302" s="8"/>
      <c r="V302" s="14"/>
      <c r="W302" s="14"/>
      <c r="X302" s="14"/>
      <c r="Y302" s="5">
        <v>45937</v>
      </c>
      <c r="Z302" s="5">
        <v>45939</v>
      </c>
      <c r="AA302" s="4" t="s">
        <v>103</v>
      </c>
      <c r="AB302" s="4" t="s">
        <v>314</v>
      </c>
      <c r="AC302" s="4" t="s">
        <v>97</v>
      </c>
      <c r="AD302" s="4" t="s">
        <v>97</v>
      </c>
      <c r="AE302" s="4" t="s">
        <v>97</v>
      </c>
      <c r="AF302" s="4" t="s">
        <v>97</v>
      </c>
      <c r="AG302" s="4" t="s">
        <v>97</v>
      </c>
      <c r="AH302" s="5" t="s">
        <v>103</v>
      </c>
      <c r="AI302" s="5">
        <v>45937</v>
      </c>
      <c r="AJ302" s="4" t="s">
        <v>97</v>
      </c>
      <c r="AK302" s="4" t="s">
        <v>97</v>
      </c>
      <c r="AL302" s="4" t="s">
        <v>103</v>
      </c>
      <c r="AM302" s="4" t="s">
        <v>103</v>
      </c>
      <c r="AN302" s="4" t="s">
        <v>103</v>
      </c>
      <c r="AO302" s="4" t="s">
        <v>97</v>
      </c>
      <c r="AP302" s="4" t="s">
        <v>97</v>
      </c>
      <c r="AQ302" s="4" t="s">
        <v>97</v>
      </c>
      <c r="AR302" s="4" t="s">
        <v>97</v>
      </c>
      <c r="AS302" s="4" t="s">
        <v>97</v>
      </c>
      <c r="AT302" s="4" t="s">
        <v>866</v>
      </c>
      <c r="AU302" s="4"/>
      <c r="AV302" s="4" t="s">
        <v>103</v>
      </c>
      <c r="AW302" s="4" t="s">
        <v>97</v>
      </c>
      <c r="AX302" s="4" t="s">
        <v>103</v>
      </c>
      <c r="AY302" s="4" t="s">
        <v>97</v>
      </c>
      <c r="AZ302" s="4" t="s">
        <v>103</v>
      </c>
      <c r="BA302" s="4" t="s">
        <v>97</v>
      </c>
      <c r="BB302" s="5">
        <v>45939</v>
      </c>
      <c r="BC302" s="5">
        <v>45943</v>
      </c>
      <c r="BD302" s="5">
        <v>45944</v>
      </c>
      <c r="BE302" s="5">
        <v>45944</v>
      </c>
      <c r="BF302" s="4" t="s">
        <v>98</v>
      </c>
      <c r="BG302" s="4" t="s">
        <v>97</v>
      </c>
      <c r="BH302" s="4" t="s">
        <v>103</v>
      </c>
      <c r="BI302" s="4" t="s">
        <v>834</v>
      </c>
    </row>
    <row r="303" spans="1:61" x14ac:dyDescent="0.35">
      <c r="A303" s="8" t="str">
        <f t="shared" si="31"/>
        <v>Semaine 41-2025</v>
      </c>
      <c r="B303" s="8" t="str">
        <f t="shared" si="27"/>
        <v>2025</v>
      </c>
      <c r="C303" s="2" t="s">
        <v>75</v>
      </c>
      <c r="D303" s="6" t="str">
        <f t="shared" si="28"/>
        <v>Diourbel</v>
      </c>
      <c r="E303" s="6">
        <f t="shared" si="29"/>
        <v>996481</v>
      </c>
      <c r="F303" s="6">
        <f t="shared" si="30"/>
        <v>1980827</v>
      </c>
      <c r="G303" s="4" t="s">
        <v>867</v>
      </c>
      <c r="H303" s="4" t="s">
        <v>874</v>
      </c>
      <c r="I303" s="4">
        <v>13</v>
      </c>
      <c r="J303" s="4" t="s">
        <v>96</v>
      </c>
      <c r="K303" s="4"/>
      <c r="L303" s="4"/>
      <c r="M303" s="4"/>
      <c r="N303" s="4"/>
      <c r="O303" s="4" t="s">
        <v>238</v>
      </c>
      <c r="P303" s="4" t="s">
        <v>97</v>
      </c>
      <c r="Q303" s="4" t="s">
        <v>97</v>
      </c>
      <c r="R303" s="14" t="s">
        <v>100</v>
      </c>
      <c r="S303" s="14" t="s">
        <v>100</v>
      </c>
      <c r="T303" s="14" t="s">
        <v>100</v>
      </c>
      <c r="U303" s="8"/>
      <c r="V303" s="14"/>
      <c r="W303" s="14"/>
      <c r="X303" s="14"/>
      <c r="Y303" s="5">
        <v>45942</v>
      </c>
      <c r="Z303" s="5">
        <v>45944</v>
      </c>
      <c r="AA303" s="4" t="s">
        <v>103</v>
      </c>
      <c r="AB303" s="4"/>
      <c r="AC303" s="4" t="s">
        <v>97</v>
      </c>
      <c r="AD303" s="4" t="s">
        <v>97</v>
      </c>
      <c r="AE303" s="4" t="s">
        <v>97</v>
      </c>
      <c r="AF303" s="4" t="s">
        <v>97</v>
      </c>
      <c r="AG303" s="4" t="s">
        <v>97</v>
      </c>
      <c r="AH303" s="5" t="s">
        <v>103</v>
      </c>
      <c r="AI303" s="5">
        <v>45942</v>
      </c>
      <c r="AJ303" s="4" t="s">
        <v>97</v>
      </c>
      <c r="AK303" s="4" t="s">
        <v>97</v>
      </c>
      <c r="AL303" s="4" t="s">
        <v>97</v>
      </c>
      <c r="AM303" s="4" t="s">
        <v>103</v>
      </c>
      <c r="AN303" s="4" t="s">
        <v>103</v>
      </c>
      <c r="AO303" s="4" t="s">
        <v>103</v>
      </c>
      <c r="AP303" s="4" t="s">
        <v>103</v>
      </c>
      <c r="AQ303" s="4" t="s">
        <v>97</v>
      </c>
      <c r="AR303" s="4" t="s">
        <v>97</v>
      </c>
      <c r="AS303" s="4" t="s">
        <v>97</v>
      </c>
      <c r="AT303" s="4"/>
      <c r="AU303" s="4"/>
      <c r="AV303" s="4" t="s">
        <v>97</v>
      </c>
      <c r="AW303" s="4" t="s">
        <v>97</v>
      </c>
      <c r="AX303" s="4" t="s">
        <v>97</v>
      </c>
      <c r="AY303" s="4" t="s">
        <v>97</v>
      </c>
      <c r="AZ303" s="4" t="s">
        <v>103</v>
      </c>
      <c r="BA303" s="4" t="s">
        <v>97</v>
      </c>
      <c r="BB303" s="5">
        <v>45944</v>
      </c>
      <c r="BC303" s="5">
        <v>45945</v>
      </c>
      <c r="BD303" s="5">
        <v>45945</v>
      </c>
      <c r="BE303" s="5">
        <v>45945</v>
      </c>
      <c r="BF303" s="4" t="s">
        <v>98</v>
      </c>
      <c r="BG303" s="4" t="s">
        <v>97</v>
      </c>
      <c r="BH303" s="4" t="s">
        <v>103</v>
      </c>
      <c r="BI303" s="4" t="s">
        <v>833</v>
      </c>
    </row>
    <row r="304" spans="1:61" x14ac:dyDescent="0.35">
      <c r="A304" s="8" t="str">
        <f t="shared" si="31"/>
        <v>Semaine 41-2025</v>
      </c>
      <c r="B304" s="8" t="str">
        <f t="shared" si="27"/>
        <v>2025</v>
      </c>
      <c r="C304" s="2" t="s">
        <v>75</v>
      </c>
      <c r="D304" s="6" t="str">
        <f t="shared" si="28"/>
        <v>Diourbel</v>
      </c>
      <c r="E304" s="6">
        <f t="shared" si="29"/>
        <v>996481</v>
      </c>
      <c r="F304" s="6">
        <f t="shared" si="30"/>
        <v>1980827</v>
      </c>
      <c r="G304" s="4" t="s">
        <v>407</v>
      </c>
      <c r="H304" s="4" t="s">
        <v>875</v>
      </c>
      <c r="I304" s="4">
        <v>1</v>
      </c>
      <c r="J304" s="4" t="s">
        <v>96</v>
      </c>
      <c r="K304" s="4"/>
      <c r="L304" s="4"/>
      <c r="M304" s="4"/>
      <c r="N304" s="4"/>
      <c r="O304" s="4" t="s">
        <v>238</v>
      </c>
      <c r="P304" s="4" t="s">
        <v>97</v>
      </c>
      <c r="Q304" s="4" t="s">
        <v>97</v>
      </c>
      <c r="R304" s="14" t="s">
        <v>100</v>
      </c>
      <c r="S304" s="14" t="s">
        <v>100</v>
      </c>
      <c r="T304" s="14" t="s">
        <v>100</v>
      </c>
      <c r="U304" s="8"/>
      <c r="V304" s="14"/>
      <c r="W304" s="14"/>
      <c r="X304" s="14"/>
      <c r="Y304" s="5">
        <v>45936</v>
      </c>
      <c r="Z304" s="5">
        <v>45943</v>
      </c>
      <c r="AA304" s="4" t="s">
        <v>103</v>
      </c>
      <c r="AB304" s="4" t="s">
        <v>276</v>
      </c>
      <c r="AC304" s="4" t="s">
        <v>97</v>
      </c>
      <c r="AD304" s="4" t="s">
        <v>97</v>
      </c>
      <c r="AE304" s="4" t="s">
        <v>97</v>
      </c>
      <c r="AF304" s="4" t="s">
        <v>97</v>
      </c>
      <c r="AG304" s="4" t="s">
        <v>97</v>
      </c>
      <c r="AH304" s="5" t="s">
        <v>103</v>
      </c>
      <c r="AI304" s="5">
        <v>45936</v>
      </c>
      <c r="AJ304" s="4" t="s">
        <v>103</v>
      </c>
      <c r="AK304" s="4" t="s">
        <v>97</v>
      </c>
      <c r="AL304" s="4" t="s">
        <v>103</v>
      </c>
      <c r="AM304" s="4" t="s">
        <v>103</v>
      </c>
      <c r="AN304" s="4" t="s">
        <v>103</v>
      </c>
      <c r="AO304" s="4" t="s">
        <v>97</v>
      </c>
      <c r="AP304" s="4" t="s">
        <v>97</v>
      </c>
      <c r="AQ304" s="4" t="s">
        <v>97</v>
      </c>
      <c r="AR304" s="4" t="s">
        <v>97</v>
      </c>
      <c r="AS304" s="4" t="s">
        <v>103</v>
      </c>
      <c r="AT304" s="4"/>
      <c r="AU304" s="4"/>
      <c r="AV304" s="4" t="s">
        <v>97</v>
      </c>
      <c r="AW304" s="4" t="s">
        <v>97</v>
      </c>
      <c r="AX304" s="4" t="s">
        <v>97</v>
      </c>
      <c r="AY304" s="4" t="s">
        <v>97</v>
      </c>
      <c r="AZ304" s="4" t="s">
        <v>103</v>
      </c>
      <c r="BA304" s="4" t="s">
        <v>97</v>
      </c>
      <c r="BB304" s="5">
        <v>45944</v>
      </c>
      <c r="BC304" s="5">
        <v>45945</v>
      </c>
      <c r="BD304" s="5">
        <v>45945</v>
      </c>
      <c r="BE304" s="5">
        <v>45945</v>
      </c>
      <c r="BF304" s="4" t="s">
        <v>98</v>
      </c>
      <c r="BG304" s="4" t="s">
        <v>97</v>
      </c>
      <c r="BH304" s="4" t="s">
        <v>103</v>
      </c>
      <c r="BI304" s="4" t="s">
        <v>833</v>
      </c>
    </row>
    <row r="305" spans="1:61" x14ac:dyDescent="0.35">
      <c r="A305" s="8" t="str">
        <f t="shared" si="31"/>
        <v>Semaine 42-2025</v>
      </c>
      <c r="B305" s="8" t="str">
        <f t="shared" si="27"/>
        <v>2025</v>
      </c>
      <c r="C305" s="2" t="s">
        <v>18</v>
      </c>
      <c r="D305" s="6" t="str">
        <f t="shared" si="28"/>
        <v>Dakar</v>
      </c>
      <c r="E305" s="6">
        <f t="shared" si="29"/>
        <v>419489</v>
      </c>
      <c r="F305" s="6">
        <f t="shared" si="30"/>
        <v>4042240</v>
      </c>
      <c r="G305" s="4" t="s">
        <v>868</v>
      </c>
      <c r="H305" s="4" t="s">
        <v>876</v>
      </c>
      <c r="I305" s="4">
        <v>18</v>
      </c>
      <c r="J305" s="4" t="s">
        <v>114</v>
      </c>
      <c r="K305" s="4"/>
      <c r="L305" s="4"/>
      <c r="M305" s="4"/>
      <c r="N305" s="4"/>
      <c r="O305" s="4" t="s">
        <v>238</v>
      </c>
      <c r="P305" s="4" t="s">
        <v>97</v>
      </c>
      <c r="Q305" s="4" t="s">
        <v>97</v>
      </c>
      <c r="R305" s="14" t="s">
        <v>100</v>
      </c>
      <c r="S305" s="14" t="s">
        <v>100</v>
      </c>
      <c r="T305" s="14" t="s">
        <v>100</v>
      </c>
      <c r="U305" s="8"/>
      <c r="V305" s="14"/>
      <c r="W305" s="14"/>
      <c r="X305" s="14"/>
      <c r="Y305" s="5">
        <v>45944</v>
      </c>
      <c r="Z305" s="5">
        <v>45944</v>
      </c>
      <c r="AA305" s="4" t="s">
        <v>97</v>
      </c>
      <c r="AB305" s="4" t="s">
        <v>537</v>
      </c>
      <c r="AC305" s="4" t="s">
        <v>103</v>
      </c>
      <c r="AD305" s="4" t="s">
        <v>97</v>
      </c>
      <c r="AE305" s="4" t="s">
        <v>97</v>
      </c>
      <c r="AF305" s="4" t="s">
        <v>103</v>
      </c>
      <c r="AG305" s="4" t="s">
        <v>103</v>
      </c>
      <c r="AH305" s="5" t="s">
        <v>103</v>
      </c>
      <c r="AI305" s="5">
        <v>45944</v>
      </c>
      <c r="AJ305" s="4"/>
      <c r="AK305" s="4"/>
      <c r="AL305" s="4"/>
      <c r="AM305" s="4"/>
      <c r="AN305" s="4"/>
      <c r="AO305" s="4"/>
      <c r="AP305" s="4"/>
      <c r="AQ305" s="4"/>
      <c r="AR305" s="4"/>
      <c r="AS305" s="4"/>
      <c r="AT305" s="4"/>
      <c r="AU305" s="4"/>
      <c r="AV305" s="4" t="s">
        <v>97</v>
      </c>
      <c r="AW305" s="4" t="s">
        <v>97</v>
      </c>
      <c r="AX305" s="4" t="s">
        <v>103</v>
      </c>
      <c r="AY305" s="4" t="s">
        <v>97</v>
      </c>
      <c r="AZ305" s="4" t="s">
        <v>97</v>
      </c>
      <c r="BA305" s="4" t="s">
        <v>103</v>
      </c>
      <c r="BB305" s="5">
        <v>45944</v>
      </c>
      <c r="BC305" s="5">
        <v>45945</v>
      </c>
      <c r="BD305" s="5">
        <v>45945</v>
      </c>
      <c r="BE305" s="5">
        <v>45945</v>
      </c>
      <c r="BF305" s="4" t="s">
        <v>433</v>
      </c>
      <c r="BG305" s="4" t="s">
        <v>97</v>
      </c>
      <c r="BH305" s="4" t="s">
        <v>97</v>
      </c>
      <c r="BI305" s="4" t="s">
        <v>834</v>
      </c>
    </row>
    <row r="306" spans="1:61" x14ac:dyDescent="0.35">
      <c r="A306" s="8" t="str">
        <f t="shared" si="31"/>
        <v>Semaine 38-2025</v>
      </c>
      <c r="B306" s="8" t="str">
        <f t="shared" si="27"/>
        <v>2025</v>
      </c>
      <c r="C306" s="2" t="s">
        <v>78</v>
      </c>
      <c r="D306" s="6" t="str">
        <f t="shared" si="28"/>
        <v>Ziguinchor</v>
      </c>
      <c r="E306" s="6">
        <f t="shared" si="29"/>
        <v>330001</v>
      </c>
      <c r="F306" s="6">
        <f t="shared" si="30"/>
        <v>729952</v>
      </c>
      <c r="G306" s="4" t="s">
        <v>869</v>
      </c>
      <c r="H306" s="4" t="s">
        <v>877</v>
      </c>
      <c r="I306" s="4">
        <v>9</v>
      </c>
      <c r="J306" s="4" t="s">
        <v>96</v>
      </c>
      <c r="K306" s="4"/>
      <c r="L306" s="4"/>
      <c r="M306" s="4"/>
      <c r="N306" s="4"/>
      <c r="O306" s="4" t="s">
        <v>238</v>
      </c>
      <c r="P306" s="4" t="s">
        <v>97</v>
      </c>
      <c r="Q306" s="4" t="s">
        <v>97</v>
      </c>
      <c r="R306" s="14" t="s">
        <v>100</v>
      </c>
      <c r="S306" s="14" t="s">
        <v>100</v>
      </c>
      <c r="T306" s="14" t="s">
        <v>100</v>
      </c>
      <c r="U306" s="8"/>
      <c r="V306" s="14"/>
      <c r="W306" s="14"/>
      <c r="X306" s="14"/>
      <c r="Y306" s="5">
        <v>45915</v>
      </c>
      <c r="Z306" s="5">
        <v>45943</v>
      </c>
      <c r="AA306" s="4" t="s">
        <v>97</v>
      </c>
      <c r="AB306" s="4"/>
      <c r="AC306" s="4" t="s">
        <v>97</v>
      </c>
      <c r="AD306" s="4" t="s">
        <v>97</v>
      </c>
      <c r="AE306" s="4" t="s">
        <v>97</v>
      </c>
      <c r="AF306" s="4" t="s">
        <v>97</v>
      </c>
      <c r="AG306" s="4" t="s">
        <v>97</v>
      </c>
      <c r="AH306" s="5" t="s">
        <v>103</v>
      </c>
      <c r="AI306" s="5">
        <v>45931</v>
      </c>
      <c r="AJ306" s="4" t="s">
        <v>97</v>
      </c>
      <c r="AK306" s="4" t="s">
        <v>97</v>
      </c>
      <c r="AL306" s="4" t="s">
        <v>97</v>
      </c>
      <c r="AM306" s="4" t="s">
        <v>97</v>
      </c>
      <c r="AN306" s="4" t="s">
        <v>97</v>
      </c>
      <c r="AO306" s="4" t="s">
        <v>103</v>
      </c>
      <c r="AP306" s="4" t="s">
        <v>103</v>
      </c>
      <c r="AQ306" s="4" t="s">
        <v>97</v>
      </c>
      <c r="AR306" s="4" t="s">
        <v>97</v>
      </c>
      <c r="AS306" s="4" t="s">
        <v>97</v>
      </c>
      <c r="AT306" s="4"/>
      <c r="AU306" s="4"/>
      <c r="AV306" s="4" t="s">
        <v>97</v>
      </c>
      <c r="AW306" s="4" t="s">
        <v>97</v>
      </c>
      <c r="AX306" s="4" t="s">
        <v>97</v>
      </c>
      <c r="AY306" s="4" t="s">
        <v>97</v>
      </c>
      <c r="AZ306" s="4" t="s">
        <v>103</v>
      </c>
      <c r="BA306" s="4" t="s">
        <v>97</v>
      </c>
      <c r="BB306" s="5">
        <v>45943</v>
      </c>
      <c r="BC306" s="5">
        <v>45945</v>
      </c>
      <c r="BD306" s="5">
        <v>45945</v>
      </c>
      <c r="BE306" s="5">
        <v>45945</v>
      </c>
      <c r="BF306" s="4" t="s">
        <v>98</v>
      </c>
      <c r="BG306" s="4" t="s">
        <v>97</v>
      </c>
      <c r="BH306" s="4" t="s">
        <v>103</v>
      </c>
      <c r="BI306" s="4" t="s">
        <v>833</v>
      </c>
    </row>
    <row r="307" spans="1:61" x14ac:dyDescent="0.35">
      <c r="A307" s="8" t="str">
        <f t="shared" si="31"/>
        <v>Semaine 41-2025</v>
      </c>
      <c r="B307" s="8" t="str">
        <f t="shared" si="27"/>
        <v>2025</v>
      </c>
      <c r="C307" s="2" t="s">
        <v>65</v>
      </c>
      <c r="D307" s="6" t="str">
        <f t="shared" si="28"/>
        <v>Saint-Louis</v>
      </c>
      <c r="E307" s="6">
        <f t="shared" si="29"/>
        <v>375150</v>
      </c>
      <c r="F307" s="6">
        <f t="shared" si="30"/>
        <v>1150065</v>
      </c>
      <c r="G307" s="4" t="s">
        <v>870</v>
      </c>
      <c r="H307" s="4" t="s">
        <v>878</v>
      </c>
      <c r="I307" s="4">
        <v>16</v>
      </c>
      <c r="J307" s="4" t="s">
        <v>114</v>
      </c>
      <c r="K307" s="4"/>
      <c r="L307" s="4"/>
      <c r="M307" s="4"/>
      <c r="N307" s="4"/>
      <c r="O307" s="4" t="s">
        <v>238</v>
      </c>
      <c r="P307" s="4" t="s">
        <v>97</v>
      </c>
      <c r="Q307" s="4" t="s">
        <v>97</v>
      </c>
      <c r="R307" s="14" t="s">
        <v>100</v>
      </c>
      <c r="S307" s="14" t="s">
        <v>100</v>
      </c>
      <c r="T307" s="14" t="s">
        <v>100</v>
      </c>
      <c r="U307" s="8"/>
      <c r="V307" s="14"/>
      <c r="W307" s="14"/>
      <c r="X307" s="14"/>
      <c r="Y307" s="5">
        <v>45940</v>
      </c>
      <c r="Z307" s="5">
        <v>45942</v>
      </c>
      <c r="AA307" s="4" t="s">
        <v>103</v>
      </c>
      <c r="AB307" s="4"/>
      <c r="AC307" s="4" t="s">
        <v>103</v>
      </c>
      <c r="AD307" s="4" t="s">
        <v>103</v>
      </c>
      <c r="AE307" s="4" t="s">
        <v>97</v>
      </c>
      <c r="AF307" s="4" t="s">
        <v>103</v>
      </c>
      <c r="AG307" s="4" t="s">
        <v>103</v>
      </c>
      <c r="AH307" s="5" t="s">
        <v>103</v>
      </c>
      <c r="AI307" s="5">
        <v>45939</v>
      </c>
      <c r="AJ307" s="4" t="s">
        <v>103</v>
      </c>
      <c r="AK307" s="4" t="s">
        <v>103</v>
      </c>
      <c r="AL307" s="4" t="s">
        <v>97</v>
      </c>
      <c r="AM307" s="4" t="s">
        <v>103</v>
      </c>
      <c r="AN307" s="4" t="s">
        <v>97</v>
      </c>
      <c r="AO307" s="4" t="s">
        <v>97</v>
      </c>
      <c r="AP307" s="4" t="s">
        <v>97</v>
      </c>
      <c r="AQ307" s="4" t="s">
        <v>97</v>
      </c>
      <c r="AR307" s="4" t="s">
        <v>97</v>
      </c>
      <c r="AS307" s="4" t="s">
        <v>97</v>
      </c>
      <c r="AT307" s="4"/>
      <c r="AU307" s="4"/>
      <c r="AV307" s="4" t="s">
        <v>97</v>
      </c>
      <c r="AW307" s="4" t="s">
        <v>97</v>
      </c>
      <c r="AX307" s="4" t="s">
        <v>97</v>
      </c>
      <c r="AY307" s="4" t="s">
        <v>97</v>
      </c>
      <c r="AZ307" s="4" t="s">
        <v>103</v>
      </c>
      <c r="BA307" s="4" t="s">
        <v>97</v>
      </c>
      <c r="BB307" s="5">
        <v>45942</v>
      </c>
      <c r="BC307" s="5">
        <v>45945</v>
      </c>
      <c r="BD307" s="5">
        <v>45945</v>
      </c>
      <c r="BE307" s="5">
        <v>45945</v>
      </c>
      <c r="BF307" s="4" t="s">
        <v>98</v>
      </c>
      <c r="BG307" s="4" t="s">
        <v>97</v>
      </c>
      <c r="BH307" s="4" t="s">
        <v>103</v>
      </c>
      <c r="BI307" s="4" t="s">
        <v>833</v>
      </c>
    </row>
    <row r="308" spans="1:61" x14ac:dyDescent="0.35">
      <c r="A308" s="8" t="str">
        <f t="shared" si="31"/>
        <v>Semaine 41-2025</v>
      </c>
      <c r="B308" s="8" t="str">
        <f t="shared" si="27"/>
        <v>2025</v>
      </c>
      <c r="C308" s="2" t="s">
        <v>65</v>
      </c>
      <c r="D308" s="6" t="str">
        <f t="shared" si="28"/>
        <v>Saint-Louis</v>
      </c>
      <c r="E308" s="6">
        <f t="shared" si="29"/>
        <v>375150</v>
      </c>
      <c r="F308" s="6">
        <f t="shared" si="30"/>
        <v>1150065</v>
      </c>
      <c r="G308" s="4" t="s">
        <v>871</v>
      </c>
      <c r="H308" s="4" t="s">
        <v>879</v>
      </c>
      <c r="I308" s="4">
        <v>47</v>
      </c>
      <c r="J308" s="4" t="s">
        <v>114</v>
      </c>
      <c r="K308" s="4"/>
      <c r="L308" s="4"/>
      <c r="M308" s="4"/>
      <c r="N308" s="4"/>
      <c r="O308" s="4" t="s">
        <v>238</v>
      </c>
      <c r="P308" s="4" t="s">
        <v>97</v>
      </c>
      <c r="Q308" s="4" t="s">
        <v>97</v>
      </c>
      <c r="R308" s="14" t="s">
        <v>100</v>
      </c>
      <c r="S308" s="14" t="s">
        <v>100</v>
      </c>
      <c r="T308" s="14" t="s">
        <v>100</v>
      </c>
      <c r="U308" s="8"/>
      <c r="V308" s="14"/>
      <c r="W308" s="14"/>
      <c r="X308" s="14"/>
      <c r="Y308" s="5">
        <v>45940</v>
      </c>
      <c r="Z308" s="5">
        <v>45942</v>
      </c>
      <c r="AA308" s="4" t="s">
        <v>103</v>
      </c>
      <c r="AB308" s="4" t="s">
        <v>365</v>
      </c>
      <c r="AC308" s="4" t="s">
        <v>103</v>
      </c>
      <c r="AD308" s="4" t="s">
        <v>103</v>
      </c>
      <c r="AE308" s="4" t="s">
        <v>97</v>
      </c>
      <c r="AF308" s="4" t="s">
        <v>103</v>
      </c>
      <c r="AG308" s="4" t="s">
        <v>103</v>
      </c>
      <c r="AH308" s="5" t="s">
        <v>97</v>
      </c>
      <c r="AI308" s="4"/>
      <c r="AJ308" s="4"/>
      <c r="AK308" s="4"/>
      <c r="AL308" s="4"/>
      <c r="AM308" s="4"/>
      <c r="AN308" s="4"/>
      <c r="AO308" s="4"/>
      <c r="AP308" s="4"/>
      <c r="AQ308" s="4"/>
      <c r="AR308" s="4"/>
      <c r="AS308" s="4"/>
      <c r="AT308" s="4"/>
      <c r="AU308" s="4"/>
      <c r="AV308" s="4" t="s">
        <v>97</v>
      </c>
      <c r="AW308" s="4" t="s">
        <v>97</v>
      </c>
      <c r="AX308" s="4" t="s">
        <v>97</v>
      </c>
      <c r="AY308" s="4" t="s">
        <v>97</v>
      </c>
      <c r="AZ308" s="4" t="s">
        <v>103</v>
      </c>
      <c r="BA308" s="4" t="s">
        <v>97</v>
      </c>
      <c r="BB308" s="5">
        <v>45942</v>
      </c>
      <c r="BC308" s="5">
        <v>45945</v>
      </c>
      <c r="BD308" s="5">
        <v>45945</v>
      </c>
      <c r="BE308" s="5">
        <v>45945</v>
      </c>
      <c r="BF308" s="4" t="s">
        <v>98</v>
      </c>
      <c r="BG308" s="4" t="s">
        <v>97</v>
      </c>
      <c r="BH308" s="4" t="s">
        <v>103</v>
      </c>
      <c r="BI308" s="4" t="s">
        <v>833</v>
      </c>
    </row>
    <row r="309" spans="1:61" x14ac:dyDescent="0.35">
      <c r="A309" s="8" t="str">
        <f t="shared" si="31"/>
        <v>Semaine 41-2025</v>
      </c>
      <c r="B309" s="8" t="str">
        <f t="shared" si="27"/>
        <v>2025</v>
      </c>
      <c r="C309" s="2" t="s">
        <v>59</v>
      </c>
      <c r="D309" s="6" t="str">
        <f t="shared" si="28"/>
        <v>Saint-Louis</v>
      </c>
      <c r="E309" s="6">
        <f t="shared" si="29"/>
        <v>261136</v>
      </c>
      <c r="F309" s="6">
        <f t="shared" si="30"/>
        <v>1150065</v>
      </c>
      <c r="G309" s="4" t="s">
        <v>872</v>
      </c>
      <c r="H309" s="4" t="s">
        <v>892</v>
      </c>
      <c r="I309" s="4">
        <v>40</v>
      </c>
      <c r="J309" s="4" t="s">
        <v>114</v>
      </c>
      <c r="K309" s="4"/>
      <c r="L309" s="4"/>
      <c r="M309" s="4"/>
      <c r="N309" s="4"/>
      <c r="O309" s="4" t="s">
        <v>238</v>
      </c>
      <c r="P309" s="4" t="s">
        <v>97</v>
      </c>
      <c r="Q309" s="4" t="s">
        <v>97</v>
      </c>
      <c r="R309" s="14" t="s">
        <v>100</v>
      </c>
      <c r="S309" s="14" t="s">
        <v>100</v>
      </c>
      <c r="T309" s="14" t="s">
        <v>100</v>
      </c>
      <c r="U309" s="8"/>
      <c r="V309" s="14"/>
      <c r="W309" s="14"/>
      <c r="X309" s="14"/>
      <c r="Y309" s="5">
        <v>45940</v>
      </c>
      <c r="Z309" s="5">
        <v>45942</v>
      </c>
      <c r="AA309" s="4" t="s">
        <v>103</v>
      </c>
      <c r="AB309" s="4"/>
      <c r="AC309" s="4" t="s">
        <v>103</v>
      </c>
      <c r="AD309" s="4" t="s">
        <v>103</v>
      </c>
      <c r="AE309" s="4" t="s">
        <v>97</v>
      </c>
      <c r="AF309" s="4" t="s">
        <v>103</v>
      </c>
      <c r="AG309" s="4" t="s">
        <v>103</v>
      </c>
      <c r="AH309" s="5" t="s">
        <v>103</v>
      </c>
      <c r="AI309" s="5">
        <v>45940</v>
      </c>
      <c r="AJ309" s="4" t="s">
        <v>97</v>
      </c>
      <c r="AK309" s="4" t="s">
        <v>97</v>
      </c>
      <c r="AL309" s="4" t="s">
        <v>97</v>
      </c>
      <c r="AM309" s="4" t="s">
        <v>103</v>
      </c>
      <c r="AN309" s="4" t="s">
        <v>103</v>
      </c>
      <c r="AO309" s="4" t="s">
        <v>97</v>
      </c>
      <c r="AP309" s="4" t="s">
        <v>97</v>
      </c>
      <c r="AQ309" s="4" t="s">
        <v>97</v>
      </c>
      <c r="AR309" s="4" t="s">
        <v>97</v>
      </c>
      <c r="AS309" s="4" t="s">
        <v>97</v>
      </c>
      <c r="AT309" s="4"/>
      <c r="AU309" s="4"/>
      <c r="AV309" s="4" t="s">
        <v>103</v>
      </c>
      <c r="AW309" s="4" t="s">
        <v>97</v>
      </c>
      <c r="AX309" s="4" t="s">
        <v>97</v>
      </c>
      <c r="AY309" s="4" t="s">
        <v>97</v>
      </c>
      <c r="AZ309" s="4" t="s">
        <v>97</v>
      </c>
      <c r="BA309" s="4" t="s">
        <v>97</v>
      </c>
      <c r="BB309" s="5">
        <v>45942</v>
      </c>
      <c r="BC309" s="5">
        <v>45945</v>
      </c>
      <c r="BD309" s="5">
        <v>45945</v>
      </c>
      <c r="BE309" s="5">
        <v>45945</v>
      </c>
      <c r="BF309" s="4" t="s">
        <v>98</v>
      </c>
      <c r="BG309" s="4" t="s">
        <v>97</v>
      </c>
      <c r="BH309" s="4" t="s">
        <v>103</v>
      </c>
      <c r="BI309" s="4" t="s">
        <v>834</v>
      </c>
    </row>
    <row r="310" spans="1:61" x14ac:dyDescent="0.35">
      <c r="A310" s="8" t="str">
        <f t="shared" si="31"/>
        <v>Semaine 41-2025</v>
      </c>
      <c r="B310" s="8" t="str">
        <f t="shared" si="27"/>
        <v>2025</v>
      </c>
      <c r="C310" s="2" t="s">
        <v>18</v>
      </c>
      <c r="D310" s="6" t="str">
        <f t="shared" si="28"/>
        <v>Dakar</v>
      </c>
      <c r="E310" s="6">
        <f t="shared" si="29"/>
        <v>419489</v>
      </c>
      <c r="F310" s="6">
        <f t="shared" si="30"/>
        <v>4042240</v>
      </c>
      <c r="G310" s="4" t="s">
        <v>880</v>
      </c>
      <c r="H310" s="4" t="s">
        <v>893</v>
      </c>
      <c r="I310" s="4">
        <v>16</v>
      </c>
      <c r="J310" s="4" t="s">
        <v>114</v>
      </c>
      <c r="K310" s="4"/>
      <c r="L310" s="4"/>
      <c r="M310" s="4"/>
      <c r="N310" s="4"/>
      <c r="O310" s="4" t="s">
        <v>238</v>
      </c>
      <c r="P310" s="4" t="s">
        <v>97</v>
      </c>
      <c r="Q310" s="4" t="s">
        <v>97</v>
      </c>
      <c r="R310" s="14" t="s">
        <v>100</v>
      </c>
      <c r="S310" s="14" t="s">
        <v>100</v>
      </c>
      <c r="T310" s="14" t="s">
        <v>100</v>
      </c>
      <c r="U310" s="8"/>
      <c r="V310" s="14"/>
      <c r="W310" s="14"/>
      <c r="X310" s="14"/>
      <c r="Y310" s="5">
        <v>45940</v>
      </c>
      <c r="Z310" s="5">
        <v>45942</v>
      </c>
      <c r="AA310" s="4" t="s">
        <v>103</v>
      </c>
      <c r="AB310" s="4" t="s">
        <v>365</v>
      </c>
      <c r="AC310" s="4" t="s">
        <v>103</v>
      </c>
      <c r="AD310" s="4" t="s">
        <v>103</v>
      </c>
      <c r="AE310" s="4" t="s">
        <v>97</v>
      </c>
      <c r="AF310" s="4" t="s">
        <v>103</v>
      </c>
      <c r="AG310" s="4" t="s">
        <v>103</v>
      </c>
      <c r="AH310" s="5" t="s">
        <v>97</v>
      </c>
      <c r="AI310" s="4"/>
      <c r="AJ310" s="4"/>
      <c r="AK310" s="4"/>
      <c r="AL310" s="4"/>
      <c r="AM310" s="4"/>
      <c r="AN310" s="4"/>
      <c r="AO310" s="4"/>
      <c r="AP310" s="4"/>
      <c r="AQ310" s="4"/>
      <c r="AR310" s="4"/>
      <c r="AS310" s="4"/>
      <c r="AT310" s="4"/>
      <c r="AU310" s="4"/>
      <c r="AV310" s="4" t="s">
        <v>97</v>
      </c>
      <c r="AW310" s="4" t="s">
        <v>97</v>
      </c>
      <c r="AX310" s="4" t="s">
        <v>97</v>
      </c>
      <c r="AY310" s="4" t="s">
        <v>97</v>
      </c>
      <c r="AZ310" s="4" t="s">
        <v>103</v>
      </c>
      <c r="BA310" s="4" t="s">
        <v>97</v>
      </c>
      <c r="BB310" s="5">
        <v>45945</v>
      </c>
      <c r="BC310" s="5">
        <v>45946</v>
      </c>
      <c r="BD310" s="5">
        <v>45946</v>
      </c>
      <c r="BE310" s="5">
        <v>45946</v>
      </c>
      <c r="BF310" s="4" t="s">
        <v>98</v>
      </c>
      <c r="BG310" s="4" t="s">
        <v>97</v>
      </c>
      <c r="BH310" s="4" t="s">
        <v>103</v>
      </c>
      <c r="BI310" s="4" t="s">
        <v>833</v>
      </c>
    </row>
    <row r="311" spans="1:61" x14ac:dyDescent="0.35">
      <c r="A311" s="8" t="str">
        <f t="shared" si="31"/>
        <v>Semaine 42-2025</v>
      </c>
      <c r="B311" s="8" t="str">
        <f t="shared" si="27"/>
        <v>2025</v>
      </c>
      <c r="C311" s="2" t="s">
        <v>49</v>
      </c>
      <c r="D311" s="6" t="str">
        <f t="shared" si="28"/>
        <v>Dakar</v>
      </c>
      <c r="E311" s="6">
        <f t="shared" si="29"/>
        <v>441950</v>
      </c>
      <c r="F311" s="6">
        <f t="shared" si="30"/>
        <v>4042240</v>
      </c>
      <c r="G311" s="4" t="s">
        <v>881</v>
      </c>
      <c r="H311" s="4" t="s">
        <v>894</v>
      </c>
      <c r="I311" s="4">
        <v>1</v>
      </c>
      <c r="J311" s="4" t="s">
        <v>114</v>
      </c>
      <c r="K311" s="4"/>
      <c r="L311" s="4"/>
      <c r="M311" s="4"/>
      <c r="N311" s="4"/>
      <c r="O311" s="4" t="s">
        <v>238</v>
      </c>
      <c r="P311" s="4" t="s">
        <v>97</v>
      </c>
      <c r="Q311" s="4" t="s">
        <v>97</v>
      </c>
      <c r="R311" s="14" t="s">
        <v>100</v>
      </c>
      <c r="S311" s="14" t="s">
        <v>100</v>
      </c>
      <c r="T311" s="14" t="s">
        <v>100</v>
      </c>
      <c r="U311" s="8"/>
      <c r="V311" s="14"/>
      <c r="W311" s="14"/>
      <c r="X311" s="14"/>
      <c r="Y311" s="5">
        <v>45943</v>
      </c>
      <c r="Z311" s="5">
        <v>45945</v>
      </c>
      <c r="AA311" s="4">
        <v>0</v>
      </c>
      <c r="AB311" s="4" t="s">
        <v>272</v>
      </c>
      <c r="AC311" s="4" t="s">
        <v>97</v>
      </c>
      <c r="AD311" s="4" t="s">
        <v>97</v>
      </c>
      <c r="AE311" s="4" t="s">
        <v>97</v>
      </c>
      <c r="AF311" s="4" t="s">
        <v>97</v>
      </c>
      <c r="AG311" s="4" t="s">
        <v>97</v>
      </c>
      <c r="AH311" s="5" t="s">
        <v>103</v>
      </c>
      <c r="AI311" s="5">
        <v>45943</v>
      </c>
      <c r="AJ311" s="4" t="s">
        <v>103</v>
      </c>
      <c r="AK311" s="4" t="s">
        <v>97</v>
      </c>
      <c r="AL311" s="4" t="s">
        <v>97</v>
      </c>
      <c r="AM311" s="4" t="s">
        <v>103</v>
      </c>
      <c r="AN311" s="4" t="s">
        <v>103</v>
      </c>
      <c r="AO311" s="4" t="s">
        <v>103</v>
      </c>
      <c r="AP311" s="4" t="s">
        <v>103</v>
      </c>
      <c r="AQ311" s="4" t="s">
        <v>97</v>
      </c>
      <c r="AR311" s="4" t="s">
        <v>97</v>
      </c>
      <c r="AS311" s="4" t="s">
        <v>103</v>
      </c>
      <c r="AT311" s="4"/>
      <c r="AU311" s="4"/>
      <c r="AV311" s="4" t="s">
        <v>103</v>
      </c>
      <c r="AW311" s="4" t="s">
        <v>97</v>
      </c>
      <c r="AX311" s="4" t="s">
        <v>103</v>
      </c>
      <c r="AY311" s="4" t="s">
        <v>97</v>
      </c>
      <c r="AZ311" s="4" t="s">
        <v>103</v>
      </c>
      <c r="BA311" s="4" t="s">
        <v>97</v>
      </c>
      <c r="BB311" s="5">
        <v>45945</v>
      </c>
      <c r="BC311" s="5">
        <v>45946</v>
      </c>
      <c r="BD311" s="5">
        <v>45946</v>
      </c>
      <c r="BE311" s="5">
        <v>45946</v>
      </c>
      <c r="BF311" s="4" t="s">
        <v>98</v>
      </c>
      <c r="BG311" s="4" t="s">
        <v>97</v>
      </c>
      <c r="BH311" s="4" t="s">
        <v>103</v>
      </c>
      <c r="BI311" s="4" t="s">
        <v>834</v>
      </c>
    </row>
    <row r="312" spans="1:61" x14ac:dyDescent="0.35">
      <c r="A312" s="8" t="str">
        <f t="shared" si="31"/>
        <v>Semaine 41-2025</v>
      </c>
      <c r="B312" s="8" t="str">
        <f t="shared" si="27"/>
        <v>2025</v>
      </c>
      <c r="C312" s="2" t="s">
        <v>76</v>
      </c>
      <c r="D312" s="6" t="str">
        <f t="shared" si="28"/>
        <v>Kolda</v>
      </c>
      <c r="E312" s="6">
        <f t="shared" si="29"/>
        <v>367976</v>
      </c>
      <c r="F312" s="6">
        <f t="shared" si="30"/>
        <v>875661</v>
      </c>
      <c r="G312" s="4" t="s">
        <v>882</v>
      </c>
      <c r="H312" s="4" t="s">
        <v>895</v>
      </c>
      <c r="I312" s="4">
        <v>54</v>
      </c>
      <c r="J312" s="4" t="s">
        <v>96</v>
      </c>
      <c r="K312" s="4"/>
      <c r="L312" s="4"/>
      <c r="M312" s="4"/>
      <c r="N312" s="4"/>
      <c r="O312" s="4" t="s">
        <v>238</v>
      </c>
      <c r="P312" s="4" t="s">
        <v>97</v>
      </c>
      <c r="Q312" s="4" t="s">
        <v>97</v>
      </c>
      <c r="R312" s="14" t="s">
        <v>100</v>
      </c>
      <c r="S312" s="14" t="s">
        <v>100</v>
      </c>
      <c r="T312" s="14" t="s">
        <v>100</v>
      </c>
      <c r="U312" s="8"/>
      <c r="V312" s="14"/>
      <c r="W312" s="14"/>
      <c r="X312" s="14"/>
      <c r="Y312" s="5">
        <v>45938</v>
      </c>
      <c r="Z312" s="5">
        <v>45943</v>
      </c>
      <c r="AA312" s="4" t="s">
        <v>103</v>
      </c>
      <c r="AB312" s="4" t="s">
        <v>550</v>
      </c>
      <c r="AC312" s="4" t="s">
        <v>97</v>
      </c>
      <c r="AD312" s="4" t="s">
        <v>97</v>
      </c>
      <c r="AE312" s="4" t="s">
        <v>97</v>
      </c>
      <c r="AF312" s="4" t="s">
        <v>97</v>
      </c>
      <c r="AG312" s="4" t="s">
        <v>103</v>
      </c>
      <c r="AH312" s="5" t="s">
        <v>103</v>
      </c>
      <c r="AI312" s="5">
        <v>45938</v>
      </c>
      <c r="AJ312" s="4" t="s">
        <v>103</v>
      </c>
      <c r="AK312" s="4" t="s">
        <v>103</v>
      </c>
      <c r="AL312" s="4" t="s">
        <v>97</v>
      </c>
      <c r="AM312" s="4" t="s">
        <v>97</v>
      </c>
      <c r="AN312" s="4" t="s">
        <v>103</v>
      </c>
      <c r="AO312" s="4" t="s">
        <v>97</v>
      </c>
      <c r="AP312" s="4" t="s">
        <v>97</v>
      </c>
      <c r="AQ312" s="4" t="s">
        <v>97</v>
      </c>
      <c r="AR312" s="4" t="s">
        <v>97</v>
      </c>
      <c r="AS312" s="4" t="s">
        <v>97</v>
      </c>
      <c r="AT312" s="4"/>
      <c r="AU312" s="4"/>
      <c r="AV312" s="4" t="s">
        <v>103</v>
      </c>
      <c r="AW312" s="4" t="s">
        <v>103</v>
      </c>
      <c r="AX312" s="4" t="s">
        <v>97</v>
      </c>
      <c r="AY312" s="4" t="s">
        <v>97</v>
      </c>
      <c r="AZ312" s="4" t="s">
        <v>97</v>
      </c>
      <c r="BA312" s="4" t="s">
        <v>97</v>
      </c>
      <c r="BB312" s="5">
        <v>45943</v>
      </c>
      <c r="BC312" s="5">
        <v>45945</v>
      </c>
      <c r="BD312" s="5">
        <v>45946</v>
      </c>
      <c r="BE312" s="5">
        <v>45946</v>
      </c>
      <c r="BF312" s="4" t="s">
        <v>98</v>
      </c>
      <c r="BG312" s="4" t="s">
        <v>97</v>
      </c>
      <c r="BH312" s="4" t="s">
        <v>103</v>
      </c>
      <c r="BI312" s="4" t="s">
        <v>834</v>
      </c>
    </row>
    <row r="313" spans="1:61" x14ac:dyDescent="0.35">
      <c r="A313" s="8" t="str">
        <f t="shared" si="31"/>
        <v>Semaine 41-2025</v>
      </c>
      <c r="B313" s="8" t="str">
        <f t="shared" si="27"/>
        <v>2025</v>
      </c>
      <c r="C313" s="2" t="s">
        <v>65</v>
      </c>
      <c r="D313" s="6" t="str">
        <f t="shared" si="28"/>
        <v>Saint-Louis</v>
      </c>
      <c r="E313" s="6">
        <f t="shared" si="29"/>
        <v>375150</v>
      </c>
      <c r="F313" s="6">
        <f t="shared" si="30"/>
        <v>1150065</v>
      </c>
      <c r="G313" s="4" t="s">
        <v>883</v>
      </c>
      <c r="H313" s="4" t="s">
        <v>896</v>
      </c>
      <c r="I313" s="4">
        <v>58</v>
      </c>
      <c r="J313" s="4" t="s">
        <v>114</v>
      </c>
      <c r="K313" s="4"/>
      <c r="L313" s="4"/>
      <c r="M313" s="4"/>
      <c r="N313" s="4"/>
      <c r="O313" s="4" t="s">
        <v>238</v>
      </c>
      <c r="P313" s="4" t="s">
        <v>97</v>
      </c>
      <c r="Q313" s="4" t="s">
        <v>97</v>
      </c>
      <c r="R313" s="14" t="s">
        <v>100</v>
      </c>
      <c r="S313" s="14" t="s">
        <v>100</v>
      </c>
      <c r="T313" s="14" t="s">
        <v>100</v>
      </c>
      <c r="U313" s="8"/>
      <c r="V313" s="14"/>
      <c r="W313" s="14"/>
      <c r="X313" s="14"/>
      <c r="Y313" s="5">
        <v>45937</v>
      </c>
      <c r="Z313" s="5">
        <v>45944</v>
      </c>
      <c r="AA313" s="4" t="s">
        <v>103</v>
      </c>
      <c r="AB313" s="4" t="s">
        <v>653</v>
      </c>
      <c r="AC313" s="4" t="s">
        <v>97</v>
      </c>
      <c r="AD313" s="4" t="s">
        <v>97</v>
      </c>
      <c r="AE313" s="4" t="s">
        <v>97</v>
      </c>
      <c r="AF313" s="4" t="s">
        <v>97</v>
      </c>
      <c r="AG313" s="4" t="s">
        <v>97</v>
      </c>
      <c r="AH313" s="5" t="s">
        <v>103</v>
      </c>
      <c r="AI313" s="5">
        <v>45938</v>
      </c>
      <c r="AJ313" s="4" t="s">
        <v>103</v>
      </c>
      <c r="AK313" s="4" t="s">
        <v>103</v>
      </c>
      <c r="AL313" s="4" t="s">
        <v>103</v>
      </c>
      <c r="AM313" s="4" t="s">
        <v>103</v>
      </c>
      <c r="AN313" s="4" t="s">
        <v>103</v>
      </c>
      <c r="AO313" s="4" t="s">
        <v>103</v>
      </c>
      <c r="AP313" s="4" t="s">
        <v>103</v>
      </c>
      <c r="AQ313" s="4" t="s">
        <v>97</v>
      </c>
      <c r="AR313" s="4" t="s">
        <v>97</v>
      </c>
      <c r="AS313" s="4" t="s">
        <v>97</v>
      </c>
      <c r="AT313" s="4"/>
      <c r="AU313" s="4"/>
      <c r="AV313" s="4" t="s">
        <v>103</v>
      </c>
      <c r="AW313" s="4" t="s">
        <v>97</v>
      </c>
      <c r="AX313" s="4" t="s">
        <v>97</v>
      </c>
      <c r="AY313" s="4" t="s">
        <v>97</v>
      </c>
      <c r="AZ313" s="4" t="s">
        <v>97</v>
      </c>
      <c r="BA313" s="4" t="s">
        <v>97</v>
      </c>
      <c r="BB313" s="5">
        <v>45944</v>
      </c>
      <c r="BC313" s="5">
        <v>45946</v>
      </c>
      <c r="BD313" s="5">
        <v>45946</v>
      </c>
      <c r="BE313" s="5">
        <v>45946</v>
      </c>
      <c r="BF313" s="4" t="s">
        <v>98</v>
      </c>
      <c r="BG313" s="4" t="s">
        <v>103</v>
      </c>
      <c r="BH313" s="4" t="s">
        <v>103</v>
      </c>
      <c r="BI313" s="4" t="s">
        <v>834</v>
      </c>
    </row>
    <row r="314" spans="1:61" x14ac:dyDescent="0.35">
      <c r="A314" s="8" t="str">
        <f t="shared" si="31"/>
        <v>Semaine 41-2025</v>
      </c>
      <c r="B314" s="8" t="str">
        <f t="shared" si="27"/>
        <v>2025</v>
      </c>
      <c r="C314" s="2" t="s">
        <v>75</v>
      </c>
      <c r="D314" s="6" t="str">
        <f t="shared" si="28"/>
        <v>Diourbel</v>
      </c>
      <c r="E314" s="6">
        <f t="shared" si="29"/>
        <v>996481</v>
      </c>
      <c r="F314" s="6">
        <f t="shared" si="30"/>
        <v>1980827</v>
      </c>
      <c r="G314" s="4" t="s">
        <v>884</v>
      </c>
      <c r="H314" s="4" t="s">
        <v>897</v>
      </c>
      <c r="I314" s="4">
        <v>12</v>
      </c>
      <c r="J314" s="4" t="s">
        <v>96</v>
      </c>
      <c r="K314" s="4"/>
      <c r="L314" s="4"/>
      <c r="M314" s="4"/>
      <c r="N314" s="4"/>
      <c r="O314" s="4" t="s">
        <v>238</v>
      </c>
      <c r="P314" s="4" t="s">
        <v>97</v>
      </c>
      <c r="Q314" s="4" t="s">
        <v>97</v>
      </c>
      <c r="R314" s="14" t="s">
        <v>100</v>
      </c>
      <c r="S314" s="14" t="s">
        <v>100</v>
      </c>
      <c r="T314" s="14" t="s">
        <v>100</v>
      </c>
      <c r="U314" s="8"/>
      <c r="V314" s="14"/>
      <c r="W314" s="14"/>
      <c r="X314" s="14"/>
      <c r="Y314" s="5">
        <v>45942</v>
      </c>
      <c r="Z314" s="5">
        <v>45944</v>
      </c>
      <c r="AA314" s="4" t="s">
        <v>103</v>
      </c>
      <c r="AB314" s="4"/>
      <c r="AC314" s="4" t="s">
        <v>103</v>
      </c>
      <c r="AD314" s="4" t="s">
        <v>103</v>
      </c>
      <c r="AE314" s="4" t="s">
        <v>97</v>
      </c>
      <c r="AF314" s="4" t="s">
        <v>103</v>
      </c>
      <c r="AG314" s="4" t="s">
        <v>103</v>
      </c>
      <c r="AH314" s="5" t="s">
        <v>103</v>
      </c>
      <c r="AI314" s="5">
        <v>45942</v>
      </c>
      <c r="AJ314" s="4" t="s">
        <v>97</v>
      </c>
      <c r="AK314" s="4" t="s">
        <v>97</v>
      </c>
      <c r="AL314" s="4" t="s">
        <v>97</v>
      </c>
      <c r="AM314" s="4" t="s">
        <v>103</v>
      </c>
      <c r="AN314" s="4" t="s">
        <v>103</v>
      </c>
      <c r="AO314" s="4" t="s">
        <v>97</v>
      </c>
      <c r="AP314" s="4" t="s">
        <v>103</v>
      </c>
      <c r="AQ314" s="4" t="s">
        <v>97</v>
      </c>
      <c r="AR314" s="4" t="s">
        <v>97</v>
      </c>
      <c r="AS314" s="4" t="s">
        <v>97</v>
      </c>
      <c r="AT314" s="4"/>
      <c r="AU314" s="4"/>
      <c r="AV314" s="4" t="s">
        <v>97</v>
      </c>
      <c r="AW314" s="4" t="s">
        <v>97</v>
      </c>
      <c r="AX314" s="4" t="s">
        <v>97</v>
      </c>
      <c r="AY314" s="4" t="s">
        <v>97</v>
      </c>
      <c r="AZ314" s="4" t="s">
        <v>103</v>
      </c>
      <c r="BA314" s="4" t="s">
        <v>97</v>
      </c>
      <c r="BB314" s="5">
        <v>45944</v>
      </c>
      <c r="BC314" s="5">
        <v>45946</v>
      </c>
      <c r="BD314" s="5">
        <v>45946</v>
      </c>
      <c r="BE314" s="5">
        <v>45946</v>
      </c>
      <c r="BF314" s="4" t="s">
        <v>98</v>
      </c>
      <c r="BG314" s="4" t="s">
        <v>97</v>
      </c>
      <c r="BH314" s="4" t="s">
        <v>103</v>
      </c>
      <c r="BI314" s="4" t="s">
        <v>833</v>
      </c>
    </row>
    <row r="315" spans="1:61" x14ac:dyDescent="0.35">
      <c r="A315" s="8" t="str">
        <f t="shared" si="31"/>
        <v>Semaine 41-2025</v>
      </c>
      <c r="B315" s="8" t="str">
        <f t="shared" si="27"/>
        <v>2025</v>
      </c>
      <c r="C315" s="2" t="s">
        <v>75</v>
      </c>
      <c r="D315" s="6" t="str">
        <f t="shared" si="28"/>
        <v>Diourbel</v>
      </c>
      <c r="E315" s="6">
        <f t="shared" si="29"/>
        <v>996481</v>
      </c>
      <c r="F315" s="6">
        <f t="shared" si="30"/>
        <v>1980827</v>
      </c>
      <c r="G315" s="4" t="s">
        <v>885</v>
      </c>
      <c r="H315" s="4" t="s">
        <v>898</v>
      </c>
      <c r="I315" s="4">
        <v>60</v>
      </c>
      <c r="J315" s="4" t="s">
        <v>96</v>
      </c>
      <c r="K315" s="4"/>
      <c r="L315" s="4"/>
      <c r="M315" s="4"/>
      <c r="N315" s="4"/>
      <c r="O315" s="4" t="s">
        <v>238</v>
      </c>
      <c r="P315" s="4" t="s">
        <v>97</v>
      </c>
      <c r="Q315" s="4" t="s">
        <v>97</v>
      </c>
      <c r="R315" s="14" t="s">
        <v>100</v>
      </c>
      <c r="S315" s="14" t="s">
        <v>100</v>
      </c>
      <c r="T315" s="14" t="s">
        <v>100</v>
      </c>
      <c r="U315" s="8"/>
      <c r="V315" s="14"/>
      <c r="W315" s="14"/>
      <c r="X315" s="14"/>
      <c r="Y315" s="5">
        <v>45938</v>
      </c>
      <c r="Z315" s="5">
        <v>45945</v>
      </c>
      <c r="AA315" s="4" t="s">
        <v>97</v>
      </c>
      <c r="AB315" s="4"/>
      <c r="AC315" s="4" t="s">
        <v>97</v>
      </c>
      <c r="AD315" s="4" t="s">
        <v>97</v>
      </c>
      <c r="AE315" s="4" t="s">
        <v>97</v>
      </c>
      <c r="AF315" s="4" t="s">
        <v>103</v>
      </c>
      <c r="AG315" s="4" t="s">
        <v>97</v>
      </c>
      <c r="AH315" s="5" t="s">
        <v>103</v>
      </c>
      <c r="AI315" s="5">
        <v>45938</v>
      </c>
      <c r="AJ315" s="4" t="s">
        <v>103</v>
      </c>
      <c r="AK315" s="4" t="s">
        <v>103</v>
      </c>
      <c r="AL315" s="4" t="s">
        <v>97</v>
      </c>
      <c r="AM315" s="4" t="s">
        <v>103</v>
      </c>
      <c r="AN315" s="4" t="s">
        <v>103</v>
      </c>
      <c r="AO315" s="4" t="s">
        <v>97</v>
      </c>
      <c r="AP315" s="4" t="s">
        <v>97</v>
      </c>
      <c r="AQ315" s="4" t="s">
        <v>97</v>
      </c>
      <c r="AR315" s="4" t="s">
        <v>97</v>
      </c>
      <c r="AS315" s="4" t="s">
        <v>97</v>
      </c>
      <c r="AT315" s="4"/>
      <c r="AU315" s="4"/>
      <c r="AV315" s="4" t="s">
        <v>103</v>
      </c>
      <c r="AW315" s="4" t="s">
        <v>97</v>
      </c>
      <c r="AX315" s="4" t="s">
        <v>97</v>
      </c>
      <c r="AY315" s="4" t="s">
        <v>97</v>
      </c>
      <c r="AZ315" s="4" t="s">
        <v>97</v>
      </c>
      <c r="BA315" s="4" t="s">
        <v>97</v>
      </c>
      <c r="BB315" s="5">
        <v>45945</v>
      </c>
      <c r="BC315" s="5">
        <v>45946</v>
      </c>
      <c r="BD315" s="5">
        <v>45946</v>
      </c>
      <c r="BE315" s="5">
        <v>45946</v>
      </c>
      <c r="BF315" s="4" t="s">
        <v>98</v>
      </c>
      <c r="BG315" s="4" t="s">
        <v>97</v>
      </c>
      <c r="BH315" s="4" t="s">
        <v>103</v>
      </c>
      <c r="BI315" s="4" t="s">
        <v>834</v>
      </c>
    </row>
    <row r="316" spans="1:61" x14ac:dyDescent="0.35">
      <c r="A316" s="8" t="str">
        <f t="shared" si="31"/>
        <v>Semaine 41-2025</v>
      </c>
      <c r="B316" s="8" t="str">
        <f t="shared" si="27"/>
        <v>2025</v>
      </c>
      <c r="C316" s="2" t="s">
        <v>31</v>
      </c>
      <c r="D316" s="6" t="str">
        <f t="shared" si="28"/>
        <v>Dakar</v>
      </c>
      <c r="E316" s="6">
        <f t="shared" si="29"/>
        <v>424760</v>
      </c>
      <c r="F316" s="6">
        <f t="shared" si="30"/>
        <v>4042240</v>
      </c>
      <c r="G316" s="4" t="s">
        <v>886</v>
      </c>
      <c r="H316" s="4" t="s">
        <v>899</v>
      </c>
      <c r="I316" s="4">
        <v>7</v>
      </c>
      <c r="J316" s="4" t="s">
        <v>114</v>
      </c>
      <c r="K316" s="4"/>
      <c r="L316" s="4"/>
      <c r="M316" s="4"/>
      <c r="N316" s="4"/>
      <c r="O316" s="4" t="s">
        <v>238</v>
      </c>
      <c r="P316" s="4" t="s">
        <v>97</v>
      </c>
      <c r="Q316" s="4" t="s">
        <v>97</v>
      </c>
      <c r="R316" s="14" t="s">
        <v>100</v>
      </c>
      <c r="S316" s="14" t="s">
        <v>100</v>
      </c>
      <c r="T316" s="14" t="s">
        <v>100</v>
      </c>
      <c r="U316" s="8"/>
      <c r="V316" s="14"/>
      <c r="W316" s="14"/>
      <c r="X316" s="14"/>
      <c r="Y316" s="5">
        <v>45936</v>
      </c>
      <c r="Z316" s="5">
        <v>45944</v>
      </c>
      <c r="AA316" s="4" t="s">
        <v>103</v>
      </c>
      <c r="AB316" s="4" t="s">
        <v>276</v>
      </c>
      <c r="AC316" s="4" t="s">
        <v>97</v>
      </c>
      <c r="AD316" s="4" t="s">
        <v>97</v>
      </c>
      <c r="AE316" s="4" t="s">
        <v>97</v>
      </c>
      <c r="AF316" s="4" t="s">
        <v>97</v>
      </c>
      <c r="AG316" s="4" t="s">
        <v>97</v>
      </c>
      <c r="AH316" s="5" t="s">
        <v>103</v>
      </c>
      <c r="AI316" s="5">
        <v>45936</v>
      </c>
      <c r="AJ316" s="4" t="s">
        <v>103</v>
      </c>
      <c r="AK316" s="4" t="s">
        <v>97</v>
      </c>
      <c r="AL316" s="4" t="s">
        <v>97</v>
      </c>
      <c r="AM316" s="4" t="s">
        <v>103</v>
      </c>
      <c r="AN316" s="4" t="s">
        <v>97</v>
      </c>
      <c r="AO316" s="4" t="s">
        <v>97</v>
      </c>
      <c r="AP316" s="4" t="s">
        <v>97</v>
      </c>
      <c r="AQ316" s="4" t="s">
        <v>97</v>
      </c>
      <c r="AR316" s="4" t="s">
        <v>97</v>
      </c>
      <c r="AS316" s="4" t="s">
        <v>97</v>
      </c>
      <c r="AT316" s="4"/>
      <c r="AU316" s="4"/>
      <c r="AV316" s="4" t="s">
        <v>97</v>
      </c>
      <c r="AW316" s="4" t="s">
        <v>97</v>
      </c>
      <c r="AX316" s="4" t="s">
        <v>97</v>
      </c>
      <c r="AY316" s="4" t="s">
        <v>97</v>
      </c>
      <c r="AZ316" s="4" t="s">
        <v>103</v>
      </c>
      <c r="BA316" s="4" t="s">
        <v>97</v>
      </c>
      <c r="BB316" s="5">
        <v>45944</v>
      </c>
      <c r="BC316" s="5">
        <v>45946</v>
      </c>
      <c r="BD316" s="5">
        <v>45946</v>
      </c>
      <c r="BE316" s="5">
        <v>45946</v>
      </c>
      <c r="BF316" s="4" t="s">
        <v>98</v>
      </c>
      <c r="BG316" s="4" t="s">
        <v>97</v>
      </c>
      <c r="BH316" s="4" t="s">
        <v>103</v>
      </c>
      <c r="BI316" s="4" t="s">
        <v>833</v>
      </c>
    </row>
    <row r="317" spans="1:61" x14ac:dyDescent="0.35">
      <c r="A317" s="8" t="str">
        <f t="shared" si="31"/>
        <v>Semaine 41-2025</v>
      </c>
      <c r="B317" s="8" t="str">
        <f t="shared" si="27"/>
        <v>2025</v>
      </c>
      <c r="C317" s="2" t="s">
        <v>31</v>
      </c>
      <c r="D317" s="6" t="str">
        <f t="shared" si="28"/>
        <v>Dakar</v>
      </c>
      <c r="E317" s="6">
        <f t="shared" si="29"/>
        <v>424760</v>
      </c>
      <c r="F317" s="6">
        <f t="shared" si="30"/>
        <v>4042240</v>
      </c>
      <c r="G317" s="4" t="s">
        <v>887</v>
      </c>
      <c r="H317" s="4" t="s">
        <v>807</v>
      </c>
      <c r="I317" s="4">
        <v>6</v>
      </c>
      <c r="J317" s="4" t="s">
        <v>114</v>
      </c>
      <c r="K317" s="4"/>
      <c r="L317" s="4"/>
      <c r="M317" s="4"/>
      <c r="N317" s="4"/>
      <c r="O317" s="4" t="s">
        <v>238</v>
      </c>
      <c r="P317" s="4" t="s">
        <v>97</v>
      </c>
      <c r="Q317" s="4" t="s">
        <v>97</v>
      </c>
      <c r="R317" s="14" t="s">
        <v>100</v>
      </c>
      <c r="S317" s="14" t="s">
        <v>100</v>
      </c>
      <c r="T317" s="14" t="s">
        <v>100</v>
      </c>
      <c r="U317" s="8"/>
      <c r="V317" s="14"/>
      <c r="W317" s="14"/>
      <c r="X317" s="14"/>
      <c r="Y317" s="5">
        <v>45940</v>
      </c>
      <c r="Z317" s="5">
        <v>45943</v>
      </c>
      <c r="AA317" s="4" t="s">
        <v>97</v>
      </c>
      <c r="AB317" s="4" t="s">
        <v>900</v>
      </c>
      <c r="AC317" s="4" t="s">
        <v>97</v>
      </c>
      <c r="AD317" s="4" t="s">
        <v>103</v>
      </c>
      <c r="AE317" s="4" t="s">
        <v>97</v>
      </c>
      <c r="AF317" s="4" t="s">
        <v>97</v>
      </c>
      <c r="AG317" s="4" t="s">
        <v>97</v>
      </c>
      <c r="AH317" s="5" t="s">
        <v>103</v>
      </c>
      <c r="AI317" s="5">
        <v>45941</v>
      </c>
      <c r="AJ317" s="4" t="s">
        <v>97</v>
      </c>
      <c r="AK317" s="4" t="s">
        <v>103</v>
      </c>
      <c r="AL317" s="4" t="s">
        <v>97</v>
      </c>
      <c r="AM317" s="4" t="s">
        <v>97</v>
      </c>
      <c r="AN317" s="4" t="s">
        <v>97</v>
      </c>
      <c r="AO317" s="4" t="s">
        <v>97</v>
      </c>
      <c r="AP317" s="4" t="s">
        <v>103</v>
      </c>
      <c r="AQ317" s="4" t="s">
        <v>97</v>
      </c>
      <c r="AR317" s="4" t="s">
        <v>97</v>
      </c>
      <c r="AS317" s="4" t="s">
        <v>97</v>
      </c>
      <c r="AT317" s="4"/>
      <c r="AU317" s="4"/>
      <c r="AV317" s="4" t="s">
        <v>97</v>
      </c>
      <c r="AW317" s="4" t="s">
        <v>97</v>
      </c>
      <c r="AX317" s="4" t="s">
        <v>97</v>
      </c>
      <c r="AY317" s="4" t="s">
        <v>97</v>
      </c>
      <c r="AZ317" s="4" t="s">
        <v>103</v>
      </c>
      <c r="BA317" s="4" t="s">
        <v>97</v>
      </c>
      <c r="BB317" s="5">
        <v>45944</v>
      </c>
      <c r="BC317" s="5">
        <v>45946</v>
      </c>
      <c r="BD317" s="5">
        <v>45946</v>
      </c>
      <c r="BE317" s="5">
        <v>45946</v>
      </c>
      <c r="BF317" s="4" t="s">
        <v>98</v>
      </c>
      <c r="BG317" s="4" t="s">
        <v>97</v>
      </c>
      <c r="BH317" s="4" t="s">
        <v>103</v>
      </c>
      <c r="BI317" s="4" t="s">
        <v>833</v>
      </c>
    </row>
    <row r="318" spans="1:61" x14ac:dyDescent="0.35">
      <c r="A318" s="8" t="str">
        <f t="shared" si="31"/>
        <v>Semaine 41-2025</v>
      </c>
      <c r="B318" s="8" t="str">
        <f t="shared" si="27"/>
        <v>2025</v>
      </c>
      <c r="C318" s="2" t="s">
        <v>18</v>
      </c>
      <c r="D318" s="6" t="str">
        <f t="shared" si="28"/>
        <v>Dakar</v>
      </c>
      <c r="E318" s="6">
        <f t="shared" si="29"/>
        <v>419489</v>
      </c>
      <c r="F318" s="6">
        <f t="shared" si="30"/>
        <v>4042240</v>
      </c>
      <c r="G318" s="4" t="s">
        <v>888</v>
      </c>
      <c r="H318" s="4" t="s">
        <v>901</v>
      </c>
      <c r="I318" s="4">
        <v>43</v>
      </c>
      <c r="J318" s="4" t="s">
        <v>114</v>
      </c>
      <c r="K318" s="4"/>
      <c r="L318" s="4"/>
      <c r="M318" s="4"/>
      <c r="N318" s="4"/>
      <c r="O318" s="4" t="s">
        <v>238</v>
      </c>
      <c r="P318" s="4" t="s">
        <v>97</v>
      </c>
      <c r="Q318" s="4" t="s">
        <v>97</v>
      </c>
      <c r="R318" s="14" t="s">
        <v>100</v>
      </c>
      <c r="S318" s="14" t="s">
        <v>100</v>
      </c>
      <c r="T318" s="14" t="s">
        <v>100</v>
      </c>
      <c r="U318" s="8"/>
      <c r="V318" s="14"/>
      <c r="W318" s="14"/>
      <c r="X318" s="14"/>
      <c r="Y318" s="5">
        <v>45942</v>
      </c>
      <c r="Z318" s="5">
        <v>45944</v>
      </c>
      <c r="AA318" s="4" t="s">
        <v>97</v>
      </c>
      <c r="AB318" s="4"/>
      <c r="AC318" s="4" t="s">
        <v>97</v>
      </c>
      <c r="AD318" s="4" t="s">
        <v>97</v>
      </c>
      <c r="AE318" s="4" t="s">
        <v>97</v>
      </c>
      <c r="AF318" s="4" t="s">
        <v>103</v>
      </c>
      <c r="AG318" s="4" t="s">
        <v>103</v>
      </c>
      <c r="AH318" s="5" t="s">
        <v>103</v>
      </c>
      <c r="AI318" s="5">
        <v>45941</v>
      </c>
      <c r="AJ318" s="4" t="s">
        <v>103</v>
      </c>
      <c r="AK318" s="4" t="s">
        <v>103</v>
      </c>
      <c r="AL318" s="4" t="s">
        <v>97</v>
      </c>
      <c r="AM318" s="4" t="s">
        <v>103</v>
      </c>
      <c r="AN318" s="4" t="s">
        <v>103</v>
      </c>
      <c r="AO318" s="4" t="s">
        <v>97</v>
      </c>
      <c r="AP318" s="4" t="s">
        <v>103</v>
      </c>
      <c r="AQ318" s="4" t="s">
        <v>97</v>
      </c>
      <c r="AR318" s="4" t="s">
        <v>97</v>
      </c>
      <c r="AS318" s="4" t="s">
        <v>97</v>
      </c>
      <c r="AT318" s="4" t="s">
        <v>902</v>
      </c>
      <c r="AU318" s="4"/>
      <c r="AV318" s="4" t="s">
        <v>103</v>
      </c>
      <c r="AW318" s="4" t="s">
        <v>97</v>
      </c>
      <c r="AX318" s="4" t="s">
        <v>97</v>
      </c>
      <c r="AY318" s="4" t="s">
        <v>97</v>
      </c>
      <c r="AZ318" s="4" t="s">
        <v>103</v>
      </c>
      <c r="BA318" s="4" t="s">
        <v>97</v>
      </c>
      <c r="BB318" s="5">
        <v>45946</v>
      </c>
      <c r="BC318" s="5">
        <v>45946</v>
      </c>
      <c r="BD318" s="5">
        <v>45946</v>
      </c>
      <c r="BE318" s="5">
        <v>45946</v>
      </c>
      <c r="BF318" s="4" t="s">
        <v>98</v>
      </c>
      <c r="BG318" s="4" t="s">
        <v>97</v>
      </c>
      <c r="BH318" s="4" t="s">
        <v>103</v>
      </c>
      <c r="BI318" s="4" t="s">
        <v>834</v>
      </c>
    </row>
    <row r="319" spans="1:61" x14ac:dyDescent="0.35">
      <c r="A319" s="8" t="str">
        <f t="shared" si="31"/>
        <v>Semaine 41-2025</v>
      </c>
      <c r="B319" s="8" t="str">
        <f t="shared" ref="B319:B380" si="32">RIGHT(A319,4)</f>
        <v>2025</v>
      </c>
      <c r="C319" s="2" t="s">
        <v>64</v>
      </c>
      <c r="D319" s="6" t="str">
        <f t="shared" ref="D319:D380" si="33">IF(C319="","",VLOOKUP(C319,district_region,2,FALSE))</f>
        <v>Dakar</v>
      </c>
      <c r="E319" s="6">
        <f t="shared" ref="E319:E380" si="34">IF(C319="","",VLOOKUP(C319,liste_pop,3,FALSE))</f>
        <v>284840</v>
      </c>
      <c r="F319" s="6">
        <f t="shared" ref="F319:F380" si="35">IF(D319="","",IF(D319="Dakar",4042240,VLOOKUP(D319,liste_pop,4,FALSE)))</f>
        <v>4042240</v>
      </c>
      <c r="G319" s="4" t="s">
        <v>889</v>
      </c>
      <c r="H319" s="4" t="s">
        <v>903</v>
      </c>
      <c r="I319" s="4">
        <v>23</v>
      </c>
      <c r="J319" s="4" t="s">
        <v>114</v>
      </c>
      <c r="K319" s="4"/>
      <c r="L319" s="4"/>
      <c r="M319" s="4"/>
      <c r="N319" s="4"/>
      <c r="O319" s="4" t="s">
        <v>238</v>
      </c>
      <c r="P319" s="4" t="s">
        <v>97</v>
      </c>
      <c r="Q319" s="4" t="s">
        <v>97</v>
      </c>
      <c r="R319" s="14" t="s">
        <v>100</v>
      </c>
      <c r="S319" s="14" t="s">
        <v>100</v>
      </c>
      <c r="T319" s="14" t="s">
        <v>100</v>
      </c>
      <c r="U319" s="8"/>
      <c r="V319" s="14"/>
      <c r="W319" s="14"/>
      <c r="X319" s="14"/>
      <c r="Y319" s="5">
        <v>45941</v>
      </c>
      <c r="Z319" s="5">
        <v>45947</v>
      </c>
      <c r="AA319" s="4" t="s">
        <v>97</v>
      </c>
      <c r="AB319" s="4"/>
      <c r="AC319" s="4" t="s">
        <v>97</v>
      </c>
      <c r="AD319" s="4" t="s">
        <v>97</v>
      </c>
      <c r="AE319" s="4" t="s">
        <v>97</v>
      </c>
      <c r="AF319" s="4" t="s">
        <v>97</v>
      </c>
      <c r="AG319" s="4" t="s">
        <v>103</v>
      </c>
      <c r="AH319" s="5" t="s">
        <v>103</v>
      </c>
      <c r="AI319" s="5">
        <v>45944</v>
      </c>
      <c r="AJ319" s="4" t="s">
        <v>103</v>
      </c>
      <c r="AK319" s="4" t="s">
        <v>103</v>
      </c>
      <c r="AL319" s="4" t="s">
        <v>97</v>
      </c>
      <c r="AM319" s="4" t="s">
        <v>103</v>
      </c>
      <c r="AN319" s="4" t="s">
        <v>103</v>
      </c>
      <c r="AO319" s="4" t="s">
        <v>103</v>
      </c>
      <c r="AP319" s="4" t="s">
        <v>103</v>
      </c>
      <c r="AQ319" s="4" t="s">
        <v>103</v>
      </c>
      <c r="AR319" s="4" t="s">
        <v>97</v>
      </c>
      <c r="AS319" s="4" t="s">
        <v>103</v>
      </c>
      <c r="AT319" s="4"/>
      <c r="AU319" s="4"/>
      <c r="AV319" s="4" t="s">
        <v>103</v>
      </c>
      <c r="AW319" s="4" t="s">
        <v>97</v>
      </c>
      <c r="AX319" s="4" t="s">
        <v>97</v>
      </c>
      <c r="AY319" s="4" t="s">
        <v>97</v>
      </c>
      <c r="AZ319" s="4" t="s">
        <v>103</v>
      </c>
      <c r="BA319" s="4" t="s">
        <v>97</v>
      </c>
      <c r="BB319" s="5">
        <v>45947</v>
      </c>
      <c r="BC319" s="5">
        <v>45947</v>
      </c>
      <c r="BD319" s="5">
        <v>45947</v>
      </c>
      <c r="BE319" s="5">
        <v>45948</v>
      </c>
      <c r="BF319" s="4" t="s">
        <v>98</v>
      </c>
      <c r="BG319" s="4" t="s">
        <v>97</v>
      </c>
      <c r="BH319" s="4" t="s">
        <v>103</v>
      </c>
      <c r="BI319" s="4" t="s">
        <v>834</v>
      </c>
    </row>
    <row r="320" spans="1:61" x14ac:dyDescent="0.35">
      <c r="A320" s="8" t="str">
        <f t="shared" si="31"/>
        <v>Semaine 42-2025</v>
      </c>
      <c r="B320" s="8" t="str">
        <f t="shared" si="32"/>
        <v>2025</v>
      </c>
      <c r="C320" s="2" t="s">
        <v>19</v>
      </c>
      <c r="D320" s="6" t="str">
        <f t="shared" si="33"/>
        <v>Dakar</v>
      </c>
      <c r="E320" s="6">
        <f t="shared" si="34"/>
        <v>565040</v>
      </c>
      <c r="F320" s="6">
        <f t="shared" si="35"/>
        <v>4042240</v>
      </c>
      <c r="G320" s="4" t="s">
        <v>890</v>
      </c>
      <c r="H320" s="4" t="s">
        <v>904</v>
      </c>
      <c r="I320" s="4">
        <v>8</v>
      </c>
      <c r="J320" s="4" t="s">
        <v>114</v>
      </c>
      <c r="K320" s="4"/>
      <c r="L320" s="4"/>
      <c r="M320" s="4"/>
      <c r="N320" s="4"/>
      <c r="O320" s="4" t="s">
        <v>238</v>
      </c>
      <c r="P320" s="4" t="s">
        <v>97</v>
      </c>
      <c r="Q320" s="4" t="s">
        <v>97</v>
      </c>
      <c r="R320" s="14" t="s">
        <v>100</v>
      </c>
      <c r="S320" s="14" t="s">
        <v>100</v>
      </c>
      <c r="T320" s="14" t="s">
        <v>100</v>
      </c>
      <c r="U320" s="8"/>
      <c r="V320" s="14"/>
      <c r="W320" s="14"/>
      <c r="X320" s="14"/>
      <c r="Y320" s="5">
        <v>45945</v>
      </c>
      <c r="Z320" s="5">
        <v>45947</v>
      </c>
      <c r="AA320" s="4" t="s">
        <v>103</v>
      </c>
      <c r="AB320" s="4" t="s">
        <v>272</v>
      </c>
      <c r="AC320" s="4" t="s">
        <v>97</v>
      </c>
      <c r="AD320" s="4" t="s">
        <v>97</v>
      </c>
      <c r="AE320" s="4" t="s">
        <v>97</v>
      </c>
      <c r="AF320" s="4" t="s">
        <v>97</v>
      </c>
      <c r="AG320" s="4" t="s">
        <v>97</v>
      </c>
      <c r="AH320" s="5" t="s">
        <v>103</v>
      </c>
      <c r="AI320" s="5">
        <v>45945</v>
      </c>
      <c r="AJ320" s="4" t="s">
        <v>97</v>
      </c>
      <c r="AK320" s="4" t="s">
        <v>97</v>
      </c>
      <c r="AL320" s="4" t="s">
        <v>97</v>
      </c>
      <c r="AM320" s="4" t="s">
        <v>103</v>
      </c>
      <c r="AN320" s="4" t="s">
        <v>103</v>
      </c>
      <c r="AO320" s="4" t="s">
        <v>103</v>
      </c>
      <c r="AP320" s="4" t="s">
        <v>103</v>
      </c>
      <c r="AQ320" s="4" t="s">
        <v>97</v>
      </c>
      <c r="AR320" s="4" t="s">
        <v>97</v>
      </c>
      <c r="AS320" s="4" t="s">
        <v>97</v>
      </c>
      <c r="AT320" s="4"/>
      <c r="AU320" s="4"/>
      <c r="AV320" s="4" t="s">
        <v>103</v>
      </c>
      <c r="AW320" s="4" t="s">
        <v>97</v>
      </c>
      <c r="AX320" s="4" t="s">
        <v>97</v>
      </c>
      <c r="AY320" s="4" t="s">
        <v>97</v>
      </c>
      <c r="AZ320" s="4" t="s">
        <v>97</v>
      </c>
      <c r="BA320" s="4" t="s">
        <v>97</v>
      </c>
      <c r="BB320" s="5">
        <v>45947</v>
      </c>
      <c r="BC320" s="5">
        <v>45947</v>
      </c>
      <c r="BD320" s="5">
        <v>45947</v>
      </c>
      <c r="BE320" s="5">
        <v>45948</v>
      </c>
      <c r="BF320" s="4" t="s">
        <v>98</v>
      </c>
      <c r="BG320" s="4" t="s">
        <v>97</v>
      </c>
      <c r="BH320" s="4" t="s">
        <v>103</v>
      </c>
      <c r="BI320" s="4" t="s">
        <v>834</v>
      </c>
    </row>
    <row r="321" spans="1:61" x14ac:dyDescent="0.35">
      <c r="A321" s="8" t="str">
        <f t="shared" si="31"/>
        <v>Semaine 41-2025</v>
      </c>
      <c r="B321" s="8" t="str">
        <f t="shared" si="32"/>
        <v>2025</v>
      </c>
      <c r="C321" s="2" t="s">
        <v>18</v>
      </c>
      <c r="D321" s="6" t="str">
        <f t="shared" si="33"/>
        <v>Dakar</v>
      </c>
      <c r="E321" s="6">
        <f t="shared" si="34"/>
        <v>419489</v>
      </c>
      <c r="F321" s="6">
        <f t="shared" si="35"/>
        <v>4042240</v>
      </c>
      <c r="G321" s="4" t="s">
        <v>891</v>
      </c>
      <c r="H321" s="4" t="s">
        <v>864</v>
      </c>
      <c r="I321" s="4">
        <v>22</v>
      </c>
      <c r="J321" s="4" t="s">
        <v>114</v>
      </c>
      <c r="K321" s="4"/>
      <c r="L321" s="4"/>
      <c r="M321" s="4"/>
      <c r="N321" s="4"/>
      <c r="O321" s="4" t="s">
        <v>238</v>
      </c>
      <c r="P321" s="4" t="s">
        <v>97</v>
      </c>
      <c r="Q321" s="4" t="s">
        <v>97</v>
      </c>
      <c r="R321" s="14" t="s">
        <v>100</v>
      </c>
      <c r="S321" s="14" t="s">
        <v>100</v>
      </c>
      <c r="T321" s="14" t="s">
        <v>100</v>
      </c>
      <c r="U321" s="8"/>
      <c r="V321" s="14"/>
      <c r="W321" s="14"/>
      <c r="X321" s="14"/>
      <c r="Y321" s="5">
        <v>45940</v>
      </c>
      <c r="Z321" s="5">
        <v>45947</v>
      </c>
      <c r="AA321" s="4" t="s">
        <v>97</v>
      </c>
      <c r="AB321" s="4"/>
      <c r="AC321" s="4" t="s">
        <v>97</v>
      </c>
      <c r="AD321" s="4" t="s">
        <v>97</v>
      </c>
      <c r="AE321" s="4" t="s">
        <v>97</v>
      </c>
      <c r="AF321" s="4" t="s">
        <v>97</v>
      </c>
      <c r="AG321" s="4" t="s">
        <v>97</v>
      </c>
      <c r="AH321" s="4" t="s">
        <v>103</v>
      </c>
      <c r="AI321" s="5">
        <v>45940</v>
      </c>
      <c r="AJ321" s="4" t="s">
        <v>97</v>
      </c>
      <c r="AK321" s="4" t="s">
        <v>103</v>
      </c>
      <c r="AL321" s="4" t="s">
        <v>97</v>
      </c>
      <c r="AM321" s="4" t="s">
        <v>97</v>
      </c>
      <c r="AN321" s="4" t="s">
        <v>103</v>
      </c>
      <c r="AO321" s="4" t="s">
        <v>97</v>
      </c>
      <c r="AP321" s="4" t="s">
        <v>97</v>
      </c>
      <c r="AQ321" s="4" t="s">
        <v>97</v>
      </c>
      <c r="AR321" s="4" t="s">
        <v>97</v>
      </c>
      <c r="AS321" s="4" t="s">
        <v>97</v>
      </c>
      <c r="AT321" s="4"/>
      <c r="AU321" s="4"/>
      <c r="AV321" s="4" t="s">
        <v>103</v>
      </c>
      <c r="AW321" s="4" t="s">
        <v>97</v>
      </c>
      <c r="AX321" s="4" t="s">
        <v>97</v>
      </c>
      <c r="AY321" s="4" t="s">
        <v>97</v>
      </c>
      <c r="AZ321" s="4" t="s">
        <v>103</v>
      </c>
      <c r="BA321" s="4" t="s">
        <v>97</v>
      </c>
      <c r="BB321" s="5">
        <v>45947</v>
      </c>
      <c r="BC321" s="5">
        <v>45947</v>
      </c>
      <c r="BD321" s="5">
        <v>45947</v>
      </c>
      <c r="BE321" s="5">
        <v>45948</v>
      </c>
      <c r="BF321" s="4" t="s">
        <v>98</v>
      </c>
      <c r="BG321" s="4" t="s">
        <v>97</v>
      </c>
      <c r="BH321" s="4" t="s">
        <v>103</v>
      </c>
      <c r="BI321" s="4" t="s">
        <v>834</v>
      </c>
    </row>
    <row r="322" spans="1:61" x14ac:dyDescent="0.35">
      <c r="A322" s="4" t="s">
        <v>905</v>
      </c>
      <c r="B322" s="23">
        <v>2025</v>
      </c>
      <c r="C322" s="2" t="s">
        <v>78</v>
      </c>
      <c r="D322" s="6" t="str">
        <f t="shared" si="33"/>
        <v>Ziguinchor</v>
      </c>
      <c r="E322" s="6">
        <f t="shared" si="34"/>
        <v>330001</v>
      </c>
      <c r="F322" s="6">
        <f t="shared" si="35"/>
        <v>729952</v>
      </c>
      <c r="G322" s="4" t="s">
        <v>917</v>
      </c>
      <c r="H322" s="4" t="s">
        <v>906</v>
      </c>
      <c r="I322" s="4">
        <v>49</v>
      </c>
      <c r="J322" s="4" t="s">
        <v>114</v>
      </c>
      <c r="K322" s="4" t="s">
        <v>79</v>
      </c>
      <c r="L322" s="5">
        <v>45935</v>
      </c>
      <c r="M322" s="4"/>
      <c r="N322" s="4"/>
      <c r="O322" s="4" t="s">
        <v>238</v>
      </c>
      <c r="P322" s="4" t="s">
        <v>97</v>
      </c>
      <c r="Q322" s="4" t="s">
        <v>97</v>
      </c>
      <c r="R322" s="14" t="s">
        <v>100</v>
      </c>
      <c r="S322" s="14" t="s">
        <v>100</v>
      </c>
      <c r="T322" s="14" t="s">
        <v>100</v>
      </c>
      <c r="U322" s="8"/>
      <c r="V322" s="14"/>
      <c r="W322" s="14"/>
      <c r="X322" s="14"/>
      <c r="Y322" s="5">
        <v>45946</v>
      </c>
      <c r="Z322" s="5">
        <v>45946</v>
      </c>
      <c r="AA322" s="4" t="s">
        <v>97</v>
      </c>
      <c r="AB322" s="4"/>
      <c r="AC322" s="4" t="s">
        <v>97</v>
      </c>
      <c r="AD322" s="4" t="s">
        <v>97</v>
      </c>
      <c r="AE322" s="4" t="s">
        <v>97</v>
      </c>
      <c r="AF322" s="4" t="s">
        <v>97</v>
      </c>
      <c r="AG322" s="4" t="s">
        <v>97</v>
      </c>
      <c r="AH322" s="4" t="s">
        <v>103</v>
      </c>
      <c r="AI322" s="24">
        <v>45946</v>
      </c>
      <c r="AJ322" s="4" t="s">
        <v>103</v>
      </c>
      <c r="AK322" s="4" t="s">
        <v>97</v>
      </c>
      <c r="AL322" s="4" t="s">
        <v>97</v>
      </c>
      <c r="AM322" s="4" t="s">
        <v>97</v>
      </c>
      <c r="AN322" s="4" t="s">
        <v>97</v>
      </c>
      <c r="AO322" s="4" t="s">
        <v>103</v>
      </c>
      <c r="AP322" s="4" t="s">
        <v>103</v>
      </c>
      <c r="AQ322" s="4" t="s">
        <v>97</v>
      </c>
      <c r="AR322" s="4" t="s">
        <v>97</v>
      </c>
      <c r="AS322" s="4" t="s">
        <v>97</v>
      </c>
      <c r="AT322" s="4"/>
      <c r="AU322" s="4"/>
      <c r="AV322" s="4" t="s">
        <v>97</v>
      </c>
      <c r="AW322" s="4" t="s">
        <v>97</v>
      </c>
      <c r="AX322" s="4" t="s">
        <v>97</v>
      </c>
      <c r="AY322" s="4" t="s">
        <v>97</v>
      </c>
      <c r="AZ322" s="4" t="s">
        <v>103</v>
      </c>
      <c r="BA322" s="4" t="s">
        <v>97</v>
      </c>
      <c r="BB322" s="5">
        <v>45948</v>
      </c>
      <c r="BC322" s="5">
        <v>45948</v>
      </c>
      <c r="BD322" s="5">
        <v>45948</v>
      </c>
      <c r="BE322" s="5">
        <v>45950</v>
      </c>
      <c r="BF322" s="4" t="s">
        <v>98</v>
      </c>
      <c r="BG322" s="4" t="s">
        <v>97</v>
      </c>
      <c r="BH322" s="4" t="s">
        <v>103</v>
      </c>
      <c r="BI322" s="4" t="s">
        <v>834</v>
      </c>
    </row>
    <row r="323" spans="1:61" x14ac:dyDescent="0.35">
      <c r="A323" s="4" t="s">
        <v>905</v>
      </c>
      <c r="B323" s="8" t="str">
        <f t="shared" si="32"/>
        <v>2025</v>
      </c>
      <c r="C323" s="2" t="s">
        <v>19</v>
      </c>
      <c r="D323" s="6" t="str">
        <f t="shared" si="33"/>
        <v>Dakar</v>
      </c>
      <c r="E323" s="6">
        <f t="shared" si="34"/>
        <v>565040</v>
      </c>
      <c r="F323" s="6">
        <f t="shared" si="35"/>
        <v>4042240</v>
      </c>
      <c r="G323" s="4" t="s">
        <v>918</v>
      </c>
      <c r="H323" s="4" t="s">
        <v>907</v>
      </c>
      <c r="I323" s="4">
        <v>26</v>
      </c>
      <c r="J323" s="4" t="s">
        <v>96</v>
      </c>
      <c r="K323" s="4"/>
      <c r="L323" s="4"/>
      <c r="M323" s="4"/>
      <c r="N323" s="4"/>
      <c r="O323" s="4" t="s">
        <v>238</v>
      </c>
      <c r="P323" s="4" t="s">
        <v>97</v>
      </c>
      <c r="Q323" s="4" t="s">
        <v>97</v>
      </c>
      <c r="R323" s="14" t="s">
        <v>100</v>
      </c>
      <c r="S323" s="14" t="s">
        <v>100</v>
      </c>
      <c r="T323" s="14" t="s">
        <v>100</v>
      </c>
      <c r="U323" s="8"/>
      <c r="V323" s="14"/>
      <c r="W323" s="14"/>
      <c r="X323" s="14"/>
      <c r="Y323" s="5">
        <v>45944</v>
      </c>
      <c r="Z323" s="5">
        <v>45947</v>
      </c>
      <c r="AA323" s="4" t="s">
        <v>97</v>
      </c>
      <c r="AB323" s="4"/>
      <c r="AC323" s="4" t="s">
        <v>103</v>
      </c>
      <c r="AD323" s="4" t="s">
        <v>97</v>
      </c>
      <c r="AE323" s="4" t="s">
        <v>97</v>
      </c>
      <c r="AF323" s="4" t="s">
        <v>97</v>
      </c>
      <c r="AG323" s="4" t="s">
        <v>103</v>
      </c>
      <c r="AH323" s="4" t="s">
        <v>103</v>
      </c>
      <c r="AI323" s="5">
        <v>45944</v>
      </c>
      <c r="AJ323" s="4" t="s">
        <v>97</v>
      </c>
      <c r="AK323" s="4" t="s">
        <v>97</v>
      </c>
      <c r="AL323" s="4" t="s">
        <v>97</v>
      </c>
      <c r="AM323" s="4" t="s">
        <v>103</v>
      </c>
      <c r="AN323" s="4" t="s">
        <v>103</v>
      </c>
      <c r="AO323" s="4" t="s">
        <v>103</v>
      </c>
      <c r="AP323" s="4" t="s">
        <v>103</v>
      </c>
      <c r="AQ323" s="4" t="s">
        <v>97</v>
      </c>
      <c r="AR323" s="4" t="s">
        <v>97</v>
      </c>
      <c r="AS323" s="4" t="s">
        <v>97</v>
      </c>
      <c r="AT323" s="4"/>
      <c r="AU323" s="4"/>
      <c r="AV323" s="4" t="s">
        <v>97</v>
      </c>
      <c r="AW323" s="4" t="s">
        <v>97</v>
      </c>
      <c r="AX323" s="4" t="s">
        <v>97</v>
      </c>
      <c r="AY323" s="4" t="s">
        <v>97</v>
      </c>
      <c r="AZ323" s="4" t="s">
        <v>103</v>
      </c>
      <c r="BA323" s="4" t="s">
        <v>97</v>
      </c>
      <c r="BB323" s="5">
        <v>45947</v>
      </c>
      <c r="BC323" s="5">
        <v>45948</v>
      </c>
      <c r="BD323" s="5">
        <v>45948</v>
      </c>
      <c r="BE323" s="5">
        <v>45950</v>
      </c>
      <c r="BF323" s="4" t="s">
        <v>98</v>
      </c>
      <c r="BG323" s="4" t="s">
        <v>97</v>
      </c>
      <c r="BH323" s="4" t="s">
        <v>103</v>
      </c>
      <c r="BI323" s="4" t="s">
        <v>834</v>
      </c>
    </row>
    <row r="324" spans="1:61" x14ac:dyDescent="0.35">
      <c r="A324" s="4" t="s">
        <v>905</v>
      </c>
      <c r="B324" s="8" t="str">
        <f>RIGHT(A324,4)</f>
        <v>2025</v>
      </c>
      <c r="C324" s="2" t="s">
        <v>3</v>
      </c>
      <c r="D324" s="6" t="str">
        <f>IF(C324="","",VLOOKUP(C324,district_region,2,FALSE))</f>
        <v>Kaolack</v>
      </c>
      <c r="E324" s="6">
        <f>IF(C324="","",VLOOKUP(C324,liste_pop,3,FALSE))</f>
        <v>412872</v>
      </c>
      <c r="F324" s="6">
        <f>IF(D324="","",IF(D324="Dakar",4042240,VLOOKUP(D324,liste_pop,4,FALSE)))</f>
        <v>1267013</v>
      </c>
      <c r="G324" s="4" t="s">
        <v>919</v>
      </c>
      <c r="H324" s="4" t="s">
        <v>910</v>
      </c>
      <c r="I324" s="4">
        <v>5</v>
      </c>
      <c r="J324" s="4" t="s">
        <v>114</v>
      </c>
      <c r="K324" s="4"/>
      <c r="L324" s="4"/>
      <c r="M324" s="4"/>
      <c r="N324" s="4"/>
      <c r="O324" s="4" t="s">
        <v>238</v>
      </c>
      <c r="P324" s="4" t="s">
        <v>97</v>
      </c>
      <c r="Q324" s="4" t="s">
        <v>97</v>
      </c>
      <c r="R324" s="14" t="s">
        <v>100</v>
      </c>
      <c r="S324" s="14" t="s">
        <v>100</v>
      </c>
      <c r="T324" s="14" t="s">
        <v>100</v>
      </c>
      <c r="U324" s="8"/>
      <c r="V324" s="14"/>
      <c r="W324" s="14"/>
      <c r="X324" s="14"/>
      <c r="Y324" s="5">
        <v>45945</v>
      </c>
      <c r="Z324" s="5">
        <v>45947</v>
      </c>
      <c r="AA324" s="4" t="s">
        <v>103</v>
      </c>
      <c r="AB324" s="4" t="s">
        <v>272</v>
      </c>
      <c r="AC324" s="4" t="s">
        <v>103</v>
      </c>
      <c r="AD324" s="4" t="s">
        <v>97</v>
      </c>
      <c r="AE324" s="4" t="s">
        <v>97</v>
      </c>
      <c r="AF324" s="4" t="s">
        <v>97</v>
      </c>
      <c r="AG324" s="4" t="s">
        <v>103</v>
      </c>
      <c r="AH324" s="4" t="s">
        <v>103</v>
      </c>
      <c r="AI324" s="5">
        <v>45945</v>
      </c>
      <c r="AJ324" s="4" t="s">
        <v>97</v>
      </c>
      <c r="AK324" s="4" t="s">
        <v>97</v>
      </c>
      <c r="AL324" s="4" t="s">
        <v>97</v>
      </c>
      <c r="AM324" s="4" t="s">
        <v>103</v>
      </c>
      <c r="AN324" s="4" t="s">
        <v>103</v>
      </c>
      <c r="AO324" s="4" t="s">
        <v>103</v>
      </c>
      <c r="AP324" s="4" t="s">
        <v>103</v>
      </c>
      <c r="AQ324" s="4" t="s">
        <v>97</v>
      </c>
      <c r="AR324" s="4" t="s">
        <v>97</v>
      </c>
      <c r="AS324" s="4" t="s">
        <v>97</v>
      </c>
      <c r="AT324" s="4" t="s">
        <v>911</v>
      </c>
      <c r="AU324" s="4"/>
      <c r="AV324" s="4" t="s">
        <v>103</v>
      </c>
      <c r="AW324" s="4" t="s">
        <v>97</v>
      </c>
      <c r="AX324" s="4" t="s">
        <v>97</v>
      </c>
      <c r="AY324" s="4" t="s">
        <v>97</v>
      </c>
      <c r="AZ324" s="4" t="s">
        <v>103</v>
      </c>
      <c r="BA324" s="4" t="s">
        <v>103</v>
      </c>
      <c r="BB324" s="5">
        <v>45947</v>
      </c>
      <c r="BC324" s="5">
        <v>45948</v>
      </c>
      <c r="BD324" s="5">
        <v>45949</v>
      </c>
      <c r="BE324" s="5">
        <v>45950</v>
      </c>
      <c r="BF324" s="4" t="s">
        <v>98</v>
      </c>
      <c r="BG324" s="4" t="s">
        <v>103</v>
      </c>
      <c r="BH324" s="4" t="s">
        <v>103</v>
      </c>
      <c r="BI324" s="4" t="s">
        <v>834</v>
      </c>
    </row>
    <row r="325" spans="1:61" x14ac:dyDescent="0.35">
      <c r="A325" s="4" t="s">
        <v>905</v>
      </c>
      <c r="B325" s="8" t="s">
        <v>909</v>
      </c>
      <c r="C325" s="2" t="s">
        <v>67</v>
      </c>
      <c r="D325" s="6" t="s">
        <v>36</v>
      </c>
      <c r="E325" s="6">
        <v>29759</v>
      </c>
      <c r="F325" s="6">
        <v>203720</v>
      </c>
      <c r="G325" s="4" t="s">
        <v>920</v>
      </c>
      <c r="H325" s="4" t="s">
        <v>908</v>
      </c>
      <c r="I325" s="4">
        <v>2</v>
      </c>
      <c r="J325" s="4" t="s">
        <v>96</v>
      </c>
      <c r="K325" s="4"/>
      <c r="L325" s="4"/>
      <c r="M325" s="4"/>
      <c r="N325" s="4"/>
      <c r="O325" s="4" t="s">
        <v>238</v>
      </c>
      <c r="P325" s="4" t="s">
        <v>97</v>
      </c>
      <c r="Q325" s="4" t="s">
        <v>97</v>
      </c>
      <c r="R325" s="14" t="s">
        <v>100</v>
      </c>
      <c r="S325" s="14" t="s">
        <v>100</v>
      </c>
      <c r="T325" s="14" t="s">
        <v>100</v>
      </c>
      <c r="U325" s="8"/>
      <c r="V325" s="14"/>
      <c r="W325" s="14"/>
      <c r="X325" s="14"/>
      <c r="Y325" s="5">
        <v>45944</v>
      </c>
      <c r="Z325" s="5">
        <v>45946</v>
      </c>
      <c r="AA325" s="4" t="s">
        <v>103</v>
      </c>
      <c r="AB325" s="4" t="s">
        <v>272</v>
      </c>
      <c r="AC325" s="4" t="s">
        <v>97</v>
      </c>
      <c r="AD325" s="4" t="s">
        <v>97</v>
      </c>
      <c r="AE325" s="4" t="s">
        <v>97</v>
      </c>
      <c r="AF325" s="4" t="s">
        <v>97</v>
      </c>
      <c r="AG325" s="4" t="s">
        <v>97</v>
      </c>
      <c r="AH325" s="4" t="s">
        <v>103</v>
      </c>
      <c r="AI325" s="5">
        <v>45944</v>
      </c>
      <c r="AJ325" s="4" t="s">
        <v>97</v>
      </c>
      <c r="AK325" s="4" t="s">
        <v>97</v>
      </c>
      <c r="AL325" s="4" t="s">
        <v>103</v>
      </c>
      <c r="AM325" s="4" t="s">
        <v>103</v>
      </c>
      <c r="AN325" s="4" t="s">
        <v>97</v>
      </c>
      <c r="AO325" s="4" t="s">
        <v>97</v>
      </c>
      <c r="AP325" s="4" t="s">
        <v>97</v>
      </c>
      <c r="AQ325" s="4" t="s">
        <v>97</v>
      </c>
      <c r="AR325" s="4" t="s">
        <v>97</v>
      </c>
      <c r="AS325" s="4" t="s">
        <v>97</v>
      </c>
      <c r="AT325" s="4"/>
      <c r="AU325" s="4"/>
      <c r="AV325" s="4" t="s">
        <v>97</v>
      </c>
      <c r="AW325" s="4" t="s">
        <v>97</v>
      </c>
      <c r="AX325" s="4" t="s">
        <v>97</v>
      </c>
      <c r="AY325" s="4" t="s">
        <v>97</v>
      </c>
      <c r="AZ325" s="4" t="s">
        <v>103</v>
      </c>
      <c r="BA325" s="4" t="s">
        <v>97</v>
      </c>
      <c r="BB325" s="5">
        <v>45946</v>
      </c>
      <c r="BC325" s="5">
        <v>45947</v>
      </c>
      <c r="BD325" s="5">
        <v>45948</v>
      </c>
      <c r="BE325" s="5">
        <v>45950</v>
      </c>
      <c r="BF325" s="4" t="s">
        <v>98</v>
      </c>
      <c r="BG325" s="4" t="s">
        <v>97</v>
      </c>
      <c r="BH325" s="4" t="s">
        <v>103</v>
      </c>
      <c r="BI325" s="4" t="s">
        <v>834</v>
      </c>
    </row>
    <row r="326" spans="1:61" x14ac:dyDescent="0.35">
      <c r="A326" s="4" t="s">
        <v>905</v>
      </c>
      <c r="B326" s="8" t="str">
        <f t="shared" si="32"/>
        <v>2025</v>
      </c>
      <c r="C326" s="2" t="s">
        <v>67</v>
      </c>
      <c r="D326" s="6" t="str">
        <f t="shared" si="33"/>
        <v>Kedougou</v>
      </c>
      <c r="E326" s="6">
        <f t="shared" si="34"/>
        <v>29759</v>
      </c>
      <c r="F326" s="6">
        <f t="shared" si="35"/>
        <v>203720</v>
      </c>
      <c r="G326" s="4" t="s">
        <v>921</v>
      </c>
      <c r="H326" s="4" t="s">
        <v>912</v>
      </c>
      <c r="I326" s="4">
        <v>4</v>
      </c>
      <c r="J326" s="4" t="s">
        <v>96</v>
      </c>
      <c r="K326" s="4"/>
      <c r="L326" s="4"/>
      <c r="M326" s="4"/>
      <c r="N326" s="4"/>
      <c r="O326" s="4" t="s">
        <v>238</v>
      </c>
      <c r="P326" s="4" t="s">
        <v>97</v>
      </c>
      <c r="Q326" s="4" t="s">
        <v>97</v>
      </c>
      <c r="R326" s="14" t="s">
        <v>100</v>
      </c>
      <c r="S326" s="14" t="s">
        <v>100</v>
      </c>
      <c r="T326" s="14" t="s">
        <v>100</v>
      </c>
      <c r="U326" s="8"/>
      <c r="V326" s="14"/>
      <c r="W326" s="14"/>
      <c r="X326" s="14"/>
      <c r="Y326" s="5">
        <v>45943</v>
      </c>
      <c r="Z326" s="5">
        <v>45946</v>
      </c>
      <c r="AA326" s="4" t="s">
        <v>103</v>
      </c>
      <c r="AB326" s="4" t="s">
        <v>477</v>
      </c>
      <c r="AC326" s="4" t="s">
        <v>97</v>
      </c>
      <c r="AD326" s="4" t="s">
        <v>97</v>
      </c>
      <c r="AE326" s="4" t="s">
        <v>97</v>
      </c>
      <c r="AF326" s="4" t="s">
        <v>97</v>
      </c>
      <c r="AG326" s="4" t="s">
        <v>97</v>
      </c>
      <c r="AH326" s="4" t="s">
        <v>103</v>
      </c>
      <c r="AI326" s="5">
        <v>45943</v>
      </c>
      <c r="AJ326" s="4" t="s">
        <v>97</v>
      </c>
      <c r="AK326" s="4" t="s">
        <v>97</v>
      </c>
      <c r="AL326" s="4" t="s">
        <v>103</v>
      </c>
      <c r="AM326" s="4" t="s">
        <v>103</v>
      </c>
      <c r="AN326" s="4" t="s">
        <v>97</v>
      </c>
      <c r="AO326" s="4" t="s">
        <v>97</v>
      </c>
      <c r="AP326" s="4" t="s">
        <v>97</v>
      </c>
      <c r="AQ326" s="4" t="s">
        <v>97</v>
      </c>
      <c r="AR326" s="4" t="s">
        <v>97</v>
      </c>
      <c r="AS326" s="4" t="s">
        <v>97</v>
      </c>
      <c r="AT326" s="4"/>
      <c r="AU326" s="4"/>
      <c r="AV326" s="4" t="s">
        <v>103</v>
      </c>
      <c r="AW326" s="4" t="s">
        <v>103</v>
      </c>
      <c r="AX326" s="4" t="s">
        <v>97</v>
      </c>
      <c r="AY326" s="4" t="s">
        <v>97</v>
      </c>
      <c r="AZ326" s="4" t="s">
        <v>97</v>
      </c>
      <c r="BA326" s="4" t="s">
        <v>97</v>
      </c>
      <c r="BB326" s="5">
        <v>45946</v>
      </c>
      <c r="BC326" s="5">
        <v>45946</v>
      </c>
      <c r="BD326" s="5">
        <v>45949</v>
      </c>
      <c r="BE326" s="5">
        <v>45950</v>
      </c>
      <c r="BF326" s="4" t="s">
        <v>98</v>
      </c>
      <c r="BG326" s="4" t="s">
        <v>97</v>
      </c>
      <c r="BH326" s="4" t="s">
        <v>103</v>
      </c>
      <c r="BI326" s="4" t="s">
        <v>834</v>
      </c>
    </row>
    <row r="327" spans="1:61" x14ac:dyDescent="0.35">
      <c r="A327" s="4" t="s">
        <v>905</v>
      </c>
      <c r="B327" s="8" t="str">
        <f t="shared" si="32"/>
        <v>2025</v>
      </c>
      <c r="C327" s="2" t="s">
        <v>18</v>
      </c>
      <c r="D327" s="6" t="str">
        <f t="shared" si="33"/>
        <v>Dakar</v>
      </c>
      <c r="E327" s="6">
        <f t="shared" si="34"/>
        <v>419489</v>
      </c>
      <c r="F327" s="6">
        <f t="shared" si="35"/>
        <v>4042240</v>
      </c>
      <c r="G327" s="4" t="s">
        <v>922</v>
      </c>
      <c r="H327" s="4" t="s">
        <v>913</v>
      </c>
      <c r="I327" s="4">
        <v>38</v>
      </c>
      <c r="J327" s="4" t="s">
        <v>114</v>
      </c>
      <c r="K327" s="4" t="s">
        <v>914</v>
      </c>
      <c r="L327" s="5">
        <v>45947</v>
      </c>
      <c r="M327" s="4"/>
      <c r="N327" s="4"/>
      <c r="O327" s="4" t="s">
        <v>238</v>
      </c>
      <c r="P327" s="4" t="s">
        <v>97</v>
      </c>
      <c r="Q327" s="4" t="s">
        <v>97</v>
      </c>
      <c r="R327" s="14" t="s">
        <v>481</v>
      </c>
      <c r="S327" s="14" t="s">
        <v>100</v>
      </c>
      <c r="T327" s="14" t="s">
        <v>100</v>
      </c>
      <c r="U327" s="8"/>
      <c r="V327" s="14"/>
      <c r="W327" s="14"/>
      <c r="X327" t="s">
        <v>1136</v>
      </c>
      <c r="Y327" s="5">
        <v>45948</v>
      </c>
      <c r="Z327" s="5">
        <v>45950</v>
      </c>
      <c r="AA327" s="4" t="s">
        <v>97</v>
      </c>
      <c r="AB327" s="4"/>
      <c r="AC327" s="4" t="s">
        <v>97</v>
      </c>
      <c r="AD327" s="4" t="s">
        <v>103</v>
      </c>
      <c r="AE327" s="4" t="s">
        <v>97</v>
      </c>
      <c r="AF327" s="4" t="s">
        <v>103</v>
      </c>
      <c r="AG327" s="4" t="s">
        <v>103</v>
      </c>
      <c r="AH327" s="4" t="s">
        <v>103</v>
      </c>
      <c r="AI327" s="5">
        <v>45948</v>
      </c>
      <c r="AJ327" s="4" t="s">
        <v>103</v>
      </c>
      <c r="AK327" s="4" t="s">
        <v>103</v>
      </c>
      <c r="AL327" s="4" t="s">
        <v>103</v>
      </c>
      <c r="AM327" s="4" t="s">
        <v>103</v>
      </c>
      <c r="AN327" s="4" t="s">
        <v>103</v>
      </c>
      <c r="AO327" s="4" t="s">
        <v>97</v>
      </c>
      <c r="AP327" s="4" t="s">
        <v>97</v>
      </c>
      <c r="AQ327" s="4" t="s">
        <v>97</v>
      </c>
      <c r="AR327" s="4" t="s">
        <v>97</v>
      </c>
      <c r="AS327" s="4" t="s">
        <v>103</v>
      </c>
      <c r="AT327" s="4"/>
      <c r="AU327" s="4"/>
      <c r="AV327" s="4" t="s">
        <v>103</v>
      </c>
      <c r="AW327" s="4" t="s">
        <v>97</v>
      </c>
      <c r="AX327" s="4" t="s">
        <v>103</v>
      </c>
      <c r="AY327" s="4" t="s">
        <v>97</v>
      </c>
      <c r="AZ327" s="4" t="s">
        <v>103</v>
      </c>
      <c r="BA327" s="4" t="s">
        <v>97</v>
      </c>
      <c r="BB327" s="5">
        <v>45950</v>
      </c>
      <c r="BC327" s="5">
        <v>45950</v>
      </c>
      <c r="BD327" s="5">
        <v>45950</v>
      </c>
      <c r="BE327" s="5">
        <v>45950</v>
      </c>
      <c r="BF327" s="4" t="s">
        <v>98</v>
      </c>
      <c r="BG327" s="4" t="s">
        <v>97</v>
      </c>
      <c r="BH327" s="4" t="s">
        <v>103</v>
      </c>
      <c r="BI327" s="4" t="s">
        <v>482</v>
      </c>
    </row>
    <row r="328" spans="1:61" x14ac:dyDescent="0.35">
      <c r="A328" s="4" t="s">
        <v>905</v>
      </c>
      <c r="B328" s="8" t="str">
        <f t="shared" si="32"/>
        <v>2025</v>
      </c>
      <c r="C328" s="2" t="s">
        <v>23</v>
      </c>
      <c r="D328" s="6" t="str">
        <f t="shared" si="33"/>
        <v>Dakar</v>
      </c>
      <c r="E328" s="6">
        <f t="shared" si="34"/>
        <v>167577</v>
      </c>
      <c r="F328" s="6">
        <f t="shared" si="35"/>
        <v>4042240</v>
      </c>
      <c r="G328" s="4" t="s">
        <v>923</v>
      </c>
      <c r="H328" s="4" t="s">
        <v>915</v>
      </c>
      <c r="I328" s="4">
        <v>17</v>
      </c>
      <c r="J328" s="4" t="s">
        <v>96</v>
      </c>
      <c r="K328" s="4"/>
      <c r="L328" s="4"/>
      <c r="M328" s="4"/>
      <c r="N328" s="4"/>
      <c r="O328" s="4" t="s">
        <v>238</v>
      </c>
      <c r="P328" s="4" t="s">
        <v>97</v>
      </c>
      <c r="Q328" s="4" t="s">
        <v>97</v>
      </c>
      <c r="R328" s="14" t="s">
        <v>100</v>
      </c>
      <c r="S328" s="14" t="s">
        <v>100</v>
      </c>
      <c r="T328" s="14" t="s">
        <v>100</v>
      </c>
      <c r="U328" s="8"/>
      <c r="V328" s="14"/>
      <c r="W328" s="14"/>
      <c r="X328" s="14"/>
      <c r="Y328" s="5">
        <v>45945</v>
      </c>
      <c r="Z328" s="5">
        <v>45950</v>
      </c>
      <c r="AA328" s="4" t="s">
        <v>97</v>
      </c>
      <c r="AB328" s="4"/>
      <c r="AC328" s="4" t="s">
        <v>97</v>
      </c>
      <c r="AD328" s="4" t="s">
        <v>97</v>
      </c>
      <c r="AE328" s="4" t="s">
        <v>97</v>
      </c>
      <c r="AF328" s="4" t="s">
        <v>97</v>
      </c>
      <c r="AG328" s="4" t="s">
        <v>97</v>
      </c>
      <c r="AH328" s="4" t="s">
        <v>103</v>
      </c>
      <c r="AI328" s="5">
        <v>45945</v>
      </c>
      <c r="AJ328" s="4" t="s">
        <v>97</v>
      </c>
      <c r="AK328" s="4" t="s">
        <v>103</v>
      </c>
      <c r="AL328" s="4" t="s">
        <v>97</v>
      </c>
      <c r="AM328" s="4" t="s">
        <v>103</v>
      </c>
      <c r="AN328" s="4" t="s">
        <v>97</v>
      </c>
      <c r="AO328" s="4" t="s">
        <v>97</v>
      </c>
      <c r="AP328" s="4" t="s">
        <v>97</v>
      </c>
      <c r="AQ328" s="4" t="s">
        <v>97</v>
      </c>
      <c r="AR328" s="4" t="s">
        <v>97</v>
      </c>
      <c r="AS328" s="4" t="s">
        <v>97</v>
      </c>
      <c r="AT328" s="4" t="s">
        <v>600</v>
      </c>
      <c r="AU328" s="4"/>
      <c r="AV328" s="4" t="s">
        <v>97</v>
      </c>
      <c r="AW328" s="4" t="s">
        <v>97</v>
      </c>
      <c r="AX328" s="4" t="s">
        <v>97</v>
      </c>
      <c r="AY328" s="4" t="s">
        <v>97</v>
      </c>
      <c r="AZ328" s="4" t="s">
        <v>103</v>
      </c>
      <c r="BA328" s="4" t="s">
        <v>97</v>
      </c>
      <c r="BB328" s="5">
        <v>45950</v>
      </c>
      <c r="BC328" s="5">
        <v>45951</v>
      </c>
      <c r="BD328" s="5">
        <v>45951</v>
      </c>
      <c r="BE328" s="5">
        <v>45951</v>
      </c>
      <c r="BF328" s="4" t="s">
        <v>98</v>
      </c>
      <c r="BG328" s="4" t="s">
        <v>97</v>
      </c>
      <c r="BH328" s="4" t="s">
        <v>103</v>
      </c>
      <c r="BI328" s="4" t="s">
        <v>834</v>
      </c>
    </row>
    <row r="329" spans="1:61" x14ac:dyDescent="0.35">
      <c r="A329" s="4" t="s">
        <v>905</v>
      </c>
      <c r="B329" s="8" t="str">
        <f t="shared" si="32"/>
        <v>2025</v>
      </c>
      <c r="C329" s="2" t="s">
        <v>19</v>
      </c>
      <c r="D329" s="6" t="str">
        <f t="shared" si="33"/>
        <v>Dakar</v>
      </c>
      <c r="E329" s="6">
        <f t="shared" si="34"/>
        <v>565040</v>
      </c>
      <c r="F329" s="6">
        <f t="shared" si="35"/>
        <v>4042240</v>
      </c>
      <c r="G329" s="4" t="s">
        <v>924</v>
      </c>
      <c r="H329" s="4" t="s">
        <v>916</v>
      </c>
      <c r="I329" s="4">
        <v>6</v>
      </c>
      <c r="J329" s="4" t="s">
        <v>96</v>
      </c>
      <c r="K329" s="4"/>
      <c r="L329" s="4"/>
      <c r="M329" s="4"/>
      <c r="N329" s="4"/>
      <c r="O329" s="4" t="s">
        <v>238</v>
      </c>
      <c r="P329" s="4" t="s">
        <v>97</v>
      </c>
      <c r="Q329" s="4" t="s">
        <v>97</v>
      </c>
      <c r="R329" s="14" t="s">
        <v>100</v>
      </c>
      <c r="S329" s="14" t="s">
        <v>100</v>
      </c>
      <c r="T329" s="14" t="s">
        <v>100</v>
      </c>
      <c r="U329" s="8"/>
      <c r="V329" s="14"/>
      <c r="W329" s="14"/>
      <c r="X329" s="14"/>
      <c r="Y329" s="5">
        <v>45934</v>
      </c>
      <c r="Z329" s="5">
        <v>45936</v>
      </c>
      <c r="AA329" s="4" t="s">
        <v>103</v>
      </c>
      <c r="AB329" s="25">
        <v>38</v>
      </c>
      <c r="AC329" s="4" t="s">
        <v>103</v>
      </c>
      <c r="AD329" s="4" t="s">
        <v>103</v>
      </c>
      <c r="AE329" s="4" t="s">
        <v>97</v>
      </c>
      <c r="AF329" s="4" t="s">
        <v>97</v>
      </c>
      <c r="AG329" s="4" t="s">
        <v>97</v>
      </c>
      <c r="AH329" s="4" t="s">
        <v>103</v>
      </c>
      <c r="AI329" s="5">
        <v>45934</v>
      </c>
      <c r="AJ329" s="4" t="s">
        <v>97</v>
      </c>
      <c r="AK329" s="4" t="s">
        <v>97</v>
      </c>
      <c r="AL329" s="4" t="s">
        <v>97</v>
      </c>
      <c r="AM329" s="4" t="s">
        <v>103</v>
      </c>
      <c r="AN329" s="4" t="s">
        <v>103</v>
      </c>
      <c r="AO329" s="4" t="s">
        <v>103</v>
      </c>
      <c r="AP329" s="4" t="s">
        <v>103</v>
      </c>
      <c r="AQ329" s="4" t="s">
        <v>97</v>
      </c>
      <c r="AR329" s="4" t="s">
        <v>97</v>
      </c>
      <c r="AS329" s="4" t="s">
        <v>97</v>
      </c>
      <c r="AT329" s="4"/>
      <c r="AU329" s="4"/>
      <c r="AV329" s="4" t="s">
        <v>97</v>
      </c>
      <c r="AW329" s="4" t="s">
        <v>103</v>
      </c>
      <c r="AX329" s="4" t="s">
        <v>97</v>
      </c>
      <c r="AY329" s="4" t="s">
        <v>97</v>
      </c>
      <c r="AZ329" s="4" t="s">
        <v>97</v>
      </c>
      <c r="BA329" s="4" t="s">
        <v>103</v>
      </c>
      <c r="BB329" s="5">
        <v>45936</v>
      </c>
      <c r="BC329" s="5">
        <v>45951</v>
      </c>
      <c r="BD329" s="5">
        <v>45951</v>
      </c>
      <c r="BE329" s="5">
        <v>45951</v>
      </c>
      <c r="BF329" s="4" t="s">
        <v>98</v>
      </c>
      <c r="BG329" s="4" t="s">
        <v>97</v>
      </c>
      <c r="BH329" s="4" t="s">
        <v>103</v>
      </c>
      <c r="BI329" s="4" t="s">
        <v>834</v>
      </c>
    </row>
    <row r="330" spans="1:61" x14ac:dyDescent="0.35">
      <c r="A330" s="4" t="s">
        <v>905</v>
      </c>
      <c r="B330" s="8" t="str">
        <f t="shared" si="32"/>
        <v>2025</v>
      </c>
      <c r="C330" s="2" t="s">
        <v>15</v>
      </c>
      <c r="D330" s="6" t="str">
        <f t="shared" si="33"/>
        <v>Louga</v>
      </c>
      <c r="E330" s="6">
        <f t="shared" si="34"/>
        <v>81402</v>
      </c>
      <c r="F330" s="6">
        <f t="shared" si="35"/>
        <v>1121619</v>
      </c>
      <c r="G330" s="4" t="s">
        <v>925</v>
      </c>
      <c r="H330" s="4" t="s">
        <v>128</v>
      </c>
      <c r="I330" s="4">
        <v>20</v>
      </c>
      <c r="J330" s="4" t="s">
        <v>114</v>
      </c>
      <c r="K330" s="4"/>
      <c r="L330" s="4"/>
      <c r="M330" s="4"/>
      <c r="N330" s="4"/>
      <c r="O330" s="4" t="s">
        <v>238</v>
      </c>
      <c r="P330" s="4" t="s">
        <v>97</v>
      </c>
      <c r="Q330" s="4" t="s">
        <v>97</v>
      </c>
      <c r="R330" s="14" t="s">
        <v>100</v>
      </c>
      <c r="S330" s="14" t="s">
        <v>100</v>
      </c>
      <c r="T330" s="14" t="s">
        <v>100</v>
      </c>
      <c r="U330" s="8"/>
      <c r="V330" s="14"/>
      <c r="W330" s="14"/>
      <c r="X330" s="14"/>
      <c r="Y330" s="5">
        <v>45946</v>
      </c>
      <c r="Z330" s="5">
        <v>45950</v>
      </c>
      <c r="AA330" s="4" t="s">
        <v>103</v>
      </c>
      <c r="AB330" s="25">
        <v>38</v>
      </c>
      <c r="AC330" s="4" t="s">
        <v>103</v>
      </c>
      <c r="AD330" s="4" t="s">
        <v>97</v>
      </c>
      <c r="AE330" s="4" t="s">
        <v>97</v>
      </c>
      <c r="AF330" s="4" t="s">
        <v>103</v>
      </c>
      <c r="AG330" s="4" t="s">
        <v>97</v>
      </c>
      <c r="AH330" s="4" t="s">
        <v>103</v>
      </c>
      <c r="AI330" s="5">
        <v>45946</v>
      </c>
      <c r="AJ330" s="4" t="s">
        <v>103</v>
      </c>
      <c r="AK330" s="4" t="s">
        <v>97</v>
      </c>
      <c r="AL330" s="4" t="s">
        <v>97</v>
      </c>
      <c r="AM330" s="4" t="s">
        <v>97</v>
      </c>
      <c r="AN330" s="4" t="s">
        <v>97</v>
      </c>
      <c r="AO330" s="4" t="s">
        <v>97</v>
      </c>
      <c r="AP330" s="4" t="s">
        <v>103</v>
      </c>
      <c r="AQ330" s="4" t="s">
        <v>97</v>
      </c>
      <c r="AR330" s="4" t="s">
        <v>97</v>
      </c>
      <c r="AS330" s="4" t="s">
        <v>97</v>
      </c>
      <c r="AT330" s="4"/>
      <c r="AU330" s="4"/>
      <c r="AV330" s="4" t="s">
        <v>103</v>
      </c>
      <c r="AW330" s="4" t="s">
        <v>97</v>
      </c>
      <c r="AX330" s="4" t="s">
        <v>97</v>
      </c>
      <c r="AY330" s="4" t="s">
        <v>97</v>
      </c>
      <c r="AZ330" s="4" t="s">
        <v>97</v>
      </c>
      <c r="BA330" s="4" t="s">
        <v>97</v>
      </c>
      <c r="BB330" s="5">
        <v>45950</v>
      </c>
      <c r="BC330" s="5">
        <v>45950</v>
      </c>
      <c r="BD330" s="5">
        <v>45951</v>
      </c>
      <c r="BE330" s="5">
        <v>45951</v>
      </c>
      <c r="BF330" s="4" t="s">
        <v>98</v>
      </c>
      <c r="BG330" s="4" t="s">
        <v>97</v>
      </c>
      <c r="BH330" s="4" t="s">
        <v>103</v>
      </c>
      <c r="BI330" s="4" t="s">
        <v>834</v>
      </c>
    </row>
    <row r="331" spans="1:61" x14ac:dyDescent="0.35">
      <c r="A331" s="4" t="s">
        <v>905</v>
      </c>
      <c r="B331" s="8" t="str">
        <f t="shared" si="32"/>
        <v>2025</v>
      </c>
      <c r="C331" s="2" t="s">
        <v>20</v>
      </c>
      <c r="D331" s="6" t="str">
        <f t="shared" si="33"/>
        <v>Dakar</v>
      </c>
      <c r="E331" s="6">
        <f t="shared" si="34"/>
        <v>272276</v>
      </c>
      <c r="F331" s="6">
        <f t="shared" si="35"/>
        <v>4042240</v>
      </c>
      <c r="G331" s="4" t="s">
        <v>926</v>
      </c>
      <c r="H331" s="4" t="s">
        <v>927</v>
      </c>
      <c r="I331" s="4">
        <v>29</v>
      </c>
      <c r="J331" s="4" t="s">
        <v>114</v>
      </c>
      <c r="K331" s="4"/>
      <c r="L331" s="4"/>
      <c r="M331" s="4"/>
      <c r="N331" s="4"/>
      <c r="O331" s="4" t="s">
        <v>238</v>
      </c>
      <c r="P331" s="4" t="s">
        <v>97</v>
      </c>
      <c r="Q331" s="4" t="s">
        <v>97</v>
      </c>
      <c r="R331" s="14" t="s">
        <v>100</v>
      </c>
      <c r="S331" s="14" t="s">
        <v>100</v>
      </c>
      <c r="T331" s="14" t="s">
        <v>100</v>
      </c>
      <c r="U331" s="8"/>
      <c r="V331" s="14"/>
      <c r="W331" s="14"/>
      <c r="X331" s="14"/>
      <c r="Y331" s="5">
        <v>45943</v>
      </c>
      <c r="Z331" s="5">
        <v>45951</v>
      </c>
      <c r="AA331" s="4" t="s">
        <v>103</v>
      </c>
      <c r="AB331" s="25">
        <v>38</v>
      </c>
      <c r="AC331" s="4" t="s">
        <v>103</v>
      </c>
      <c r="AD331" s="4" t="s">
        <v>103</v>
      </c>
      <c r="AE331" s="4" t="s">
        <v>103</v>
      </c>
      <c r="AF331" s="4" t="s">
        <v>103</v>
      </c>
      <c r="AG331" s="4" t="s">
        <v>103</v>
      </c>
      <c r="AH331" s="4" t="s">
        <v>103</v>
      </c>
      <c r="AI331" s="5">
        <v>45943</v>
      </c>
      <c r="AJ331" s="4" t="s">
        <v>103</v>
      </c>
      <c r="AK331" s="4" t="s">
        <v>97</v>
      </c>
      <c r="AL331" s="4" t="s">
        <v>97</v>
      </c>
      <c r="AM331" s="4" t="s">
        <v>97</v>
      </c>
      <c r="AN331" s="4" t="s">
        <v>103</v>
      </c>
      <c r="AO331" s="4" t="s">
        <v>97</v>
      </c>
      <c r="AP331" s="4" t="s">
        <v>97</v>
      </c>
      <c r="AQ331" s="4" t="s">
        <v>97</v>
      </c>
      <c r="AR331" s="4" t="s">
        <v>97</v>
      </c>
      <c r="AS331" s="4" t="s">
        <v>97</v>
      </c>
      <c r="AT331" s="4"/>
      <c r="AU331" s="4"/>
      <c r="AV331" s="4" t="s">
        <v>97</v>
      </c>
      <c r="AW331" s="4" t="s">
        <v>97</v>
      </c>
      <c r="AX331" s="4" t="s">
        <v>103</v>
      </c>
      <c r="AY331" s="4" t="s">
        <v>97</v>
      </c>
      <c r="AZ331" s="4" t="s">
        <v>103</v>
      </c>
      <c r="BA331" s="4" t="s">
        <v>97</v>
      </c>
      <c r="BB331" s="5">
        <v>45951</v>
      </c>
      <c r="BC331" s="5">
        <v>45951</v>
      </c>
      <c r="BD331" s="5">
        <v>45951</v>
      </c>
      <c r="BE331" s="5">
        <v>45951</v>
      </c>
      <c r="BF331" s="4" t="s">
        <v>98</v>
      </c>
      <c r="BG331" s="4" t="s">
        <v>97</v>
      </c>
      <c r="BH331" s="4" t="s">
        <v>103</v>
      </c>
      <c r="BI331" s="4" t="s">
        <v>834</v>
      </c>
    </row>
    <row r="332" spans="1:61" x14ac:dyDescent="0.35">
      <c r="A332" s="4" t="s">
        <v>905</v>
      </c>
      <c r="B332" s="8" t="str">
        <f t="shared" si="32"/>
        <v>2025</v>
      </c>
      <c r="C332" s="2" t="s">
        <v>59</v>
      </c>
      <c r="D332" s="6" t="str">
        <f t="shared" si="33"/>
        <v>Saint-Louis</v>
      </c>
      <c r="E332" s="6">
        <f t="shared" si="34"/>
        <v>261136</v>
      </c>
      <c r="F332" s="6">
        <f t="shared" si="35"/>
        <v>1150065</v>
      </c>
      <c r="G332" s="4" t="s">
        <v>928</v>
      </c>
      <c r="H332" s="4" t="s">
        <v>929</v>
      </c>
      <c r="I332" s="4">
        <v>22</v>
      </c>
      <c r="J332" s="4" t="s">
        <v>96</v>
      </c>
      <c r="K332" s="4"/>
      <c r="L332" s="4"/>
      <c r="M332" s="4"/>
      <c r="N332" s="4"/>
      <c r="O332" s="4" t="s">
        <v>238</v>
      </c>
      <c r="P332" s="4" t="s">
        <v>103</v>
      </c>
      <c r="Q332" s="4" t="s">
        <v>97</v>
      </c>
      <c r="R332" s="14" t="s">
        <v>100</v>
      </c>
      <c r="S332" s="14" t="s">
        <v>100</v>
      </c>
      <c r="T332" s="14" t="s">
        <v>100</v>
      </c>
      <c r="U332" s="8"/>
      <c r="V332" s="14"/>
      <c r="W332" s="14"/>
      <c r="X332" s="14"/>
      <c r="Y332" s="5">
        <v>45885</v>
      </c>
      <c r="Z332" s="5">
        <v>45946</v>
      </c>
      <c r="AA332" s="4" t="s">
        <v>97</v>
      </c>
      <c r="AB332" s="4"/>
      <c r="AC332" s="4" t="s">
        <v>97</v>
      </c>
      <c r="AD332" s="4" t="s">
        <v>103</v>
      </c>
      <c r="AE332" s="4" t="s">
        <v>97</v>
      </c>
      <c r="AF332" s="4" t="s">
        <v>97</v>
      </c>
      <c r="AG332" s="4" t="s">
        <v>97</v>
      </c>
      <c r="AH332" s="4" t="s">
        <v>103</v>
      </c>
      <c r="AI332" s="5">
        <v>45885</v>
      </c>
      <c r="AJ332" s="4" t="s">
        <v>97</v>
      </c>
      <c r="AK332" s="4" t="s">
        <v>97</v>
      </c>
      <c r="AL332" s="4" t="s">
        <v>97</v>
      </c>
      <c r="AM332" s="4" t="s">
        <v>97</v>
      </c>
      <c r="AN332" s="4" t="s">
        <v>97</v>
      </c>
      <c r="AO332" s="4" t="s">
        <v>97</v>
      </c>
      <c r="AP332" s="4" t="s">
        <v>97</v>
      </c>
      <c r="AQ332" s="4" t="s">
        <v>97</v>
      </c>
      <c r="AR332" s="4" t="s">
        <v>97</v>
      </c>
      <c r="AS332" s="4" t="s">
        <v>103</v>
      </c>
      <c r="AT332" s="4"/>
      <c r="AU332" s="4"/>
      <c r="AV332" s="4" t="s">
        <v>97</v>
      </c>
      <c r="AW332" s="4" t="s">
        <v>97</v>
      </c>
      <c r="AX332" s="4" t="s">
        <v>97</v>
      </c>
      <c r="AY332" s="4" t="s">
        <v>97</v>
      </c>
      <c r="AZ332" s="4" t="s">
        <v>103</v>
      </c>
      <c r="BA332" s="4" t="s">
        <v>97</v>
      </c>
      <c r="BB332" s="5">
        <v>45946</v>
      </c>
      <c r="BC332" s="5">
        <v>45950</v>
      </c>
      <c r="BD332" s="5">
        <v>45951</v>
      </c>
      <c r="BE332" s="5">
        <v>45951</v>
      </c>
      <c r="BF332" s="4" t="s">
        <v>433</v>
      </c>
      <c r="BG332" s="4" t="s">
        <v>97</v>
      </c>
      <c r="BH332" s="4" t="s">
        <v>97</v>
      </c>
      <c r="BI332" s="4" t="s">
        <v>834</v>
      </c>
    </row>
    <row r="333" spans="1:61" x14ac:dyDescent="0.35">
      <c r="A333" s="4" t="s">
        <v>905</v>
      </c>
      <c r="B333" s="8" t="str">
        <f t="shared" si="32"/>
        <v>2025</v>
      </c>
      <c r="C333" s="2" t="s">
        <v>20</v>
      </c>
      <c r="D333" s="6" t="str">
        <f t="shared" si="33"/>
        <v>Dakar</v>
      </c>
      <c r="E333" s="6">
        <f t="shared" si="34"/>
        <v>272276</v>
      </c>
      <c r="F333" s="6">
        <f t="shared" si="35"/>
        <v>4042240</v>
      </c>
      <c r="G333" s="4" t="s">
        <v>930</v>
      </c>
      <c r="H333" s="4" t="s">
        <v>931</v>
      </c>
      <c r="I333" s="4">
        <v>22</v>
      </c>
      <c r="J333" s="4" t="s">
        <v>114</v>
      </c>
      <c r="K333" s="4" t="s">
        <v>932</v>
      </c>
      <c r="L333" s="4"/>
      <c r="M333" s="4" t="s">
        <v>933</v>
      </c>
      <c r="N333" s="5">
        <v>45915</v>
      </c>
      <c r="O333" s="4" t="s">
        <v>238</v>
      </c>
      <c r="P333" s="4" t="s">
        <v>97</v>
      </c>
      <c r="Q333" s="4" t="s">
        <v>97</v>
      </c>
      <c r="R333" s="14" t="s">
        <v>100</v>
      </c>
      <c r="S333" s="14" t="s">
        <v>100</v>
      </c>
      <c r="T333" s="14" t="s">
        <v>100</v>
      </c>
      <c r="U333" s="8"/>
      <c r="V333" s="14"/>
      <c r="W333" s="14"/>
      <c r="X333" s="14"/>
      <c r="Y333" s="5">
        <v>45885</v>
      </c>
      <c r="Z333" s="5">
        <v>45952</v>
      </c>
      <c r="AA333" s="4" t="s">
        <v>97</v>
      </c>
      <c r="AB333" s="4"/>
      <c r="AC333" s="4" t="s">
        <v>97</v>
      </c>
      <c r="AD333" s="4" t="s">
        <v>97</v>
      </c>
      <c r="AE333" s="4" t="s">
        <v>97</v>
      </c>
      <c r="AF333" s="4" t="s">
        <v>103</v>
      </c>
      <c r="AG333" s="4" t="s">
        <v>97</v>
      </c>
      <c r="AH333" s="4" t="s">
        <v>103</v>
      </c>
      <c r="AI333" s="5">
        <v>45946</v>
      </c>
      <c r="AJ333" s="4" t="s">
        <v>97</v>
      </c>
      <c r="AK333" s="4" t="s">
        <v>97</v>
      </c>
      <c r="AL333" s="4" t="s">
        <v>97</v>
      </c>
      <c r="AM333" s="4" t="s">
        <v>97</v>
      </c>
      <c r="AN333" s="4" t="s">
        <v>97</v>
      </c>
      <c r="AO333" s="4" t="s">
        <v>103</v>
      </c>
      <c r="AP333" s="4" t="s">
        <v>103</v>
      </c>
      <c r="AQ333" s="4" t="s">
        <v>97</v>
      </c>
      <c r="AR333" s="4" t="s">
        <v>97</v>
      </c>
      <c r="AS333" s="4" t="s">
        <v>97</v>
      </c>
      <c r="AT333" s="4"/>
      <c r="AU333" s="4"/>
      <c r="AV333" s="4" t="s">
        <v>103</v>
      </c>
      <c r="AW333" s="4" t="s">
        <v>97</v>
      </c>
      <c r="AX333" s="4" t="s">
        <v>97</v>
      </c>
      <c r="AY333" s="4" t="s">
        <v>97</v>
      </c>
      <c r="AZ333" s="4" t="s">
        <v>97</v>
      </c>
      <c r="BA333" s="4" t="s">
        <v>97</v>
      </c>
      <c r="BB333" s="5">
        <v>45952</v>
      </c>
      <c r="BC333" s="5">
        <v>45952</v>
      </c>
      <c r="BD333" s="5">
        <v>45952</v>
      </c>
      <c r="BE333" s="5">
        <v>45952</v>
      </c>
      <c r="BF333" s="4" t="s">
        <v>98</v>
      </c>
      <c r="BG333" s="4" t="s">
        <v>97</v>
      </c>
      <c r="BH333" s="4" t="s">
        <v>97</v>
      </c>
      <c r="BI333" s="4" t="s">
        <v>834</v>
      </c>
    </row>
    <row r="334" spans="1:61" x14ac:dyDescent="0.35">
      <c r="A334" s="4" t="s">
        <v>905</v>
      </c>
      <c r="B334" s="8" t="str">
        <f t="shared" si="32"/>
        <v>2025</v>
      </c>
      <c r="C334" s="2" t="s">
        <v>75</v>
      </c>
      <c r="D334" s="6" t="str">
        <f t="shared" si="33"/>
        <v>Diourbel</v>
      </c>
      <c r="E334" s="6">
        <f t="shared" si="34"/>
        <v>996481</v>
      </c>
      <c r="F334" s="6">
        <f t="shared" si="35"/>
        <v>1980827</v>
      </c>
      <c r="G334" s="4" t="s">
        <v>935</v>
      </c>
      <c r="H334" s="4" t="s">
        <v>936</v>
      </c>
      <c r="I334" s="4"/>
      <c r="J334" s="4" t="s">
        <v>114</v>
      </c>
      <c r="K334" s="4"/>
      <c r="L334" s="4"/>
      <c r="M334" s="4"/>
      <c r="N334" s="4"/>
      <c r="O334" s="4" t="s">
        <v>238</v>
      </c>
      <c r="P334" s="4" t="s">
        <v>97</v>
      </c>
      <c r="Q334" s="4" t="s">
        <v>97</v>
      </c>
      <c r="R334" s="14" t="s">
        <v>100</v>
      </c>
      <c r="S334" s="14" t="s">
        <v>100</v>
      </c>
      <c r="T334" s="14" t="s">
        <v>100</v>
      </c>
      <c r="U334" s="8"/>
      <c r="V334" s="14"/>
      <c r="W334" s="14"/>
      <c r="X334" s="14"/>
      <c r="Y334" s="5">
        <v>45948</v>
      </c>
      <c r="Z334" s="5">
        <v>45951</v>
      </c>
      <c r="AA334" s="4" t="s">
        <v>103</v>
      </c>
      <c r="AB334" s="25">
        <v>38</v>
      </c>
      <c r="AC334" s="4" t="s">
        <v>97</v>
      </c>
      <c r="AD334" s="4" t="s">
        <v>97</v>
      </c>
      <c r="AE334" s="4" t="s">
        <v>97</v>
      </c>
      <c r="AF334" s="4" t="s">
        <v>97</v>
      </c>
      <c r="AG334" s="4" t="s">
        <v>97</v>
      </c>
      <c r="AH334" s="4" t="s">
        <v>103</v>
      </c>
      <c r="AI334" s="5">
        <v>45948</v>
      </c>
      <c r="AJ334" s="4" t="s">
        <v>97</v>
      </c>
      <c r="AK334" s="4" t="s">
        <v>97</v>
      </c>
      <c r="AL334" s="4" t="s">
        <v>97</v>
      </c>
      <c r="AM334" s="4" t="s">
        <v>103</v>
      </c>
      <c r="AN334" s="4" t="s">
        <v>103</v>
      </c>
      <c r="AO334" s="4" t="s">
        <v>97</v>
      </c>
      <c r="AP334" s="4" t="s">
        <v>97</v>
      </c>
      <c r="AQ334" s="4" t="s">
        <v>97</v>
      </c>
      <c r="AR334" s="4" t="s">
        <v>97</v>
      </c>
      <c r="AS334" s="4" t="s">
        <v>97</v>
      </c>
      <c r="AT334" s="4"/>
      <c r="AU334" s="4"/>
      <c r="AV334" s="4" t="s">
        <v>103</v>
      </c>
      <c r="AW334" s="4" t="s">
        <v>97</v>
      </c>
      <c r="AX334" s="4" t="s">
        <v>97</v>
      </c>
      <c r="AY334" s="4" t="s">
        <v>97</v>
      </c>
      <c r="AZ334" s="4" t="s">
        <v>97</v>
      </c>
      <c r="BA334" s="4" t="s">
        <v>97</v>
      </c>
      <c r="BB334" s="5">
        <v>45951</v>
      </c>
      <c r="BC334" s="5">
        <v>45953</v>
      </c>
      <c r="BD334" s="5">
        <v>45953</v>
      </c>
      <c r="BE334" s="5">
        <v>45953</v>
      </c>
      <c r="BF334" s="4" t="s">
        <v>98</v>
      </c>
      <c r="BG334" s="4" t="s">
        <v>97</v>
      </c>
      <c r="BH334" s="4" t="s">
        <v>103</v>
      </c>
      <c r="BI334" s="4" t="s">
        <v>834</v>
      </c>
    </row>
    <row r="335" spans="1:61" x14ac:dyDescent="0.35">
      <c r="A335" s="4" t="s">
        <v>905</v>
      </c>
      <c r="B335" s="8" t="str">
        <f t="shared" si="32"/>
        <v>2025</v>
      </c>
      <c r="C335" s="2" t="s">
        <v>75</v>
      </c>
      <c r="D335" s="6" t="str">
        <f t="shared" si="33"/>
        <v>Diourbel</v>
      </c>
      <c r="E335" s="6">
        <f t="shared" si="34"/>
        <v>996481</v>
      </c>
      <c r="F335" s="6">
        <f t="shared" si="35"/>
        <v>1980827</v>
      </c>
      <c r="G335" s="4" t="s">
        <v>937</v>
      </c>
      <c r="H335" s="4" t="s">
        <v>938</v>
      </c>
      <c r="I335" s="4">
        <v>1</v>
      </c>
      <c r="J335" s="4" t="s">
        <v>96</v>
      </c>
      <c r="K335" s="4"/>
      <c r="L335" s="4"/>
      <c r="M335" s="4"/>
      <c r="N335" s="4"/>
      <c r="O335" s="4" t="s">
        <v>238</v>
      </c>
      <c r="P335" s="4" t="s">
        <v>103</v>
      </c>
      <c r="Q335" s="4" t="s">
        <v>103</v>
      </c>
      <c r="R335" s="14" t="s">
        <v>100</v>
      </c>
      <c r="S335" s="14" t="s">
        <v>100</v>
      </c>
      <c r="T335" s="14" t="s">
        <v>100</v>
      </c>
      <c r="U335" s="8"/>
      <c r="V335" s="14"/>
      <c r="W335" s="14"/>
      <c r="X335" s="14"/>
      <c r="Y335" s="5">
        <v>45948</v>
      </c>
      <c r="Z335" s="5">
        <v>45951</v>
      </c>
      <c r="AA335" s="4" t="s">
        <v>103</v>
      </c>
      <c r="AB335" s="25">
        <v>38</v>
      </c>
      <c r="AC335" s="4" t="s">
        <v>97</v>
      </c>
      <c r="AD335" s="4" t="s">
        <v>97</v>
      </c>
      <c r="AE335" s="4" t="s">
        <v>97</v>
      </c>
      <c r="AF335" s="4" t="s">
        <v>97</v>
      </c>
      <c r="AG335" s="4" t="s">
        <v>103</v>
      </c>
      <c r="AH335" s="4" t="s">
        <v>103</v>
      </c>
      <c r="AI335" s="5">
        <v>45948</v>
      </c>
      <c r="AJ335" s="4" t="s">
        <v>97</v>
      </c>
      <c r="AK335" s="4" t="s">
        <v>97</v>
      </c>
      <c r="AL335" s="4" t="s">
        <v>97</v>
      </c>
      <c r="AM335" s="4" t="s">
        <v>97</v>
      </c>
      <c r="AN335" s="4" t="s">
        <v>97</v>
      </c>
      <c r="AO335" s="4" t="s">
        <v>103</v>
      </c>
      <c r="AP335" s="4" t="s">
        <v>103</v>
      </c>
      <c r="AQ335" s="4" t="s">
        <v>97</v>
      </c>
      <c r="AR335" s="4" t="s">
        <v>103</v>
      </c>
      <c r="AS335" s="4" t="s">
        <v>97</v>
      </c>
      <c r="AT335" s="4"/>
      <c r="AU335" s="4"/>
      <c r="AV335" s="4" t="s">
        <v>103</v>
      </c>
      <c r="AW335" s="4" t="s">
        <v>97</v>
      </c>
      <c r="AX335" s="4" t="s">
        <v>97</v>
      </c>
      <c r="AY335" s="4" t="s">
        <v>97</v>
      </c>
      <c r="AZ335" s="4" t="s">
        <v>103</v>
      </c>
      <c r="BA335" s="4" t="s">
        <v>97</v>
      </c>
      <c r="BB335" s="5">
        <v>45951</v>
      </c>
      <c r="BC335" s="5">
        <v>45951</v>
      </c>
      <c r="BD335" s="5">
        <v>45953</v>
      </c>
      <c r="BE335" s="5">
        <v>45953</v>
      </c>
      <c r="BF335" s="4" t="s">
        <v>98</v>
      </c>
      <c r="BG335" s="4" t="s">
        <v>103</v>
      </c>
      <c r="BH335" s="4" t="s">
        <v>103</v>
      </c>
      <c r="BI335" s="4" t="s">
        <v>834</v>
      </c>
    </row>
    <row r="336" spans="1:61" x14ac:dyDescent="0.35">
      <c r="A336" s="4" t="s">
        <v>905</v>
      </c>
      <c r="B336" s="8" t="str">
        <f t="shared" si="32"/>
        <v>2025</v>
      </c>
      <c r="C336" s="2" t="s">
        <v>22</v>
      </c>
      <c r="D336" s="6" t="str">
        <f t="shared" si="33"/>
        <v>Louga</v>
      </c>
      <c r="E336" s="6">
        <f t="shared" si="34"/>
        <v>106333</v>
      </c>
      <c r="F336" s="6">
        <f t="shared" si="35"/>
        <v>1121619</v>
      </c>
      <c r="G336" s="4" t="s">
        <v>939</v>
      </c>
      <c r="H336" s="4" t="s">
        <v>940</v>
      </c>
      <c r="I336" s="4">
        <v>6</v>
      </c>
      <c r="J336" s="4" t="s">
        <v>96</v>
      </c>
      <c r="K336" s="4"/>
      <c r="L336" s="4"/>
      <c r="M336" s="4"/>
      <c r="N336" s="4"/>
      <c r="O336" s="4" t="s">
        <v>238</v>
      </c>
      <c r="P336" s="4" t="s">
        <v>97</v>
      </c>
      <c r="Q336" s="4" t="s">
        <v>97</v>
      </c>
      <c r="R336" s="14" t="s">
        <v>100</v>
      </c>
      <c r="S336" s="14" t="s">
        <v>100</v>
      </c>
      <c r="T336" s="14" t="s">
        <v>100</v>
      </c>
      <c r="U336" s="8"/>
      <c r="V336" s="14"/>
      <c r="W336" s="14"/>
      <c r="X336" s="14"/>
      <c r="Y336" s="5">
        <v>45931</v>
      </c>
      <c r="Z336" s="5">
        <v>45951</v>
      </c>
      <c r="AA336" s="4" t="s">
        <v>103</v>
      </c>
      <c r="AB336" s="25">
        <v>38</v>
      </c>
      <c r="AC336" s="4" t="s">
        <v>97</v>
      </c>
      <c r="AD336" s="4" t="s">
        <v>103</v>
      </c>
      <c r="AE336" s="4" t="s">
        <v>97</v>
      </c>
      <c r="AF336" s="4" t="s">
        <v>97</v>
      </c>
      <c r="AG336" s="4" t="s">
        <v>97</v>
      </c>
      <c r="AH336" s="4" t="s">
        <v>103</v>
      </c>
      <c r="AI336" s="5">
        <v>45931</v>
      </c>
      <c r="AJ336" s="4" t="s">
        <v>97</v>
      </c>
      <c r="AK336" s="4" t="s">
        <v>97</v>
      </c>
      <c r="AL336" s="4" t="s">
        <v>97</v>
      </c>
      <c r="AM336" s="4" t="s">
        <v>97</v>
      </c>
      <c r="AN336" s="4" t="s">
        <v>103</v>
      </c>
      <c r="AO336" s="4" t="s">
        <v>97</v>
      </c>
      <c r="AP336" s="4" t="s">
        <v>97</v>
      </c>
      <c r="AQ336" s="4" t="s">
        <v>97</v>
      </c>
      <c r="AR336" s="4" t="s">
        <v>103</v>
      </c>
      <c r="AS336" s="4" t="s">
        <v>97</v>
      </c>
      <c r="AT336" s="4"/>
      <c r="AU336" s="4"/>
      <c r="AV336" s="4" t="s">
        <v>103</v>
      </c>
      <c r="AW336" s="4" t="s">
        <v>97</v>
      </c>
      <c r="AX336" s="4" t="s">
        <v>97</v>
      </c>
      <c r="AY336" s="4" t="s">
        <v>97</v>
      </c>
      <c r="AZ336" s="4" t="s">
        <v>103</v>
      </c>
      <c r="BA336" s="4" t="s">
        <v>97</v>
      </c>
      <c r="BB336" s="5">
        <v>45952</v>
      </c>
      <c r="BC336" s="5">
        <v>45952</v>
      </c>
      <c r="BD336" s="5">
        <v>45953</v>
      </c>
      <c r="BE336" s="5">
        <v>45953</v>
      </c>
      <c r="BF336" s="4" t="s">
        <v>98</v>
      </c>
      <c r="BG336" s="4" t="s">
        <v>97</v>
      </c>
      <c r="BH336" s="4" t="s">
        <v>103</v>
      </c>
      <c r="BI336" s="4" t="s">
        <v>834</v>
      </c>
    </row>
    <row r="337" spans="1:61" x14ac:dyDescent="0.35">
      <c r="A337" s="4" t="s">
        <v>905</v>
      </c>
      <c r="B337" s="8" t="str">
        <f t="shared" si="32"/>
        <v>2025</v>
      </c>
      <c r="C337" s="2" t="s">
        <v>20</v>
      </c>
      <c r="D337" s="6" t="str">
        <f t="shared" si="33"/>
        <v>Dakar</v>
      </c>
      <c r="E337" s="6">
        <f t="shared" si="34"/>
        <v>272276</v>
      </c>
      <c r="F337" s="6">
        <f t="shared" si="35"/>
        <v>4042240</v>
      </c>
      <c r="G337" s="4" t="s">
        <v>934</v>
      </c>
      <c r="H337" s="4" t="s">
        <v>941</v>
      </c>
      <c r="I337" s="4">
        <v>34</v>
      </c>
      <c r="J337" s="4" t="s">
        <v>96</v>
      </c>
      <c r="K337" s="4"/>
      <c r="L337" s="4"/>
      <c r="M337" s="4"/>
      <c r="N337" s="4"/>
      <c r="O337" s="4" t="s">
        <v>238</v>
      </c>
      <c r="P337" s="4" t="s">
        <v>103</v>
      </c>
      <c r="Q337" s="4" t="s">
        <v>97</v>
      </c>
      <c r="R337" s="14" t="s">
        <v>100</v>
      </c>
      <c r="S337" s="14" t="s">
        <v>100</v>
      </c>
      <c r="T337" s="14" t="s">
        <v>100</v>
      </c>
      <c r="U337" s="8"/>
      <c r="V337" s="14"/>
      <c r="W337" s="14"/>
      <c r="X337" s="14"/>
      <c r="Y337" s="5">
        <v>45940</v>
      </c>
      <c r="Z337" s="5">
        <v>45952</v>
      </c>
      <c r="AA337" s="4" t="s">
        <v>97</v>
      </c>
      <c r="AB337" s="4"/>
      <c r="AC337" s="4" t="s">
        <v>97</v>
      </c>
      <c r="AD337" s="4" t="s">
        <v>97</v>
      </c>
      <c r="AE337" s="4" t="s">
        <v>97</v>
      </c>
      <c r="AF337" s="4" t="s">
        <v>97</v>
      </c>
      <c r="AG337" s="4" t="s">
        <v>97</v>
      </c>
      <c r="AH337" s="4" t="s">
        <v>103</v>
      </c>
      <c r="AI337" s="5">
        <v>45940</v>
      </c>
      <c r="AJ337" s="4" t="s">
        <v>97</v>
      </c>
      <c r="AK337" s="4" t="s">
        <v>97</v>
      </c>
      <c r="AL337" s="4" t="s">
        <v>97</v>
      </c>
      <c r="AM337" s="4" t="s">
        <v>97</v>
      </c>
      <c r="AN337" s="4" t="s">
        <v>97</v>
      </c>
      <c r="AO337" s="4" t="s">
        <v>97</v>
      </c>
      <c r="AP337" s="4" t="s">
        <v>97</v>
      </c>
      <c r="AQ337" s="4" t="s">
        <v>97</v>
      </c>
      <c r="AR337" s="4" t="s">
        <v>97</v>
      </c>
      <c r="AS337" s="4" t="s">
        <v>103</v>
      </c>
      <c r="AT337" s="4"/>
      <c r="AU337" s="4"/>
      <c r="AV337" s="4" t="s">
        <v>103</v>
      </c>
      <c r="AW337" s="4" t="s">
        <v>97</v>
      </c>
      <c r="AX337" s="4" t="s">
        <v>103</v>
      </c>
      <c r="AY337" s="4" t="s">
        <v>97</v>
      </c>
      <c r="AZ337" s="4" t="s">
        <v>103</v>
      </c>
      <c r="BA337" s="4" t="s">
        <v>97</v>
      </c>
      <c r="BB337" s="5">
        <v>45952</v>
      </c>
      <c r="BC337" s="5">
        <v>45953</v>
      </c>
      <c r="BD337" s="5">
        <v>45953</v>
      </c>
      <c r="BE337" s="5">
        <v>45953</v>
      </c>
      <c r="BF337" s="4" t="s">
        <v>98</v>
      </c>
      <c r="BG337" s="4" t="s">
        <v>97</v>
      </c>
      <c r="BH337" s="4" t="s">
        <v>103</v>
      </c>
      <c r="BI337" s="4" t="s">
        <v>834</v>
      </c>
    </row>
    <row r="338" spans="1:61" x14ac:dyDescent="0.35">
      <c r="A338" s="4" t="s">
        <v>905</v>
      </c>
      <c r="B338" s="8" t="str">
        <f t="shared" si="32"/>
        <v>2025</v>
      </c>
      <c r="C338" s="2" t="s">
        <v>20</v>
      </c>
      <c r="D338" s="6" t="str">
        <f t="shared" si="33"/>
        <v>Dakar</v>
      </c>
      <c r="E338" s="6">
        <f t="shared" si="34"/>
        <v>272276</v>
      </c>
      <c r="F338" s="6">
        <f t="shared" si="35"/>
        <v>4042240</v>
      </c>
      <c r="G338" s="4" t="s">
        <v>942</v>
      </c>
      <c r="H338" s="4" t="s">
        <v>943</v>
      </c>
      <c r="I338" s="4">
        <v>3</v>
      </c>
      <c r="J338" s="4" t="s">
        <v>96</v>
      </c>
      <c r="K338" s="4"/>
      <c r="L338" s="4"/>
      <c r="M338" s="4"/>
      <c r="N338" s="4"/>
      <c r="O338" s="4" t="s">
        <v>238</v>
      </c>
      <c r="P338" s="4" t="s">
        <v>97</v>
      </c>
      <c r="Q338" s="4" t="s">
        <v>97</v>
      </c>
      <c r="R338" s="14" t="s">
        <v>100</v>
      </c>
      <c r="S338" s="14" t="s">
        <v>100</v>
      </c>
      <c r="T338" s="14" t="s">
        <v>100</v>
      </c>
      <c r="U338" s="8"/>
      <c r="V338" s="14"/>
      <c r="W338" s="14"/>
      <c r="X338" s="14"/>
      <c r="Y338" s="5">
        <v>45951</v>
      </c>
      <c r="Z338" s="5">
        <v>45952</v>
      </c>
      <c r="AA338" s="4" t="s">
        <v>97</v>
      </c>
      <c r="AB338" s="4"/>
      <c r="AC338" s="4" t="s">
        <v>97</v>
      </c>
      <c r="AD338" s="4" t="s">
        <v>97</v>
      </c>
      <c r="AE338" s="4" t="s">
        <v>97</v>
      </c>
      <c r="AF338" s="4" t="s">
        <v>97</v>
      </c>
      <c r="AG338" s="4" t="s">
        <v>97</v>
      </c>
      <c r="AH338" s="4" t="s">
        <v>103</v>
      </c>
      <c r="AI338" s="4"/>
      <c r="AJ338" s="4" t="s">
        <v>97</v>
      </c>
      <c r="AK338" s="4" t="s">
        <v>97</v>
      </c>
      <c r="AL338" s="4" t="s">
        <v>97</v>
      </c>
      <c r="AM338" s="4" t="s">
        <v>97</v>
      </c>
      <c r="AN338" s="4" t="s">
        <v>103</v>
      </c>
      <c r="AO338" s="4" t="s">
        <v>97</v>
      </c>
      <c r="AP338" s="4" t="s">
        <v>97</v>
      </c>
      <c r="AQ338" s="4" t="s">
        <v>97</v>
      </c>
      <c r="AR338" s="4" t="s">
        <v>97</v>
      </c>
      <c r="AS338" s="4" t="s">
        <v>97</v>
      </c>
      <c r="AT338" s="4"/>
      <c r="AU338" s="4"/>
      <c r="AV338" s="4" t="s">
        <v>103</v>
      </c>
      <c r="AW338" s="4" t="s">
        <v>97</v>
      </c>
      <c r="AX338" s="4" t="s">
        <v>103</v>
      </c>
      <c r="AY338" s="4" t="s">
        <v>97</v>
      </c>
      <c r="AZ338" s="4" t="s">
        <v>103</v>
      </c>
      <c r="BA338" s="4" t="s">
        <v>97</v>
      </c>
      <c r="BB338" s="5">
        <v>45952</v>
      </c>
      <c r="BC338" s="5">
        <v>45952</v>
      </c>
      <c r="BD338" s="5">
        <v>45953</v>
      </c>
      <c r="BE338" s="5">
        <v>45953</v>
      </c>
      <c r="BF338" s="4" t="s">
        <v>98</v>
      </c>
      <c r="BG338" s="4" t="s">
        <v>97</v>
      </c>
      <c r="BH338" s="4" t="s">
        <v>103</v>
      </c>
      <c r="BI338" s="4" t="s">
        <v>834</v>
      </c>
    </row>
    <row r="339" spans="1:61" x14ac:dyDescent="0.35">
      <c r="A339" s="4" t="s">
        <v>905</v>
      </c>
      <c r="B339" s="8" t="str">
        <f t="shared" si="32"/>
        <v>2025</v>
      </c>
      <c r="C339" s="2" t="s">
        <v>63</v>
      </c>
      <c r="D339" s="6" t="str">
        <f t="shared" si="33"/>
        <v>Saint-Louis</v>
      </c>
      <c r="E339" s="6">
        <f t="shared" si="34"/>
        <v>205977</v>
      </c>
      <c r="F339" s="6">
        <f t="shared" si="35"/>
        <v>1150065</v>
      </c>
      <c r="G339" s="4" t="s">
        <v>944</v>
      </c>
      <c r="H339" s="4" t="s">
        <v>945</v>
      </c>
      <c r="I339" s="4">
        <v>65</v>
      </c>
      <c r="J339" s="4" t="s">
        <v>114</v>
      </c>
      <c r="K339" s="4" t="s">
        <v>437</v>
      </c>
      <c r="L339" s="4"/>
      <c r="M339" s="4" t="s">
        <v>946</v>
      </c>
      <c r="N339" s="5">
        <v>45949</v>
      </c>
      <c r="O339" s="4" t="s">
        <v>238</v>
      </c>
      <c r="P339" s="4" t="s">
        <v>97</v>
      </c>
      <c r="Q339" s="4" t="s">
        <v>97</v>
      </c>
      <c r="R339" s="14" t="s">
        <v>100</v>
      </c>
      <c r="S339" s="14" t="s">
        <v>100</v>
      </c>
      <c r="T339" s="14" t="s">
        <v>100</v>
      </c>
      <c r="U339" s="8"/>
      <c r="V339" s="14"/>
      <c r="W339" s="14"/>
      <c r="X339" s="14"/>
      <c r="Y339" s="5">
        <v>45947</v>
      </c>
      <c r="Z339" s="5">
        <v>45949</v>
      </c>
      <c r="AA339" s="4" t="s">
        <v>103</v>
      </c>
      <c r="AB339" s="4" t="s">
        <v>509</v>
      </c>
      <c r="AC339" s="4" t="s">
        <v>97</v>
      </c>
      <c r="AD339" s="4" t="s">
        <v>97</v>
      </c>
      <c r="AE339" s="4" t="s">
        <v>97</v>
      </c>
      <c r="AF339" s="4" t="s">
        <v>97</v>
      </c>
      <c r="AG339" s="4" t="s">
        <v>97</v>
      </c>
      <c r="AH339" s="4" t="s">
        <v>103</v>
      </c>
      <c r="AI339" s="5">
        <v>45947</v>
      </c>
      <c r="AJ339" s="4" t="s">
        <v>97</v>
      </c>
      <c r="AK339" s="4" t="s">
        <v>103</v>
      </c>
      <c r="AL339" s="4" t="s">
        <v>97</v>
      </c>
      <c r="AM339" s="4" t="s">
        <v>103</v>
      </c>
      <c r="AN339" s="4" t="s">
        <v>103</v>
      </c>
      <c r="AO339" s="4" t="s">
        <v>97</v>
      </c>
      <c r="AP339" s="4" t="s">
        <v>97</v>
      </c>
      <c r="AQ339" s="4" t="s">
        <v>97</v>
      </c>
      <c r="AR339" s="4" t="s">
        <v>97</v>
      </c>
      <c r="AS339" s="4" t="s">
        <v>97</v>
      </c>
      <c r="AT339" s="4"/>
      <c r="AU339" s="4"/>
      <c r="AV339" s="4" t="s">
        <v>103</v>
      </c>
      <c r="AW339" s="4" t="s">
        <v>103</v>
      </c>
      <c r="AX339" s="4" t="s">
        <v>97</v>
      </c>
      <c r="AY339" s="4" t="s">
        <v>97</v>
      </c>
      <c r="AZ339" s="4" t="s">
        <v>103</v>
      </c>
      <c r="BA339" s="4" t="s">
        <v>103</v>
      </c>
      <c r="BB339" s="5">
        <v>45949</v>
      </c>
      <c r="BC339" s="5">
        <v>45950</v>
      </c>
      <c r="BD339" s="5">
        <v>45953</v>
      </c>
      <c r="BE339" s="5">
        <v>45953</v>
      </c>
      <c r="BF339" s="4" t="s">
        <v>98</v>
      </c>
      <c r="BG339" s="4" t="s">
        <v>97</v>
      </c>
      <c r="BH339" s="4" t="s">
        <v>103</v>
      </c>
      <c r="BI339" s="4" t="s">
        <v>834</v>
      </c>
    </row>
    <row r="340" spans="1:61" x14ac:dyDescent="0.35">
      <c r="A340" s="4" t="s">
        <v>905</v>
      </c>
      <c r="B340" s="8" t="str">
        <f t="shared" si="32"/>
        <v>2025</v>
      </c>
      <c r="C340" s="2" t="s">
        <v>21</v>
      </c>
      <c r="D340" s="6" t="str">
        <f t="shared" si="33"/>
        <v>Dakar</v>
      </c>
      <c r="E340" s="6">
        <f t="shared" si="34"/>
        <v>219872</v>
      </c>
      <c r="F340" s="6">
        <f t="shared" si="35"/>
        <v>4042240</v>
      </c>
      <c r="G340" s="4" t="s">
        <v>947</v>
      </c>
      <c r="H340" s="4" t="s">
        <v>948</v>
      </c>
      <c r="I340" s="4">
        <v>2</v>
      </c>
      <c r="J340" s="4" t="s">
        <v>114</v>
      </c>
      <c r="K340" s="4"/>
      <c r="L340" s="4"/>
      <c r="M340" s="4"/>
      <c r="N340" s="4"/>
      <c r="O340" s="4" t="s">
        <v>238</v>
      </c>
      <c r="P340" s="4" t="s">
        <v>97</v>
      </c>
      <c r="Q340" s="4" t="s">
        <v>97</v>
      </c>
      <c r="R340" s="14" t="s">
        <v>100</v>
      </c>
      <c r="S340" s="14" t="s">
        <v>100</v>
      </c>
      <c r="T340" s="14" t="s">
        <v>100</v>
      </c>
      <c r="U340" s="8"/>
      <c r="V340" s="14"/>
      <c r="W340" s="14"/>
      <c r="X340" s="14"/>
      <c r="Y340" s="5">
        <v>45951</v>
      </c>
      <c r="Z340" s="5">
        <v>45953</v>
      </c>
      <c r="AA340" s="4" t="s">
        <v>97</v>
      </c>
      <c r="AB340" s="4"/>
      <c r="AC340" s="4" t="s">
        <v>97</v>
      </c>
      <c r="AD340" s="4" t="s">
        <v>97</v>
      </c>
      <c r="AE340" s="4" t="s">
        <v>97</v>
      </c>
      <c r="AF340" s="4" t="s">
        <v>97</v>
      </c>
      <c r="AG340" s="4" t="s">
        <v>97</v>
      </c>
      <c r="AH340" s="4" t="s">
        <v>103</v>
      </c>
      <c r="AI340" s="5">
        <v>45951</v>
      </c>
      <c r="AJ340" s="4" t="s">
        <v>97</v>
      </c>
      <c r="AK340" s="4" t="s">
        <v>97</v>
      </c>
      <c r="AL340" s="4" t="s">
        <v>97</v>
      </c>
      <c r="AM340" s="4" t="s">
        <v>103</v>
      </c>
      <c r="AN340" s="4" t="s">
        <v>103</v>
      </c>
      <c r="AO340" s="4" t="s">
        <v>103</v>
      </c>
      <c r="AP340" s="4" t="s">
        <v>97</v>
      </c>
      <c r="AQ340" s="4" t="s">
        <v>97</v>
      </c>
      <c r="AR340" s="4" t="s">
        <v>97</v>
      </c>
      <c r="AS340" s="4" t="s">
        <v>97</v>
      </c>
      <c r="AT340" s="4"/>
      <c r="AU340" s="4"/>
      <c r="AV340" s="4" t="s">
        <v>103</v>
      </c>
      <c r="AW340" s="4" t="s">
        <v>97</v>
      </c>
      <c r="AX340" s="4" t="s">
        <v>97</v>
      </c>
      <c r="AY340" s="4" t="s">
        <v>97</v>
      </c>
      <c r="AZ340" s="4" t="s">
        <v>97</v>
      </c>
      <c r="BA340" s="4" t="s">
        <v>97</v>
      </c>
      <c r="BB340" s="5">
        <v>45952</v>
      </c>
      <c r="BC340" s="5">
        <v>45953</v>
      </c>
      <c r="BD340" s="5">
        <v>45953</v>
      </c>
      <c r="BE340" s="5">
        <v>45953</v>
      </c>
      <c r="BF340" s="4" t="s">
        <v>98</v>
      </c>
      <c r="BG340" s="4" t="s">
        <v>97</v>
      </c>
      <c r="BH340" s="4" t="s">
        <v>103</v>
      </c>
      <c r="BI340" s="4" t="s">
        <v>834</v>
      </c>
    </row>
    <row r="341" spans="1:61" x14ac:dyDescent="0.35">
      <c r="A341" s="4" t="s">
        <v>905</v>
      </c>
      <c r="B341" s="8" t="str">
        <f t="shared" si="32"/>
        <v>2025</v>
      </c>
      <c r="C341" s="2" t="s">
        <v>75</v>
      </c>
      <c r="D341" s="6" t="str">
        <f t="shared" si="33"/>
        <v>Diourbel</v>
      </c>
      <c r="E341" s="6">
        <f t="shared" si="34"/>
        <v>996481</v>
      </c>
      <c r="F341" s="6">
        <f t="shared" si="35"/>
        <v>1980827</v>
      </c>
      <c r="G341" s="4" t="s">
        <v>949</v>
      </c>
      <c r="H341" s="4" t="s">
        <v>950</v>
      </c>
      <c r="I341" s="4">
        <v>11</v>
      </c>
      <c r="J341" s="4" t="s">
        <v>96</v>
      </c>
      <c r="K341" s="4"/>
      <c r="L341" s="4"/>
      <c r="M341" s="4"/>
      <c r="N341" s="4"/>
      <c r="O341" s="4" t="s">
        <v>238</v>
      </c>
      <c r="P341" s="4" t="s">
        <v>97</v>
      </c>
      <c r="Q341" s="4" t="s">
        <v>97</v>
      </c>
      <c r="R341" s="14" t="s">
        <v>100</v>
      </c>
      <c r="S341" s="14" t="s">
        <v>100</v>
      </c>
      <c r="T341" s="14" t="s">
        <v>100</v>
      </c>
      <c r="U341" s="8"/>
      <c r="V341" s="14"/>
      <c r="W341" s="14"/>
      <c r="X341" s="14"/>
      <c r="Y341" s="5">
        <v>45948</v>
      </c>
      <c r="Z341" s="5">
        <v>45951</v>
      </c>
      <c r="AA341" s="4" t="s">
        <v>103</v>
      </c>
      <c r="AB341" s="4" t="s">
        <v>488</v>
      </c>
      <c r="AC341" s="4" t="s">
        <v>97</v>
      </c>
      <c r="AD341" s="4" t="s">
        <v>97</v>
      </c>
      <c r="AE341" s="4" t="s">
        <v>97</v>
      </c>
      <c r="AF341" s="4" t="s">
        <v>97</v>
      </c>
      <c r="AG341" s="4" t="s">
        <v>97</v>
      </c>
      <c r="AH341" s="4" t="s">
        <v>103</v>
      </c>
      <c r="AI341" s="5">
        <v>45948</v>
      </c>
      <c r="AJ341" s="4" t="s">
        <v>97</v>
      </c>
      <c r="AK341" s="4" t="s">
        <v>97</v>
      </c>
      <c r="AL341" s="4" t="s">
        <v>97</v>
      </c>
      <c r="AM341" s="4" t="s">
        <v>103</v>
      </c>
      <c r="AN341" s="4" t="s">
        <v>103</v>
      </c>
      <c r="AO341" s="4" t="s">
        <v>97</v>
      </c>
      <c r="AP341" s="4" t="s">
        <v>97</v>
      </c>
      <c r="AQ341" s="4" t="s">
        <v>97</v>
      </c>
      <c r="AR341" s="4" t="s">
        <v>97</v>
      </c>
      <c r="AS341" s="4" t="s">
        <v>97</v>
      </c>
      <c r="AT341" s="4"/>
      <c r="AU341" s="4"/>
      <c r="AV341" s="4" t="s">
        <v>103</v>
      </c>
      <c r="AW341" s="4" t="s">
        <v>97</v>
      </c>
      <c r="AX341" s="4" t="s">
        <v>97</v>
      </c>
      <c r="AY341" s="4" t="s">
        <v>97</v>
      </c>
      <c r="AZ341" s="4" t="s">
        <v>97</v>
      </c>
      <c r="BA341" s="4" t="s">
        <v>97</v>
      </c>
      <c r="BB341" s="5">
        <v>45951</v>
      </c>
      <c r="BC341" s="5">
        <v>45952</v>
      </c>
      <c r="BD341" s="5">
        <v>45953</v>
      </c>
      <c r="BE341" s="5">
        <v>45953</v>
      </c>
      <c r="BF341" s="4" t="s">
        <v>98</v>
      </c>
      <c r="BG341" s="4" t="s">
        <v>97</v>
      </c>
      <c r="BH341" s="4" t="s">
        <v>103</v>
      </c>
      <c r="BI341" s="4" t="s">
        <v>834</v>
      </c>
    </row>
    <row r="342" spans="1:61" x14ac:dyDescent="0.35">
      <c r="A342" s="4" t="s">
        <v>905</v>
      </c>
      <c r="B342" s="8" t="str">
        <f t="shared" si="32"/>
        <v>2025</v>
      </c>
      <c r="C342" s="2" t="s">
        <v>75</v>
      </c>
      <c r="D342" s="6" t="str">
        <f t="shared" si="33"/>
        <v>Diourbel</v>
      </c>
      <c r="E342" s="6">
        <f t="shared" si="34"/>
        <v>996481</v>
      </c>
      <c r="F342" s="6">
        <f t="shared" si="35"/>
        <v>1980827</v>
      </c>
      <c r="G342" s="4" t="s">
        <v>951</v>
      </c>
      <c r="H342" s="4" t="s">
        <v>952</v>
      </c>
      <c r="I342" s="4">
        <v>8</v>
      </c>
      <c r="J342" s="4" t="s">
        <v>96</v>
      </c>
      <c r="K342" s="4"/>
      <c r="L342" s="4"/>
      <c r="M342" s="4"/>
      <c r="N342" s="4"/>
      <c r="O342" s="4" t="s">
        <v>238</v>
      </c>
      <c r="P342" s="4" t="s">
        <v>97</v>
      </c>
      <c r="Q342" s="4" t="s">
        <v>97</v>
      </c>
      <c r="R342" s="14" t="s">
        <v>100</v>
      </c>
      <c r="S342" s="14" t="s">
        <v>100</v>
      </c>
      <c r="T342" s="14" t="s">
        <v>100</v>
      </c>
      <c r="U342" s="8"/>
      <c r="V342" s="14"/>
      <c r="W342" s="14"/>
      <c r="X342" s="14"/>
      <c r="Y342" s="5">
        <v>45948</v>
      </c>
      <c r="Z342" s="5">
        <v>45951</v>
      </c>
      <c r="AA342" s="4" t="s">
        <v>103</v>
      </c>
      <c r="AB342" s="25">
        <v>38</v>
      </c>
      <c r="AC342" s="4" t="s">
        <v>97</v>
      </c>
      <c r="AD342" s="4" t="s">
        <v>97</v>
      </c>
      <c r="AE342" s="4" t="s">
        <v>97</v>
      </c>
      <c r="AF342" s="4" t="s">
        <v>97</v>
      </c>
      <c r="AG342" s="4" t="s">
        <v>97</v>
      </c>
      <c r="AH342" s="4" t="s">
        <v>103</v>
      </c>
      <c r="AI342" s="5">
        <v>45948</v>
      </c>
      <c r="AJ342" s="4" t="s">
        <v>97</v>
      </c>
      <c r="AK342" s="4" t="s">
        <v>97</v>
      </c>
      <c r="AL342" s="4" t="s">
        <v>97</v>
      </c>
      <c r="AM342" s="4" t="s">
        <v>103</v>
      </c>
      <c r="AN342" s="4" t="s">
        <v>103</v>
      </c>
      <c r="AO342" s="4" t="s">
        <v>97</v>
      </c>
      <c r="AP342" s="4" t="s">
        <v>97</v>
      </c>
      <c r="AQ342" s="4" t="s">
        <v>97</v>
      </c>
      <c r="AR342" s="4" t="s">
        <v>97</v>
      </c>
      <c r="AS342" s="4" t="s">
        <v>97</v>
      </c>
      <c r="AT342" s="4"/>
      <c r="AU342" s="4"/>
      <c r="AV342" s="4" t="s">
        <v>103</v>
      </c>
      <c r="AW342" s="4" t="s">
        <v>97</v>
      </c>
      <c r="AX342" s="4" t="s">
        <v>97</v>
      </c>
      <c r="AY342" s="4" t="s">
        <v>97</v>
      </c>
      <c r="AZ342" s="4" t="s">
        <v>97</v>
      </c>
      <c r="BA342" s="4" t="s">
        <v>97</v>
      </c>
      <c r="BB342" s="5">
        <v>45951</v>
      </c>
      <c r="BC342" s="5">
        <v>45952</v>
      </c>
      <c r="BD342" s="5">
        <v>45953</v>
      </c>
      <c r="BE342" s="5">
        <v>45953</v>
      </c>
      <c r="BF342" s="4" t="s">
        <v>98</v>
      </c>
      <c r="BG342" s="4" t="s">
        <v>97</v>
      </c>
      <c r="BH342" s="4" t="s">
        <v>103</v>
      </c>
      <c r="BI342" s="4" t="s">
        <v>834</v>
      </c>
    </row>
    <row r="343" spans="1:61" x14ac:dyDescent="0.35">
      <c r="A343" s="4" t="s">
        <v>905</v>
      </c>
      <c r="B343" s="8" t="str">
        <f t="shared" si="32"/>
        <v>2025</v>
      </c>
      <c r="C343" s="2" t="s">
        <v>18</v>
      </c>
      <c r="D343" s="6" t="str">
        <f t="shared" si="33"/>
        <v>Dakar</v>
      </c>
      <c r="E343" s="6">
        <f t="shared" si="34"/>
        <v>419489</v>
      </c>
      <c r="F343" s="6">
        <f t="shared" si="35"/>
        <v>4042240</v>
      </c>
      <c r="G343" s="4" t="s">
        <v>955</v>
      </c>
      <c r="H343" s="4" t="s">
        <v>954</v>
      </c>
      <c r="I343" s="4">
        <v>2</v>
      </c>
      <c r="J343" s="4" t="s">
        <v>96</v>
      </c>
      <c r="K343" s="4"/>
      <c r="L343" s="4"/>
      <c r="M343" s="4"/>
      <c r="N343" s="4"/>
      <c r="O343" s="4" t="s">
        <v>238</v>
      </c>
      <c r="P343" s="4" t="s">
        <v>97</v>
      </c>
      <c r="Q343" s="4" t="s">
        <v>97</v>
      </c>
      <c r="R343" s="14" t="s">
        <v>100</v>
      </c>
      <c r="S343" s="14" t="s">
        <v>100</v>
      </c>
      <c r="T343" s="14" t="s">
        <v>100</v>
      </c>
      <c r="U343" s="8"/>
      <c r="V343" s="14"/>
      <c r="W343" s="14"/>
      <c r="X343" s="14"/>
      <c r="Y343" s="5">
        <v>45952</v>
      </c>
      <c r="Z343" s="5">
        <v>45954</v>
      </c>
      <c r="AA343" s="4" t="s">
        <v>103</v>
      </c>
      <c r="AB343" s="4" t="s">
        <v>488</v>
      </c>
      <c r="AC343" s="4" t="s">
        <v>97</v>
      </c>
      <c r="AD343" s="4" t="s">
        <v>97</v>
      </c>
      <c r="AE343" s="4" t="s">
        <v>97</v>
      </c>
      <c r="AF343" s="4" t="s">
        <v>97</v>
      </c>
      <c r="AG343" s="4" t="s">
        <v>97</v>
      </c>
      <c r="AH343" s="4" t="s">
        <v>103</v>
      </c>
      <c r="AI343" s="5">
        <v>45952</v>
      </c>
      <c r="AJ343" s="4" t="s">
        <v>103</v>
      </c>
      <c r="AK343" s="4" t="s">
        <v>97</v>
      </c>
      <c r="AL343" s="4" t="s">
        <v>103</v>
      </c>
      <c r="AM343" s="4" t="s">
        <v>103</v>
      </c>
      <c r="AN343" s="4" t="s">
        <v>97</v>
      </c>
      <c r="AO343" s="4" t="s">
        <v>97</v>
      </c>
      <c r="AP343" s="4" t="s">
        <v>97</v>
      </c>
      <c r="AQ343" s="4" t="s">
        <v>97</v>
      </c>
      <c r="AR343" s="4" t="s">
        <v>97</v>
      </c>
      <c r="AS343" s="4" t="s">
        <v>97</v>
      </c>
      <c r="AT343" s="4"/>
      <c r="AU343" s="4"/>
      <c r="AV343" s="4" t="s">
        <v>103</v>
      </c>
      <c r="AW343" s="4" t="s">
        <v>97</v>
      </c>
      <c r="AX343" s="4" t="s">
        <v>97</v>
      </c>
      <c r="AY343" s="4" t="s">
        <v>97</v>
      </c>
      <c r="AZ343" s="4" t="s">
        <v>97</v>
      </c>
      <c r="BA343" s="4" t="s">
        <v>97</v>
      </c>
      <c r="BB343" s="5">
        <v>45954</v>
      </c>
      <c r="BC343" s="5">
        <v>45954</v>
      </c>
      <c r="BD343" s="5">
        <v>45954</v>
      </c>
      <c r="BE343" s="5">
        <v>45954</v>
      </c>
      <c r="BF343" s="4" t="s">
        <v>98</v>
      </c>
      <c r="BG343" s="4" t="s">
        <v>97</v>
      </c>
      <c r="BH343" s="4" t="s">
        <v>103</v>
      </c>
      <c r="BI343" s="4" t="s">
        <v>834</v>
      </c>
    </row>
    <row r="344" spans="1:61" x14ac:dyDescent="0.35">
      <c r="A344" s="4" t="s">
        <v>905</v>
      </c>
      <c r="B344" s="8" t="str">
        <f t="shared" si="32"/>
        <v>2025</v>
      </c>
      <c r="C344" s="2" t="s">
        <v>19</v>
      </c>
      <c r="D344" s="6" t="str">
        <f t="shared" si="33"/>
        <v>Dakar</v>
      </c>
      <c r="E344" s="6">
        <f t="shared" si="34"/>
        <v>565040</v>
      </c>
      <c r="F344" s="6">
        <f t="shared" si="35"/>
        <v>4042240</v>
      </c>
      <c r="G344" s="4" t="s">
        <v>953</v>
      </c>
      <c r="H344" s="4" t="s">
        <v>956</v>
      </c>
      <c r="I344" s="4">
        <v>11</v>
      </c>
      <c r="J344" s="4" t="s">
        <v>114</v>
      </c>
      <c r="K344" s="4"/>
      <c r="L344" s="4"/>
      <c r="M344" s="4"/>
      <c r="N344" s="4"/>
      <c r="O344" s="4" t="s">
        <v>238</v>
      </c>
      <c r="P344" s="4" t="s">
        <v>97</v>
      </c>
      <c r="Q344" s="4" t="s">
        <v>97</v>
      </c>
      <c r="R344" s="14" t="s">
        <v>100</v>
      </c>
      <c r="S344" s="14" t="s">
        <v>100</v>
      </c>
      <c r="T344" s="14" t="s">
        <v>100</v>
      </c>
      <c r="U344" s="8"/>
      <c r="V344" s="14"/>
      <c r="W344" s="14"/>
      <c r="X344" s="14"/>
      <c r="Y344" s="5">
        <v>45952</v>
      </c>
      <c r="Z344" s="5">
        <v>45953</v>
      </c>
      <c r="AA344" s="4" t="s">
        <v>103</v>
      </c>
      <c r="AB344" s="4" t="s">
        <v>509</v>
      </c>
      <c r="AC344" s="4" t="s">
        <v>97</v>
      </c>
      <c r="AD344" s="4" t="s">
        <v>103</v>
      </c>
      <c r="AE344" s="4" t="s">
        <v>97</v>
      </c>
      <c r="AF344" s="4" t="s">
        <v>103</v>
      </c>
      <c r="AG344" s="4" t="s">
        <v>103</v>
      </c>
      <c r="AH344" s="4" t="s">
        <v>103</v>
      </c>
      <c r="AI344" s="5">
        <v>45952</v>
      </c>
      <c r="AJ344" s="4" t="s">
        <v>103</v>
      </c>
      <c r="AK344" s="4" t="s">
        <v>97</v>
      </c>
      <c r="AL344" s="4" t="s">
        <v>97</v>
      </c>
      <c r="AM344" s="4" t="s">
        <v>97</v>
      </c>
      <c r="AN344" s="4" t="s">
        <v>103</v>
      </c>
      <c r="AO344" s="4" t="s">
        <v>97</v>
      </c>
      <c r="AP344" s="4" t="s">
        <v>97</v>
      </c>
      <c r="AQ344" s="4" t="s">
        <v>97</v>
      </c>
      <c r="AR344" s="4" t="s">
        <v>97</v>
      </c>
      <c r="AS344" s="4" t="s">
        <v>97</v>
      </c>
      <c r="AT344" s="4"/>
      <c r="AU344" s="4"/>
      <c r="AV344" s="4" t="s">
        <v>97</v>
      </c>
      <c r="AW344" s="4" t="s">
        <v>97</v>
      </c>
      <c r="AX344" s="4" t="s">
        <v>103</v>
      </c>
      <c r="AY344" s="4" t="s">
        <v>97</v>
      </c>
      <c r="AZ344" s="4" t="s">
        <v>103</v>
      </c>
      <c r="BA344" s="4" t="s">
        <v>97</v>
      </c>
      <c r="BB344" s="5">
        <v>45953</v>
      </c>
      <c r="BC344" s="5">
        <v>45954</v>
      </c>
      <c r="BD344" s="5">
        <v>45954</v>
      </c>
      <c r="BE344" s="5">
        <v>45954</v>
      </c>
      <c r="BF344" s="4" t="s">
        <v>98</v>
      </c>
      <c r="BG344" s="4" t="s">
        <v>97</v>
      </c>
      <c r="BH344" s="4" t="s">
        <v>103</v>
      </c>
      <c r="BI344" s="4" t="s">
        <v>834</v>
      </c>
    </row>
    <row r="345" spans="1:61" x14ac:dyDescent="0.35">
      <c r="A345" s="4" t="s">
        <v>957</v>
      </c>
      <c r="B345" s="8" t="str">
        <f t="shared" si="32"/>
        <v>2025</v>
      </c>
      <c r="C345" s="2" t="s">
        <v>57</v>
      </c>
      <c r="D345" s="6" t="str">
        <f t="shared" si="33"/>
        <v>Saint-Louis</v>
      </c>
      <c r="E345" s="6">
        <f t="shared" si="34"/>
        <v>207969</v>
      </c>
      <c r="F345" s="6">
        <f t="shared" si="35"/>
        <v>1150065</v>
      </c>
      <c r="G345" s="4" t="s">
        <v>958</v>
      </c>
      <c r="H345" s="4" t="s">
        <v>959</v>
      </c>
      <c r="I345" s="4">
        <v>7</v>
      </c>
      <c r="J345" s="4" t="s">
        <v>114</v>
      </c>
      <c r="K345" s="4"/>
      <c r="L345" s="4"/>
      <c r="M345" s="4"/>
      <c r="N345" s="4"/>
      <c r="O345" s="4" t="s">
        <v>238</v>
      </c>
      <c r="P345" s="4" t="s">
        <v>97</v>
      </c>
      <c r="Q345" s="4" t="s">
        <v>97</v>
      </c>
      <c r="R345" s="14" t="s">
        <v>100</v>
      </c>
      <c r="S345" s="14" t="s">
        <v>100</v>
      </c>
      <c r="T345" s="14" t="s">
        <v>100</v>
      </c>
      <c r="U345" s="8"/>
      <c r="V345" s="14"/>
      <c r="W345" s="14"/>
      <c r="X345" s="14"/>
      <c r="Y345" s="5">
        <v>45938</v>
      </c>
      <c r="Z345" s="5">
        <v>45945</v>
      </c>
      <c r="AA345" s="4" t="s">
        <v>97</v>
      </c>
      <c r="AB345" s="4"/>
      <c r="AC345" s="4" t="s">
        <v>103</v>
      </c>
      <c r="AD345" s="4" t="s">
        <v>103</v>
      </c>
      <c r="AE345" s="4" t="s">
        <v>97</v>
      </c>
      <c r="AF345" s="4" t="s">
        <v>103</v>
      </c>
      <c r="AG345" s="4" t="s">
        <v>103</v>
      </c>
      <c r="AH345" s="4" t="s">
        <v>103</v>
      </c>
      <c r="AI345" s="5">
        <v>45938</v>
      </c>
      <c r="AJ345" s="4" t="s">
        <v>97</v>
      </c>
      <c r="AK345" s="4" t="s">
        <v>97</v>
      </c>
      <c r="AL345" s="4" t="s">
        <v>103</v>
      </c>
      <c r="AM345" s="4" t="s">
        <v>97</v>
      </c>
      <c r="AN345" s="4" t="s">
        <v>103</v>
      </c>
      <c r="AO345" s="4" t="s">
        <v>103</v>
      </c>
      <c r="AP345" s="4" t="s">
        <v>103</v>
      </c>
      <c r="AQ345" s="4" t="s">
        <v>97</v>
      </c>
      <c r="AR345" s="4" t="s">
        <v>97</v>
      </c>
      <c r="AS345" s="4" t="s">
        <v>97</v>
      </c>
      <c r="AT345" s="4"/>
      <c r="AU345" s="4"/>
      <c r="AV345" s="4" t="s">
        <v>103</v>
      </c>
      <c r="AW345" s="4" t="s">
        <v>97</v>
      </c>
      <c r="AX345" s="4" t="s">
        <v>97</v>
      </c>
      <c r="AY345" s="4" t="s">
        <v>97</v>
      </c>
      <c r="AZ345" s="4" t="s">
        <v>97</v>
      </c>
      <c r="BA345" s="4" t="s">
        <v>97</v>
      </c>
      <c r="BB345" s="5">
        <v>45946</v>
      </c>
      <c r="BC345" s="5">
        <v>45954</v>
      </c>
      <c r="BD345" s="5">
        <v>45955</v>
      </c>
      <c r="BE345" s="5">
        <v>45955</v>
      </c>
      <c r="BF345" s="4" t="s">
        <v>98</v>
      </c>
      <c r="BG345" s="4" t="s">
        <v>97</v>
      </c>
      <c r="BH345" s="4" t="s">
        <v>103</v>
      </c>
      <c r="BI345" s="4" t="s">
        <v>834</v>
      </c>
    </row>
    <row r="346" spans="1:61" x14ac:dyDescent="0.35">
      <c r="A346" s="4" t="s">
        <v>957</v>
      </c>
      <c r="B346" s="8" t="str">
        <f t="shared" si="32"/>
        <v>2025</v>
      </c>
      <c r="C346" s="2" t="s">
        <v>18</v>
      </c>
      <c r="D346" s="6" t="str">
        <f t="shared" si="33"/>
        <v>Dakar</v>
      </c>
      <c r="E346" s="6">
        <f t="shared" si="34"/>
        <v>419489</v>
      </c>
      <c r="F346" s="6">
        <f t="shared" si="35"/>
        <v>4042240</v>
      </c>
      <c r="G346" s="4" t="s">
        <v>960</v>
      </c>
      <c r="H346" s="4" t="s">
        <v>961</v>
      </c>
      <c r="I346" s="4">
        <v>54</v>
      </c>
      <c r="J346" s="4" t="s">
        <v>96</v>
      </c>
      <c r="K346" s="4"/>
      <c r="L346" s="4"/>
      <c r="M346" s="4"/>
      <c r="N346" s="4"/>
      <c r="O346" s="4" t="s">
        <v>238</v>
      </c>
      <c r="P346" s="4" t="s">
        <v>97</v>
      </c>
      <c r="Q346" s="4" t="s">
        <v>97</v>
      </c>
      <c r="R346" s="14" t="s">
        <v>100</v>
      </c>
      <c r="S346" s="14" t="s">
        <v>100</v>
      </c>
      <c r="T346" s="14" t="s">
        <v>100</v>
      </c>
      <c r="U346" s="8"/>
      <c r="V346" s="14"/>
      <c r="W346" s="14"/>
      <c r="X346" s="14"/>
      <c r="Y346" s="5">
        <v>45950</v>
      </c>
      <c r="Z346" s="5">
        <v>45956</v>
      </c>
      <c r="AA346" s="4" t="s">
        <v>103</v>
      </c>
      <c r="AB346" s="4" t="s">
        <v>488</v>
      </c>
      <c r="AC346" s="4" t="s">
        <v>103</v>
      </c>
      <c r="AD346" s="4" t="s">
        <v>97</v>
      </c>
      <c r="AE346" s="4" t="s">
        <v>97</v>
      </c>
      <c r="AF346" s="4" t="s">
        <v>103</v>
      </c>
      <c r="AG346" s="4" t="s">
        <v>103</v>
      </c>
      <c r="AH346" s="4" t="s">
        <v>103</v>
      </c>
      <c r="AI346" s="5">
        <v>45953</v>
      </c>
      <c r="AJ346" s="4" t="s">
        <v>97</v>
      </c>
      <c r="AK346" s="4" t="s">
        <v>103</v>
      </c>
      <c r="AL346" s="4" t="s">
        <v>97</v>
      </c>
      <c r="AM346" s="4" t="s">
        <v>103</v>
      </c>
      <c r="AN346" s="4" t="s">
        <v>97</v>
      </c>
      <c r="AO346" s="4" t="s">
        <v>97</v>
      </c>
      <c r="AP346" s="4" t="s">
        <v>97</v>
      </c>
      <c r="AQ346" s="4" t="s">
        <v>103</v>
      </c>
      <c r="AR346" s="4" t="s">
        <v>97</v>
      </c>
      <c r="AS346" s="4" t="s">
        <v>97</v>
      </c>
      <c r="AT346" s="4"/>
      <c r="AU346" s="4"/>
      <c r="AV346" s="4" t="s">
        <v>103</v>
      </c>
      <c r="AW346" s="4" t="s">
        <v>97</v>
      </c>
      <c r="AX346" s="4" t="s">
        <v>97</v>
      </c>
      <c r="AY346" s="4" t="s">
        <v>97</v>
      </c>
      <c r="AZ346" s="4" t="s">
        <v>97</v>
      </c>
      <c r="BA346" s="4" t="s">
        <v>97</v>
      </c>
      <c r="BB346" s="5">
        <v>45957</v>
      </c>
      <c r="BC346" s="5">
        <v>45957</v>
      </c>
      <c r="BD346" s="5">
        <v>45957</v>
      </c>
      <c r="BE346" s="5">
        <v>45957</v>
      </c>
      <c r="BF346" s="4" t="s">
        <v>98</v>
      </c>
      <c r="BG346" s="4" t="s">
        <v>103</v>
      </c>
      <c r="BH346" s="4" t="s">
        <v>103</v>
      </c>
      <c r="BI346" s="4" t="s">
        <v>834</v>
      </c>
    </row>
    <row r="347" spans="1:61" x14ac:dyDescent="0.35">
      <c r="A347" s="4" t="s">
        <v>957</v>
      </c>
      <c r="B347" s="8" t="str">
        <f t="shared" si="32"/>
        <v>2025</v>
      </c>
      <c r="C347" s="2" t="s">
        <v>74</v>
      </c>
      <c r="D347" s="6" t="str">
        <f t="shared" si="33"/>
        <v>Thies</v>
      </c>
      <c r="E347" s="6">
        <f t="shared" si="34"/>
        <v>374824</v>
      </c>
      <c r="F347" s="6">
        <f t="shared" si="35"/>
        <v>2280463</v>
      </c>
      <c r="G347" s="4" t="s">
        <v>962</v>
      </c>
      <c r="H347" s="4" t="s">
        <v>963</v>
      </c>
      <c r="I347" s="4">
        <v>66</v>
      </c>
      <c r="J347" s="4" t="s">
        <v>114</v>
      </c>
      <c r="K347" s="4"/>
      <c r="L347" s="4"/>
      <c r="M347" s="4"/>
      <c r="N347" s="4"/>
      <c r="O347" s="4" t="s">
        <v>238</v>
      </c>
      <c r="P347" s="4" t="s">
        <v>97</v>
      </c>
      <c r="Q347" s="4" t="s">
        <v>97</v>
      </c>
      <c r="R347" s="14" t="s">
        <v>100</v>
      </c>
      <c r="S347" s="14" t="s">
        <v>100</v>
      </c>
      <c r="T347" s="14" t="s">
        <v>100</v>
      </c>
      <c r="U347" s="8"/>
      <c r="V347" s="14"/>
      <c r="W347" s="14"/>
      <c r="X347" s="14"/>
      <c r="Y347" s="5">
        <v>45954</v>
      </c>
      <c r="Z347" s="5">
        <v>45958</v>
      </c>
      <c r="AA347" s="4" t="s">
        <v>97</v>
      </c>
      <c r="AB347" s="4"/>
      <c r="AC347" s="4" t="s">
        <v>97</v>
      </c>
      <c r="AD347" s="4" t="s">
        <v>97</v>
      </c>
      <c r="AE347" s="4" t="s">
        <v>97</v>
      </c>
      <c r="AF347" s="4" t="s">
        <v>103</v>
      </c>
      <c r="AG347" s="4" t="s">
        <v>97</v>
      </c>
      <c r="AH347" s="4" t="s">
        <v>103</v>
      </c>
      <c r="AI347" s="5">
        <v>45954</v>
      </c>
      <c r="AJ347" s="4" t="s">
        <v>103</v>
      </c>
      <c r="AK347" s="4" t="s">
        <v>103</v>
      </c>
      <c r="AL347" s="4" t="s">
        <v>97</v>
      </c>
      <c r="AM347" s="4" t="s">
        <v>97</v>
      </c>
      <c r="AN347" s="4" t="s">
        <v>103</v>
      </c>
      <c r="AO347" s="4" t="s">
        <v>97</v>
      </c>
      <c r="AP347" s="4" t="s">
        <v>97</v>
      </c>
      <c r="AQ347" s="4" t="s">
        <v>97</v>
      </c>
      <c r="AR347" s="4" t="s">
        <v>97</v>
      </c>
      <c r="AS347" s="4" t="s">
        <v>97</v>
      </c>
      <c r="AT347" s="4"/>
      <c r="AU347" s="4"/>
      <c r="AV347" s="4" t="s">
        <v>103</v>
      </c>
      <c r="AW347" s="4" t="s">
        <v>97</v>
      </c>
      <c r="AX347" s="4" t="s">
        <v>97</v>
      </c>
      <c r="AY347" s="4" t="s">
        <v>97</v>
      </c>
      <c r="AZ347" s="4" t="s">
        <v>103</v>
      </c>
      <c r="BA347" s="4" t="s">
        <v>97</v>
      </c>
      <c r="BB347" s="5">
        <v>45958</v>
      </c>
      <c r="BC347" s="5">
        <v>45958</v>
      </c>
      <c r="BD347" s="5">
        <v>45958</v>
      </c>
      <c r="BE347" s="5">
        <v>45958</v>
      </c>
      <c r="BF347" s="4" t="s">
        <v>98</v>
      </c>
      <c r="BG347" s="4" t="s">
        <v>97</v>
      </c>
      <c r="BH347" s="4" t="s">
        <v>103</v>
      </c>
      <c r="BI347" s="4" t="s">
        <v>834</v>
      </c>
    </row>
    <row r="348" spans="1:61" x14ac:dyDescent="0.35">
      <c r="A348" s="4" t="s">
        <v>957</v>
      </c>
      <c r="B348" s="8" t="s">
        <v>909</v>
      </c>
      <c r="C348" s="2" t="s">
        <v>75</v>
      </c>
      <c r="D348" s="6" t="str">
        <f t="shared" si="33"/>
        <v>Diourbel</v>
      </c>
      <c r="E348" s="6">
        <f t="shared" si="34"/>
        <v>996481</v>
      </c>
      <c r="F348" s="6">
        <f t="shared" si="35"/>
        <v>1980827</v>
      </c>
      <c r="G348" s="4" t="s">
        <v>964</v>
      </c>
      <c r="H348" s="4" t="s">
        <v>965</v>
      </c>
      <c r="I348" s="4">
        <v>30</v>
      </c>
      <c r="J348" s="4" t="s">
        <v>96</v>
      </c>
      <c r="K348" s="4"/>
      <c r="L348" s="4"/>
      <c r="M348" s="4"/>
      <c r="N348" s="4"/>
      <c r="O348" s="4" t="s">
        <v>238</v>
      </c>
      <c r="P348" s="4" t="s">
        <v>97</v>
      </c>
      <c r="Q348" s="4" t="s">
        <v>97</v>
      </c>
      <c r="R348" s="14" t="s">
        <v>100</v>
      </c>
      <c r="S348" s="14" t="s">
        <v>100</v>
      </c>
      <c r="T348" s="14" t="s">
        <v>100</v>
      </c>
      <c r="U348" s="8"/>
      <c r="V348" s="14"/>
      <c r="W348" s="14"/>
      <c r="X348" s="14"/>
      <c r="Y348" s="5">
        <v>45950</v>
      </c>
      <c r="Z348" s="5">
        <v>45958</v>
      </c>
      <c r="AA348" s="4" t="s">
        <v>103</v>
      </c>
      <c r="AB348" s="4" t="s">
        <v>488</v>
      </c>
      <c r="AC348" s="4" t="s">
        <v>97</v>
      </c>
      <c r="AD348" s="4" t="s">
        <v>97</v>
      </c>
      <c r="AE348" s="4" t="s">
        <v>97</v>
      </c>
      <c r="AF348" s="4" t="s">
        <v>97</v>
      </c>
      <c r="AG348" s="4" t="s">
        <v>103</v>
      </c>
      <c r="AH348" s="4" t="s">
        <v>103</v>
      </c>
      <c r="AI348" s="5">
        <v>45950</v>
      </c>
      <c r="AJ348" s="4" t="s">
        <v>97</v>
      </c>
      <c r="AK348" s="4" t="s">
        <v>97</v>
      </c>
      <c r="AL348" s="4" t="s">
        <v>97</v>
      </c>
      <c r="AM348" s="4" t="s">
        <v>103</v>
      </c>
      <c r="AN348" s="4" t="s">
        <v>103</v>
      </c>
      <c r="AO348" s="4" t="s">
        <v>97</v>
      </c>
      <c r="AP348" s="4" t="s">
        <v>97</v>
      </c>
      <c r="AQ348" s="4" t="s">
        <v>97</v>
      </c>
      <c r="AR348" s="4" t="s">
        <v>97</v>
      </c>
      <c r="AS348" s="4" t="s">
        <v>97</v>
      </c>
      <c r="AT348" s="4"/>
      <c r="AU348" s="4"/>
      <c r="AV348" s="4" t="s">
        <v>97</v>
      </c>
      <c r="AW348" s="4" t="s">
        <v>97</v>
      </c>
      <c r="AX348" s="4" t="s">
        <v>97</v>
      </c>
      <c r="AY348" s="4" t="s">
        <v>97</v>
      </c>
      <c r="AZ348" s="4" t="s">
        <v>103</v>
      </c>
      <c r="BA348" s="4" t="s">
        <v>97</v>
      </c>
      <c r="BB348" s="5">
        <v>45958</v>
      </c>
      <c r="BC348" s="5">
        <v>45958</v>
      </c>
      <c r="BD348" s="5">
        <v>45958</v>
      </c>
      <c r="BE348" s="5">
        <v>45958</v>
      </c>
      <c r="BF348" s="4" t="s">
        <v>98</v>
      </c>
      <c r="BG348" s="4" t="s">
        <v>97</v>
      </c>
      <c r="BH348" s="4" t="s">
        <v>103</v>
      </c>
      <c r="BI348" s="4" t="s">
        <v>834</v>
      </c>
    </row>
    <row r="349" spans="1:61" x14ac:dyDescent="0.35">
      <c r="A349" s="4" t="s">
        <v>957</v>
      </c>
      <c r="B349" s="8" t="s">
        <v>909</v>
      </c>
      <c r="C349" s="2" t="s">
        <v>75</v>
      </c>
      <c r="D349" s="6" t="str">
        <f t="shared" si="33"/>
        <v>Diourbel</v>
      </c>
      <c r="E349" s="6">
        <f t="shared" si="34"/>
        <v>996481</v>
      </c>
      <c r="F349" s="6">
        <f t="shared" si="35"/>
        <v>1980827</v>
      </c>
      <c r="G349" s="4" t="s">
        <v>966</v>
      </c>
      <c r="H349" s="4" t="s">
        <v>967</v>
      </c>
      <c r="I349" s="4">
        <v>1</v>
      </c>
      <c r="J349" s="4" t="s">
        <v>114</v>
      </c>
      <c r="K349" s="4"/>
      <c r="L349" s="4"/>
      <c r="M349" s="4"/>
      <c r="N349" s="4"/>
      <c r="O349" s="4" t="s">
        <v>238</v>
      </c>
      <c r="P349" s="4" t="s">
        <v>97</v>
      </c>
      <c r="Q349" s="4" t="s">
        <v>97</v>
      </c>
      <c r="R349" s="14" t="s">
        <v>100</v>
      </c>
      <c r="S349" s="14" t="s">
        <v>100</v>
      </c>
      <c r="T349" s="14" t="s">
        <v>100</v>
      </c>
      <c r="U349" s="8"/>
      <c r="V349" s="14"/>
      <c r="W349" s="14"/>
      <c r="X349" s="14"/>
      <c r="Y349" s="5">
        <v>45956</v>
      </c>
      <c r="Z349" s="5">
        <v>45957</v>
      </c>
      <c r="AA349" s="4" t="s">
        <v>103</v>
      </c>
      <c r="AB349" s="4" t="s">
        <v>488</v>
      </c>
      <c r="AC349" s="4" t="s">
        <v>97</v>
      </c>
      <c r="AD349" s="4" t="s">
        <v>97</v>
      </c>
      <c r="AE349" s="4" t="s">
        <v>97</v>
      </c>
      <c r="AF349" s="4" t="s">
        <v>97</v>
      </c>
      <c r="AG349" s="4" t="s">
        <v>97</v>
      </c>
      <c r="AH349" s="4" t="s">
        <v>103</v>
      </c>
      <c r="AI349" s="5">
        <v>45956</v>
      </c>
      <c r="AJ349" s="4" t="s">
        <v>97</v>
      </c>
      <c r="AK349" s="4" t="s">
        <v>97</v>
      </c>
      <c r="AL349" s="4" t="s">
        <v>97</v>
      </c>
      <c r="AM349" s="4" t="s">
        <v>103</v>
      </c>
      <c r="AN349" s="4" t="s">
        <v>103</v>
      </c>
      <c r="AO349" s="4" t="s">
        <v>97</v>
      </c>
      <c r="AP349" s="4" t="s">
        <v>97</v>
      </c>
      <c r="AQ349" s="4" t="s">
        <v>97</v>
      </c>
      <c r="AR349" s="4" t="s">
        <v>97</v>
      </c>
      <c r="AS349" s="4" t="s">
        <v>97</v>
      </c>
      <c r="AT349" s="4"/>
      <c r="AU349" s="4"/>
      <c r="AV349" s="4" t="s">
        <v>97</v>
      </c>
      <c r="AW349" s="4" t="s">
        <v>97</v>
      </c>
      <c r="AX349" s="4" t="s">
        <v>97</v>
      </c>
      <c r="AY349" s="4" t="s">
        <v>97</v>
      </c>
      <c r="AZ349" s="4" t="s">
        <v>103</v>
      </c>
      <c r="BA349" s="4" t="s">
        <v>97</v>
      </c>
      <c r="BB349" s="5">
        <v>45958</v>
      </c>
      <c r="BC349" s="5">
        <v>45958</v>
      </c>
      <c r="BD349" s="5">
        <v>45958</v>
      </c>
      <c r="BE349" s="5">
        <v>45958</v>
      </c>
      <c r="BF349" s="4" t="s">
        <v>98</v>
      </c>
      <c r="BG349" s="4" t="s">
        <v>97</v>
      </c>
      <c r="BH349" s="4" t="s">
        <v>103</v>
      </c>
      <c r="BI349" s="4" t="s">
        <v>834</v>
      </c>
    </row>
    <row r="350" spans="1:61" x14ac:dyDescent="0.35">
      <c r="A350" s="4" t="s">
        <v>957</v>
      </c>
      <c r="B350" s="8" t="str">
        <f t="shared" si="32"/>
        <v>2025</v>
      </c>
      <c r="C350" s="2" t="s">
        <v>75</v>
      </c>
      <c r="D350" s="6" t="str">
        <f t="shared" si="33"/>
        <v>Diourbel</v>
      </c>
      <c r="E350" s="6">
        <f t="shared" si="34"/>
        <v>996481</v>
      </c>
      <c r="F350" s="6">
        <f t="shared" si="35"/>
        <v>1980827</v>
      </c>
      <c r="G350" s="4" t="s">
        <v>968</v>
      </c>
      <c r="H350" s="4" t="s">
        <v>969</v>
      </c>
      <c r="I350" s="4">
        <v>1</v>
      </c>
      <c r="J350" s="4" t="s">
        <v>114</v>
      </c>
      <c r="K350" s="4"/>
      <c r="L350" s="4"/>
      <c r="M350" s="4"/>
      <c r="N350" s="4"/>
      <c r="O350" s="4" t="s">
        <v>238</v>
      </c>
      <c r="P350" s="4" t="s">
        <v>97</v>
      </c>
      <c r="Q350" s="4" t="s">
        <v>97</v>
      </c>
      <c r="R350" s="14" t="s">
        <v>100</v>
      </c>
      <c r="S350" s="14" t="s">
        <v>100</v>
      </c>
      <c r="T350" s="14" t="s">
        <v>100</v>
      </c>
      <c r="U350" s="8"/>
      <c r="V350" s="14"/>
      <c r="W350" s="14"/>
      <c r="X350" s="14"/>
      <c r="Y350" s="5">
        <v>45951</v>
      </c>
      <c r="Z350" s="5">
        <v>45952</v>
      </c>
      <c r="AA350" s="4" t="s">
        <v>97</v>
      </c>
      <c r="AB350" s="4"/>
      <c r="AC350" s="4" t="s">
        <v>97</v>
      </c>
      <c r="AD350" s="4" t="s">
        <v>97</v>
      </c>
      <c r="AE350" s="4" t="s">
        <v>97</v>
      </c>
      <c r="AF350" s="4" t="s">
        <v>97</v>
      </c>
      <c r="AG350" s="4" t="s">
        <v>97</v>
      </c>
      <c r="AH350" s="4" t="s">
        <v>103</v>
      </c>
      <c r="AI350" s="5">
        <v>45951</v>
      </c>
      <c r="AJ350" s="4" t="s">
        <v>97</v>
      </c>
      <c r="AK350" s="4" t="s">
        <v>97</v>
      </c>
      <c r="AL350" s="4" t="s">
        <v>97</v>
      </c>
      <c r="AM350" s="4" t="s">
        <v>103</v>
      </c>
      <c r="AN350" s="4" t="s">
        <v>103</v>
      </c>
      <c r="AO350" s="4" t="s">
        <v>97</v>
      </c>
      <c r="AP350" s="4" t="s">
        <v>97</v>
      </c>
      <c r="AQ350" s="4" t="s">
        <v>103</v>
      </c>
      <c r="AR350" s="4" t="s">
        <v>97</v>
      </c>
      <c r="AS350" s="4" t="s">
        <v>97</v>
      </c>
      <c r="AT350" s="4" t="s">
        <v>970</v>
      </c>
      <c r="AU350" s="4"/>
      <c r="AV350" s="4" t="s">
        <v>97</v>
      </c>
      <c r="AW350" s="4" t="s">
        <v>97</v>
      </c>
      <c r="AX350" s="4" t="s">
        <v>97</v>
      </c>
      <c r="AY350" s="4" t="s">
        <v>97</v>
      </c>
      <c r="AZ350" s="4" t="s">
        <v>103</v>
      </c>
      <c r="BA350" s="4" t="s">
        <v>97</v>
      </c>
      <c r="BB350" s="5">
        <v>45958</v>
      </c>
      <c r="BC350" s="5">
        <v>45958</v>
      </c>
      <c r="BD350" s="5">
        <v>45958</v>
      </c>
      <c r="BE350" s="5">
        <v>45958</v>
      </c>
      <c r="BF350" s="4" t="s">
        <v>98</v>
      </c>
      <c r="BG350" s="4" t="s">
        <v>103</v>
      </c>
      <c r="BH350" s="4" t="s">
        <v>103</v>
      </c>
      <c r="BI350" s="4" t="s">
        <v>834</v>
      </c>
    </row>
    <row r="351" spans="1:61" x14ac:dyDescent="0.35">
      <c r="A351" s="4" t="s">
        <v>957</v>
      </c>
      <c r="B351" s="8" t="str">
        <f t="shared" si="32"/>
        <v>2025</v>
      </c>
      <c r="C351" s="2" t="s">
        <v>75</v>
      </c>
      <c r="D351" s="6" t="str">
        <f t="shared" si="33"/>
        <v>Diourbel</v>
      </c>
      <c r="E351" s="6">
        <f t="shared" si="34"/>
        <v>996481</v>
      </c>
      <c r="F351" s="6">
        <f t="shared" si="35"/>
        <v>1980827</v>
      </c>
      <c r="G351" s="4" t="s">
        <v>971</v>
      </c>
      <c r="H351" s="4" t="s">
        <v>972</v>
      </c>
      <c r="I351" s="4">
        <v>13</v>
      </c>
      <c r="J351" s="4" t="s">
        <v>96</v>
      </c>
      <c r="K351" s="4"/>
      <c r="L351" s="4"/>
      <c r="M351" s="4"/>
      <c r="N351" s="4"/>
      <c r="O351" s="4" t="s">
        <v>238</v>
      </c>
      <c r="P351" s="4" t="s">
        <v>97</v>
      </c>
      <c r="Q351" s="4" t="s">
        <v>97</v>
      </c>
      <c r="R351" s="14" t="s">
        <v>100</v>
      </c>
      <c r="S351" s="14" t="s">
        <v>100</v>
      </c>
      <c r="T351" s="14" t="s">
        <v>100</v>
      </c>
      <c r="U351" s="8"/>
      <c r="V351" s="14"/>
      <c r="W351" s="14"/>
      <c r="X351" s="14"/>
      <c r="Y351" s="5">
        <v>45954</v>
      </c>
      <c r="Z351" s="5">
        <v>45957</v>
      </c>
      <c r="AA351" s="4" t="s">
        <v>97</v>
      </c>
      <c r="AB351" s="4"/>
      <c r="AC351" s="4" t="s">
        <v>97</v>
      </c>
      <c r="AD351" s="4" t="s">
        <v>97</v>
      </c>
      <c r="AE351" s="4" t="s">
        <v>97</v>
      </c>
      <c r="AF351" s="4" t="s">
        <v>103</v>
      </c>
      <c r="AG351" s="4" t="s">
        <v>97</v>
      </c>
      <c r="AH351" s="4" t="s">
        <v>103</v>
      </c>
      <c r="AI351" s="5">
        <v>45954</v>
      </c>
      <c r="AJ351" s="4" t="s">
        <v>97</v>
      </c>
      <c r="AK351" s="4" t="s">
        <v>97</v>
      </c>
      <c r="AL351" s="4" t="s">
        <v>97</v>
      </c>
      <c r="AM351" s="4" t="s">
        <v>97</v>
      </c>
      <c r="AN351" s="4" t="s">
        <v>103</v>
      </c>
      <c r="AO351" s="4" t="s">
        <v>97</v>
      </c>
      <c r="AP351" s="4" t="s">
        <v>97</v>
      </c>
      <c r="AQ351" s="4" t="s">
        <v>97</v>
      </c>
      <c r="AR351" s="4" t="s">
        <v>97</v>
      </c>
      <c r="AS351" s="4" t="s">
        <v>97</v>
      </c>
      <c r="AT351" s="4"/>
      <c r="AU351" s="4"/>
      <c r="AV351" s="4" t="s">
        <v>103</v>
      </c>
      <c r="AW351" s="4" t="s">
        <v>97</v>
      </c>
      <c r="AX351" s="4" t="s">
        <v>97</v>
      </c>
      <c r="AY351" s="4" t="s">
        <v>97</v>
      </c>
      <c r="AZ351" s="4" t="s">
        <v>103</v>
      </c>
      <c r="BA351" s="4" t="s">
        <v>97</v>
      </c>
      <c r="BB351" s="5">
        <v>45958</v>
      </c>
      <c r="BC351" s="5">
        <v>45958</v>
      </c>
      <c r="BD351" s="5">
        <v>45958</v>
      </c>
      <c r="BE351" s="5">
        <v>45958</v>
      </c>
      <c r="BF351" s="4" t="s">
        <v>98</v>
      </c>
      <c r="BG351" s="4" t="s">
        <v>97</v>
      </c>
      <c r="BH351" s="4" t="s">
        <v>103</v>
      </c>
      <c r="BI351" s="4" t="s">
        <v>834</v>
      </c>
    </row>
    <row r="352" spans="1:61" x14ac:dyDescent="0.35">
      <c r="A352" s="4" t="s">
        <v>957</v>
      </c>
      <c r="B352" s="8" t="str">
        <f t="shared" si="32"/>
        <v>2025</v>
      </c>
      <c r="C352" s="2" t="s">
        <v>37</v>
      </c>
      <c r="D352" s="6" t="str">
        <f t="shared" si="33"/>
        <v>Dakar</v>
      </c>
      <c r="E352" s="6">
        <f t="shared" si="34"/>
        <v>301226</v>
      </c>
      <c r="F352" s="6">
        <f t="shared" si="35"/>
        <v>4042240</v>
      </c>
      <c r="G352" s="4" t="s">
        <v>973</v>
      </c>
      <c r="H352" s="4" t="s">
        <v>974</v>
      </c>
      <c r="I352" s="4">
        <v>9</v>
      </c>
      <c r="J352" s="4" t="s">
        <v>114</v>
      </c>
      <c r="K352" s="4"/>
      <c r="L352" s="4"/>
      <c r="M352" s="4"/>
      <c r="N352" s="4"/>
      <c r="O352" s="4" t="s">
        <v>238</v>
      </c>
      <c r="P352" s="4" t="s">
        <v>97</v>
      </c>
      <c r="Q352" s="4" t="s">
        <v>97</v>
      </c>
      <c r="R352" s="14" t="s">
        <v>100</v>
      </c>
      <c r="S352" s="14" t="s">
        <v>100</v>
      </c>
      <c r="T352" s="14" t="s">
        <v>100</v>
      </c>
      <c r="U352" s="8"/>
      <c r="V352" s="14"/>
      <c r="W352" s="14"/>
      <c r="X352" s="14"/>
      <c r="Y352" s="5">
        <v>45955</v>
      </c>
      <c r="Z352" s="5">
        <v>45957</v>
      </c>
      <c r="AA352" s="4" t="s">
        <v>103</v>
      </c>
      <c r="AB352" s="4" t="s">
        <v>257</v>
      </c>
      <c r="AC352" s="4" t="s">
        <v>97</v>
      </c>
      <c r="AD352" s="4" t="s">
        <v>103</v>
      </c>
      <c r="AE352" s="4" t="s">
        <v>97</v>
      </c>
      <c r="AF352" s="4" t="s">
        <v>103</v>
      </c>
      <c r="AG352" s="4" t="s">
        <v>97</v>
      </c>
      <c r="AH352" s="4" t="s">
        <v>103</v>
      </c>
      <c r="AI352" s="5">
        <v>45955</v>
      </c>
      <c r="AJ352" s="4" t="s">
        <v>103</v>
      </c>
      <c r="AK352" s="4" t="s">
        <v>103</v>
      </c>
      <c r="AL352" s="4" t="s">
        <v>97</v>
      </c>
      <c r="AM352" s="4" t="s">
        <v>103</v>
      </c>
      <c r="AN352" s="4" t="s">
        <v>103</v>
      </c>
      <c r="AO352" s="4" t="s">
        <v>97</v>
      </c>
      <c r="AP352" s="4" t="s">
        <v>97</v>
      </c>
      <c r="AQ352" s="4" t="s">
        <v>97</v>
      </c>
      <c r="AR352" s="4" t="s">
        <v>97</v>
      </c>
      <c r="AS352" s="4" t="s">
        <v>97</v>
      </c>
      <c r="AT352" s="4"/>
      <c r="AU352" s="4"/>
      <c r="AV352" s="4" t="s">
        <v>103</v>
      </c>
      <c r="AW352" s="4" t="s">
        <v>103</v>
      </c>
      <c r="AX352" s="4" t="s">
        <v>103</v>
      </c>
      <c r="AY352" s="4" t="s">
        <v>97</v>
      </c>
      <c r="AZ352" s="4" t="s">
        <v>103</v>
      </c>
      <c r="BA352" s="4" t="s">
        <v>97</v>
      </c>
      <c r="BB352" s="5">
        <v>45957</v>
      </c>
      <c r="BC352" s="5">
        <v>45957</v>
      </c>
      <c r="BD352" s="5">
        <v>45958</v>
      </c>
      <c r="BE352" s="5">
        <v>45958</v>
      </c>
      <c r="BF352" s="4" t="s">
        <v>98</v>
      </c>
      <c r="BG352" s="4" t="s">
        <v>103</v>
      </c>
      <c r="BH352" s="4" t="s">
        <v>103</v>
      </c>
      <c r="BI352" s="4" t="s">
        <v>834</v>
      </c>
    </row>
    <row r="353" spans="1:61" x14ac:dyDescent="0.35">
      <c r="A353" s="4" t="s">
        <v>957</v>
      </c>
      <c r="B353" s="8" t="str">
        <f t="shared" si="32"/>
        <v>2025</v>
      </c>
      <c r="C353" s="2" t="s">
        <v>77</v>
      </c>
      <c r="D353" s="6" t="str">
        <f t="shared" si="33"/>
        <v>Dakar</v>
      </c>
      <c r="E353" s="6">
        <f t="shared" si="34"/>
        <v>341880</v>
      </c>
      <c r="F353" s="6">
        <f t="shared" si="35"/>
        <v>4042240</v>
      </c>
      <c r="G353" s="4" t="s">
        <v>975</v>
      </c>
      <c r="H353" s="4" t="s">
        <v>976</v>
      </c>
      <c r="I353" s="4">
        <v>33</v>
      </c>
      <c r="J353" s="4" t="s">
        <v>96</v>
      </c>
      <c r="K353" s="5"/>
      <c r="L353" s="4"/>
      <c r="M353" s="4"/>
      <c r="N353" s="4"/>
      <c r="O353" s="4" t="s">
        <v>238</v>
      </c>
      <c r="P353" s="4" t="s">
        <v>97</v>
      </c>
      <c r="Q353" s="4" t="s">
        <v>97</v>
      </c>
      <c r="R353" s="14" t="s">
        <v>100</v>
      </c>
      <c r="S353" s="14" t="s">
        <v>100</v>
      </c>
      <c r="T353" s="14" t="s">
        <v>100</v>
      </c>
      <c r="U353" s="8"/>
      <c r="V353" s="14"/>
      <c r="W353" s="14"/>
      <c r="X353" s="14"/>
      <c r="Y353" s="5">
        <v>45906</v>
      </c>
      <c r="Z353" s="5">
        <v>45957</v>
      </c>
      <c r="AA353" s="4" t="s">
        <v>103</v>
      </c>
      <c r="AB353" s="4" t="s">
        <v>488</v>
      </c>
      <c r="AC353" s="4" t="s">
        <v>97</v>
      </c>
      <c r="AD353" s="4" t="s">
        <v>97</v>
      </c>
      <c r="AE353" s="4" t="s">
        <v>97</v>
      </c>
      <c r="AF353" s="4" t="s">
        <v>97</v>
      </c>
      <c r="AG353" s="4" t="s">
        <v>97</v>
      </c>
      <c r="AH353" s="4" t="s">
        <v>103</v>
      </c>
      <c r="AI353" s="5">
        <v>45906</v>
      </c>
      <c r="AJ353" s="4" t="s">
        <v>97</v>
      </c>
      <c r="AK353" s="4" t="s">
        <v>97</v>
      </c>
      <c r="AL353" s="4" t="s">
        <v>97</v>
      </c>
      <c r="AM353" s="4" t="s">
        <v>97</v>
      </c>
      <c r="AN353" s="4" t="s">
        <v>97</v>
      </c>
      <c r="AO353" s="4" t="s">
        <v>97</v>
      </c>
      <c r="AP353" s="4" t="s">
        <v>97</v>
      </c>
      <c r="AQ353" s="4" t="s">
        <v>97</v>
      </c>
      <c r="AR353" s="4" t="s">
        <v>97</v>
      </c>
      <c r="AS353" s="4" t="s">
        <v>97</v>
      </c>
      <c r="AT353" s="4"/>
      <c r="AU353" s="4"/>
      <c r="AV353" s="4" t="s">
        <v>97</v>
      </c>
      <c r="AW353" s="4" t="s">
        <v>97</v>
      </c>
      <c r="AX353" s="4" t="s">
        <v>97</v>
      </c>
      <c r="AY353" s="4" t="s">
        <v>97</v>
      </c>
      <c r="AZ353" s="4" t="s">
        <v>103</v>
      </c>
      <c r="BA353" s="4" t="s">
        <v>97</v>
      </c>
      <c r="BB353" s="5">
        <v>45957</v>
      </c>
      <c r="BC353" s="5">
        <v>45957</v>
      </c>
      <c r="BD353" s="5">
        <v>45958</v>
      </c>
      <c r="BE353" s="5">
        <v>45958</v>
      </c>
      <c r="BF353" s="4" t="s">
        <v>98</v>
      </c>
      <c r="BG353" s="4" t="s">
        <v>97</v>
      </c>
      <c r="BH353" s="4" t="s">
        <v>103</v>
      </c>
      <c r="BI353" s="4" t="s">
        <v>834</v>
      </c>
    </row>
    <row r="354" spans="1:61" x14ac:dyDescent="0.35">
      <c r="A354" s="4" t="s">
        <v>957</v>
      </c>
      <c r="B354" s="8" t="str">
        <f t="shared" si="32"/>
        <v>2025</v>
      </c>
      <c r="C354" s="2" t="s">
        <v>77</v>
      </c>
      <c r="D354" s="6" t="str">
        <f t="shared" si="33"/>
        <v>Dakar</v>
      </c>
      <c r="E354" s="6">
        <f t="shared" si="34"/>
        <v>341880</v>
      </c>
      <c r="F354" s="6">
        <f t="shared" si="35"/>
        <v>4042240</v>
      </c>
      <c r="G354" s="4" t="s">
        <v>977</v>
      </c>
      <c r="H354" s="4" t="s">
        <v>978</v>
      </c>
      <c r="I354" s="4">
        <v>4</v>
      </c>
      <c r="J354" s="4" t="s">
        <v>114</v>
      </c>
      <c r="K354" s="5"/>
      <c r="L354" s="4"/>
      <c r="M354" s="4"/>
      <c r="N354" s="4"/>
      <c r="O354" s="4" t="s">
        <v>238</v>
      </c>
      <c r="P354" s="4" t="s">
        <v>97</v>
      </c>
      <c r="Q354" s="4" t="s">
        <v>97</v>
      </c>
      <c r="R354" s="14" t="s">
        <v>100</v>
      </c>
      <c r="S354" s="14" t="s">
        <v>100</v>
      </c>
      <c r="T354" s="14" t="s">
        <v>100</v>
      </c>
      <c r="U354" s="8"/>
      <c r="V354" s="14"/>
      <c r="W354" s="14"/>
      <c r="X354" s="14"/>
      <c r="Y354" s="5">
        <v>45906</v>
      </c>
      <c r="Z354" s="5">
        <v>45957</v>
      </c>
      <c r="AA354" s="4" t="s">
        <v>103</v>
      </c>
      <c r="AB354" s="4" t="s">
        <v>488</v>
      </c>
      <c r="AC354" s="4" t="s">
        <v>97</v>
      </c>
      <c r="AD354" s="4" t="s">
        <v>97</v>
      </c>
      <c r="AE354" s="4" t="s">
        <v>97</v>
      </c>
      <c r="AF354" s="4" t="s">
        <v>97</v>
      </c>
      <c r="AG354" s="4" t="s">
        <v>97</v>
      </c>
      <c r="AH354" s="4" t="s">
        <v>103</v>
      </c>
      <c r="AI354" s="5">
        <v>45906</v>
      </c>
      <c r="AJ354" s="4" t="s">
        <v>97</v>
      </c>
      <c r="AK354" s="4" t="s">
        <v>97</v>
      </c>
      <c r="AL354" s="4" t="s">
        <v>97</v>
      </c>
      <c r="AM354" s="4" t="s">
        <v>97</v>
      </c>
      <c r="AN354" s="4" t="s">
        <v>97</v>
      </c>
      <c r="AO354" s="4" t="s">
        <v>97</v>
      </c>
      <c r="AP354" s="4" t="s">
        <v>97</v>
      </c>
      <c r="AQ354" s="4" t="s">
        <v>97</v>
      </c>
      <c r="AR354" s="4" t="s">
        <v>97</v>
      </c>
      <c r="AS354" s="4" t="s">
        <v>97</v>
      </c>
      <c r="AT354" s="4"/>
      <c r="AU354" s="4"/>
      <c r="AV354" s="4" t="s">
        <v>97</v>
      </c>
      <c r="AW354" s="4" t="s">
        <v>97</v>
      </c>
      <c r="AX354" s="4" t="s">
        <v>97</v>
      </c>
      <c r="AY354" s="4" t="s">
        <v>97</v>
      </c>
      <c r="AZ354" s="4" t="s">
        <v>103</v>
      </c>
      <c r="BA354" s="4" t="s">
        <v>97</v>
      </c>
      <c r="BB354" s="5">
        <v>45957</v>
      </c>
      <c r="BC354" s="5">
        <v>45957</v>
      </c>
      <c r="BD354" s="5">
        <v>45958</v>
      </c>
      <c r="BE354" s="5">
        <v>45958</v>
      </c>
      <c r="BF354" s="4" t="s">
        <v>98</v>
      </c>
      <c r="BG354" s="4" t="s">
        <v>97</v>
      </c>
      <c r="BH354" s="4" t="s">
        <v>103</v>
      </c>
      <c r="BI354" s="4" t="s">
        <v>834</v>
      </c>
    </row>
    <row r="355" spans="1:61" x14ac:dyDescent="0.35">
      <c r="A355" s="4" t="s">
        <v>957</v>
      </c>
      <c r="B355" s="8" t="str">
        <f t="shared" si="32"/>
        <v>2025</v>
      </c>
      <c r="C355" s="2" t="s">
        <v>77</v>
      </c>
      <c r="D355" s="6" t="str">
        <f t="shared" si="33"/>
        <v>Dakar</v>
      </c>
      <c r="E355" s="6">
        <f t="shared" si="34"/>
        <v>341880</v>
      </c>
      <c r="F355" s="6">
        <f t="shared" si="35"/>
        <v>4042240</v>
      </c>
      <c r="G355" s="4" t="s">
        <v>979</v>
      </c>
      <c r="H355" s="4" t="s">
        <v>980</v>
      </c>
      <c r="I355" s="4">
        <v>11</v>
      </c>
      <c r="J355" s="4" t="s">
        <v>96</v>
      </c>
      <c r="K355" s="5"/>
      <c r="L355" s="4"/>
      <c r="M355" s="4"/>
      <c r="N355" s="4"/>
      <c r="O355" s="4" t="s">
        <v>238</v>
      </c>
      <c r="P355" s="4" t="s">
        <v>97</v>
      </c>
      <c r="Q355" s="4" t="s">
        <v>97</v>
      </c>
      <c r="R355" s="14" t="s">
        <v>100</v>
      </c>
      <c r="S355" s="14" t="s">
        <v>100</v>
      </c>
      <c r="T355" s="14" t="s">
        <v>100</v>
      </c>
      <c r="U355" s="8"/>
      <c r="V355" s="14"/>
      <c r="W355" s="14"/>
      <c r="X355" s="14"/>
      <c r="Y355" s="5">
        <v>45906</v>
      </c>
      <c r="Z355" s="5">
        <v>45957</v>
      </c>
      <c r="AA355" s="4" t="s">
        <v>103</v>
      </c>
      <c r="AB355" s="4" t="s">
        <v>488</v>
      </c>
      <c r="AC355" s="4" t="s">
        <v>97</v>
      </c>
      <c r="AD355" s="4" t="s">
        <v>103</v>
      </c>
      <c r="AE355" s="4" t="s">
        <v>97</v>
      </c>
      <c r="AF355" s="4" t="s">
        <v>97</v>
      </c>
      <c r="AG355" s="4" t="s">
        <v>97</v>
      </c>
      <c r="AH355" s="4" t="s">
        <v>103</v>
      </c>
      <c r="AI355" s="5">
        <v>45906</v>
      </c>
      <c r="AJ355" s="4" t="s">
        <v>97</v>
      </c>
      <c r="AK355" s="4" t="s">
        <v>97</v>
      </c>
      <c r="AL355" s="4" t="s">
        <v>97</v>
      </c>
      <c r="AM355" s="4" t="s">
        <v>97</v>
      </c>
      <c r="AN355" s="4" t="s">
        <v>103</v>
      </c>
      <c r="AO355" s="4" t="s">
        <v>97</v>
      </c>
      <c r="AP355" s="4" t="s">
        <v>97</v>
      </c>
      <c r="AQ355" s="4" t="s">
        <v>97</v>
      </c>
      <c r="AR355" s="4" t="s">
        <v>97</v>
      </c>
      <c r="AS355" s="4" t="s">
        <v>97</v>
      </c>
      <c r="AT355" s="4" t="s">
        <v>981</v>
      </c>
      <c r="AU355" s="4"/>
      <c r="AV355" s="4" t="s">
        <v>97</v>
      </c>
      <c r="AW355" s="4" t="s">
        <v>97</v>
      </c>
      <c r="AX355" s="4" t="s">
        <v>97</v>
      </c>
      <c r="AY355" s="4" t="s">
        <v>97</v>
      </c>
      <c r="AZ355" s="4" t="s">
        <v>103</v>
      </c>
      <c r="BA355" s="4" t="s">
        <v>97</v>
      </c>
      <c r="BB355" s="5">
        <v>45957</v>
      </c>
      <c r="BC355" s="5">
        <v>45957</v>
      </c>
      <c r="BD355" s="5">
        <v>45958</v>
      </c>
      <c r="BE355" s="5">
        <v>45958</v>
      </c>
      <c r="BF355" s="4" t="s">
        <v>98</v>
      </c>
      <c r="BG355" s="4" t="s">
        <v>97</v>
      </c>
      <c r="BH355" s="4" t="s">
        <v>103</v>
      </c>
      <c r="BI355" s="4" t="s">
        <v>834</v>
      </c>
    </row>
    <row r="356" spans="1:61" x14ac:dyDescent="0.35">
      <c r="A356" s="4" t="s">
        <v>957</v>
      </c>
      <c r="B356" s="8" t="str">
        <f t="shared" si="32"/>
        <v>2025</v>
      </c>
      <c r="C356" s="2" t="s">
        <v>77</v>
      </c>
      <c r="D356" s="6" t="str">
        <f t="shared" si="33"/>
        <v>Dakar</v>
      </c>
      <c r="E356" s="6">
        <f t="shared" si="34"/>
        <v>341880</v>
      </c>
      <c r="F356" s="6">
        <f t="shared" si="35"/>
        <v>4042240</v>
      </c>
      <c r="G356" s="4" t="s">
        <v>982</v>
      </c>
      <c r="H356" s="4" t="s">
        <v>983</v>
      </c>
      <c r="I356" s="4">
        <v>7</v>
      </c>
      <c r="J356" s="4" t="s">
        <v>96</v>
      </c>
      <c r="K356" s="5"/>
      <c r="L356" s="4"/>
      <c r="M356" s="4"/>
      <c r="N356" s="4"/>
      <c r="O356" s="4" t="s">
        <v>238</v>
      </c>
      <c r="P356" s="4" t="s">
        <v>97</v>
      </c>
      <c r="Q356" s="4" t="s">
        <v>97</v>
      </c>
      <c r="R356" s="14" t="s">
        <v>100</v>
      </c>
      <c r="S356" s="14" t="s">
        <v>100</v>
      </c>
      <c r="T356" s="14" t="s">
        <v>100</v>
      </c>
      <c r="U356" s="8"/>
      <c r="V356" s="14"/>
      <c r="W356" s="14"/>
      <c r="X356" s="14"/>
      <c r="Y356" s="5">
        <v>45906</v>
      </c>
      <c r="Z356" s="5">
        <v>45957</v>
      </c>
      <c r="AA356" s="4" t="s">
        <v>97</v>
      </c>
      <c r="AB356" s="4"/>
      <c r="AC356" s="4" t="s">
        <v>97</v>
      </c>
      <c r="AD356" s="4" t="s">
        <v>103</v>
      </c>
      <c r="AE356" s="4" t="s">
        <v>97</v>
      </c>
      <c r="AF356" s="4" t="s">
        <v>97</v>
      </c>
      <c r="AG356" s="4" t="s">
        <v>97</v>
      </c>
      <c r="AH356" s="4" t="s">
        <v>103</v>
      </c>
      <c r="AI356" s="5">
        <v>45906</v>
      </c>
      <c r="AJ356" s="4" t="s">
        <v>97</v>
      </c>
      <c r="AK356" s="4" t="s">
        <v>97</v>
      </c>
      <c r="AL356" s="4" t="s">
        <v>103</v>
      </c>
      <c r="AM356" s="4" t="s">
        <v>97</v>
      </c>
      <c r="AN356" s="4" t="s">
        <v>103</v>
      </c>
      <c r="AO356" s="4" t="s">
        <v>97</v>
      </c>
      <c r="AP356" s="4" t="s">
        <v>97</v>
      </c>
      <c r="AQ356" s="4" t="s">
        <v>97</v>
      </c>
      <c r="AR356" s="4" t="s">
        <v>97</v>
      </c>
      <c r="AS356" s="4" t="s">
        <v>97</v>
      </c>
      <c r="AT356" s="4"/>
      <c r="AU356" s="4"/>
      <c r="AV356" s="4" t="s">
        <v>97</v>
      </c>
      <c r="AW356" s="4" t="s">
        <v>97</v>
      </c>
      <c r="AX356" s="4" t="s">
        <v>97</v>
      </c>
      <c r="AY356" s="4" t="s">
        <v>97</v>
      </c>
      <c r="AZ356" s="4" t="s">
        <v>103</v>
      </c>
      <c r="BA356" s="4" t="s">
        <v>97</v>
      </c>
      <c r="BB356" s="5">
        <v>45957</v>
      </c>
      <c r="BC356" s="5">
        <v>45957</v>
      </c>
      <c r="BD356" s="5">
        <v>45958</v>
      </c>
      <c r="BE356" s="5">
        <v>45958</v>
      </c>
      <c r="BF356" s="4" t="s">
        <v>98</v>
      </c>
      <c r="BG356" s="4" t="s">
        <v>97</v>
      </c>
      <c r="BH356" s="4" t="s">
        <v>103</v>
      </c>
      <c r="BI356" s="4" t="s">
        <v>834</v>
      </c>
    </row>
    <row r="357" spans="1:61" x14ac:dyDescent="0.35">
      <c r="A357" s="4" t="s">
        <v>957</v>
      </c>
      <c r="B357" s="8" t="str">
        <f t="shared" si="32"/>
        <v>2025</v>
      </c>
      <c r="C357" s="2" t="s">
        <v>3</v>
      </c>
      <c r="D357" s="6" t="str">
        <f t="shared" si="33"/>
        <v>Kaolack</v>
      </c>
      <c r="E357" s="6">
        <f t="shared" si="34"/>
        <v>412872</v>
      </c>
      <c r="F357" s="6">
        <f t="shared" si="35"/>
        <v>1267013</v>
      </c>
      <c r="G357" s="4" t="s">
        <v>984</v>
      </c>
      <c r="H357" s="4" t="s">
        <v>985</v>
      </c>
      <c r="I357" s="4">
        <v>32</v>
      </c>
      <c r="J357" s="4" t="s">
        <v>114</v>
      </c>
      <c r="K357" s="4"/>
      <c r="L357" s="4"/>
      <c r="M357" s="4"/>
      <c r="N357" s="4"/>
      <c r="O357" s="4" t="s">
        <v>238</v>
      </c>
      <c r="P357" s="4" t="s">
        <v>97</v>
      </c>
      <c r="Q357" s="4" t="s">
        <v>97</v>
      </c>
      <c r="R357" s="14" t="s">
        <v>100</v>
      </c>
      <c r="S357" s="14" t="s">
        <v>100</v>
      </c>
      <c r="T357" s="14" t="s">
        <v>100</v>
      </c>
      <c r="U357" s="8"/>
      <c r="V357" s="14"/>
      <c r="W357" s="14"/>
      <c r="X357" s="14"/>
      <c r="Y357" s="5">
        <v>45953</v>
      </c>
      <c r="Z357" s="5">
        <v>45957</v>
      </c>
      <c r="AA357" s="4" t="s">
        <v>103</v>
      </c>
      <c r="AB357" s="4" t="s">
        <v>405</v>
      </c>
      <c r="AC357" s="4" t="s">
        <v>103</v>
      </c>
      <c r="AD357" s="4" t="s">
        <v>103</v>
      </c>
      <c r="AE357" s="4" t="s">
        <v>97</v>
      </c>
      <c r="AF357" s="4" t="s">
        <v>97</v>
      </c>
      <c r="AG357" s="4" t="s">
        <v>103</v>
      </c>
      <c r="AH357" s="4" t="s">
        <v>103</v>
      </c>
      <c r="AI357" s="5">
        <v>45954</v>
      </c>
      <c r="AJ357" s="4" t="s">
        <v>97</v>
      </c>
      <c r="AK357" s="4" t="s">
        <v>103</v>
      </c>
      <c r="AL357" s="4" t="s">
        <v>97</v>
      </c>
      <c r="AM357" s="4" t="s">
        <v>103</v>
      </c>
      <c r="AN357" s="4" t="s">
        <v>103</v>
      </c>
      <c r="AO357" s="4" t="s">
        <v>97</v>
      </c>
      <c r="AP357" s="4" t="s">
        <v>97</v>
      </c>
      <c r="AQ357" s="4" t="s">
        <v>97</v>
      </c>
      <c r="AR357" s="4" t="s">
        <v>97</v>
      </c>
      <c r="AS357" s="4" t="s">
        <v>97</v>
      </c>
      <c r="AT357" s="4" t="s">
        <v>987</v>
      </c>
      <c r="AU357" s="4" t="s">
        <v>986</v>
      </c>
      <c r="AV357" s="4" t="s">
        <v>103</v>
      </c>
      <c r="AW357" s="4" t="s">
        <v>97</v>
      </c>
      <c r="AX357" s="4" t="s">
        <v>97</v>
      </c>
      <c r="AY357" s="4" t="s">
        <v>97</v>
      </c>
      <c r="AZ357" s="4" t="s">
        <v>97</v>
      </c>
      <c r="BA357" s="4" t="s">
        <v>97</v>
      </c>
      <c r="BB357" s="5">
        <v>45957</v>
      </c>
      <c r="BC357" s="5">
        <v>45957</v>
      </c>
      <c r="BD357" s="5">
        <v>45958</v>
      </c>
      <c r="BE357" s="5">
        <v>45958</v>
      </c>
      <c r="BF357" s="4" t="s">
        <v>98</v>
      </c>
      <c r="BG357" s="4" t="s">
        <v>97</v>
      </c>
      <c r="BH357" s="4" t="s">
        <v>103</v>
      </c>
      <c r="BI357" s="4" t="s">
        <v>834</v>
      </c>
    </row>
    <row r="358" spans="1:61" x14ac:dyDescent="0.35">
      <c r="A358" s="4" t="s">
        <v>957</v>
      </c>
      <c r="B358" s="8" t="str">
        <f t="shared" si="32"/>
        <v>2025</v>
      </c>
      <c r="C358" s="2" t="s">
        <v>77</v>
      </c>
      <c r="D358" s="6" t="str">
        <f t="shared" si="33"/>
        <v>Dakar</v>
      </c>
      <c r="E358" s="6">
        <f t="shared" si="34"/>
        <v>341880</v>
      </c>
      <c r="F358" s="6">
        <f t="shared" si="35"/>
        <v>4042240</v>
      </c>
      <c r="G358" s="4" t="s">
        <v>988</v>
      </c>
      <c r="H358" s="4" t="s">
        <v>989</v>
      </c>
      <c r="I358" s="4">
        <v>5</v>
      </c>
      <c r="J358" s="4" t="s">
        <v>114</v>
      </c>
      <c r="L358" s="5"/>
      <c r="M358" s="4"/>
      <c r="N358" s="4"/>
      <c r="O358" s="4" t="s">
        <v>238</v>
      </c>
      <c r="P358" s="4" t="s">
        <v>97</v>
      </c>
      <c r="Q358" s="4" t="s">
        <v>97</v>
      </c>
      <c r="R358" s="14" t="s">
        <v>100</v>
      </c>
      <c r="S358" s="14" t="s">
        <v>100</v>
      </c>
      <c r="T358" s="14" t="s">
        <v>100</v>
      </c>
      <c r="U358" s="8"/>
      <c r="V358" s="14"/>
      <c r="W358" s="14"/>
      <c r="X358" s="14"/>
      <c r="Y358" s="5">
        <v>45906</v>
      </c>
      <c r="Z358" s="5">
        <v>45957</v>
      </c>
      <c r="AA358" s="4" t="s">
        <v>97</v>
      </c>
      <c r="AB358" s="4"/>
      <c r="AC358" s="4" t="s">
        <v>97</v>
      </c>
      <c r="AD358" s="4" t="s">
        <v>97</v>
      </c>
      <c r="AE358" s="4" t="s">
        <v>103</v>
      </c>
      <c r="AF358" s="4" t="s">
        <v>97</v>
      </c>
      <c r="AG358" s="4" t="s">
        <v>97</v>
      </c>
      <c r="AH358" s="4" t="s">
        <v>103</v>
      </c>
      <c r="AI358" s="5">
        <v>45906</v>
      </c>
      <c r="AJ358" s="4" t="s">
        <v>97</v>
      </c>
      <c r="AK358" s="4" t="s">
        <v>97</v>
      </c>
      <c r="AL358" s="4" t="s">
        <v>97</v>
      </c>
      <c r="AM358" s="4" t="s">
        <v>97</v>
      </c>
      <c r="AN358" s="4" t="s">
        <v>97</v>
      </c>
      <c r="AO358" s="4" t="s">
        <v>97</v>
      </c>
      <c r="AP358" s="4" t="s">
        <v>97</v>
      </c>
      <c r="AQ358" s="4" t="s">
        <v>97</v>
      </c>
      <c r="AR358" s="4" t="s">
        <v>97</v>
      </c>
      <c r="AS358" s="4" t="s">
        <v>97</v>
      </c>
      <c r="AT358" s="4"/>
      <c r="AU358" s="4"/>
      <c r="AV358" s="4" t="s">
        <v>97</v>
      </c>
      <c r="AW358" s="4" t="s">
        <v>97</v>
      </c>
      <c r="AX358" s="4" t="s">
        <v>97</v>
      </c>
      <c r="AY358" s="4" t="s">
        <v>97</v>
      </c>
      <c r="AZ358" s="4" t="s">
        <v>103</v>
      </c>
      <c r="BA358" s="4" t="s">
        <v>97</v>
      </c>
      <c r="BB358" s="5">
        <v>45957</v>
      </c>
      <c r="BC358" s="5">
        <v>45957</v>
      </c>
      <c r="BD358" s="5">
        <v>45958</v>
      </c>
      <c r="BE358" s="5">
        <v>45958</v>
      </c>
      <c r="BF358" s="4" t="s">
        <v>98</v>
      </c>
      <c r="BG358" s="4" t="s">
        <v>97</v>
      </c>
      <c r="BH358" s="4" t="s">
        <v>103</v>
      </c>
      <c r="BI358" s="4" t="s">
        <v>834</v>
      </c>
    </row>
    <row r="359" spans="1:61" x14ac:dyDescent="0.35">
      <c r="A359" s="4" t="s">
        <v>957</v>
      </c>
      <c r="B359" s="8" t="str">
        <f t="shared" si="32"/>
        <v>2025</v>
      </c>
      <c r="C359" s="2" t="s">
        <v>19</v>
      </c>
      <c r="D359" s="6" t="str">
        <f t="shared" si="33"/>
        <v>Dakar</v>
      </c>
      <c r="E359" s="6">
        <f t="shared" si="34"/>
        <v>565040</v>
      </c>
      <c r="F359" s="6">
        <f t="shared" si="35"/>
        <v>4042240</v>
      </c>
      <c r="G359" s="4" t="s">
        <v>990</v>
      </c>
      <c r="H359" s="4" t="s">
        <v>991</v>
      </c>
      <c r="I359" s="4"/>
      <c r="J359" s="4" t="s">
        <v>114</v>
      </c>
      <c r="K359" s="4"/>
      <c r="L359" s="4"/>
      <c r="M359" s="4"/>
      <c r="N359" s="4"/>
      <c r="O359" s="4" t="s">
        <v>238</v>
      </c>
      <c r="P359" s="4" t="s">
        <v>97</v>
      </c>
      <c r="Q359" s="4" t="s">
        <v>97</v>
      </c>
      <c r="R359" s="14" t="s">
        <v>100</v>
      </c>
      <c r="S359" s="14" t="s">
        <v>100</v>
      </c>
      <c r="T359" s="14" t="s">
        <v>100</v>
      </c>
      <c r="U359" s="8"/>
      <c r="V359" s="14"/>
      <c r="W359" s="14"/>
      <c r="X359" s="14"/>
      <c r="Y359" s="5">
        <v>45916</v>
      </c>
      <c r="Z359" s="5">
        <v>45958</v>
      </c>
      <c r="AA359" s="4" t="s">
        <v>97</v>
      </c>
      <c r="AB359" s="4"/>
      <c r="AC359" s="4" t="s">
        <v>97</v>
      </c>
      <c r="AD359" s="4" t="s">
        <v>97</v>
      </c>
      <c r="AE359" s="4" t="s">
        <v>97</v>
      </c>
      <c r="AF359" s="4" t="s">
        <v>97</v>
      </c>
      <c r="AG359" s="4" t="s">
        <v>97</v>
      </c>
      <c r="AH359" s="4" t="s">
        <v>103</v>
      </c>
      <c r="AI359" s="5">
        <v>45946</v>
      </c>
      <c r="AJ359" s="4" t="s">
        <v>97</v>
      </c>
      <c r="AK359" s="4" t="s">
        <v>97</v>
      </c>
      <c r="AL359" s="4" t="s">
        <v>97</v>
      </c>
      <c r="AM359" s="4" t="s">
        <v>97</v>
      </c>
      <c r="AN359" s="4" t="s">
        <v>103</v>
      </c>
      <c r="AO359" s="4" t="s">
        <v>103</v>
      </c>
      <c r="AP359" s="4" t="s">
        <v>103</v>
      </c>
      <c r="AQ359" s="4" t="s">
        <v>97</v>
      </c>
      <c r="AR359" s="4" t="s">
        <v>97</v>
      </c>
      <c r="AS359" s="4" t="s">
        <v>97</v>
      </c>
      <c r="AT359" s="4"/>
      <c r="AU359" s="4"/>
      <c r="AV359" s="4" t="s">
        <v>103</v>
      </c>
      <c r="AW359" s="4" t="s">
        <v>103</v>
      </c>
      <c r="AX359" s="4" t="s">
        <v>97</v>
      </c>
      <c r="AY359" s="4" t="s">
        <v>97</v>
      </c>
      <c r="AZ359" s="4" t="s">
        <v>103</v>
      </c>
      <c r="BA359" s="4" t="s">
        <v>97</v>
      </c>
      <c r="BB359" s="5">
        <v>45958</v>
      </c>
      <c r="BC359" s="5">
        <v>45959</v>
      </c>
      <c r="BD359" s="5">
        <v>45959</v>
      </c>
      <c r="BE359" s="5">
        <v>45959</v>
      </c>
      <c r="BF359" s="4" t="s">
        <v>98</v>
      </c>
      <c r="BG359" s="4" t="s">
        <v>103</v>
      </c>
      <c r="BH359" s="4" t="s">
        <v>97</v>
      </c>
      <c r="BI359" s="4" t="s">
        <v>834</v>
      </c>
    </row>
    <row r="360" spans="1:61" x14ac:dyDescent="0.35">
      <c r="A360" s="4" t="s">
        <v>957</v>
      </c>
      <c r="B360" s="8" t="str">
        <f t="shared" si="32"/>
        <v>2025</v>
      </c>
      <c r="C360" s="2" t="s">
        <v>19</v>
      </c>
      <c r="D360" s="6" t="str">
        <f t="shared" si="33"/>
        <v>Dakar</v>
      </c>
      <c r="E360" s="6">
        <f t="shared" si="34"/>
        <v>565040</v>
      </c>
      <c r="F360" s="6">
        <f t="shared" si="35"/>
        <v>4042240</v>
      </c>
      <c r="G360" s="4" t="s">
        <v>992</v>
      </c>
      <c r="H360" s="4" t="s">
        <v>993</v>
      </c>
      <c r="I360" s="4">
        <v>19</v>
      </c>
      <c r="J360" s="4" t="s">
        <v>96</v>
      </c>
      <c r="K360" s="4"/>
      <c r="L360" s="4"/>
      <c r="M360" s="4"/>
      <c r="N360" s="4"/>
      <c r="O360" s="4" t="s">
        <v>238</v>
      </c>
      <c r="P360" s="4" t="s">
        <v>97</v>
      </c>
      <c r="Q360" s="4" t="s">
        <v>97</v>
      </c>
      <c r="R360" s="14" t="s">
        <v>100</v>
      </c>
      <c r="S360" s="14" t="s">
        <v>100</v>
      </c>
      <c r="T360" s="14" t="s">
        <v>100</v>
      </c>
      <c r="U360" s="8"/>
      <c r="V360" s="14"/>
      <c r="W360" s="14"/>
      <c r="X360" s="14"/>
      <c r="Y360" s="5">
        <v>45947</v>
      </c>
      <c r="Z360" s="5">
        <v>45958</v>
      </c>
      <c r="AA360" s="4" t="s">
        <v>103</v>
      </c>
      <c r="AB360" s="4" t="s">
        <v>405</v>
      </c>
      <c r="AC360" s="4" t="s">
        <v>103</v>
      </c>
      <c r="AD360" s="4" t="s">
        <v>97</v>
      </c>
      <c r="AE360" s="4" t="s">
        <v>97</v>
      </c>
      <c r="AF360" s="4" t="s">
        <v>103</v>
      </c>
      <c r="AG360" s="4" t="s">
        <v>103</v>
      </c>
      <c r="AH360" s="4" t="s">
        <v>103</v>
      </c>
      <c r="AI360" s="5">
        <v>45947</v>
      </c>
      <c r="AJ360" s="4" t="s">
        <v>97</v>
      </c>
      <c r="AK360" s="4" t="s">
        <v>97</v>
      </c>
      <c r="AL360" s="4" t="s">
        <v>97</v>
      </c>
      <c r="AM360" s="4" t="s">
        <v>97</v>
      </c>
      <c r="AN360" s="4" t="s">
        <v>97</v>
      </c>
      <c r="AO360" s="4" t="s">
        <v>97</v>
      </c>
      <c r="AP360" s="4" t="s">
        <v>97</v>
      </c>
      <c r="AQ360" s="4" t="s">
        <v>97</v>
      </c>
      <c r="AR360" s="4" t="s">
        <v>97</v>
      </c>
      <c r="AS360" s="4" t="s">
        <v>97</v>
      </c>
      <c r="AT360" s="4"/>
      <c r="AU360" s="4" t="s">
        <v>994</v>
      </c>
      <c r="AV360" s="4" t="s">
        <v>97</v>
      </c>
      <c r="AW360" s="4" t="s">
        <v>97</v>
      </c>
      <c r="AX360" s="4" t="s">
        <v>97</v>
      </c>
      <c r="AY360" s="4" t="s">
        <v>97</v>
      </c>
      <c r="AZ360" s="4" t="s">
        <v>103</v>
      </c>
      <c r="BA360" s="4" t="s">
        <v>97</v>
      </c>
      <c r="BB360" s="5">
        <v>45958</v>
      </c>
      <c r="BC360" s="5">
        <v>45959</v>
      </c>
      <c r="BD360" s="5">
        <v>45960</v>
      </c>
      <c r="BE360" s="5">
        <v>45960</v>
      </c>
      <c r="BF360" s="4" t="s">
        <v>98</v>
      </c>
      <c r="BG360" s="4" t="s">
        <v>97</v>
      </c>
      <c r="BH360" s="4" t="s">
        <v>103</v>
      </c>
      <c r="BI360" s="4" t="s">
        <v>834</v>
      </c>
    </row>
    <row r="361" spans="1:61" x14ac:dyDescent="0.35">
      <c r="A361" s="4" t="s">
        <v>957</v>
      </c>
      <c r="B361" s="8" t="str">
        <f t="shared" si="32"/>
        <v>2025</v>
      </c>
      <c r="C361" s="2" t="s">
        <v>63</v>
      </c>
      <c r="D361" s="6" t="str">
        <f t="shared" si="33"/>
        <v>Saint-Louis</v>
      </c>
      <c r="E361" s="6">
        <f t="shared" si="34"/>
        <v>205977</v>
      </c>
      <c r="F361" s="6">
        <f t="shared" si="35"/>
        <v>1150065</v>
      </c>
      <c r="G361" s="4" t="s">
        <v>995</v>
      </c>
      <c r="H361" s="4" t="s">
        <v>996</v>
      </c>
      <c r="I361" s="4">
        <v>15</v>
      </c>
      <c r="J361" s="4" t="s">
        <v>114</v>
      </c>
      <c r="K361" s="4"/>
      <c r="L361" s="4"/>
      <c r="M361" s="4"/>
      <c r="N361" s="4"/>
      <c r="O361" s="4" t="s">
        <v>238</v>
      </c>
      <c r="P361" s="4" t="s">
        <v>97</v>
      </c>
      <c r="Q361" s="4" t="s">
        <v>97</v>
      </c>
      <c r="R361" s="14" t="s">
        <v>100</v>
      </c>
      <c r="S361" s="14" t="s">
        <v>100</v>
      </c>
      <c r="T361" s="14" t="s">
        <v>100</v>
      </c>
      <c r="U361" s="8"/>
      <c r="V361" s="14"/>
      <c r="W361" s="14"/>
      <c r="X361" s="14"/>
      <c r="Y361" s="5">
        <v>45948</v>
      </c>
      <c r="Z361" s="5">
        <v>45958</v>
      </c>
      <c r="AA361" s="4" t="s">
        <v>97</v>
      </c>
      <c r="AB361" s="4"/>
      <c r="AC361" s="4" t="s">
        <v>97</v>
      </c>
      <c r="AD361" s="4" t="s">
        <v>103</v>
      </c>
      <c r="AE361" s="4" t="s">
        <v>97</v>
      </c>
      <c r="AF361" s="4" t="s">
        <v>97</v>
      </c>
      <c r="AG361" s="4" t="s">
        <v>97</v>
      </c>
      <c r="AH361" s="4" t="s">
        <v>103</v>
      </c>
      <c r="AI361" s="5">
        <v>45948</v>
      </c>
      <c r="AJ361" s="4" t="s">
        <v>97</v>
      </c>
      <c r="AK361" s="4" t="s">
        <v>97</v>
      </c>
      <c r="AL361" s="4" t="s">
        <v>103</v>
      </c>
      <c r="AM361" s="4" t="s">
        <v>97</v>
      </c>
      <c r="AN361" s="4" t="s">
        <v>103</v>
      </c>
      <c r="AO361" s="4" t="s">
        <v>97</v>
      </c>
      <c r="AP361" s="4" t="s">
        <v>103</v>
      </c>
      <c r="AQ361" s="4" t="s">
        <v>97</v>
      </c>
      <c r="AR361" s="4" t="s">
        <v>97</v>
      </c>
      <c r="AS361" s="4" t="s">
        <v>103</v>
      </c>
      <c r="AT361" s="4"/>
      <c r="AU361" s="4"/>
      <c r="AV361" s="4" t="s">
        <v>103</v>
      </c>
      <c r="AW361" s="4" t="s">
        <v>97</v>
      </c>
      <c r="AX361" s="4" t="s">
        <v>97</v>
      </c>
      <c r="AY361" s="4" t="s">
        <v>97</v>
      </c>
      <c r="AZ361" s="4" t="s">
        <v>97</v>
      </c>
      <c r="BA361" s="4" t="s">
        <v>97</v>
      </c>
      <c r="BB361" s="5">
        <v>45958</v>
      </c>
      <c r="BC361" s="5">
        <v>45959</v>
      </c>
      <c r="BD361" s="5">
        <v>45960</v>
      </c>
      <c r="BE361" s="5">
        <v>45960</v>
      </c>
      <c r="BF361" s="4" t="s">
        <v>98</v>
      </c>
      <c r="BG361" s="4" t="s">
        <v>97</v>
      </c>
      <c r="BH361" s="4" t="s">
        <v>103</v>
      </c>
      <c r="BI361" s="4" t="s">
        <v>834</v>
      </c>
    </row>
    <row r="362" spans="1:61" x14ac:dyDescent="0.35">
      <c r="A362" s="4" t="s">
        <v>957</v>
      </c>
      <c r="B362" s="8" t="str">
        <f t="shared" si="32"/>
        <v>2025</v>
      </c>
      <c r="C362" s="2" t="s">
        <v>65</v>
      </c>
      <c r="D362" s="6" t="str">
        <f t="shared" si="33"/>
        <v>Saint-Louis</v>
      </c>
      <c r="E362" s="6">
        <f t="shared" si="34"/>
        <v>375150</v>
      </c>
      <c r="F362" s="6">
        <f t="shared" si="35"/>
        <v>1150065</v>
      </c>
      <c r="G362" s="4" t="s">
        <v>997</v>
      </c>
      <c r="H362" s="4" t="s">
        <v>998</v>
      </c>
      <c r="I362" s="4">
        <v>10</v>
      </c>
      <c r="J362" s="4" t="s">
        <v>96</v>
      </c>
      <c r="K362" s="4"/>
      <c r="L362" s="4"/>
      <c r="M362" s="4"/>
      <c r="N362" s="4"/>
      <c r="O362" s="4" t="s">
        <v>238</v>
      </c>
      <c r="P362" s="4" t="s">
        <v>97</v>
      </c>
      <c r="Q362" s="4" t="s">
        <v>97</v>
      </c>
      <c r="R362" s="14" t="s">
        <v>100</v>
      </c>
      <c r="S362" s="14" t="s">
        <v>100</v>
      </c>
      <c r="T362" s="14" t="s">
        <v>100</v>
      </c>
      <c r="U362" s="8"/>
      <c r="V362" s="14"/>
      <c r="W362" s="14"/>
      <c r="X362" s="14"/>
      <c r="Y362" s="5">
        <v>45950</v>
      </c>
      <c r="Z362" s="5">
        <v>45953</v>
      </c>
      <c r="AA362" s="4" t="s">
        <v>103</v>
      </c>
      <c r="AB362" s="4" t="s">
        <v>488</v>
      </c>
      <c r="AC362" s="4" t="s">
        <v>97</v>
      </c>
      <c r="AD362" s="4" t="s">
        <v>103</v>
      </c>
      <c r="AE362" s="4" t="s">
        <v>97</v>
      </c>
      <c r="AF362" s="4" t="s">
        <v>103</v>
      </c>
      <c r="AG362" s="4" t="s">
        <v>103</v>
      </c>
      <c r="AH362" s="4" t="s">
        <v>103</v>
      </c>
      <c r="AI362" s="5">
        <v>45950</v>
      </c>
      <c r="AJ362" s="4" t="s">
        <v>97</v>
      </c>
      <c r="AK362" s="4" t="s">
        <v>97</v>
      </c>
      <c r="AL362" s="4" t="s">
        <v>97</v>
      </c>
      <c r="AM362" s="4" t="s">
        <v>97</v>
      </c>
      <c r="AN362" s="4" t="s">
        <v>103</v>
      </c>
      <c r="AO362" s="4" t="s">
        <v>103</v>
      </c>
      <c r="AP362" s="4" t="s">
        <v>103</v>
      </c>
      <c r="AQ362" s="4" t="s">
        <v>97</v>
      </c>
      <c r="AR362" s="4" t="s">
        <v>97</v>
      </c>
      <c r="AS362" s="4" t="s">
        <v>97</v>
      </c>
      <c r="AT362" s="4"/>
      <c r="AU362" s="4"/>
      <c r="AV362" s="4" t="s">
        <v>97</v>
      </c>
      <c r="AW362" s="4" t="s">
        <v>103</v>
      </c>
      <c r="AX362" s="4" t="s">
        <v>97</v>
      </c>
      <c r="AY362" s="4" t="s">
        <v>97</v>
      </c>
      <c r="AZ362" s="4" t="s">
        <v>97</v>
      </c>
      <c r="BA362" s="4" t="s">
        <v>97</v>
      </c>
      <c r="BB362" s="5">
        <v>45953</v>
      </c>
      <c r="BC362" s="5">
        <v>45959</v>
      </c>
      <c r="BD362" s="5">
        <v>45960</v>
      </c>
      <c r="BE362" s="5">
        <v>45960</v>
      </c>
      <c r="BF362" s="4" t="s">
        <v>98</v>
      </c>
      <c r="BG362" s="4" t="s">
        <v>97</v>
      </c>
      <c r="BH362" s="4" t="s">
        <v>97</v>
      </c>
      <c r="BI362" s="4" t="s">
        <v>834</v>
      </c>
    </row>
    <row r="363" spans="1:61" x14ac:dyDescent="0.35">
      <c r="A363" s="4" t="s">
        <v>957</v>
      </c>
      <c r="B363" s="8" t="str">
        <f t="shared" si="32"/>
        <v>2025</v>
      </c>
      <c r="C363" s="2" t="s">
        <v>76</v>
      </c>
      <c r="D363" s="6" t="str">
        <f t="shared" si="33"/>
        <v>Kolda</v>
      </c>
      <c r="E363" s="6">
        <f t="shared" si="34"/>
        <v>367976</v>
      </c>
      <c r="F363" s="6">
        <f t="shared" si="35"/>
        <v>875661</v>
      </c>
      <c r="G363" s="4" t="s">
        <v>999</v>
      </c>
      <c r="H363" s="4" t="s">
        <v>1000</v>
      </c>
      <c r="I363" s="4">
        <v>25</v>
      </c>
      <c r="J363" s="4" t="s">
        <v>114</v>
      </c>
      <c r="K363" s="3" t="s">
        <v>1017</v>
      </c>
      <c r="L363" s="5">
        <v>45957</v>
      </c>
      <c r="M363" s="4"/>
      <c r="N363" s="4"/>
      <c r="O363" s="4" t="s">
        <v>238</v>
      </c>
      <c r="P363" s="4" t="s">
        <v>97</v>
      </c>
      <c r="Q363" s="4" t="s">
        <v>97</v>
      </c>
      <c r="R363" s="14" t="s">
        <v>100</v>
      </c>
      <c r="S363" s="14" t="s">
        <v>100</v>
      </c>
      <c r="T363" s="14" t="s">
        <v>100</v>
      </c>
      <c r="U363" s="8"/>
      <c r="V363" s="14"/>
      <c r="W363" s="14"/>
      <c r="X363" s="14"/>
      <c r="Y363" s="24" t="s">
        <v>1001</v>
      </c>
      <c r="Z363" s="5">
        <v>45957</v>
      </c>
      <c r="AA363" s="4" t="s">
        <v>103</v>
      </c>
      <c r="AB363" s="4"/>
      <c r="AC363" s="4" t="s">
        <v>97</v>
      </c>
      <c r="AD363" s="4" t="s">
        <v>97</v>
      </c>
      <c r="AE363" s="4" t="s">
        <v>97</v>
      </c>
      <c r="AF363" s="4" t="s">
        <v>103</v>
      </c>
      <c r="AG363" s="4" t="s">
        <v>97</v>
      </c>
      <c r="AH363" s="4" t="s">
        <v>103</v>
      </c>
      <c r="AI363" s="5">
        <v>45956</v>
      </c>
      <c r="AJ363" s="4" t="s">
        <v>97</v>
      </c>
      <c r="AK363" s="4" t="s">
        <v>97</v>
      </c>
      <c r="AL363" s="4" t="s">
        <v>97</v>
      </c>
      <c r="AM363" s="4" t="s">
        <v>97</v>
      </c>
      <c r="AN363" s="4" t="s">
        <v>97</v>
      </c>
      <c r="AO363" s="4" t="s">
        <v>97</v>
      </c>
      <c r="AP363" s="4" t="s">
        <v>97</v>
      </c>
      <c r="AQ363" s="4" t="s">
        <v>97</v>
      </c>
      <c r="AR363" s="4" t="s">
        <v>97</v>
      </c>
      <c r="AS363" s="4" t="s">
        <v>97</v>
      </c>
      <c r="AT363" s="4"/>
      <c r="AU363" s="4"/>
      <c r="AV363" s="4" t="s">
        <v>103</v>
      </c>
      <c r="AW363" s="4" t="s">
        <v>97</v>
      </c>
      <c r="AX363" s="4" t="s">
        <v>97</v>
      </c>
      <c r="AY363" s="4" t="s">
        <v>97</v>
      </c>
      <c r="AZ363" s="4" t="s">
        <v>97</v>
      </c>
      <c r="BA363" s="4" t="s">
        <v>97</v>
      </c>
      <c r="BB363" s="5">
        <v>45958</v>
      </c>
      <c r="BC363" s="5">
        <v>45959</v>
      </c>
      <c r="BD363" s="5">
        <v>45960</v>
      </c>
      <c r="BE363" s="5">
        <v>45960</v>
      </c>
      <c r="BF363" s="4" t="s">
        <v>98</v>
      </c>
      <c r="BG363" s="4" t="s">
        <v>97</v>
      </c>
      <c r="BH363" s="4" t="s">
        <v>103</v>
      </c>
      <c r="BI363" s="4" t="s">
        <v>834</v>
      </c>
    </row>
    <row r="364" spans="1:61" x14ac:dyDescent="0.35">
      <c r="A364" s="4" t="s">
        <v>957</v>
      </c>
      <c r="B364" s="8" t="str">
        <f t="shared" si="32"/>
        <v>2025</v>
      </c>
      <c r="C364" s="2" t="s">
        <v>1</v>
      </c>
      <c r="D364" s="6" t="str">
        <f t="shared" si="33"/>
        <v>Matam</v>
      </c>
      <c r="E364" s="6">
        <f t="shared" si="34"/>
        <v>110915</v>
      </c>
      <c r="F364" s="6">
        <f t="shared" si="35"/>
        <v>789215</v>
      </c>
      <c r="G364" s="4" t="s">
        <v>1002</v>
      </c>
      <c r="H364" s="4" t="s">
        <v>1003</v>
      </c>
      <c r="I364" s="4">
        <v>24</v>
      </c>
      <c r="J364" s="4" t="s">
        <v>114</v>
      </c>
      <c r="K364" s="4"/>
      <c r="L364" s="4"/>
      <c r="M364" s="4"/>
      <c r="N364" s="4"/>
      <c r="O364" s="4" t="s">
        <v>238</v>
      </c>
      <c r="P364" s="4" t="s">
        <v>97</v>
      </c>
      <c r="Q364" s="4" t="s">
        <v>97</v>
      </c>
      <c r="R364" s="14" t="s">
        <v>100</v>
      </c>
      <c r="S364" s="14" t="s">
        <v>100</v>
      </c>
      <c r="T364" s="14" t="s">
        <v>100</v>
      </c>
      <c r="U364" s="8"/>
      <c r="V364" s="14"/>
      <c r="W364" s="14"/>
      <c r="X364" s="14"/>
      <c r="Y364" s="5">
        <v>45950</v>
      </c>
      <c r="Z364" s="5">
        <v>45958</v>
      </c>
      <c r="AA364" s="4" t="s">
        <v>97</v>
      </c>
      <c r="AB364" s="4"/>
      <c r="AC364" s="4" t="s">
        <v>97</v>
      </c>
      <c r="AD364" s="4" t="s">
        <v>97</v>
      </c>
      <c r="AE364" s="4" t="s">
        <v>97</v>
      </c>
      <c r="AF364" s="4" t="s">
        <v>97</v>
      </c>
      <c r="AG364" s="4" t="s">
        <v>97</v>
      </c>
      <c r="AH364" s="4" t="s">
        <v>97</v>
      </c>
      <c r="AI364" s="5">
        <v>45956</v>
      </c>
      <c r="AJ364" s="4" t="s">
        <v>97</v>
      </c>
      <c r="AK364" s="4" t="s">
        <v>97</v>
      </c>
      <c r="AL364" s="4" t="s">
        <v>103</v>
      </c>
      <c r="AM364" s="4" t="s">
        <v>97</v>
      </c>
      <c r="AN364" s="4" t="s">
        <v>97</v>
      </c>
      <c r="AO364" s="4" t="s">
        <v>103</v>
      </c>
      <c r="AP364" s="4" t="s">
        <v>103</v>
      </c>
      <c r="AQ364" s="4" t="s">
        <v>97</v>
      </c>
      <c r="AR364" s="4" t="s">
        <v>97</v>
      </c>
      <c r="AS364" s="4" t="s">
        <v>97</v>
      </c>
      <c r="AT364" s="4"/>
      <c r="AU364" s="4"/>
      <c r="AV364" s="4" t="s">
        <v>103</v>
      </c>
      <c r="AW364" s="4" t="s">
        <v>97</v>
      </c>
      <c r="AX364" s="4" t="s">
        <v>97</v>
      </c>
      <c r="AY364" s="4" t="s">
        <v>97</v>
      </c>
      <c r="AZ364" s="4" t="s">
        <v>97</v>
      </c>
      <c r="BA364" s="4" t="s">
        <v>97</v>
      </c>
      <c r="BB364" s="5">
        <v>45959</v>
      </c>
      <c r="BC364" s="5">
        <v>45959</v>
      </c>
      <c r="BD364" s="5">
        <v>45962</v>
      </c>
      <c r="BE364" s="5">
        <v>45962</v>
      </c>
      <c r="BF364" s="4" t="s">
        <v>98</v>
      </c>
      <c r="BG364" s="4" t="s">
        <v>97</v>
      </c>
      <c r="BH364" s="4" t="s">
        <v>103</v>
      </c>
      <c r="BI364" s="4" t="s">
        <v>834</v>
      </c>
    </row>
    <row r="365" spans="1:61" x14ac:dyDescent="0.35">
      <c r="A365" s="4" t="s">
        <v>957</v>
      </c>
      <c r="B365" s="8" t="str">
        <f t="shared" si="32"/>
        <v>2025</v>
      </c>
      <c r="C365" s="2" t="s">
        <v>19</v>
      </c>
      <c r="D365" s="6" t="str">
        <f t="shared" si="33"/>
        <v>Dakar</v>
      </c>
      <c r="E365" s="6">
        <f t="shared" si="34"/>
        <v>565040</v>
      </c>
      <c r="F365" s="6">
        <f t="shared" si="35"/>
        <v>4042240</v>
      </c>
      <c r="G365" s="4" t="s">
        <v>1004</v>
      </c>
      <c r="H365" s="4" t="s">
        <v>1005</v>
      </c>
      <c r="I365" s="4">
        <v>32</v>
      </c>
      <c r="J365" s="4" t="s">
        <v>114</v>
      </c>
      <c r="K365" s="4"/>
      <c r="L365" s="4"/>
      <c r="M365" s="4"/>
      <c r="N365" s="4"/>
      <c r="O365" s="4" t="s">
        <v>238</v>
      </c>
      <c r="P365" s="4" t="s">
        <v>97</v>
      </c>
      <c r="Q365" s="4" t="s">
        <v>97</v>
      </c>
      <c r="R365" s="14" t="s">
        <v>100</v>
      </c>
      <c r="S365" s="14" t="s">
        <v>100</v>
      </c>
      <c r="T365" s="14" t="s">
        <v>100</v>
      </c>
      <c r="U365" s="8"/>
      <c r="V365" s="14"/>
      <c r="W365" s="14"/>
      <c r="X365" s="14"/>
      <c r="Y365" s="5">
        <v>45946</v>
      </c>
      <c r="Z365" s="5">
        <v>45960</v>
      </c>
      <c r="AA365" s="4" t="s">
        <v>97</v>
      </c>
      <c r="AB365" s="4"/>
      <c r="AC365" s="4" t="s">
        <v>103</v>
      </c>
      <c r="AD365" s="4" t="s">
        <v>103</v>
      </c>
      <c r="AE365" s="4" t="s">
        <v>97</v>
      </c>
      <c r="AF365" s="4" t="s">
        <v>97</v>
      </c>
      <c r="AG365" s="4" t="s">
        <v>103</v>
      </c>
      <c r="AH365" s="4" t="s">
        <v>103</v>
      </c>
      <c r="AI365" s="5">
        <v>45950</v>
      </c>
      <c r="AJ365" s="4" t="s">
        <v>97</v>
      </c>
      <c r="AK365" s="4" t="s">
        <v>97</v>
      </c>
      <c r="AL365" s="4" t="s">
        <v>103</v>
      </c>
      <c r="AM365" s="4" t="s">
        <v>97</v>
      </c>
      <c r="AN365" s="4" t="s">
        <v>103</v>
      </c>
      <c r="AO365" s="4" t="s">
        <v>97</v>
      </c>
      <c r="AP365" s="4" t="s">
        <v>97</v>
      </c>
      <c r="AQ365" s="4" t="s">
        <v>97</v>
      </c>
      <c r="AR365" s="4" t="s">
        <v>97</v>
      </c>
      <c r="AS365" s="4" t="s">
        <v>97</v>
      </c>
      <c r="AT365" s="4"/>
      <c r="AU365" s="4"/>
      <c r="AV365" s="4" t="s">
        <v>103</v>
      </c>
      <c r="AW365" s="4" t="s">
        <v>97</v>
      </c>
      <c r="AX365" s="4" t="s">
        <v>97</v>
      </c>
      <c r="AY365" s="4" t="s">
        <v>97</v>
      </c>
      <c r="AZ365" s="4" t="s">
        <v>97</v>
      </c>
      <c r="BA365" s="4" t="s">
        <v>97</v>
      </c>
      <c r="BB365" s="5">
        <v>45960</v>
      </c>
      <c r="BC365" s="5">
        <v>45962</v>
      </c>
      <c r="BD365" s="5">
        <v>45962</v>
      </c>
      <c r="BE365" s="5">
        <v>45962</v>
      </c>
      <c r="BF365" s="4" t="s">
        <v>98</v>
      </c>
      <c r="BG365" s="4" t="s">
        <v>97</v>
      </c>
      <c r="BH365" s="4" t="s">
        <v>103</v>
      </c>
      <c r="BI365" s="4" t="s">
        <v>834</v>
      </c>
    </row>
    <row r="366" spans="1:61" x14ac:dyDescent="0.35">
      <c r="A366" s="4" t="s">
        <v>957</v>
      </c>
      <c r="B366" s="8" t="str">
        <f t="shared" si="32"/>
        <v>2025</v>
      </c>
      <c r="C366" s="2" t="s">
        <v>37</v>
      </c>
      <c r="D366" s="6" t="str">
        <f t="shared" si="33"/>
        <v>Dakar</v>
      </c>
      <c r="E366" s="6">
        <f t="shared" si="34"/>
        <v>301226</v>
      </c>
      <c r="F366" s="6">
        <f t="shared" si="35"/>
        <v>4042240</v>
      </c>
      <c r="G366" s="4" t="s">
        <v>1006</v>
      </c>
      <c r="H366" s="4" t="s">
        <v>1007</v>
      </c>
      <c r="I366" s="4">
        <v>52</v>
      </c>
      <c r="J366" s="4" t="s">
        <v>114</v>
      </c>
      <c r="K366" s="4"/>
      <c r="L366" s="4"/>
      <c r="M366" s="4"/>
      <c r="N366" s="4"/>
      <c r="O366" s="4" t="s">
        <v>238</v>
      </c>
      <c r="P366" s="4" t="s">
        <v>97</v>
      </c>
      <c r="Q366" s="4" t="s">
        <v>97</v>
      </c>
      <c r="R366" s="14" t="s">
        <v>100</v>
      </c>
      <c r="S366" s="14" t="s">
        <v>100</v>
      </c>
      <c r="T366" s="14" t="s">
        <v>100</v>
      </c>
      <c r="U366" s="8"/>
      <c r="V366" s="14"/>
      <c r="W366" s="14"/>
      <c r="X366" s="14"/>
      <c r="Y366" s="5">
        <v>45950</v>
      </c>
      <c r="Z366" s="5">
        <v>45958</v>
      </c>
      <c r="AA366" s="4" t="s">
        <v>97</v>
      </c>
      <c r="AB366" s="4"/>
      <c r="AC366" s="4" t="s">
        <v>103</v>
      </c>
      <c r="AD366" s="4" t="s">
        <v>103</v>
      </c>
      <c r="AE366" s="4" t="s">
        <v>97</v>
      </c>
      <c r="AF366" s="4" t="s">
        <v>103</v>
      </c>
      <c r="AG366" s="4" t="s">
        <v>103</v>
      </c>
      <c r="AH366" s="4" t="s">
        <v>103</v>
      </c>
      <c r="AI366" s="5">
        <v>45950</v>
      </c>
      <c r="AJ366" s="4" t="s">
        <v>103</v>
      </c>
      <c r="AK366" s="4" t="s">
        <v>97</v>
      </c>
      <c r="AL366" s="4" t="s">
        <v>97</v>
      </c>
      <c r="AM366" s="4" t="s">
        <v>103</v>
      </c>
      <c r="AN366" s="4" t="s">
        <v>97</v>
      </c>
      <c r="AO366" s="4" t="s">
        <v>97</v>
      </c>
      <c r="AP366" s="4" t="s">
        <v>97</v>
      </c>
      <c r="AQ366" s="4" t="s">
        <v>97</v>
      </c>
      <c r="AR366" s="4" t="s">
        <v>97</v>
      </c>
      <c r="AS366" s="4" t="s">
        <v>97</v>
      </c>
      <c r="AT366" s="4"/>
      <c r="AU366" s="4"/>
      <c r="AV366" s="4" t="s">
        <v>103</v>
      </c>
      <c r="AW366" s="4" t="s">
        <v>97</v>
      </c>
      <c r="AX366" s="4" t="s">
        <v>103</v>
      </c>
      <c r="AY366" s="4" t="s">
        <v>97</v>
      </c>
      <c r="AZ366" s="4" t="s">
        <v>103</v>
      </c>
      <c r="BA366" s="4" t="s">
        <v>97</v>
      </c>
      <c r="BB366" s="5">
        <v>45955</v>
      </c>
      <c r="BC366" s="5">
        <v>45960</v>
      </c>
      <c r="BD366" s="5">
        <v>45962</v>
      </c>
      <c r="BE366" s="5">
        <v>45962</v>
      </c>
      <c r="BF366" s="4" t="s">
        <v>98</v>
      </c>
      <c r="BG366" s="4" t="s">
        <v>97</v>
      </c>
      <c r="BH366" s="4" t="s">
        <v>103</v>
      </c>
      <c r="BI366" s="4" t="s">
        <v>834</v>
      </c>
    </row>
    <row r="367" spans="1:61" x14ac:dyDescent="0.35">
      <c r="A367" s="4" t="s">
        <v>957</v>
      </c>
      <c r="B367" s="8" t="str">
        <f t="shared" si="32"/>
        <v>2025</v>
      </c>
      <c r="C367" s="2" t="s">
        <v>31</v>
      </c>
      <c r="D367" s="6" t="str">
        <f t="shared" si="33"/>
        <v>Dakar</v>
      </c>
      <c r="E367" s="6">
        <f t="shared" si="34"/>
        <v>424760</v>
      </c>
      <c r="F367" s="6">
        <f t="shared" si="35"/>
        <v>4042240</v>
      </c>
      <c r="G367" s="4" t="s">
        <v>1008</v>
      </c>
      <c r="H367" s="4" t="s">
        <v>1009</v>
      </c>
      <c r="I367" s="4">
        <v>44</v>
      </c>
      <c r="J367" s="4" t="s">
        <v>114</v>
      </c>
      <c r="K367" s="5" t="s">
        <v>350</v>
      </c>
      <c r="L367" s="4"/>
      <c r="N367" s="4"/>
      <c r="O367" s="4" t="s">
        <v>238</v>
      </c>
      <c r="P367" s="4" t="s">
        <v>97</v>
      </c>
      <c r="Q367" s="4" t="s">
        <v>97</v>
      </c>
      <c r="R367" s="14" t="s">
        <v>100</v>
      </c>
      <c r="S367" s="14" t="s">
        <v>100</v>
      </c>
      <c r="T367" s="14" t="s">
        <v>100</v>
      </c>
      <c r="U367" s="8"/>
      <c r="V367" s="14"/>
      <c r="W367" s="14"/>
      <c r="X367" s="14"/>
      <c r="Y367" s="5">
        <v>45898</v>
      </c>
      <c r="Z367" s="5">
        <v>45959</v>
      </c>
      <c r="AA367" s="4" t="s">
        <v>103</v>
      </c>
      <c r="AB367" s="25">
        <v>38</v>
      </c>
      <c r="AC367" s="4" t="s">
        <v>97</v>
      </c>
      <c r="AD367" s="4" t="s">
        <v>97</v>
      </c>
      <c r="AE367" s="4" t="s">
        <v>97</v>
      </c>
      <c r="AF367" s="4" t="s">
        <v>103</v>
      </c>
      <c r="AG367" s="4" t="s">
        <v>103</v>
      </c>
      <c r="AH367" s="4" t="s">
        <v>103</v>
      </c>
      <c r="AI367" s="5">
        <v>45959</v>
      </c>
      <c r="AJ367" s="4" t="s">
        <v>97</v>
      </c>
      <c r="AK367" s="4" t="s">
        <v>97</v>
      </c>
      <c r="AL367" s="4" t="s">
        <v>97</v>
      </c>
      <c r="AM367" s="4" t="s">
        <v>97</v>
      </c>
      <c r="AN367" s="4" t="s">
        <v>103</v>
      </c>
      <c r="AO367" s="4" t="s">
        <v>97</v>
      </c>
      <c r="AP367" s="4" t="s">
        <v>103</v>
      </c>
      <c r="AQ367" s="4" t="s">
        <v>97</v>
      </c>
      <c r="AR367" s="4" t="s">
        <v>97</v>
      </c>
      <c r="AS367" s="4" t="s">
        <v>97</v>
      </c>
      <c r="AT367" s="4"/>
      <c r="AU367" s="4" t="s">
        <v>1010</v>
      </c>
      <c r="AV367" s="4" t="s">
        <v>103</v>
      </c>
      <c r="AW367" s="4" t="s">
        <v>97</v>
      </c>
      <c r="AX367" s="4" t="s">
        <v>97</v>
      </c>
      <c r="AY367" s="4" t="s">
        <v>97</v>
      </c>
      <c r="AZ367" s="4" t="s">
        <v>103</v>
      </c>
      <c r="BA367" s="4" t="s">
        <v>97</v>
      </c>
      <c r="BB367" s="5">
        <v>45961</v>
      </c>
      <c r="BC367" s="5">
        <v>45963</v>
      </c>
      <c r="BD367" s="5">
        <v>45963</v>
      </c>
      <c r="BE367" s="5">
        <v>45963</v>
      </c>
      <c r="BF367" s="4" t="s">
        <v>98</v>
      </c>
      <c r="BG367" s="4" t="s">
        <v>97</v>
      </c>
      <c r="BH367" s="4" t="s">
        <v>103</v>
      </c>
      <c r="BI367" s="4" t="s">
        <v>834</v>
      </c>
    </row>
    <row r="368" spans="1:61" x14ac:dyDescent="0.35">
      <c r="A368" s="4" t="s">
        <v>957</v>
      </c>
      <c r="B368" s="8" t="str">
        <f t="shared" si="32"/>
        <v>2025</v>
      </c>
      <c r="C368" s="2" t="s">
        <v>6</v>
      </c>
      <c r="D368" s="6" t="str">
        <f t="shared" si="33"/>
        <v>Kaffrine</v>
      </c>
      <c r="E368" s="6">
        <f t="shared" si="34"/>
        <v>286531</v>
      </c>
      <c r="F368" s="6">
        <f t="shared" si="35"/>
        <v>782275</v>
      </c>
      <c r="G368" s="4" t="s">
        <v>1011</v>
      </c>
      <c r="H368" s="4" t="s">
        <v>1012</v>
      </c>
      <c r="I368" s="4">
        <v>70</v>
      </c>
      <c r="J368" s="4" t="s">
        <v>114</v>
      </c>
      <c r="K368" s="4"/>
      <c r="L368" s="4"/>
      <c r="M368" s="4"/>
      <c r="N368" s="4"/>
      <c r="O368" s="4" t="s">
        <v>238</v>
      </c>
      <c r="P368" s="4" t="s">
        <v>97</v>
      </c>
      <c r="Q368" s="4" t="s">
        <v>97</v>
      </c>
      <c r="R368" s="14" t="s">
        <v>100</v>
      </c>
      <c r="S368" s="14" t="s">
        <v>100</v>
      </c>
      <c r="T368" s="14" t="s">
        <v>100</v>
      </c>
      <c r="U368" s="8"/>
      <c r="V368" s="14"/>
      <c r="W368" s="14"/>
      <c r="X368" s="14"/>
      <c r="Y368" s="5">
        <v>45954</v>
      </c>
      <c r="Z368" s="5">
        <v>45955</v>
      </c>
      <c r="AA368" s="4" t="s">
        <v>97</v>
      </c>
      <c r="AB368" s="4"/>
      <c r="AC368" s="4" t="s">
        <v>97</v>
      </c>
      <c r="AD368" s="4" t="s">
        <v>103</v>
      </c>
      <c r="AE368" s="4" t="s">
        <v>97</v>
      </c>
      <c r="AF368" s="4" t="s">
        <v>97</v>
      </c>
      <c r="AG368" s="4" t="s">
        <v>103</v>
      </c>
      <c r="AH368" s="4" t="s">
        <v>103</v>
      </c>
      <c r="AI368" s="5">
        <v>45954</v>
      </c>
      <c r="AJ368" s="4" t="s">
        <v>97</v>
      </c>
      <c r="AK368" s="4" t="s">
        <v>103</v>
      </c>
      <c r="AL368" s="4" t="s">
        <v>97</v>
      </c>
      <c r="AM368" s="4" t="s">
        <v>97</v>
      </c>
      <c r="AN368" s="4" t="s">
        <v>97</v>
      </c>
      <c r="AO368" s="4" t="s">
        <v>97</v>
      </c>
      <c r="AP368" s="4" t="s">
        <v>97</v>
      </c>
      <c r="AQ368" s="4" t="s">
        <v>97</v>
      </c>
      <c r="AR368" s="4" t="s">
        <v>97</v>
      </c>
      <c r="AS368" s="4" t="s">
        <v>97</v>
      </c>
      <c r="AT368" s="4"/>
      <c r="AU368" s="4"/>
      <c r="AV368" s="4" t="s">
        <v>103</v>
      </c>
      <c r="AW368" s="4" t="s">
        <v>97</v>
      </c>
      <c r="AX368" s="4" t="s">
        <v>97</v>
      </c>
      <c r="AY368" s="4" t="s">
        <v>97</v>
      </c>
      <c r="AZ368" s="4" t="s">
        <v>103</v>
      </c>
      <c r="BA368" s="4" t="s">
        <v>97</v>
      </c>
      <c r="BB368" s="5">
        <v>45957</v>
      </c>
      <c r="BC368" s="5">
        <v>45963</v>
      </c>
      <c r="BD368" s="5">
        <v>45963</v>
      </c>
      <c r="BE368" s="5">
        <v>45963</v>
      </c>
      <c r="BF368" s="4" t="s">
        <v>98</v>
      </c>
      <c r="BG368" s="4" t="s">
        <v>97</v>
      </c>
      <c r="BH368" s="4" t="s">
        <v>103</v>
      </c>
      <c r="BI368" s="4" t="s">
        <v>834</v>
      </c>
    </row>
    <row r="369" spans="1:61" x14ac:dyDescent="0.35">
      <c r="A369" s="4" t="s">
        <v>957</v>
      </c>
      <c r="B369" s="8" t="str">
        <f t="shared" si="32"/>
        <v>2025</v>
      </c>
      <c r="C369" s="2" t="s">
        <v>18</v>
      </c>
      <c r="D369" s="6" t="str">
        <f t="shared" si="33"/>
        <v>Dakar</v>
      </c>
      <c r="E369" s="6">
        <f t="shared" si="34"/>
        <v>419489</v>
      </c>
      <c r="F369" s="6">
        <f t="shared" si="35"/>
        <v>4042240</v>
      </c>
      <c r="G369" s="4" t="s">
        <v>1013</v>
      </c>
      <c r="H369" s="4" t="s">
        <v>1014</v>
      </c>
      <c r="I369" s="4">
        <v>23</v>
      </c>
      <c r="J369" s="4" t="s">
        <v>96</v>
      </c>
      <c r="K369" s="4"/>
      <c r="L369" s="4"/>
      <c r="M369" s="4"/>
      <c r="N369" s="4"/>
      <c r="O369" s="4" t="s">
        <v>238</v>
      </c>
      <c r="P369" s="4" t="s">
        <v>97</v>
      </c>
      <c r="Q369" s="4" t="s">
        <v>97</v>
      </c>
      <c r="R369" s="14" t="s">
        <v>100</v>
      </c>
      <c r="S369" s="14" t="s">
        <v>100</v>
      </c>
      <c r="T369" s="14" t="s">
        <v>100</v>
      </c>
      <c r="U369" s="8"/>
      <c r="V369" s="14"/>
      <c r="W369" s="14"/>
      <c r="X369" s="14"/>
      <c r="Y369" s="5">
        <v>45853</v>
      </c>
      <c r="Z369" s="5">
        <v>45961</v>
      </c>
      <c r="AA369" s="4" t="s">
        <v>97</v>
      </c>
      <c r="AB369" s="4"/>
      <c r="AC369" s="4" t="s">
        <v>97</v>
      </c>
      <c r="AD369" s="4" t="s">
        <v>97</v>
      </c>
      <c r="AE369" s="4" t="s">
        <v>97</v>
      </c>
      <c r="AF369" s="4" t="s">
        <v>97</v>
      </c>
      <c r="AG369" s="4" t="s">
        <v>97</v>
      </c>
      <c r="AH369" s="4" t="s">
        <v>103</v>
      </c>
      <c r="AI369" s="5">
        <v>45959</v>
      </c>
      <c r="AJ369" s="4" t="s">
        <v>97</v>
      </c>
      <c r="AK369" s="4" t="s">
        <v>97</v>
      </c>
      <c r="AL369" s="4" t="s">
        <v>97</v>
      </c>
      <c r="AM369" s="4" t="s">
        <v>97</v>
      </c>
      <c r="AN369" s="4" t="s">
        <v>97</v>
      </c>
      <c r="AO369" s="4" t="s">
        <v>97</v>
      </c>
      <c r="AP369" s="4" t="s">
        <v>97</v>
      </c>
      <c r="AQ369" s="4" t="s">
        <v>103</v>
      </c>
      <c r="AR369" s="4" t="s">
        <v>97</v>
      </c>
      <c r="AS369" s="4" t="s">
        <v>103</v>
      </c>
      <c r="AT369" s="4"/>
      <c r="AU369" s="4"/>
      <c r="AV369" s="5" t="s">
        <v>103</v>
      </c>
      <c r="AW369" s="4" t="s">
        <v>97</v>
      </c>
      <c r="AX369" s="4" t="s">
        <v>97</v>
      </c>
      <c r="AY369" s="4" t="s">
        <v>97</v>
      </c>
      <c r="AZ369" s="4" t="s">
        <v>103</v>
      </c>
      <c r="BA369" s="4" t="s">
        <v>97</v>
      </c>
      <c r="BB369" s="5">
        <v>45961</v>
      </c>
      <c r="BC369" s="5">
        <v>45961</v>
      </c>
      <c r="BD369" s="5">
        <v>45963</v>
      </c>
      <c r="BE369" s="5">
        <v>45963</v>
      </c>
      <c r="BF369" s="4" t="s">
        <v>98</v>
      </c>
      <c r="BG369" s="4" t="s">
        <v>97</v>
      </c>
      <c r="BH369" s="4" t="s">
        <v>103</v>
      </c>
      <c r="BI369" s="4" t="s">
        <v>834</v>
      </c>
    </row>
    <row r="370" spans="1:61" x14ac:dyDescent="0.35">
      <c r="A370" s="4" t="s">
        <v>957</v>
      </c>
      <c r="B370" s="8" t="str">
        <f t="shared" si="32"/>
        <v>2025</v>
      </c>
      <c r="C370" s="2" t="s">
        <v>18</v>
      </c>
      <c r="D370" s="6" t="str">
        <f t="shared" si="33"/>
        <v>Dakar</v>
      </c>
      <c r="E370" s="6">
        <f t="shared" si="34"/>
        <v>419489</v>
      </c>
      <c r="F370" s="6">
        <f t="shared" si="35"/>
        <v>4042240</v>
      </c>
      <c r="G370" s="4" t="s">
        <v>1015</v>
      </c>
      <c r="H370" s="4" t="s">
        <v>1016</v>
      </c>
      <c r="I370" s="4">
        <v>31</v>
      </c>
      <c r="J370" s="4" t="s">
        <v>114</v>
      </c>
      <c r="K370" s="5"/>
      <c r="L370" s="4"/>
      <c r="M370" s="4"/>
      <c r="N370" s="4"/>
      <c r="O370" s="4" t="s">
        <v>238</v>
      </c>
      <c r="P370" s="4" t="s">
        <v>97</v>
      </c>
      <c r="Q370" s="4" t="s">
        <v>97</v>
      </c>
      <c r="R370" s="14" t="s">
        <v>100</v>
      </c>
      <c r="S370" s="14" t="s">
        <v>100</v>
      </c>
      <c r="T370" s="14" t="s">
        <v>100</v>
      </c>
      <c r="U370" s="8"/>
      <c r="V370" s="14"/>
      <c r="W370" s="14"/>
      <c r="X370" s="14"/>
      <c r="Y370" s="5">
        <v>45958</v>
      </c>
      <c r="Z370" s="5">
        <v>45960</v>
      </c>
      <c r="AA370" s="4" t="s">
        <v>103</v>
      </c>
      <c r="AB370" s="4" t="s">
        <v>651</v>
      </c>
      <c r="AC370" s="4" t="s">
        <v>103</v>
      </c>
      <c r="AD370" s="4" t="s">
        <v>97</v>
      </c>
      <c r="AE370" s="4" t="s">
        <v>97</v>
      </c>
      <c r="AF370" s="4" t="s">
        <v>103</v>
      </c>
      <c r="AG370" s="4" t="s">
        <v>103</v>
      </c>
      <c r="AH370" s="4" t="s">
        <v>103</v>
      </c>
      <c r="AI370" s="5">
        <v>45958</v>
      </c>
      <c r="AJ370" s="4" t="s">
        <v>97</v>
      </c>
      <c r="AK370" s="4" t="s">
        <v>97</v>
      </c>
      <c r="AL370" s="4" t="s">
        <v>97</v>
      </c>
      <c r="AM370" s="4" t="s">
        <v>97</v>
      </c>
      <c r="AN370" s="4" t="s">
        <v>97</v>
      </c>
      <c r="AO370" s="4" t="s">
        <v>97</v>
      </c>
      <c r="AP370" s="4" t="s">
        <v>97</v>
      </c>
      <c r="AQ370" s="4" t="s">
        <v>97</v>
      </c>
      <c r="AR370" s="4" t="s">
        <v>97</v>
      </c>
      <c r="AS370" s="4" t="s">
        <v>97</v>
      </c>
      <c r="AT370" s="4"/>
      <c r="AU370" s="4"/>
      <c r="AV370" s="4" t="s">
        <v>103</v>
      </c>
      <c r="AW370" s="4" t="s">
        <v>97</v>
      </c>
      <c r="AX370" s="4" t="s">
        <v>97</v>
      </c>
      <c r="AY370" s="4" t="s">
        <v>97</v>
      </c>
      <c r="AZ370" s="4" t="s">
        <v>97</v>
      </c>
      <c r="BA370" s="4" t="s">
        <v>97</v>
      </c>
      <c r="BB370" s="5">
        <v>45961</v>
      </c>
      <c r="BC370" s="5">
        <v>45961</v>
      </c>
      <c r="BD370" s="5">
        <v>45963</v>
      </c>
      <c r="BE370" s="5">
        <v>45963</v>
      </c>
      <c r="BF370" s="4" t="s">
        <v>98</v>
      </c>
      <c r="BG370" s="4" t="s">
        <v>97</v>
      </c>
      <c r="BH370" s="4" t="s">
        <v>103</v>
      </c>
      <c r="BI370" s="4" t="s">
        <v>834</v>
      </c>
    </row>
    <row r="371" spans="1:61" x14ac:dyDescent="0.35">
      <c r="A371" s="4" t="s">
        <v>1029</v>
      </c>
      <c r="B371" s="8" t="str">
        <f t="shared" si="32"/>
        <v>2025</v>
      </c>
      <c r="C371" s="2" t="s">
        <v>11</v>
      </c>
      <c r="D371" s="6" t="str">
        <f t="shared" si="33"/>
        <v>Diourbel</v>
      </c>
      <c r="E371" s="6">
        <f t="shared" si="34"/>
        <v>396146</v>
      </c>
      <c r="F371" s="6">
        <f t="shared" si="35"/>
        <v>1980827</v>
      </c>
      <c r="G371" s="4" t="s">
        <v>1018</v>
      </c>
      <c r="H371" s="4" t="s">
        <v>1019</v>
      </c>
      <c r="I371" s="4">
        <v>12</v>
      </c>
      <c r="J371" s="4" t="s">
        <v>114</v>
      </c>
      <c r="K371" s="4"/>
      <c r="L371" s="4"/>
      <c r="M371" s="4"/>
      <c r="N371" s="4"/>
      <c r="O371" s="4" t="s">
        <v>238</v>
      </c>
      <c r="P371" s="4" t="s">
        <v>97</v>
      </c>
      <c r="Q371" s="4" t="s">
        <v>97</v>
      </c>
      <c r="R371" s="14" t="s">
        <v>100</v>
      </c>
      <c r="S371" s="14" t="s">
        <v>100</v>
      </c>
      <c r="T371" s="14" t="s">
        <v>100</v>
      </c>
      <c r="U371" s="8"/>
      <c r="V371" s="14"/>
      <c r="W371" s="14"/>
      <c r="X371" s="14"/>
      <c r="Y371" s="5">
        <v>45955</v>
      </c>
      <c r="Z371" s="5">
        <v>45962</v>
      </c>
      <c r="AA371" s="4" t="s">
        <v>103</v>
      </c>
      <c r="AB371" s="25">
        <v>38</v>
      </c>
      <c r="AC371" s="4" t="s">
        <v>97</v>
      </c>
      <c r="AD371" s="4" t="s">
        <v>97</v>
      </c>
      <c r="AE371" s="4" t="s">
        <v>97</v>
      </c>
      <c r="AF371" s="4" t="s">
        <v>97</v>
      </c>
      <c r="AG371" s="4" t="s">
        <v>97</v>
      </c>
      <c r="AH371" s="4" t="s">
        <v>103</v>
      </c>
      <c r="AI371" s="5">
        <v>45960</v>
      </c>
      <c r="AJ371" s="4" t="s">
        <v>97</v>
      </c>
      <c r="AK371" s="4" t="s">
        <v>97</v>
      </c>
      <c r="AL371" s="4" t="s">
        <v>103</v>
      </c>
      <c r="AM371" s="4" t="s">
        <v>103</v>
      </c>
      <c r="AN371" s="4" t="s">
        <v>103</v>
      </c>
      <c r="AO371" s="4" t="s">
        <v>103</v>
      </c>
      <c r="AP371" s="4" t="s">
        <v>103</v>
      </c>
      <c r="AQ371" s="4" t="s">
        <v>103</v>
      </c>
      <c r="AR371" s="4" t="s">
        <v>97</v>
      </c>
      <c r="AS371" s="4" t="s">
        <v>103</v>
      </c>
      <c r="AT371" s="4"/>
      <c r="AU371" s="4"/>
      <c r="AV371" s="4" t="s">
        <v>97</v>
      </c>
      <c r="AW371" s="4" t="s">
        <v>97</v>
      </c>
      <c r="AX371" s="4" t="s">
        <v>97</v>
      </c>
      <c r="AY371" s="4" t="s">
        <v>97</v>
      </c>
      <c r="AZ371" s="4" t="s">
        <v>103</v>
      </c>
      <c r="BA371" s="4" t="s">
        <v>97</v>
      </c>
      <c r="BB371" s="5">
        <v>45962</v>
      </c>
      <c r="BC371" s="5">
        <v>45964</v>
      </c>
      <c r="BD371" s="5">
        <v>45964</v>
      </c>
      <c r="BE371" s="5">
        <v>45964</v>
      </c>
      <c r="BF371" s="4" t="s">
        <v>98</v>
      </c>
      <c r="BG371" s="4" t="s">
        <v>97</v>
      </c>
      <c r="BH371" s="4" t="s">
        <v>103</v>
      </c>
      <c r="BI371" s="4" t="s">
        <v>834</v>
      </c>
    </row>
    <row r="372" spans="1:61" x14ac:dyDescent="0.35">
      <c r="A372" s="4" t="s">
        <v>1029</v>
      </c>
      <c r="B372" s="8" t="str">
        <f t="shared" si="32"/>
        <v>2025</v>
      </c>
      <c r="C372" s="2" t="s">
        <v>20</v>
      </c>
      <c r="D372" s="6" t="str">
        <f t="shared" si="33"/>
        <v>Dakar</v>
      </c>
      <c r="E372" s="6">
        <f t="shared" si="34"/>
        <v>272276</v>
      </c>
      <c r="F372" s="6">
        <f t="shared" si="35"/>
        <v>4042240</v>
      </c>
      <c r="G372" s="4" t="s">
        <v>1020</v>
      </c>
      <c r="H372" s="4" t="s">
        <v>380</v>
      </c>
      <c r="I372" s="4">
        <v>17</v>
      </c>
      <c r="J372" s="4" t="s">
        <v>114</v>
      </c>
      <c r="K372" s="4"/>
      <c r="L372" s="4"/>
      <c r="M372" s="4"/>
      <c r="N372" s="4"/>
      <c r="O372" s="4" t="s">
        <v>238</v>
      </c>
      <c r="P372" s="4" t="s">
        <v>97</v>
      </c>
      <c r="Q372" s="4" t="s">
        <v>97</v>
      </c>
      <c r="R372" s="14" t="s">
        <v>100</v>
      </c>
      <c r="S372" s="14" t="s">
        <v>100</v>
      </c>
      <c r="T372" s="14" t="s">
        <v>100</v>
      </c>
      <c r="U372" s="8"/>
      <c r="V372" s="14"/>
      <c r="W372" s="14"/>
      <c r="X372" s="14"/>
      <c r="Y372" s="5">
        <v>45959</v>
      </c>
      <c r="Z372" s="5">
        <v>45961</v>
      </c>
      <c r="AA372" s="4" t="s">
        <v>97</v>
      </c>
      <c r="AB372" s="4"/>
      <c r="AC372" s="4" t="s">
        <v>97</v>
      </c>
      <c r="AD372" s="4" t="s">
        <v>97</v>
      </c>
      <c r="AE372" s="4" t="s">
        <v>97</v>
      </c>
      <c r="AF372" s="4" t="s">
        <v>97</v>
      </c>
      <c r="AG372" s="4" t="s">
        <v>97</v>
      </c>
      <c r="AH372" s="4" t="s">
        <v>103</v>
      </c>
      <c r="AI372" s="5">
        <v>45959</v>
      </c>
      <c r="AJ372" s="4" t="s">
        <v>103</v>
      </c>
      <c r="AK372" s="4" t="s">
        <v>97</v>
      </c>
      <c r="AL372" s="4" t="s">
        <v>97</v>
      </c>
      <c r="AM372" s="4" t="s">
        <v>103</v>
      </c>
      <c r="AN372" s="4" t="s">
        <v>103</v>
      </c>
      <c r="AO372" s="4" t="s">
        <v>97</v>
      </c>
      <c r="AP372" s="4" t="s">
        <v>97</v>
      </c>
      <c r="AQ372" s="4" t="s">
        <v>97</v>
      </c>
      <c r="AR372" s="4" t="s">
        <v>97</v>
      </c>
      <c r="AS372" s="4" t="s">
        <v>97</v>
      </c>
      <c r="AT372" s="4"/>
      <c r="AU372" s="4"/>
      <c r="AV372" s="4" t="s">
        <v>103</v>
      </c>
      <c r="AW372" s="4" t="s">
        <v>97</v>
      </c>
      <c r="AX372" s="4" t="s">
        <v>97</v>
      </c>
      <c r="AY372" s="4" t="s">
        <v>97</v>
      </c>
      <c r="AZ372" s="4" t="s">
        <v>97</v>
      </c>
      <c r="BA372" s="4" t="s">
        <v>97</v>
      </c>
      <c r="BB372" s="5">
        <v>45961</v>
      </c>
      <c r="BC372" s="5">
        <v>45964</v>
      </c>
      <c r="BD372" s="5">
        <v>45964</v>
      </c>
      <c r="BE372" s="5">
        <v>45964</v>
      </c>
      <c r="BF372" s="4" t="s">
        <v>98</v>
      </c>
      <c r="BG372" s="4" t="s">
        <v>97</v>
      </c>
      <c r="BH372" s="4" t="s">
        <v>103</v>
      </c>
      <c r="BI372" s="4" t="s">
        <v>834</v>
      </c>
    </row>
    <row r="373" spans="1:61" x14ac:dyDescent="0.35">
      <c r="A373" s="4" t="s">
        <v>1029</v>
      </c>
      <c r="B373" s="8" t="str">
        <f t="shared" si="32"/>
        <v>2025</v>
      </c>
      <c r="C373" s="2" t="s">
        <v>18</v>
      </c>
      <c r="D373" s="6" t="str">
        <f t="shared" si="33"/>
        <v>Dakar</v>
      </c>
      <c r="E373" s="6">
        <f t="shared" si="34"/>
        <v>419489</v>
      </c>
      <c r="F373" s="6">
        <f t="shared" si="35"/>
        <v>4042240</v>
      </c>
      <c r="G373" s="4" t="s">
        <v>1021</v>
      </c>
      <c r="H373" s="4" t="s">
        <v>1022</v>
      </c>
      <c r="I373" s="4">
        <v>9</v>
      </c>
      <c r="J373" s="4" t="s">
        <v>96</v>
      </c>
      <c r="K373" s="4"/>
      <c r="L373" s="4"/>
      <c r="M373" s="4"/>
      <c r="N373" s="4"/>
      <c r="O373" s="4" t="s">
        <v>238</v>
      </c>
      <c r="P373" s="4" t="s">
        <v>97</v>
      </c>
      <c r="Q373" s="4" t="s">
        <v>97</v>
      </c>
      <c r="R373" s="14" t="s">
        <v>100</v>
      </c>
      <c r="S373" s="14" t="s">
        <v>100</v>
      </c>
      <c r="T373" s="14" t="s">
        <v>100</v>
      </c>
      <c r="U373" s="8"/>
      <c r="V373" s="14"/>
      <c r="W373" s="14"/>
      <c r="X373" s="14"/>
      <c r="Y373" s="5">
        <v>45962</v>
      </c>
      <c r="Z373" s="5">
        <v>45964</v>
      </c>
      <c r="AA373" s="4" t="s">
        <v>97</v>
      </c>
      <c r="AB373" s="4"/>
      <c r="AC373" s="4" t="s">
        <v>97</v>
      </c>
      <c r="AD373" s="4" t="s">
        <v>97</v>
      </c>
      <c r="AE373" s="4" t="s">
        <v>97</v>
      </c>
      <c r="AF373" s="4" t="s">
        <v>97</v>
      </c>
      <c r="AG373" s="4" t="s">
        <v>97</v>
      </c>
      <c r="AH373" s="4" t="s">
        <v>103</v>
      </c>
      <c r="AI373" s="5">
        <v>45962</v>
      </c>
      <c r="AJ373" s="4" t="s">
        <v>103</v>
      </c>
      <c r="AK373" s="4" t="s">
        <v>97</v>
      </c>
      <c r="AL373" s="4" t="s">
        <v>103</v>
      </c>
      <c r="AM373" s="4" t="s">
        <v>97</v>
      </c>
      <c r="AN373" s="4" t="s">
        <v>103</v>
      </c>
      <c r="AO373" s="4" t="s">
        <v>103</v>
      </c>
      <c r="AP373" s="4" t="s">
        <v>97</v>
      </c>
      <c r="AQ373" s="4" t="s">
        <v>97</v>
      </c>
      <c r="AR373" s="4" t="s">
        <v>97</v>
      </c>
      <c r="AS373" s="4" t="s">
        <v>97</v>
      </c>
      <c r="AT373" s="4"/>
      <c r="AU373" s="4"/>
      <c r="AV373" s="4" t="s">
        <v>103</v>
      </c>
      <c r="AW373" s="4" t="s">
        <v>97</v>
      </c>
      <c r="AX373" s="4" t="s">
        <v>97</v>
      </c>
      <c r="AY373" s="4" t="s">
        <v>97</v>
      </c>
      <c r="AZ373" s="4" t="s">
        <v>97</v>
      </c>
      <c r="BA373" s="4" t="s">
        <v>97</v>
      </c>
      <c r="BB373" s="5">
        <v>45964</v>
      </c>
      <c r="BC373" s="5">
        <v>45964</v>
      </c>
      <c r="BD373" s="5">
        <v>45964</v>
      </c>
      <c r="BE373" s="5">
        <v>45964</v>
      </c>
      <c r="BF373" s="4" t="s">
        <v>98</v>
      </c>
      <c r="BG373" s="4" t="s">
        <v>97</v>
      </c>
      <c r="BH373" s="4" t="s">
        <v>103</v>
      </c>
      <c r="BI373" s="4" t="s">
        <v>834</v>
      </c>
    </row>
    <row r="374" spans="1:61" x14ac:dyDescent="0.35">
      <c r="A374" s="4" t="s">
        <v>1029</v>
      </c>
      <c r="B374" s="8" t="str">
        <f t="shared" si="32"/>
        <v>2025</v>
      </c>
      <c r="C374" s="2" t="s">
        <v>18</v>
      </c>
      <c r="D374" s="6" t="str">
        <f t="shared" si="33"/>
        <v>Dakar</v>
      </c>
      <c r="E374" s="6">
        <f t="shared" si="34"/>
        <v>419489</v>
      </c>
      <c r="F374" s="6">
        <f t="shared" si="35"/>
        <v>4042240</v>
      </c>
      <c r="G374" s="4" t="s">
        <v>1023</v>
      </c>
      <c r="H374" s="4" t="s">
        <v>1024</v>
      </c>
      <c r="I374" s="4">
        <v>12</v>
      </c>
      <c r="J374" s="4" t="s">
        <v>96</v>
      </c>
      <c r="K374" s="4"/>
      <c r="L374" s="4"/>
      <c r="M374" s="4"/>
      <c r="N374" s="4"/>
      <c r="O374" s="4" t="s">
        <v>238</v>
      </c>
      <c r="P374" s="4" t="s">
        <v>97</v>
      </c>
      <c r="Q374" s="4" t="s">
        <v>97</v>
      </c>
      <c r="R374" s="14" t="s">
        <v>100</v>
      </c>
      <c r="S374" s="14" t="s">
        <v>100</v>
      </c>
      <c r="T374" s="14" t="s">
        <v>100</v>
      </c>
      <c r="U374" s="8"/>
      <c r="V374" s="14"/>
      <c r="W374" s="14"/>
      <c r="X374" s="14"/>
      <c r="Y374" s="5">
        <v>45962</v>
      </c>
      <c r="Z374" s="5">
        <v>45964</v>
      </c>
      <c r="AA374" s="4" t="s">
        <v>97</v>
      </c>
      <c r="AB374" s="4"/>
      <c r="AC374" s="4" t="s">
        <v>97</v>
      </c>
      <c r="AD374" s="4" t="s">
        <v>97</v>
      </c>
      <c r="AE374" s="4" t="s">
        <v>97</v>
      </c>
      <c r="AF374" s="4" t="s">
        <v>97</v>
      </c>
      <c r="AG374" s="4" t="s">
        <v>97</v>
      </c>
      <c r="AH374" s="4" t="s">
        <v>103</v>
      </c>
      <c r="AI374" s="5">
        <v>45962</v>
      </c>
      <c r="AJ374" s="4" t="s">
        <v>103</v>
      </c>
      <c r="AK374" s="4" t="s">
        <v>97</v>
      </c>
      <c r="AL374" s="4" t="s">
        <v>103</v>
      </c>
      <c r="AM374" s="4" t="s">
        <v>103</v>
      </c>
      <c r="AN374" s="4" t="s">
        <v>103</v>
      </c>
      <c r="AO374" s="4" t="s">
        <v>97</v>
      </c>
      <c r="AP374" s="4" t="s">
        <v>97</v>
      </c>
      <c r="AQ374" s="4" t="s">
        <v>97</v>
      </c>
      <c r="AR374" s="4" t="s">
        <v>97</v>
      </c>
      <c r="AS374" s="4" t="s">
        <v>97</v>
      </c>
      <c r="AT374" s="4"/>
      <c r="AU374" s="4"/>
      <c r="AV374" s="4" t="s">
        <v>103</v>
      </c>
      <c r="AW374" s="4" t="s">
        <v>97</v>
      </c>
      <c r="AX374" s="4" t="s">
        <v>97</v>
      </c>
      <c r="AY374" s="4" t="s">
        <v>97</v>
      </c>
      <c r="AZ374" s="4" t="s">
        <v>97</v>
      </c>
      <c r="BA374" s="4" t="s">
        <v>97</v>
      </c>
      <c r="BB374" s="5">
        <v>45964</v>
      </c>
      <c r="BC374" s="5">
        <v>45964</v>
      </c>
      <c r="BD374" s="5">
        <v>45964</v>
      </c>
      <c r="BE374" s="5">
        <v>45964</v>
      </c>
      <c r="BF374" s="4" t="s">
        <v>98</v>
      </c>
      <c r="BG374" s="4" t="s">
        <v>97</v>
      </c>
      <c r="BH374" s="4" t="s">
        <v>103</v>
      </c>
      <c r="BI374" s="4" t="s">
        <v>834</v>
      </c>
    </row>
    <row r="375" spans="1:61" x14ac:dyDescent="0.35">
      <c r="A375" s="4" t="s">
        <v>1029</v>
      </c>
      <c r="B375" s="8" t="str">
        <f t="shared" si="32"/>
        <v>2025</v>
      </c>
      <c r="C375" s="2" t="s">
        <v>31</v>
      </c>
      <c r="D375" s="6" t="str">
        <f t="shared" si="33"/>
        <v>Dakar</v>
      </c>
      <c r="E375" s="6">
        <f t="shared" si="34"/>
        <v>424760</v>
      </c>
      <c r="F375" s="6">
        <f t="shared" si="35"/>
        <v>4042240</v>
      </c>
      <c r="G375" s="4" t="s">
        <v>1025</v>
      </c>
      <c r="H375" s="4" t="s">
        <v>1026</v>
      </c>
      <c r="I375" s="4">
        <v>37</v>
      </c>
      <c r="J375" s="4" t="s">
        <v>114</v>
      </c>
      <c r="K375" s="4"/>
      <c r="L375" s="4"/>
      <c r="M375" s="4"/>
      <c r="N375" s="4"/>
      <c r="O375" s="4" t="s">
        <v>238</v>
      </c>
      <c r="P375" s="4" t="s">
        <v>97</v>
      </c>
      <c r="Q375" s="4" t="s">
        <v>97</v>
      </c>
      <c r="R375" s="14" t="s">
        <v>100</v>
      </c>
      <c r="S375" s="14" t="s">
        <v>100</v>
      </c>
      <c r="T375" s="14" t="s">
        <v>100</v>
      </c>
      <c r="U375" s="8"/>
      <c r="V375" s="14"/>
      <c r="W375" s="14"/>
      <c r="X375" s="14"/>
      <c r="Y375" s="5">
        <v>45959</v>
      </c>
      <c r="Z375" s="5">
        <v>45963</v>
      </c>
      <c r="AA375" s="4" t="s">
        <v>97</v>
      </c>
      <c r="AB375" s="4"/>
      <c r="AC375" s="4" t="s">
        <v>97</v>
      </c>
      <c r="AD375" s="4" t="s">
        <v>97</v>
      </c>
      <c r="AE375" s="4" t="s">
        <v>97</v>
      </c>
      <c r="AF375" s="4" t="s">
        <v>97</v>
      </c>
      <c r="AG375" s="4" t="s">
        <v>97</v>
      </c>
      <c r="AH375" s="4" t="s">
        <v>103</v>
      </c>
      <c r="AI375" s="5">
        <v>45960</v>
      </c>
      <c r="AJ375" s="4" t="s">
        <v>97</v>
      </c>
      <c r="AK375" s="4" t="s">
        <v>103</v>
      </c>
      <c r="AL375" s="4" t="s">
        <v>97</v>
      </c>
      <c r="AM375" s="4" t="s">
        <v>97</v>
      </c>
      <c r="AN375" s="4" t="s">
        <v>103</v>
      </c>
      <c r="AO375" s="4" t="s">
        <v>103</v>
      </c>
      <c r="AP375" s="4" t="s">
        <v>103</v>
      </c>
      <c r="AQ375" s="4" t="s">
        <v>97</v>
      </c>
      <c r="AR375" s="4" t="s">
        <v>97</v>
      </c>
      <c r="AS375" s="4" t="s">
        <v>97</v>
      </c>
      <c r="AT375" s="4"/>
      <c r="AU375" s="4"/>
      <c r="AV375" s="4" t="s">
        <v>103</v>
      </c>
      <c r="AW375" s="4" t="s">
        <v>97</v>
      </c>
      <c r="AX375" s="4" t="s">
        <v>97</v>
      </c>
      <c r="AY375" s="4" t="s">
        <v>97</v>
      </c>
      <c r="AZ375" s="4" t="s">
        <v>103</v>
      </c>
      <c r="BA375" s="4" t="s">
        <v>97</v>
      </c>
      <c r="BB375" s="5">
        <v>45964</v>
      </c>
      <c r="BC375" s="5">
        <v>45964</v>
      </c>
      <c r="BD375" s="5">
        <v>45964</v>
      </c>
      <c r="BE375" s="5">
        <v>45964</v>
      </c>
      <c r="BF375" s="4" t="s">
        <v>98</v>
      </c>
      <c r="BG375" s="4" t="s">
        <v>97</v>
      </c>
      <c r="BH375" s="4" t="s">
        <v>103</v>
      </c>
      <c r="BI375" s="4" t="s">
        <v>834</v>
      </c>
    </row>
    <row r="376" spans="1:61" x14ac:dyDescent="0.35">
      <c r="A376" s="4" t="s">
        <v>1029</v>
      </c>
      <c r="B376" s="8" t="str">
        <f t="shared" si="32"/>
        <v>2025</v>
      </c>
      <c r="C376" s="2" t="s">
        <v>64</v>
      </c>
      <c r="D376" s="6" t="str">
        <f t="shared" si="33"/>
        <v>Dakar</v>
      </c>
      <c r="E376" s="6">
        <f t="shared" si="34"/>
        <v>284840</v>
      </c>
      <c r="F376" s="6">
        <f t="shared" si="35"/>
        <v>4042240</v>
      </c>
      <c r="G376" s="4" t="s">
        <v>1027</v>
      </c>
      <c r="H376" s="4" t="s">
        <v>1028</v>
      </c>
      <c r="I376" s="4">
        <v>27</v>
      </c>
      <c r="J376" s="4" t="s">
        <v>114</v>
      </c>
      <c r="K376" s="4"/>
      <c r="L376" s="4"/>
      <c r="M376" s="4"/>
      <c r="N376" s="4"/>
      <c r="O376" s="4" t="s">
        <v>238</v>
      </c>
      <c r="P376" s="4" t="s">
        <v>97</v>
      </c>
      <c r="Q376" s="4" t="s">
        <v>97</v>
      </c>
      <c r="R376" s="14" t="s">
        <v>100</v>
      </c>
      <c r="S376" s="14" t="s">
        <v>100</v>
      </c>
      <c r="T376" s="14" t="s">
        <v>100</v>
      </c>
      <c r="U376" s="8"/>
      <c r="V376" s="14"/>
      <c r="W376" s="14"/>
      <c r="X376" s="14"/>
      <c r="Y376" s="5">
        <v>45963</v>
      </c>
      <c r="Z376" s="5">
        <v>45964</v>
      </c>
      <c r="AA376" s="4" t="s">
        <v>103</v>
      </c>
      <c r="AB376" s="25">
        <v>38</v>
      </c>
      <c r="AC376" s="4" t="s">
        <v>97</v>
      </c>
      <c r="AD376" s="4" t="s">
        <v>97</v>
      </c>
      <c r="AE376" s="4" t="s">
        <v>97</v>
      </c>
      <c r="AF376" s="4" t="s">
        <v>97</v>
      </c>
      <c r="AG376" s="4" t="s">
        <v>97</v>
      </c>
      <c r="AH376" s="4" t="s">
        <v>103</v>
      </c>
      <c r="AI376" s="5">
        <v>45964</v>
      </c>
      <c r="AJ376" s="4" t="s">
        <v>97</v>
      </c>
      <c r="AK376" s="4" t="s">
        <v>97</v>
      </c>
      <c r="AL376" s="4" t="s">
        <v>97</v>
      </c>
      <c r="AM376" s="4" t="s">
        <v>103</v>
      </c>
      <c r="AN376" s="4" t="s">
        <v>103</v>
      </c>
      <c r="AO376" s="4" t="s">
        <v>103</v>
      </c>
      <c r="AP376" s="4" t="s">
        <v>97</v>
      </c>
      <c r="AQ376" s="4" t="s">
        <v>103</v>
      </c>
      <c r="AR376" s="4" t="s">
        <v>97</v>
      </c>
      <c r="AS376" s="4" t="s">
        <v>97</v>
      </c>
      <c r="AT376" s="4"/>
      <c r="AU376" s="4"/>
      <c r="AV376" s="4" t="s">
        <v>103</v>
      </c>
      <c r="AW376" s="4" t="s">
        <v>97</v>
      </c>
      <c r="AX376" s="4" t="s">
        <v>97</v>
      </c>
      <c r="AY376" s="4" t="s">
        <v>97</v>
      </c>
      <c r="AZ376" s="4" t="s">
        <v>103</v>
      </c>
      <c r="BA376" s="4" t="s">
        <v>97</v>
      </c>
      <c r="BB376" s="5">
        <v>45964</v>
      </c>
      <c r="BC376" s="5">
        <v>45964</v>
      </c>
      <c r="BD376" s="5">
        <v>45964</v>
      </c>
      <c r="BE376" s="5">
        <v>45964</v>
      </c>
      <c r="BF376" s="4" t="s">
        <v>98</v>
      </c>
      <c r="BG376" s="4" t="s">
        <v>97</v>
      </c>
      <c r="BH376" s="4" t="s">
        <v>103</v>
      </c>
      <c r="BI376" s="4" t="s">
        <v>834</v>
      </c>
    </row>
    <row r="377" spans="1:61" x14ac:dyDescent="0.35">
      <c r="A377" s="4" t="s">
        <v>1029</v>
      </c>
      <c r="B377" s="8" t="str">
        <f t="shared" si="32"/>
        <v>2025</v>
      </c>
      <c r="C377" s="2" t="s">
        <v>32</v>
      </c>
      <c r="D377" s="6" t="str">
        <f t="shared" si="33"/>
        <v>Kaolack</v>
      </c>
      <c r="E377" s="6">
        <f t="shared" si="34"/>
        <v>151881</v>
      </c>
      <c r="F377" s="6">
        <f t="shared" si="35"/>
        <v>1267013</v>
      </c>
      <c r="G377" s="4" t="s">
        <v>1030</v>
      </c>
      <c r="H377" s="4" t="s">
        <v>1031</v>
      </c>
      <c r="I377" s="4">
        <v>7</v>
      </c>
      <c r="J377" s="4" t="s">
        <v>114</v>
      </c>
      <c r="K377" s="4"/>
      <c r="L377" s="4"/>
      <c r="M377" s="4"/>
      <c r="N377" s="4"/>
      <c r="O377" s="4" t="s">
        <v>238</v>
      </c>
      <c r="P377" s="4" t="s">
        <v>97</v>
      </c>
      <c r="Q377" s="4" t="s">
        <v>97</v>
      </c>
      <c r="R377" s="14" t="s">
        <v>100</v>
      </c>
      <c r="S377" s="14" t="s">
        <v>100</v>
      </c>
      <c r="T377" s="14" t="s">
        <v>100</v>
      </c>
      <c r="U377" s="8"/>
      <c r="V377" s="14"/>
      <c r="W377" s="14"/>
      <c r="X377" s="14"/>
      <c r="Y377" s="5">
        <v>45961</v>
      </c>
      <c r="Z377" s="5">
        <v>45964</v>
      </c>
      <c r="AA377" s="4" t="s">
        <v>103</v>
      </c>
      <c r="AB377" s="25" t="s">
        <v>488</v>
      </c>
      <c r="AC377" s="4" t="s">
        <v>103</v>
      </c>
      <c r="AD377" s="4" t="s">
        <v>103</v>
      </c>
      <c r="AE377" s="4" t="s">
        <v>97</v>
      </c>
      <c r="AF377" s="4" t="s">
        <v>103</v>
      </c>
      <c r="AG377" s="4" t="s">
        <v>97</v>
      </c>
      <c r="AH377" s="4" t="s">
        <v>103</v>
      </c>
      <c r="AI377" s="5">
        <v>45961</v>
      </c>
      <c r="AJ377" s="4" t="s">
        <v>103</v>
      </c>
      <c r="AK377" s="4" t="s">
        <v>97</v>
      </c>
      <c r="AL377" s="4" t="s">
        <v>103</v>
      </c>
      <c r="AM377" s="4" t="s">
        <v>103</v>
      </c>
      <c r="AN377" s="4" t="s">
        <v>103</v>
      </c>
      <c r="AO377" s="4" t="s">
        <v>103</v>
      </c>
      <c r="AP377" s="4" t="s">
        <v>103</v>
      </c>
      <c r="AQ377" s="4" t="s">
        <v>97</v>
      </c>
      <c r="AR377" s="4" t="s">
        <v>97</v>
      </c>
      <c r="AS377" s="4" t="s">
        <v>97</v>
      </c>
      <c r="AT377" s="4"/>
      <c r="AU377" s="4"/>
      <c r="AV377" s="4" t="s">
        <v>103</v>
      </c>
      <c r="AW377" s="4" t="s">
        <v>97</v>
      </c>
      <c r="AX377" s="4" t="s">
        <v>97</v>
      </c>
      <c r="AY377" s="4" t="s">
        <v>97</v>
      </c>
      <c r="AZ377" s="4" t="s">
        <v>97</v>
      </c>
      <c r="BA377" s="4" t="s">
        <v>97</v>
      </c>
      <c r="BB377" s="5">
        <v>45964</v>
      </c>
      <c r="BC377" s="5">
        <v>45965</v>
      </c>
      <c r="BD377" s="5">
        <v>45966</v>
      </c>
      <c r="BE377" s="5">
        <v>45966</v>
      </c>
      <c r="BF377" s="4" t="s">
        <v>98</v>
      </c>
      <c r="BG377" s="4" t="s">
        <v>97</v>
      </c>
      <c r="BH377" s="4" t="s">
        <v>103</v>
      </c>
      <c r="BI377" s="4" t="s">
        <v>834</v>
      </c>
    </row>
    <row r="378" spans="1:61" x14ac:dyDescent="0.35">
      <c r="A378" s="4" t="s">
        <v>1029</v>
      </c>
      <c r="B378" s="8" t="str">
        <f t="shared" si="32"/>
        <v>2025</v>
      </c>
      <c r="C378" s="2" t="s">
        <v>19</v>
      </c>
      <c r="D378" s="6" t="str">
        <f t="shared" si="33"/>
        <v>Dakar</v>
      </c>
      <c r="E378" s="6">
        <f t="shared" si="34"/>
        <v>565040</v>
      </c>
      <c r="F378" s="6">
        <f t="shared" si="35"/>
        <v>4042240</v>
      </c>
      <c r="G378" s="4" t="s">
        <v>1032</v>
      </c>
      <c r="H378" s="4" t="s">
        <v>1033</v>
      </c>
      <c r="I378" s="4">
        <v>22</v>
      </c>
      <c r="J378" s="4" t="s">
        <v>114</v>
      </c>
      <c r="K378" s="4"/>
      <c r="L378" s="4"/>
      <c r="M378" s="4"/>
      <c r="N378" s="4"/>
      <c r="O378" s="4" t="s">
        <v>238</v>
      </c>
      <c r="P378" s="4" t="s">
        <v>97</v>
      </c>
      <c r="Q378" s="4" t="s">
        <v>97</v>
      </c>
      <c r="R378" s="14" t="s">
        <v>100</v>
      </c>
      <c r="S378" s="14" t="s">
        <v>100</v>
      </c>
      <c r="T378" s="14" t="s">
        <v>100</v>
      </c>
      <c r="U378" s="8"/>
      <c r="V378" s="14"/>
      <c r="W378" s="14"/>
      <c r="X378" s="14"/>
      <c r="Y378" s="5">
        <v>45930</v>
      </c>
      <c r="Z378" s="5">
        <v>45950</v>
      </c>
      <c r="AA378" s="4" t="s">
        <v>103</v>
      </c>
      <c r="AB378" s="25">
        <v>38</v>
      </c>
      <c r="AC378" s="4" t="s">
        <v>97</v>
      </c>
      <c r="AD378" s="4" t="s">
        <v>97</v>
      </c>
      <c r="AE378" s="4" t="s">
        <v>97</v>
      </c>
      <c r="AF378" s="4" t="s">
        <v>97</v>
      </c>
      <c r="AG378" s="4" t="s">
        <v>97</v>
      </c>
      <c r="AH378" s="4" t="s">
        <v>97</v>
      </c>
      <c r="AI378" s="5">
        <v>45948</v>
      </c>
      <c r="AJ378" s="4" t="s">
        <v>97</v>
      </c>
      <c r="AK378" s="4" t="s">
        <v>97</v>
      </c>
      <c r="AL378" s="4" t="s">
        <v>97</v>
      </c>
      <c r="AM378" s="4" t="s">
        <v>97</v>
      </c>
      <c r="AN378" s="4" t="s">
        <v>103</v>
      </c>
      <c r="AO378" s="4" t="s">
        <v>103</v>
      </c>
      <c r="AP378" s="4" t="s">
        <v>103</v>
      </c>
      <c r="AQ378" s="4" t="s">
        <v>97</v>
      </c>
      <c r="AR378" s="4" t="s">
        <v>97</v>
      </c>
      <c r="AS378" s="4" t="s">
        <v>97</v>
      </c>
      <c r="AT378" s="4"/>
      <c r="AU378" s="4"/>
      <c r="AV378" s="4" t="s">
        <v>97</v>
      </c>
      <c r="AW378" s="4" t="s">
        <v>97</v>
      </c>
      <c r="AX378" s="4" t="s">
        <v>97</v>
      </c>
      <c r="AY378" s="4" t="s">
        <v>97</v>
      </c>
      <c r="AZ378" s="4" t="s">
        <v>103</v>
      </c>
      <c r="BA378" s="4" t="s">
        <v>97</v>
      </c>
      <c r="BB378" s="5">
        <v>45965</v>
      </c>
      <c r="BC378" s="5">
        <v>45966</v>
      </c>
      <c r="BD378" s="5">
        <v>45966</v>
      </c>
      <c r="BE378" s="5">
        <v>45966</v>
      </c>
      <c r="BF378" s="4" t="s">
        <v>98</v>
      </c>
      <c r="BG378" s="4" t="s">
        <v>97</v>
      </c>
      <c r="BH378" s="4" t="s">
        <v>97</v>
      </c>
      <c r="BI378" s="4" t="s">
        <v>834</v>
      </c>
    </row>
    <row r="379" spans="1:61" x14ac:dyDescent="0.35">
      <c r="A379" s="4" t="s">
        <v>1029</v>
      </c>
      <c r="B379" s="8" t="str">
        <f t="shared" si="32"/>
        <v>2025</v>
      </c>
      <c r="C379" s="2" t="s">
        <v>20</v>
      </c>
      <c r="D379" s="6" t="str">
        <f t="shared" si="33"/>
        <v>Dakar</v>
      </c>
      <c r="E379" s="6">
        <f t="shared" si="34"/>
        <v>272276</v>
      </c>
      <c r="F379" s="6">
        <f t="shared" si="35"/>
        <v>4042240</v>
      </c>
      <c r="G379" s="4" t="s">
        <v>1034</v>
      </c>
      <c r="H379" s="4" t="s">
        <v>1035</v>
      </c>
      <c r="I379" s="4">
        <v>28</v>
      </c>
      <c r="J379" s="4" t="s">
        <v>96</v>
      </c>
      <c r="K379" s="4"/>
      <c r="L379" s="4"/>
      <c r="M379" s="4"/>
      <c r="N379" s="4"/>
      <c r="O379" s="4" t="s">
        <v>238</v>
      </c>
      <c r="P379" s="4" t="s">
        <v>97</v>
      </c>
      <c r="Q379" s="4" t="s">
        <v>103</v>
      </c>
      <c r="R379" s="14" t="s">
        <v>100</v>
      </c>
      <c r="S379" s="14" t="s">
        <v>100</v>
      </c>
      <c r="T379" s="14" t="s">
        <v>100</v>
      </c>
      <c r="U379" s="8"/>
      <c r="V379" s="14"/>
      <c r="W379" s="14"/>
      <c r="X379" s="14"/>
      <c r="Y379" s="5">
        <v>45953</v>
      </c>
      <c r="Z379" s="5">
        <v>45953</v>
      </c>
      <c r="AA379" s="4" t="s">
        <v>97</v>
      </c>
      <c r="AB379" s="25"/>
      <c r="AC379" s="4" t="s">
        <v>103</v>
      </c>
      <c r="AD379" s="4" t="s">
        <v>103</v>
      </c>
      <c r="AE379" s="4" t="s">
        <v>97</v>
      </c>
      <c r="AF379" s="4" t="s">
        <v>103</v>
      </c>
      <c r="AG379" s="4" t="s">
        <v>103</v>
      </c>
      <c r="AH379" s="4" t="s">
        <v>103</v>
      </c>
      <c r="AI379" s="5">
        <v>45953</v>
      </c>
      <c r="AJ379" s="4" t="s">
        <v>103</v>
      </c>
      <c r="AK379" s="4" t="s">
        <v>97</v>
      </c>
      <c r="AL379" s="4" t="s">
        <v>103</v>
      </c>
      <c r="AM379" s="4" t="s">
        <v>97</v>
      </c>
      <c r="AN379" s="4" t="s">
        <v>97</v>
      </c>
      <c r="AO379" s="4" t="s">
        <v>97</v>
      </c>
      <c r="AP379" s="4" t="s">
        <v>97</v>
      </c>
      <c r="AQ379" s="4" t="s">
        <v>97</v>
      </c>
      <c r="AR379" s="4" t="s">
        <v>97</v>
      </c>
      <c r="AS379" s="4" t="s">
        <v>103</v>
      </c>
      <c r="AT379" s="4"/>
      <c r="AU379" s="4"/>
      <c r="AV379" s="4" t="s">
        <v>103</v>
      </c>
      <c r="AW379" s="4" t="s">
        <v>97</v>
      </c>
      <c r="AX379" s="4" t="s">
        <v>97</v>
      </c>
      <c r="AY379" s="4" t="s">
        <v>97</v>
      </c>
      <c r="AZ379" s="4" t="s">
        <v>103</v>
      </c>
      <c r="BA379" s="4" t="s">
        <v>97</v>
      </c>
      <c r="BB379" s="5">
        <v>45935</v>
      </c>
      <c r="BC379" s="5">
        <v>45966</v>
      </c>
      <c r="BD379" s="5">
        <v>45966</v>
      </c>
      <c r="BE379" s="5">
        <v>45966</v>
      </c>
      <c r="BF379" s="4" t="s">
        <v>98</v>
      </c>
      <c r="BG379" s="4" t="s">
        <v>97</v>
      </c>
      <c r="BH379" s="4" t="s">
        <v>103</v>
      </c>
      <c r="BI379" s="4" t="s">
        <v>834</v>
      </c>
    </row>
    <row r="380" spans="1:61" x14ac:dyDescent="0.35">
      <c r="A380" s="4" t="s">
        <v>1029</v>
      </c>
      <c r="B380" s="8" t="str">
        <f t="shared" si="32"/>
        <v>2025</v>
      </c>
      <c r="C380" s="2" t="s">
        <v>31</v>
      </c>
      <c r="D380" s="6" t="str">
        <f t="shared" si="33"/>
        <v>Dakar</v>
      </c>
      <c r="E380" s="6">
        <f t="shared" si="34"/>
        <v>424760</v>
      </c>
      <c r="F380" s="6">
        <f t="shared" si="35"/>
        <v>4042240</v>
      </c>
      <c r="G380" s="4" t="s">
        <v>1036</v>
      </c>
      <c r="H380" s="4" t="s">
        <v>1037</v>
      </c>
      <c r="I380" s="4">
        <v>2</v>
      </c>
      <c r="J380" s="4" t="s">
        <v>114</v>
      </c>
      <c r="K380" s="4"/>
      <c r="L380" s="4"/>
      <c r="M380" s="4"/>
      <c r="N380" s="4"/>
      <c r="O380" s="4" t="s">
        <v>238</v>
      </c>
      <c r="P380" s="4" t="s">
        <v>97</v>
      </c>
      <c r="Q380" s="4" t="s">
        <v>97</v>
      </c>
      <c r="R380" s="14" t="s">
        <v>100</v>
      </c>
      <c r="S380" s="14" t="s">
        <v>100</v>
      </c>
      <c r="T380" s="14" t="s">
        <v>100</v>
      </c>
      <c r="U380" s="8"/>
      <c r="V380" s="14"/>
      <c r="W380" s="14"/>
      <c r="X380" s="14"/>
      <c r="Y380" s="5">
        <v>45963</v>
      </c>
      <c r="Z380" s="5">
        <v>45964</v>
      </c>
      <c r="AA380" s="4" t="s">
        <v>103</v>
      </c>
      <c r="AB380" s="25">
        <v>39</v>
      </c>
      <c r="AC380" s="4" t="s">
        <v>97</v>
      </c>
      <c r="AD380" s="4" t="s">
        <v>97</v>
      </c>
      <c r="AE380" s="4" t="s">
        <v>97</v>
      </c>
      <c r="AF380" s="4" t="s">
        <v>97</v>
      </c>
      <c r="AG380" s="4" t="s">
        <v>97</v>
      </c>
      <c r="AH380" s="4" t="s">
        <v>103</v>
      </c>
      <c r="AI380" s="5">
        <v>45964</v>
      </c>
      <c r="AJ380" s="4" t="s">
        <v>103</v>
      </c>
      <c r="AK380" s="4" t="s">
        <v>97</v>
      </c>
      <c r="AL380" s="4" t="s">
        <v>97</v>
      </c>
      <c r="AM380" s="4" t="s">
        <v>103</v>
      </c>
      <c r="AN380" s="4" t="s">
        <v>103</v>
      </c>
      <c r="AO380" s="4" t="s">
        <v>97</v>
      </c>
      <c r="AP380" s="4" t="s">
        <v>97</v>
      </c>
      <c r="AQ380" s="4" t="s">
        <v>97</v>
      </c>
      <c r="AR380" s="4" t="s">
        <v>97</v>
      </c>
      <c r="AS380" s="4" t="s">
        <v>97</v>
      </c>
      <c r="AT380" s="4"/>
      <c r="AU380" s="4" t="s">
        <v>511</v>
      </c>
      <c r="AV380" s="4" t="s">
        <v>103</v>
      </c>
      <c r="AW380" s="4" t="s">
        <v>97</v>
      </c>
      <c r="AX380" s="4" t="s">
        <v>97</v>
      </c>
      <c r="AY380" s="4" t="s">
        <v>97</v>
      </c>
      <c r="AZ380" s="4" t="s">
        <v>103</v>
      </c>
      <c r="BA380" s="4" t="s">
        <v>97</v>
      </c>
      <c r="BB380" s="5">
        <v>45965</v>
      </c>
      <c r="BC380" s="5">
        <v>45966</v>
      </c>
      <c r="BD380" s="5">
        <v>45966</v>
      </c>
      <c r="BE380" s="5">
        <v>45966</v>
      </c>
      <c r="BF380" s="4" t="s">
        <v>98</v>
      </c>
      <c r="BG380" s="4" t="s">
        <v>103</v>
      </c>
      <c r="BH380" s="4" t="s">
        <v>97</v>
      </c>
      <c r="BI380" s="4" t="s">
        <v>834</v>
      </c>
    </row>
    <row r="381" spans="1:61" x14ac:dyDescent="0.35">
      <c r="A381" s="4" t="s">
        <v>1029</v>
      </c>
      <c r="B381" s="8" t="str">
        <f t="shared" ref="B381:B444" si="36">RIGHT(A381,4)</f>
        <v>2025</v>
      </c>
      <c r="C381" s="2" t="s">
        <v>52</v>
      </c>
      <c r="D381" s="6" t="str">
        <f t="shared" ref="D381:D444" si="37">IF(C381="","",VLOOKUP(C381,district_region,2,FALSE))</f>
        <v>Kaolack</v>
      </c>
      <c r="E381" s="6">
        <f t="shared" ref="E381:E444" si="38">IF(C381="","",VLOOKUP(C381,liste_pop,3,FALSE))</f>
        <v>231613</v>
      </c>
      <c r="F381" s="6">
        <f t="shared" ref="F381:F444" si="39">IF(D381="","",IF(D381="Dakar",4042240,VLOOKUP(D381,liste_pop,4,FALSE)))</f>
        <v>1267013</v>
      </c>
      <c r="G381" s="4" t="s">
        <v>1038</v>
      </c>
      <c r="H381" s="4" t="s">
        <v>1039</v>
      </c>
      <c r="I381" s="4">
        <v>21</v>
      </c>
      <c r="J381" s="4" t="s">
        <v>96</v>
      </c>
      <c r="K381" s="4"/>
      <c r="L381" s="4"/>
      <c r="M381" s="4"/>
      <c r="N381" s="4"/>
      <c r="O381" s="4" t="s">
        <v>238</v>
      </c>
      <c r="P381" s="4" t="s">
        <v>97</v>
      </c>
      <c r="Q381" s="4" t="s">
        <v>97</v>
      </c>
      <c r="R381" s="14" t="s">
        <v>100</v>
      </c>
      <c r="S381" s="14" t="s">
        <v>100</v>
      </c>
      <c r="T381" s="14" t="s">
        <v>100</v>
      </c>
      <c r="U381" s="8"/>
      <c r="V381" s="14"/>
      <c r="W381" s="14"/>
      <c r="X381" s="14"/>
      <c r="Y381" s="5">
        <v>45962</v>
      </c>
      <c r="Z381" s="5">
        <v>45964</v>
      </c>
      <c r="AA381" s="4" t="s">
        <v>103</v>
      </c>
      <c r="AB381" s="4" t="s">
        <v>488</v>
      </c>
      <c r="AC381" s="4" t="s">
        <v>103</v>
      </c>
      <c r="AD381" s="4" t="s">
        <v>97</v>
      </c>
      <c r="AE381" s="4" t="s">
        <v>97</v>
      </c>
      <c r="AF381" s="4" t="s">
        <v>97</v>
      </c>
      <c r="AG381" s="4" t="s">
        <v>103</v>
      </c>
      <c r="AH381" s="4" t="s">
        <v>103</v>
      </c>
      <c r="AI381" s="5">
        <v>45962</v>
      </c>
      <c r="AJ381" s="4" t="s">
        <v>97</v>
      </c>
      <c r="AK381" s="4" t="s">
        <v>97</v>
      </c>
      <c r="AL381" s="4" t="s">
        <v>103</v>
      </c>
      <c r="AM381" s="4" t="s">
        <v>103</v>
      </c>
      <c r="AN381" s="4" t="s">
        <v>103</v>
      </c>
      <c r="AO381" s="4" t="s">
        <v>103</v>
      </c>
      <c r="AP381" s="4" t="s">
        <v>97</v>
      </c>
      <c r="AQ381" s="4" t="s">
        <v>97</v>
      </c>
      <c r="AR381" s="4" t="s">
        <v>97</v>
      </c>
      <c r="AS381" s="4" t="s">
        <v>97</v>
      </c>
      <c r="AT381" s="4"/>
      <c r="AU381" s="4"/>
      <c r="AV381" s="4" t="s">
        <v>103</v>
      </c>
      <c r="AW381" s="4" t="s">
        <v>97</v>
      </c>
      <c r="AX381" s="4" t="s">
        <v>97</v>
      </c>
      <c r="AY381" s="4" t="s">
        <v>97</v>
      </c>
      <c r="AZ381" s="4" t="s">
        <v>97</v>
      </c>
      <c r="BA381" s="4" t="s">
        <v>97</v>
      </c>
      <c r="BB381" s="5">
        <v>45964</v>
      </c>
      <c r="BC381" s="5">
        <v>45965</v>
      </c>
      <c r="BD381" s="5">
        <v>45966</v>
      </c>
      <c r="BE381" s="5">
        <v>45966</v>
      </c>
      <c r="BF381" s="4" t="s">
        <v>98</v>
      </c>
      <c r="BG381" s="4" t="s">
        <v>97</v>
      </c>
      <c r="BH381" s="4" t="s">
        <v>103</v>
      </c>
      <c r="BI381" s="4" t="s">
        <v>834</v>
      </c>
    </row>
    <row r="382" spans="1:61" x14ac:dyDescent="0.35">
      <c r="A382" s="4" t="s">
        <v>1029</v>
      </c>
      <c r="B382" s="8" t="str">
        <f t="shared" si="36"/>
        <v>2025</v>
      </c>
      <c r="C382" s="2" t="s">
        <v>37</v>
      </c>
      <c r="D382" s="6" t="str">
        <f t="shared" si="37"/>
        <v>Dakar</v>
      </c>
      <c r="E382" s="6">
        <f t="shared" si="38"/>
        <v>301226</v>
      </c>
      <c r="F382" s="6">
        <f t="shared" si="39"/>
        <v>4042240</v>
      </c>
      <c r="G382" s="4" t="s">
        <v>1040</v>
      </c>
      <c r="H382" s="4" t="s">
        <v>1041</v>
      </c>
      <c r="I382" s="4">
        <v>1</v>
      </c>
      <c r="J382" s="4" t="s">
        <v>114</v>
      </c>
      <c r="K382" s="4"/>
      <c r="L382" s="4"/>
      <c r="M382" s="4"/>
      <c r="N382" s="4"/>
      <c r="O382" s="4" t="s">
        <v>238</v>
      </c>
      <c r="P382" s="4" t="s">
        <v>97</v>
      </c>
      <c r="Q382" s="4" t="s">
        <v>97</v>
      </c>
      <c r="R382" s="14" t="s">
        <v>100</v>
      </c>
      <c r="S382" s="14" t="s">
        <v>100</v>
      </c>
      <c r="T382" s="14" t="s">
        <v>100</v>
      </c>
      <c r="U382" s="8"/>
      <c r="V382" s="14"/>
      <c r="W382" s="14"/>
      <c r="X382" s="14"/>
      <c r="Y382" s="26" t="s">
        <v>1042</v>
      </c>
      <c r="Z382" s="5">
        <v>45966</v>
      </c>
      <c r="AA382" s="4" t="s">
        <v>103</v>
      </c>
      <c r="AB382" s="4" t="s">
        <v>488</v>
      </c>
      <c r="AC382" s="4" t="s">
        <v>97</v>
      </c>
      <c r="AD382" s="4" t="s">
        <v>97</v>
      </c>
      <c r="AE382" s="4" t="s">
        <v>97</v>
      </c>
      <c r="AF382" s="4" t="s">
        <v>97</v>
      </c>
      <c r="AG382" s="4" t="s">
        <v>97</v>
      </c>
      <c r="AH382" s="4" t="s">
        <v>103</v>
      </c>
      <c r="AI382" s="5">
        <v>45965</v>
      </c>
      <c r="AJ382" s="4" t="s">
        <v>103</v>
      </c>
      <c r="AK382" s="4" t="s">
        <v>103</v>
      </c>
      <c r="AL382" s="4" t="s">
        <v>97</v>
      </c>
      <c r="AM382" s="4" t="s">
        <v>97</v>
      </c>
      <c r="AN382" s="4" t="s">
        <v>103</v>
      </c>
      <c r="AO382" s="4" t="s">
        <v>103</v>
      </c>
      <c r="AP382" s="4" t="s">
        <v>103</v>
      </c>
      <c r="AQ382" s="4" t="s">
        <v>97</v>
      </c>
      <c r="AR382" s="4" t="s">
        <v>103</v>
      </c>
      <c r="AS382" s="4" t="s">
        <v>97</v>
      </c>
      <c r="AT382" s="4"/>
      <c r="AU382" s="4"/>
      <c r="AV382" s="4" t="s">
        <v>103</v>
      </c>
      <c r="AW382" s="4" t="s">
        <v>103</v>
      </c>
      <c r="AX382" s="4" t="s">
        <v>103</v>
      </c>
      <c r="AY382" s="4" t="s">
        <v>103</v>
      </c>
      <c r="AZ382" s="4" t="s">
        <v>103</v>
      </c>
      <c r="BA382" s="4" t="s">
        <v>97</v>
      </c>
      <c r="BB382" s="5">
        <v>45966</v>
      </c>
      <c r="BC382" s="5">
        <v>45966</v>
      </c>
      <c r="BD382" s="5">
        <v>45966</v>
      </c>
      <c r="BE382" s="5">
        <v>45966</v>
      </c>
      <c r="BF382" s="4" t="s">
        <v>98</v>
      </c>
      <c r="BG382" s="4" t="s">
        <v>103</v>
      </c>
      <c r="BH382" s="4" t="s">
        <v>97</v>
      </c>
      <c r="BI382" s="4" t="s">
        <v>834</v>
      </c>
    </row>
    <row r="383" spans="1:61" x14ac:dyDescent="0.35">
      <c r="A383" s="4" t="s">
        <v>1029</v>
      </c>
      <c r="B383" s="8" t="str">
        <f t="shared" si="36"/>
        <v>2025</v>
      </c>
      <c r="C383" s="2" t="s">
        <v>23</v>
      </c>
      <c r="D383" s="6" t="str">
        <f t="shared" si="37"/>
        <v>Dakar</v>
      </c>
      <c r="E383" s="6">
        <f t="shared" si="38"/>
        <v>167577</v>
      </c>
      <c r="F383" s="6">
        <f t="shared" si="39"/>
        <v>4042240</v>
      </c>
      <c r="G383" s="4" t="s">
        <v>1043</v>
      </c>
      <c r="H383" s="4" t="s">
        <v>1044</v>
      </c>
      <c r="I383" s="4">
        <v>8</v>
      </c>
      <c r="J383" s="4" t="s">
        <v>114</v>
      </c>
      <c r="K383" s="4"/>
      <c r="L383" s="4"/>
      <c r="M383" s="4"/>
      <c r="N383" s="4"/>
      <c r="O383" s="4" t="s">
        <v>238</v>
      </c>
      <c r="P383" s="4" t="s">
        <v>97</v>
      </c>
      <c r="Q383" s="4" t="s">
        <v>97</v>
      </c>
      <c r="R383" s="14" t="s">
        <v>100</v>
      </c>
      <c r="S383" s="14" t="s">
        <v>100</v>
      </c>
      <c r="T383" s="14" t="s">
        <v>100</v>
      </c>
      <c r="U383" s="8"/>
      <c r="V383" s="14"/>
      <c r="W383" s="14"/>
      <c r="X383" s="14"/>
      <c r="Y383" s="5">
        <v>45963</v>
      </c>
      <c r="Z383" s="5">
        <v>45965</v>
      </c>
      <c r="AA383" s="4" t="s">
        <v>97</v>
      </c>
      <c r="AB383" s="4"/>
      <c r="AC383" s="4" t="s">
        <v>97</v>
      </c>
      <c r="AD383" s="4" t="s">
        <v>103</v>
      </c>
      <c r="AE383" s="4" t="s">
        <v>97</v>
      </c>
      <c r="AF383" s="4" t="s">
        <v>103</v>
      </c>
      <c r="AG383" s="4" t="s">
        <v>97</v>
      </c>
      <c r="AH383" s="4" t="s">
        <v>103</v>
      </c>
      <c r="AI383" s="5">
        <v>45963</v>
      </c>
      <c r="AJ383" s="4" t="s">
        <v>97</v>
      </c>
      <c r="AK383" s="4" t="s">
        <v>97</v>
      </c>
      <c r="AL383" s="4" t="s">
        <v>97</v>
      </c>
      <c r="AM383" s="4" t="s">
        <v>103</v>
      </c>
      <c r="AN383" s="4" t="s">
        <v>97</v>
      </c>
      <c r="AO383" s="4" t="s">
        <v>97</v>
      </c>
      <c r="AP383" s="4" t="s">
        <v>97</v>
      </c>
      <c r="AQ383" s="4" t="s">
        <v>97</v>
      </c>
      <c r="AR383" s="4" t="s">
        <v>97</v>
      </c>
      <c r="AS383" s="4" t="s">
        <v>97</v>
      </c>
      <c r="AT383" s="4"/>
      <c r="AU383" s="4"/>
      <c r="AV383" s="4" t="s">
        <v>103</v>
      </c>
      <c r="AW383" s="4" t="s">
        <v>97</v>
      </c>
      <c r="AX383" s="4" t="s">
        <v>97</v>
      </c>
      <c r="AY383" s="4" t="s">
        <v>97</v>
      </c>
      <c r="AZ383" s="4" t="s">
        <v>103</v>
      </c>
      <c r="BA383" s="4" t="s">
        <v>97</v>
      </c>
      <c r="BB383" s="5">
        <v>45965</v>
      </c>
      <c r="BC383" s="5">
        <v>45965</v>
      </c>
      <c r="BD383" s="5">
        <v>45966</v>
      </c>
      <c r="BE383" s="5">
        <v>45966</v>
      </c>
      <c r="BF383" s="4" t="s">
        <v>98</v>
      </c>
      <c r="BG383" s="4" t="s">
        <v>97</v>
      </c>
      <c r="BH383" s="4" t="s">
        <v>103</v>
      </c>
      <c r="BI383" s="4" t="s">
        <v>834</v>
      </c>
    </row>
    <row r="384" spans="1:61" x14ac:dyDescent="0.35">
      <c r="A384" s="4" t="s">
        <v>1029</v>
      </c>
      <c r="B384" s="8" t="str">
        <f t="shared" si="36"/>
        <v>2025</v>
      </c>
      <c r="C384" s="2" t="s">
        <v>37</v>
      </c>
      <c r="D384" s="6" t="str">
        <f t="shared" si="37"/>
        <v>Dakar</v>
      </c>
      <c r="E384" s="6">
        <f t="shared" si="38"/>
        <v>301226</v>
      </c>
      <c r="F384" s="6">
        <f t="shared" si="39"/>
        <v>4042240</v>
      </c>
      <c r="G384" s="4" t="s">
        <v>1045</v>
      </c>
      <c r="H384" s="4" t="s">
        <v>1046</v>
      </c>
      <c r="I384" s="4">
        <v>35</v>
      </c>
      <c r="J384" s="4" t="s">
        <v>114</v>
      </c>
      <c r="K384" s="4"/>
      <c r="L384" s="4"/>
      <c r="M384" s="4"/>
      <c r="N384" s="4"/>
      <c r="O384" s="4" t="s">
        <v>238</v>
      </c>
      <c r="P384" s="4" t="s">
        <v>97</v>
      </c>
      <c r="Q384" s="4" t="s">
        <v>97</v>
      </c>
      <c r="R384" s="14" t="s">
        <v>100</v>
      </c>
      <c r="S384" s="14" t="s">
        <v>100</v>
      </c>
      <c r="T384" s="14" t="s">
        <v>100</v>
      </c>
      <c r="U384" s="8"/>
      <c r="V384" s="14"/>
      <c r="W384" s="14"/>
      <c r="X384" s="14"/>
      <c r="Y384" s="24">
        <v>45961</v>
      </c>
      <c r="Z384" s="5">
        <v>45964</v>
      </c>
      <c r="AA384" s="4" t="s">
        <v>103</v>
      </c>
      <c r="AB384" s="4" t="s">
        <v>653</v>
      </c>
      <c r="AC384" s="4" t="s">
        <v>103</v>
      </c>
      <c r="AD384" s="4" t="s">
        <v>97</v>
      </c>
      <c r="AE384" s="4" t="s">
        <v>97</v>
      </c>
      <c r="AF384" s="4" t="s">
        <v>103</v>
      </c>
      <c r="AG384" s="4" t="s">
        <v>103</v>
      </c>
      <c r="AH384" s="4" t="s">
        <v>103</v>
      </c>
      <c r="AI384" s="5">
        <v>45961</v>
      </c>
      <c r="AJ384" s="4" t="s">
        <v>103</v>
      </c>
      <c r="AK384" s="4" t="s">
        <v>97</v>
      </c>
      <c r="AL384" s="4" t="s">
        <v>97</v>
      </c>
      <c r="AM384" s="4" t="s">
        <v>103</v>
      </c>
      <c r="AN384" s="4" t="s">
        <v>103</v>
      </c>
      <c r="AO384" s="4" t="s">
        <v>97</v>
      </c>
      <c r="AP384" s="4" t="s">
        <v>97</v>
      </c>
      <c r="AQ384" s="4" t="s">
        <v>97</v>
      </c>
      <c r="AR384" s="4" t="s">
        <v>97</v>
      </c>
      <c r="AS384" s="4" t="s">
        <v>97</v>
      </c>
      <c r="AT384" s="4"/>
      <c r="AU384" s="4"/>
      <c r="AV384" s="4" t="s">
        <v>97</v>
      </c>
      <c r="AW384" s="4" t="s">
        <v>97</v>
      </c>
      <c r="AX384" s="4" t="s">
        <v>103</v>
      </c>
      <c r="AY384" s="4" t="s">
        <v>97</v>
      </c>
      <c r="AZ384" s="4" t="s">
        <v>103</v>
      </c>
      <c r="BA384" s="4" t="s">
        <v>97</v>
      </c>
      <c r="BB384" s="5">
        <v>45967</v>
      </c>
      <c r="BC384" s="5">
        <v>45968</v>
      </c>
      <c r="BD384" s="5">
        <v>45968</v>
      </c>
      <c r="BE384" s="5">
        <v>45968</v>
      </c>
      <c r="BF384" s="4" t="s">
        <v>98</v>
      </c>
      <c r="BG384" s="4" t="s">
        <v>97</v>
      </c>
      <c r="BH384" s="4" t="s">
        <v>103</v>
      </c>
      <c r="BI384" s="4" t="s">
        <v>834</v>
      </c>
    </row>
    <row r="385" spans="1:61" x14ac:dyDescent="0.35">
      <c r="A385" s="4" t="s">
        <v>1029</v>
      </c>
      <c r="B385" s="8" t="str">
        <f t="shared" si="36"/>
        <v>2025</v>
      </c>
      <c r="C385" s="2" t="s">
        <v>19</v>
      </c>
      <c r="D385" s="6" t="str">
        <f t="shared" si="37"/>
        <v>Dakar</v>
      </c>
      <c r="E385" s="6">
        <f t="shared" si="38"/>
        <v>565040</v>
      </c>
      <c r="F385" s="6">
        <f t="shared" si="39"/>
        <v>4042240</v>
      </c>
      <c r="G385" s="4" t="s">
        <v>1047</v>
      </c>
      <c r="H385" s="4" t="s">
        <v>1048</v>
      </c>
      <c r="I385" s="4">
        <v>19</v>
      </c>
      <c r="J385" s="4" t="s">
        <v>114</v>
      </c>
      <c r="K385" s="4"/>
      <c r="L385" s="4"/>
      <c r="M385" s="4"/>
      <c r="N385" s="4"/>
      <c r="O385" s="4" t="s">
        <v>238</v>
      </c>
      <c r="P385" s="4" t="s">
        <v>97</v>
      </c>
      <c r="Q385" s="4" t="s">
        <v>97</v>
      </c>
      <c r="R385" s="14" t="s">
        <v>100</v>
      </c>
      <c r="S385" s="14" t="s">
        <v>100</v>
      </c>
      <c r="T385" s="14" t="s">
        <v>100</v>
      </c>
      <c r="U385" s="8"/>
      <c r="V385" s="14"/>
      <c r="W385" s="14"/>
      <c r="X385" s="14"/>
      <c r="Y385" s="5">
        <v>45965</v>
      </c>
      <c r="Z385" s="5">
        <v>45967</v>
      </c>
      <c r="AA385" s="4" t="s">
        <v>103</v>
      </c>
      <c r="AB385" s="4" t="s">
        <v>413</v>
      </c>
      <c r="AC385" s="4" t="s">
        <v>103</v>
      </c>
      <c r="AD385" s="4" t="s">
        <v>103</v>
      </c>
      <c r="AE385" s="4" t="s">
        <v>97</v>
      </c>
      <c r="AF385" s="4" t="s">
        <v>103</v>
      </c>
      <c r="AG385" s="4" t="s">
        <v>103</v>
      </c>
      <c r="AH385" s="4" t="s">
        <v>103</v>
      </c>
      <c r="AI385" s="5">
        <v>45966</v>
      </c>
      <c r="AJ385" s="4" t="s">
        <v>97</v>
      </c>
      <c r="AK385" s="4" t="s">
        <v>97</v>
      </c>
      <c r="AL385" s="4" t="s">
        <v>97</v>
      </c>
      <c r="AM385" s="4" t="s">
        <v>103</v>
      </c>
      <c r="AN385" s="4" t="s">
        <v>103</v>
      </c>
      <c r="AO385" s="4" t="s">
        <v>97</v>
      </c>
      <c r="AP385" s="4" t="s">
        <v>103</v>
      </c>
      <c r="AQ385" s="4" t="s">
        <v>97</v>
      </c>
      <c r="AR385" s="4" t="s">
        <v>97</v>
      </c>
      <c r="AS385" s="4" t="s">
        <v>97</v>
      </c>
      <c r="AT385" s="4"/>
      <c r="AU385" s="4"/>
      <c r="AV385" s="4" t="s">
        <v>103</v>
      </c>
      <c r="AW385" s="4" t="s">
        <v>97</v>
      </c>
      <c r="AX385" s="4" t="s">
        <v>97</v>
      </c>
      <c r="AY385" s="4" t="s">
        <v>97</v>
      </c>
      <c r="AZ385" s="4" t="s">
        <v>103</v>
      </c>
      <c r="BA385" s="4" t="s">
        <v>97</v>
      </c>
      <c r="BB385" s="5">
        <v>45968</v>
      </c>
      <c r="BC385" s="5">
        <v>45968</v>
      </c>
      <c r="BD385" s="5">
        <v>45968</v>
      </c>
      <c r="BE385" s="5">
        <v>45968</v>
      </c>
      <c r="BF385" s="4" t="s">
        <v>98</v>
      </c>
      <c r="BG385" s="4" t="s">
        <v>97</v>
      </c>
      <c r="BH385" s="4" t="s">
        <v>103</v>
      </c>
      <c r="BI385" s="4" t="s">
        <v>834</v>
      </c>
    </row>
    <row r="386" spans="1:61" x14ac:dyDescent="0.35">
      <c r="A386" s="4" t="s">
        <v>1029</v>
      </c>
      <c r="B386" s="8" t="str">
        <f t="shared" si="36"/>
        <v>2025</v>
      </c>
      <c r="C386" s="2" t="s">
        <v>36</v>
      </c>
      <c r="D386" s="6" t="str">
        <f t="shared" si="37"/>
        <v>Kedougou</v>
      </c>
      <c r="E386" s="6">
        <f t="shared" si="38"/>
        <v>105689</v>
      </c>
      <c r="F386" s="6">
        <f t="shared" si="39"/>
        <v>203720</v>
      </c>
      <c r="G386" s="4" t="s">
        <v>1049</v>
      </c>
      <c r="H386" s="4" t="s">
        <v>1050</v>
      </c>
      <c r="I386" s="4">
        <v>32</v>
      </c>
      <c r="J386" s="4" t="s">
        <v>114</v>
      </c>
      <c r="K386" s="4"/>
      <c r="L386" s="4"/>
      <c r="M386" s="4"/>
      <c r="N386" s="4"/>
      <c r="O386" s="4" t="s">
        <v>238</v>
      </c>
      <c r="P386" s="4" t="s">
        <v>97</v>
      </c>
      <c r="Q386" s="4" t="s">
        <v>97</v>
      </c>
      <c r="R386" s="14" t="s">
        <v>100</v>
      </c>
      <c r="S386" s="14" t="s">
        <v>100</v>
      </c>
      <c r="T386" s="14" t="s">
        <v>100</v>
      </c>
      <c r="U386" s="8"/>
      <c r="V386" s="14"/>
      <c r="W386" s="14"/>
      <c r="X386" s="14"/>
      <c r="Y386" s="5">
        <v>45961</v>
      </c>
      <c r="Z386" s="5">
        <v>45964</v>
      </c>
      <c r="AA386" s="4" t="s">
        <v>103</v>
      </c>
      <c r="AB386" s="25">
        <v>38</v>
      </c>
      <c r="AC386" s="4" t="s">
        <v>103</v>
      </c>
      <c r="AD386" s="4" t="s">
        <v>97</v>
      </c>
      <c r="AE386" s="4" t="s">
        <v>97</v>
      </c>
      <c r="AF386" s="4" t="s">
        <v>97</v>
      </c>
      <c r="AG386" s="4" t="s">
        <v>97</v>
      </c>
      <c r="AH386" s="4" t="s">
        <v>103</v>
      </c>
      <c r="AI386" s="26" t="s">
        <v>1051</v>
      </c>
      <c r="AJ386" s="4" t="s">
        <v>103</v>
      </c>
      <c r="AK386" s="4" t="s">
        <v>103</v>
      </c>
      <c r="AL386" s="4" t="s">
        <v>97</v>
      </c>
      <c r="AM386" s="4" t="s">
        <v>103</v>
      </c>
      <c r="AN386" s="4" t="s">
        <v>97</v>
      </c>
      <c r="AO386" s="4" t="s">
        <v>97</v>
      </c>
      <c r="AP386" s="4" t="s">
        <v>103</v>
      </c>
      <c r="AQ386" s="4" t="s">
        <v>97</v>
      </c>
      <c r="AR386" s="4" t="s">
        <v>97</v>
      </c>
      <c r="AS386" s="4" t="s">
        <v>97</v>
      </c>
      <c r="AT386" s="4"/>
      <c r="AU386" s="4"/>
      <c r="AV386" s="4" t="s">
        <v>103</v>
      </c>
      <c r="AW386" s="4" t="s">
        <v>103</v>
      </c>
      <c r="AX386" s="4" t="s">
        <v>97</v>
      </c>
      <c r="AY386" s="4" t="s">
        <v>97</v>
      </c>
      <c r="AZ386" s="4" t="s">
        <v>103</v>
      </c>
      <c r="BA386" s="4" t="s">
        <v>97</v>
      </c>
      <c r="BB386" s="5">
        <v>45964</v>
      </c>
      <c r="BC386" s="5">
        <v>45965</v>
      </c>
      <c r="BD386" s="5">
        <v>45968</v>
      </c>
      <c r="BE386" s="5">
        <v>45968</v>
      </c>
      <c r="BF386" s="4" t="s">
        <v>98</v>
      </c>
      <c r="BG386" s="4" t="s">
        <v>97</v>
      </c>
      <c r="BH386" s="4" t="s">
        <v>103</v>
      </c>
      <c r="BI386" s="4" t="s">
        <v>834</v>
      </c>
    </row>
    <row r="387" spans="1:61" x14ac:dyDescent="0.35">
      <c r="A387" s="4" t="s">
        <v>1029</v>
      </c>
      <c r="B387" s="8" t="str">
        <f t="shared" si="36"/>
        <v>2025</v>
      </c>
      <c r="C387" s="2" t="s">
        <v>20</v>
      </c>
      <c r="D387" s="6" t="str">
        <f t="shared" si="37"/>
        <v>Dakar</v>
      </c>
      <c r="E387" s="6">
        <f t="shared" si="38"/>
        <v>272276</v>
      </c>
      <c r="F387" s="6">
        <f t="shared" si="39"/>
        <v>4042240</v>
      </c>
      <c r="G387" s="4" t="s">
        <v>1052</v>
      </c>
      <c r="H387" s="4" t="s">
        <v>1053</v>
      </c>
      <c r="I387" s="4">
        <v>1</v>
      </c>
      <c r="J387" s="4" t="s">
        <v>114</v>
      </c>
      <c r="K387" s="4"/>
      <c r="L387" s="4"/>
      <c r="M387" s="4"/>
      <c r="N387" s="4"/>
      <c r="O387" s="4" t="s">
        <v>238</v>
      </c>
      <c r="P387" s="4" t="s">
        <v>97</v>
      </c>
      <c r="Q387" s="4" t="s">
        <v>97</v>
      </c>
      <c r="R387" s="14" t="s">
        <v>100</v>
      </c>
      <c r="S387" s="14" t="s">
        <v>100</v>
      </c>
      <c r="T387" s="14" t="s">
        <v>100</v>
      </c>
      <c r="U387" s="8"/>
      <c r="V387" s="14"/>
      <c r="W387" s="14"/>
      <c r="X387" s="14"/>
      <c r="Y387" s="5">
        <v>45967</v>
      </c>
      <c r="Z387" s="5">
        <v>45968</v>
      </c>
      <c r="AA387" s="4" t="s">
        <v>103</v>
      </c>
      <c r="AB387" s="4" t="s">
        <v>550</v>
      </c>
      <c r="AC387" s="4" t="s">
        <v>97</v>
      </c>
      <c r="AD387" s="4" t="s">
        <v>97</v>
      </c>
      <c r="AE387" s="4" t="s">
        <v>97</v>
      </c>
      <c r="AF387" s="4" t="s">
        <v>97</v>
      </c>
      <c r="AG387" s="4" t="s">
        <v>97</v>
      </c>
      <c r="AH387" s="4" t="s">
        <v>103</v>
      </c>
      <c r="AI387" s="5">
        <v>45967</v>
      </c>
      <c r="AJ387" s="4" t="s">
        <v>103</v>
      </c>
      <c r="AK387" s="4" t="s">
        <v>103</v>
      </c>
      <c r="AL387" s="4" t="s">
        <v>97</v>
      </c>
      <c r="AM387" s="4" t="s">
        <v>103</v>
      </c>
      <c r="AN387" s="4" t="s">
        <v>103</v>
      </c>
      <c r="AO387" s="4" t="s">
        <v>97</v>
      </c>
      <c r="AP387" s="4" t="s">
        <v>97</v>
      </c>
      <c r="AQ387" s="4" t="s">
        <v>97</v>
      </c>
      <c r="AR387" s="4" t="s">
        <v>97</v>
      </c>
      <c r="AS387" s="4" t="s">
        <v>103</v>
      </c>
      <c r="AT387" s="4"/>
      <c r="AU387" s="4"/>
      <c r="AV387" s="4" t="s">
        <v>103</v>
      </c>
      <c r="AW387" s="4" t="s">
        <v>97</v>
      </c>
      <c r="AX387" s="4" t="s">
        <v>103</v>
      </c>
      <c r="AY387" s="4" t="s">
        <v>97</v>
      </c>
      <c r="AZ387" s="4" t="s">
        <v>103</v>
      </c>
      <c r="BA387" s="4" t="s">
        <v>97</v>
      </c>
      <c r="BB387" s="5">
        <v>45968</v>
      </c>
      <c r="BC387" s="5">
        <v>45968</v>
      </c>
      <c r="BD387" s="5">
        <v>45968</v>
      </c>
      <c r="BE387" s="5">
        <v>45968</v>
      </c>
      <c r="BF387" s="4" t="s">
        <v>98</v>
      </c>
      <c r="BG387" s="4" t="s">
        <v>97</v>
      </c>
      <c r="BH387" s="4" t="s">
        <v>103</v>
      </c>
      <c r="BI387" s="4" t="s">
        <v>834</v>
      </c>
    </row>
    <row r="388" spans="1:61" x14ac:dyDescent="0.35">
      <c r="A388" s="4" t="s">
        <v>1029</v>
      </c>
      <c r="B388" s="8" t="str">
        <f t="shared" si="36"/>
        <v>2025</v>
      </c>
      <c r="C388" s="2" t="s">
        <v>21</v>
      </c>
      <c r="D388" s="6" t="str">
        <f t="shared" si="37"/>
        <v>Dakar</v>
      </c>
      <c r="E388" s="6">
        <f t="shared" si="38"/>
        <v>219872</v>
      </c>
      <c r="F388" s="6">
        <f t="shared" si="39"/>
        <v>4042240</v>
      </c>
      <c r="G388" s="4" t="s">
        <v>1054</v>
      </c>
      <c r="H388" s="4" t="s">
        <v>1055</v>
      </c>
      <c r="I388" s="4">
        <v>1</v>
      </c>
      <c r="J388" s="4" t="s">
        <v>114</v>
      </c>
      <c r="K388" s="4"/>
      <c r="L388" s="4"/>
      <c r="M388" s="4"/>
      <c r="N388" s="4"/>
      <c r="O388" s="4" t="s">
        <v>238</v>
      </c>
      <c r="P388" s="4" t="s">
        <v>97</v>
      </c>
      <c r="Q388" s="4" t="s">
        <v>97</v>
      </c>
      <c r="R388" s="14" t="s">
        <v>100</v>
      </c>
      <c r="S388" s="14" t="s">
        <v>100</v>
      </c>
      <c r="T388" s="14" t="s">
        <v>100</v>
      </c>
      <c r="U388" s="8"/>
      <c r="V388" s="14"/>
      <c r="W388" s="14"/>
      <c r="X388" s="14"/>
      <c r="Y388" s="5">
        <v>45967</v>
      </c>
      <c r="Z388" s="5">
        <v>45968</v>
      </c>
      <c r="AA388" s="4" t="s">
        <v>103</v>
      </c>
      <c r="AB388" s="4" t="s">
        <v>488</v>
      </c>
      <c r="AC388" s="4" t="s">
        <v>103</v>
      </c>
      <c r="AD388" s="4" t="s">
        <v>97</v>
      </c>
      <c r="AE388" s="4" t="s">
        <v>97</v>
      </c>
      <c r="AF388" s="4" t="s">
        <v>97</v>
      </c>
      <c r="AG388" s="4" t="s">
        <v>97</v>
      </c>
      <c r="AH388" s="4" t="s">
        <v>103</v>
      </c>
      <c r="AI388" s="5">
        <v>45967</v>
      </c>
      <c r="AJ388" s="4" t="s">
        <v>97</v>
      </c>
      <c r="AK388" s="4" t="s">
        <v>97</v>
      </c>
      <c r="AL388" s="4" t="s">
        <v>97</v>
      </c>
      <c r="AM388" s="4" t="s">
        <v>97</v>
      </c>
      <c r="AN388" s="4" t="s">
        <v>103</v>
      </c>
      <c r="AO388" s="4" t="s">
        <v>97</v>
      </c>
      <c r="AP388" s="4" t="s">
        <v>103</v>
      </c>
      <c r="AQ388" s="4" t="s">
        <v>97</v>
      </c>
      <c r="AR388" s="4" t="s">
        <v>97</v>
      </c>
      <c r="AS388" s="4" t="s">
        <v>97</v>
      </c>
      <c r="AT388" s="4"/>
      <c r="AU388" s="4"/>
      <c r="AV388" s="4" t="s">
        <v>103</v>
      </c>
      <c r="AW388" s="4" t="s">
        <v>97</v>
      </c>
      <c r="AX388" s="4" t="s">
        <v>97</v>
      </c>
      <c r="AY388" s="4" t="s">
        <v>97</v>
      </c>
      <c r="AZ388" s="4" t="s">
        <v>103</v>
      </c>
      <c r="BA388" s="4" t="s">
        <v>97</v>
      </c>
      <c r="BB388" s="5">
        <v>45968</v>
      </c>
      <c r="BC388" s="5">
        <v>45968</v>
      </c>
      <c r="BD388" s="5">
        <v>45968</v>
      </c>
      <c r="BE388" s="5">
        <v>45968</v>
      </c>
      <c r="BF388" s="4" t="s">
        <v>98</v>
      </c>
      <c r="BG388" s="4" t="s">
        <v>97</v>
      </c>
      <c r="BH388" s="4" t="s">
        <v>103</v>
      </c>
      <c r="BI388" s="4" t="s">
        <v>834</v>
      </c>
    </row>
    <row r="389" spans="1:61" x14ac:dyDescent="0.35">
      <c r="A389" s="4" t="s">
        <v>1029</v>
      </c>
      <c r="B389" s="8" t="str">
        <f t="shared" si="36"/>
        <v>2025</v>
      </c>
      <c r="C389" s="2" t="s">
        <v>31</v>
      </c>
      <c r="D389" s="6" t="str">
        <f t="shared" si="37"/>
        <v>Dakar</v>
      </c>
      <c r="E389" s="6">
        <f t="shared" si="38"/>
        <v>424760</v>
      </c>
      <c r="F389" s="6">
        <f t="shared" si="39"/>
        <v>4042240</v>
      </c>
      <c r="G389" s="4" t="s">
        <v>1056</v>
      </c>
      <c r="H389" s="4" t="s">
        <v>1057</v>
      </c>
      <c r="I389" s="4">
        <v>3</v>
      </c>
      <c r="J389" s="4" t="s">
        <v>96</v>
      </c>
      <c r="K389" s="4"/>
      <c r="L389" s="4"/>
      <c r="M389" s="4"/>
      <c r="N389" s="4"/>
      <c r="O389" s="4" t="s">
        <v>238</v>
      </c>
      <c r="P389" s="4" t="s">
        <v>97</v>
      </c>
      <c r="Q389" s="4" t="s">
        <v>97</v>
      </c>
      <c r="R389" s="14" t="s">
        <v>100</v>
      </c>
      <c r="S389" s="14" t="s">
        <v>100</v>
      </c>
      <c r="T389" s="14" t="s">
        <v>100</v>
      </c>
      <c r="U389" s="8"/>
      <c r="V389" s="14"/>
      <c r="W389" s="14"/>
      <c r="X389" s="14"/>
      <c r="Y389" s="5">
        <v>45967</v>
      </c>
      <c r="Z389" s="5">
        <v>45968</v>
      </c>
      <c r="AA389" s="4" t="s">
        <v>97</v>
      </c>
      <c r="AB389" s="4"/>
      <c r="AC389" s="4" t="s">
        <v>97</v>
      </c>
      <c r="AD389" s="4" t="s">
        <v>103</v>
      </c>
      <c r="AE389" s="4" t="s">
        <v>97</v>
      </c>
      <c r="AF389" s="4" t="s">
        <v>97</v>
      </c>
      <c r="AG389" s="4" t="s">
        <v>97</v>
      </c>
      <c r="AH389" s="4" t="s">
        <v>103</v>
      </c>
      <c r="AI389" s="5">
        <v>45968</v>
      </c>
      <c r="AJ389" s="4" t="s">
        <v>97</v>
      </c>
      <c r="AK389" s="4" t="s">
        <v>103</v>
      </c>
      <c r="AL389" s="4" t="s">
        <v>97</v>
      </c>
      <c r="AM389" s="4" t="s">
        <v>97</v>
      </c>
      <c r="AN389" s="4" t="s">
        <v>97</v>
      </c>
      <c r="AO389" s="4" t="s">
        <v>103</v>
      </c>
      <c r="AP389" s="4" t="s">
        <v>97</v>
      </c>
      <c r="AQ389" s="4" t="s">
        <v>97</v>
      </c>
      <c r="AR389" s="4" t="s">
        <v>97</v>
      </c>
      <c r="AS389" s="4" t="s">
        <v>97</v>
      </c>
      <c r="AT389" s="4"/>
      <c r="AU389" s="4"/>
      <c r="AV389" s="4" t="s">
        <v>103</v>
      </c>
      <c r="AW389" s="4" t="s">
        <v>97</v>
      </c>
      <c r="AX389" s="4" t="s">
        <v>97</v>
      </c>
      <c r="AY389" s="4" t="s">
        <v>97</v>
      </c>
      <c r="AZ389" s="4" t="s">
        <v>103</v>
      </c>
      <c r="BA389" s="4" t="s">
        <v>97</v>
      </c>
      <c r="BB389" s="5">
        <v>45968</v>
      </c>
      <c r="BC389" s="5">
        <v>45968</v>
      </c>
      <c r="BD389" s="5">
        <v>45968</v>
      </c>
      <c r="BE389" s="5">
        <v>45968</v>
      </c>
      <c r="BF389" s="4" t="s">
        <v>98</v>
      </c>
      <c r="BG389" s="4" t="s">
        <v>97</v>
      </c>
      <c r="BH389" s="4" t="s">
        <v>103</v>
      </c>
      <c r="BI389" s="4" t="s">
        <v>834</v>
      </c>
    </row>
    <row r="390" spans="1:61" x14ac:dyDescent="0.35">
      <c r="A390" s="4" t="s">
        <v>1029</v>
      </c>
      <c r="B390" s="8" t="str">
        <f t="shared" si="36"/>
        <v>2025</v>
      </c>
      <c r="C390" s="2" t="s">
        <v>32</v>
      </c>
      <c r="D390" s="6" t="str">
        <f t="shared" si="37"/>
        <v>Kaolack</v>
      </c>
      <c r="E390" s="6">
        <f t="shared" si="38"/>
        <v>151881</v>
      </c>
      <c r="F390" s="6">
        <f t="shared" si="39"/>
        <v>1267013</v>
      </c>
      <c r="G390" s="4" t="s">
        <v>1058</v>
      </c>
      <c r="H390" s="4" t="s">
        <v>1059</v>
      </c>
      <c r="I390" s="4">
        <v>96</v>
      </c>
      <c r="J390" s="4" t="s">
        <v>114</v>
      </c>
      <c r="K390" s="4"/>
      <c r="L390" s="4"/>
      <c r="M390" s="4"/>
      <c r="N390" s="4"/>
      <c r="O390" s="4" t="s">
        <v>238</v>
      </c>
      <c r="P390" s="4" t="s">
        <v>97</v>
      </c>
      <c r="Q390" s="4" t="s">
        <v>97</v>
      </c>
      <c r="R390" s="14" t="s">
        <v>100</v>
      </c>
      <c r="S390" s="14" t="s">
        <v>100</v>
      </c>
      <c r="T390" s="14" t="s">
        <v>100</v>
      </c>
      <c r="U390" s="8"/>
      <c r="V390" s="14"/>
      <c r="W390" s="14"/>
      <c r="X390" s="14"/>
      <c r="Y390" s="5">
        <v>45942</v>
      </c>
      <c r="Z390" s="5">
        <v>45967</v>
      </c>
      <c r="AA390" s="4" t="s">
        <v>103</v>
      </c>
      <c r="AB390" s="4" t="s">
        <v>550</v>
      </c>
      <c r="AC390" s="4" t="s">
        <v>103</v>
      </c>
      <c r="AD390" s="4" t="s">
        <v>97</v>
      </c>
      <c r="AE390" s="4" t="s">
        <v>97</v>
      </c>
      <c r="AF390" s="4" t="s">
        <v>103</v>
      </c>
      <c r="AG390" s="4" t="s">
        <v>103</v>
      </c>
      <c r="AH390" s="4" t="s">
        <v>103</v>
      </c>
      <c r="AI390" s="5">
        <v>45942</v>
      </c>
      <c r="AJ390" s="4" t="s">
        <v>97</v>
      </c>
      <c r="AK390" s="4" t="s">
        <v>97</v>
      </c>
      <c r="AL390" s="4" t="s">
        <v>97</v>
      </c>
      <c r="AM390" s="4" t="s">
        <v>103</v>
      </c>
      <c r="AN390" s="4" t="s">
        <v>103</v>
      </c>
      <c r="AO390" s="4" t="s">
        <v>103</v>
      </c>
      <c r="AP390" s="4" t="s">
        <v>103</v>
      </c>
      <c r="AQ390" s="4" t="s">
        <v>97</v>
      </c>
      <c r="AR390" s="4" t="s">
        <v>97</v>
      </c>
      <c r="AS390" s="4" t="s">
        <v>97</v>
      </c>
      <c r="AT390" s="4"/>
      <c r="AU390" s="4"/>
      <c r="AV390" s="4" t="s">
        <v>103</v>
      </c>
      <c r="AW390" s="4" t="s">
        <v>103</v>
      </c>
      <c r="AX390" s="4" t="s">
        <v>97</v>
      </c>
      <c r="AY390" s="4" t="s">
        <v>97</v>
      </c>
      <c r="AZ390" s="4" t="s">
        <v>97</v>
      </c>
      <c r="BA390" s="4" t="s">
        <v>97</v>
      </c>
      <c r="BB390" s="5">
        <v>45967</v>
      </c>
      <c r="BC390" s="5">
        <v>45969</v>
      </c>
      <c r="BD390" s="5">
        <v>45969</v>
      </c>
      <c r="BE390" s="5">
        <v>45969</v>
      </c>
      <c r="BF390" s="4" t="s">
        <v>433</v>
      </c>
      <c r="BG390" s="4" t="s">
        <v>97</v>
      </c>
      <c r="BH390" s="4" t="s">
        <v>103</v>
      </c>
      <c r="BI390" s="4" t="s">
        <v>834</v>
      </c>
    </row>
    <row r="391" spans="1:61" x14ac:dyDescent="0.35">
      <c r="A391" s="4" t="s">
        <v>1029</v>
      </c>
      <c r="B391" s="8" t="str">
        <f t="shared" si="36"/>
        <v>2025</v>
      </c>
      <c r="C391" s="2" t="s">
        <v>49</v>
      </c>
      <c r="D391" s="6" t="str">
        <f t="shared" si="37"/>
        <v>Dakar</v>
      </c>
      <c r="E391" s="6">
        <f t="shared" si="38"/>
        <v>441950</v>
      </c>
      <c r="F391" s="6">
        <f t="shared" si="39"/>
        <v>4042240</v>
      </c>
      <c r="G391" s="4" t="s">
        <v>1060</v>
      </c>
      <c r="H391" s="4" t="s">
        <v>1061</v>
      </c>
      <c r="I391" s="4">
        <v>3</v>
      </c>
      <c r="J391" s="4" t="s">
        <v>114</v>
      </c>
      <c r="K391" s="4"/>
      <c r="L391" s="4"/>
      <c r="M391" s="4"/>
      <c r="N391" s="4"/>
      <c r="O391" s="4" t="s">
        <v>238</v>
      </c>
      <c r="P391" s="4" t="s">
        <v>103</v>
      </c>
      <c r="Q391" s="4" t="s">
        <v>97</v>
      </c>
      <c r="R391" s="14" t="s">
        <v>100</v>
      </c>
      <c r="S391" s="14" t="s">
        <v>100</v>
      </c>
      <c r="T391" s="14" t="s">
        <v>100</v>
      </c>
      <c r="U391" s="8"/>
      <c r="V391" s="14"/>
      <c r="W391" s="14"/>
      <c r="X391" s="14"/>
      <c r="Y391" s="5">
        <v>45967</v>
      </c>
      <c r="Z391" s="5">
        <v>45969</v>
      </c>
      <c r="AA391" s="4" t="s">
        <v>97</v>
      </c>
      <c r="AB391" s="4"/>
      <c r="AC391" s="4" t="s">
        <v>97</v>
      </c>
      <c r="AD391" s="4" t="s">
        <v>97</v>
      </c>
      <c r="AE391" s="4" t="s">
        <v>97</v>
      </c>
      <c r="AF391" s="4" t="s">
        <v>97</v>
      </c>
      <c r="AG391" s="4" t="s">
        <v>97</v>
      </c>
      <c r="AH391" s="4" t="s">
        <v>103</v>
      </c>
      <c r="AI391" s="26" t="s">
        <v>1062</v>
      </c>
      <c r="AJ391" s="4" t="s">
        <v>97</v>
      </c>
      <c r="AK391" s="4" t="s">
        <v>103</v>
      </c>
      <c r="AL391" s="4" t="s">
        <v>97</v>
      </c>
      <c r="AM391" s="4" t="s">
        <v>103</v>
      </c>
      <c r="AN391" s="4" t="s">
        <v>103</v>
      </c>
      <c r="AO391" s="4" t="s">
        <v>97</v>
      </c>
      <c r="AP391" s="4" t="s">
        <v>97</v>
      </c>
      <c r="AQ391" s="4" t="s">
        <v>97</v>
      </c>
      <c r="AR391" s="4" t="s">
        <v>97</v>
      </c>
      <c r="AS391" s="4" t="s">
        <v>97</v>
      </c>
      <c r="AT391" s="4"/>
      <c r="AU391" s="4"/>
      <c r="AV391" s="4" t="s">
        <v>103</v>
      </c>
      <c r="AW391" s="4" t="s">
        <v>97</v>
      </c>
      <c r="AX391" s="4" t="s">
        <v>97</v>
      </c>
      <c r="AY391" s="4" t="s">
        <v>97</v>
      </c>
      <c r="AZ391" s="4" t="s">
        <v>97</v>
      </c>
      <c r="BA391" s="4" t="s">
        <v>97</v>
      </c>
      <c r="BB391" s="5">
        <v>45969</v>
      </c>
      <c r="BC391" s="5">
        <v>45969</v>
      </c>
      <c r="BD391" s="5">
        <v>45969</v>
      </c>
      <c r="BE391" s="5">
        <v>45969</v>
      </c>
      <c r="BF391" s="4" t="s">
        <v>98</v>
      </c>
      <c r="BG391" s="4" t="s">
        <v>97</v>
      </c>
      <c r="BH391" s="4" t="s">
        <v>103</v>
      </c>
      <c r="BI391" s="4" t="s">
        <v>834</v>
      </c>
    </row>
    <row r="392" spans="1:61" x14ac:dyDescent="0.35">
      <c r="A392" s="4" t="s">
        <v>1029</v>
      </c>
      <c r="B392" s="8" t="str">
        <f t="shared" si="36"/>
        <v>2025</v>
      </c>
      <c r="C392" s="2" t="s">
        <v>55</v>
      </c>
      <c r="D392" s="6" t="str">
        <f t="shared" si="37"/>
        <v>Ziguinchor</v>
      </c>
      <c r="E392" s="6">
        <f t="shared" si="38"/>
        <v>64244</v>
      </c>
      <c r="F392" s="6">
        <f t="shared" si="39"/>
        <v>729952</v>
      </c>
      <c r="G392" s="4" t="s">
        <v>1063</v>
      </c>
      <c r="H392" s="4" t="s">
        <v>1064</v>
      </c>
      <c r="I392" s="4">
        <v>33</v>
      </c>
      <c r="J392" s="4" t="s">
        <v>96</v>
      </c>
      <c r="K392" s="4"/>
      <c r="L392" s="4"/>
      <c r="M392" s="4"/>
      <c r="N392" s="4"/>
      <c r="O392" s="4" t="s">
        <v>238</v>
      </c>
      <c r="P392" s="4" t="s">
        <v>97</v>
      </c>
      <c r="Q392" s="4" t="s">
        <v>97</v>
      </c>
      <c r="R392" s="14" t="s">
        <v>481</v>
      </c>
      <c r="S392" s="14" t="s">
        <v>100</v>
      </c>
      <c r="T392" s="14" t="s">
        <v>481</v>
      </c>
      <c r="U392" s="8"/>
      <c r="V392" s="14"/>
      <c r="W392" s="14"/>
      <c r="X392" t="s">
        <v>1136</v>
      </c>
      <c r="Y392" s="5">
        <v>45960</v>
      </c>
      <c r="Z392" s="5">
        <v>45960</v>
      </c>
      <c r="AA392" s="4" t="s">
        <v>103</v>
      </c>
      <c r="AB392" s="4" t="s">
        <v>463</v>
      </c>
      <c r="AC392" s="4" t="s">
        <v>103</v>
      </c>
      <c r="AD392" s="4" t="s">
        <v>103</v>
      </c>
      <c r="AE392" s="4" t="s">
        <v>97</v>
      </c>
      <c r="AF392" s="4" t="s">
        <v>103</v>
      </c>
      <c r="AG392" s="4" t="s">
        <v>103</v>
      </c>
      <c r="AH392" s="4" t="s">
        <v>103</v>
      </c>
      <c r="AI392" s="5">
        <v>45960</v>
      </c>
      <c r="AJ392" s="4" t="s">
        <v>103</v>
      </c>
      <c r="AK392" s="4" t="s">
        <v>103</v>
      </c>
      <c r="AL392" s="4" t="s">
        <v>97</v>
      </c>
      <c r="AM392" s="4" t="s">
        <v>103</v>
      </c>
      <c r="AN392" s="4" t="s">
        <v>97</v>
      </c>
      <c r="AO392" s="4" t="s">
        <v>97</v>
      </c>
      <c r="AP392" s="4" t="s">
        <v>97</v>
      </c>
      <c r="AQ392" s="4" t="s">
        <v>97</v>
      </c>
      <c r="AR392" s="4" t="s">
        <v>103</v>
      </c>
      <c r="AS392" s="4" t="s">
        <v>103</v>
      </c>
      <c r="AT392" s="4"/>
      <c r="AU392" s="4"/>
      <c r="AV392" s="4" t="s">
        <v>103</v>
      </c>
      <c r="AW392" s="4" t="s">
        <v>103</v>
      </c>
      <c r="AX392" s="4" t="s">
        <v>97</v>
      </c>
      <c r="AY392" s="4" t="s">
        <v>97</v>
      </c>
      <c r="AZ392" s="4" t="s">
        <v>97</v>
      </c>
      <c r="BA392" s="4" t="s">
        <v>97</v>
      </c>
      <c r="BB392" s="5">
        <v>45965</v>
      </c>
      <c r="BC392" s="5">
        <v>45965</v>
      </c>
      <c r="BD392" s="5">
        <v>45967</v>
      </c>
      <c r="BE392" s="5">
        <v>45967</v>
      </c>
      <c r="BF392" s="4" t="s">
        <v>98</v>
      </c>
      <c r="BG392" s="4" t="s">
        <v>103</v>
      </c>
      <c r="BH392" s="4" t="s">
        <v>103</v>
      </c>
      <c r="BI392" s="4" t="s">
        <v>482</v>
      </c>
    </row>
    <row r="393" spans="1:61" x14ac:dyDescent="0.35">
      <c r="A393" s="4" t="s">
        <v>1065</v>
      </c>
      <c r="B393" s="8" t="str">
        <f t="shared" si="36"/>
        <v>2025</v>
      </c>
      <c r="C393" s="2" t="s">
        <v>0</v>
      </c>
      <c r="D393" s="6" t="str">
        <f t="shared" si="37"/>
        <v>Matam</v>
      </c>
      <c r="E393" s="6">
        <f t="shared" si="38"/>
        <v>271560</v>
      </c>
      <c r="F393" s="6">
        <f t="shared" si="39"/>
        <v>789215</v>
      </c>
      <c r="G393" s="4" t="s">
        <v>1066</v>
      </c>
      <c r="H393" s="4" t="s">
        <v>1067</v>
      </c>
      <c r="I393" s="4">
        <v>50</v>
      </c>
      <c r="J393" s="4" t="s">
        <v>114</v>
      </c>
      <c r="K393" s="4" t="s">
        <v>437</v>
      </c>
      <c r="L393" s="5">
        <v>45222</v>
      </c>
      <c r="M393" s="4"/>
      <c r="N393" s="4"/>
      <c r="O393" s="4" t="s">
        <v>238</v>
      </c>
      <c r="P393" s="4" t="s">
        <v>97</v>
      </c>
      <c r="Q393" s="4" t="s">
        <v>97</v>
      </c>
      <c r="R393" s="14" t="s">
        <v>100</v>
      </c>
      <c r="S393" s="14" t="s">
        <v>100</v>
      </c>
      <c r="T393" s="14" t="s">
        <v>100</v>
      </c>
      <c r="U393" s="8"/>
      <c r="V393" s="14"/>
      <c r="W393" s="14"/>
      <c r="X393" s="14"/>
      <c r="Y393" s="5">
        <v>45953</v>
      </c>
      <c r="Z393" s="5">
        <v>45967</v>
      </c>
      <c r="AA393" s="4" t="s">
        <v>103</v>
      </c>
      <c r="AB393" s="4" t="s">
        <v>1068</v>
      </c>
      <c r="AC393" s="4" t="s">
        <v>103</v>
      </c>
      <c r="AD393" s="4" t="s">
        <v>103</v>
      </c>
      <c r="AE393" s="4" t="s">
        <v>97</v>
      </c>
      <c r="AF393" s="4" t="s">
        <v>103</v>
      </c>
      <c r="AG393" s="4" t="s">
        <v>103</v>
      </c>
      <c r="AH393" s="4" t="s">
        <v>103</v>
      </c>
      <c r="AI393" s="5">
        <v>45953</v>
      </c>
      <c r="AJ393" s="4" t="s">
        <v>103</v>
      </c>
      <c r="AK393" s="4" t="s">
        <v>97</v>
      </c>
      <c r="AL393" s="4" t="s">
        <v>103</v>
      </c>
      <c r="AM393" s="4" t="s">
        <v>103</v>
      </c>
      <c r="AN393" s="4" t="s">
        <v>103</v>
      </c>
      <c r="AO393" s="4" t="s">
        <v>103</v>
      </c>
      <c r="AP393" s="4" t="s">
        <v>103</v>
      </c>
      <c r="AQ393" s="4" t="s">
        <v>97</v>
      </c>
      <c r="AR393" s="4" t="s">
        <v>97</v>
      </c>
      <c r="AS393" s="4" t="s">
        <v>97</v>
      </c>
      <c r="AT393" s="4"/>
      <c r="AU393" s="4"/>
      <c r="AV393" s="4" t="s">
        <v>103</v>
      </c>
      <c r="AW393" s="4" t="s">
        <v>97</v>
      </c>
      <c r="AX393" s="4" t="s">
        <v>97</v>
      </c>
      <c r="AY393" s="4" t="s">
        <v>97</v>
      </c>
      <c r="AZ393" s="4" t="s">
        <v>97</v>
      </c>
      <c r="BA393" s="4" t="s">
        <v>97</v>
      </c>
      <c r="BB393" s="5">
        <v>45969</v>
      </c>
      <c r="BC393" s="5">
        <v>45970</v>
      </c>
      <c r="BD393" s="5">
        <v>45971</v>
      </c>
      <c r="BE393" s="5">
        <v>45971</v>
      </c>
      <c r="BF393" s="4" t="s">
        <v>98</v>
      </c>
      <c r="BG393" s="4" t="s">
        <v>103</v>
      </c>
      <c r="BH393" s="4" t="s">
        <v>97</v>
      </c>
      <c r="BI393" s="4" t="s">
        <v>834</v>
      </c>
    </row>
    <row r="394" spans="1:61" x14ac:dyDescent="0.35">
      <c r="A394" s="4" t="s">
        <v>1065</v>
      </c>
      <c r="B394" s="8" t="str">
        <f t="shared" si="36"/>
        <v>2025</v>
      </c>
      <c r="C394" s="2" t="s">
        <v>63</v>
      </c>
      <c r="D394" s="6" t="str">
        <f t="shared" si="37"/>
        <v>Saint-Louis</v>
      </c>
      <c r="E394" s="6">
        <f t="shared" si="38"/>
        <v>205977</v>
      </c>
      <c r="F394" s="6">
        <f t="shared" si="39"/>
        <v>1150065</v>
      </c>
      <c r="G394" s="4" t="s">
        <v>1069</v>
      </c>
      <c r="H394" s="4" t="s">
        <v>1070</v>
      </c>
      <c r="I394" s="4">
        <v>37</v>
      </c>
      <c r="J394" s="4" t="s">
        <v>96</v>
      </c>
      <c r="K394" s="4"/>
      <c r="L394" s="4"/>
      <c r="M394" s="4"/>
      <c r="N394" s="4"/>
      <c r="O394" s="4" t="s">
        <v>238</v>
      </c>
      <c r="P394" s="4" t="s">
        <v>97</v>
      </c>
      <c r="Q394" s="4" t="s">
        <v>97</v>
      </c>
      <c r="R394" s="14" t="s">
        <v>100</v>
      </c>
      <c r="S394" s="14" t="s">
        <v>100</v>
      </c>
      <c r="T394" s="14" t="s">
        <v>100</v>
      </c>
      <c r="U394" s="8"/>
      <c r="V394" s="14"/>
      <c r="W394" s="14"/>
      <c r="X394" s="14"/>
      <c r="Y394" s="5">
        <v>45962</v>
      </c>
      <c r="Z394" s="5">
        <v>45965</v>
      </c>
      <c r="AA394" s="4" t="s">
        <v>103</v>
      </c>
      <c r="AB394" s="4" t="s">
        <v>314</v>
      </c>
      <c r="AC394" s="4" t="s">
        <v>97</v>
      </c>
      <c r="AD394" s="4" t="s">
        <v>97</v>
      </c>
      <c r="AE394" s="4" t="s">
        <v>97</v>
      </c>
      <c r="AF394" s="4" t="s">
        <v>103</v>
      </c>
      <c r="AG394" s="4" t="s">
        <v>97</v>
      </c>
      <c r="AH394" s="4" t="s">
        <v>103</v>
      </c>
      <c r="AI394" s="5">
        <v>45962</v>
      </c>
      <c r="AJ394" s="4" t="s">
        <v>97</v>
      </c>
      <c r="AK394" s="4" t="s">
        <v>97</v>
      </c>
      <c r="AL394" s="4" t="s">
        <v>97</v>
      </c>
      <c r="AM394" s="4" t="s">
        <v>97</v>
      </c>
      <c r="AN394" s="4" t="s">
        <v>97</v>
      </c>
      <c r="AO394" s="4" t="s">
        <v>97</v>
      </c>
      <c r="AP394" s="4" t="s">
        <v>103</v>
      </c>
      <c r="AQ394" s="4" t="s">
        <v>97</v>
      </c>
      <c r="AR394" s="4" t="s">
        <v>97</v>
      </c>
      <c r="AS394" s="4" t="s">
        <v>97</v>
      </c>
      <c r="AT394" s="4"/>
      <c r="AU394" s="4"/>
      <c r="AV394" s="4" t="s">
        <v>97</v>
      </c>
      <c r="AW394" s="4" t="s">
        <v>97</v>
      </c>
      <c r="AX394" s="4" t="s">
        <v>97</v>
      </c>
      <c r="AY394" s="4" t="s">
        <v>97</v>
      </c>
      <c r="AZ394" s="4" t="s">
        <v>103</v>
      </c>
      <c r="BA394" s="4" t="s">
        <v>97</v>
      </c>
      <c r="BB394" s="5">
        <v>45966</v>
      </c>
      <c r="BC394" s="5">
        <v>45969</v>
      </c>
      <c r="BD394" s="5">
        <v>45971</v>
      </c>
      <c r="BE394" s="5">
        <v>45971</v>
      </c>
      <c r="BF394" s="4" t="s">
        <v>98</v>
      </c>
      <c r="BG394" s="4" t="s">
        <v>97</v>
      </c>
      <c r="BH394" s="4" t="s">
        <v>103</v>
      </c>
      <c r="BI394" s="4" t="s">
        <v>834</v>
      </c>
    </row>
    <row r="395" spans="1:61" x14ac:dyDescent="0.35">
      <c r="A395" s="4" t="s">
        <v>1065</v>
      </c>
      <c r="B395" s="8" t="str">
        <f t="shared" si="36"/>
        <v>2025</v>
      </c>
      <c r="C395" s="2" t="s">
        <v>43</v>
      </c>
      <c r="D395" s="6" t="str">
        <f t="shared" si="37"/>
        <v>Tambacounda</v>
      </c>
      <c r="E395" s="6">
        <f t="shared" si="38"/>
        <v>225492</v>
      </c>
      <c r="F395" s="6">
        <f t="shared" si="39"/>
        <v>937181</v>
      </c>
      <c r="G395" s="4" t="s">
        <v>1071</v>
      </c>
      <c r="H395" s="4" t="s">
        <v>1072</v>
      </c>
      <c r="I395" s="4">
        <v>6</v>
      </c>
      <c r="J395" s="4" t="s">
        <v>114</v>
      </c>
      <c r="K395" s="4"/>
      <c r="L395" s="4"/>
      <c r="M395" s="4"/>
      <c r="N395" s="4"/>
      <c r="O395" s="4" t="s">
        <v>238</v>
      </c>
      <c r="P395" s="4" t="s">
        <v>97</v>
      </c>
      <c r="Q395" s="4" t="s">
        <v>97</v>
      </c>
      <c r="R395" s="14" t="s">
        <v>100</v>
      </c>
      <c r="S395" s="14" t="s">
        <v>100</v>
      </c>
      <c r="T395" s="14" t="s">
        <v>100</v>
      </c>
      <c r="U395" s="8"/>
      <c r="V395" s="14"/>
      <c r="W395" s="14"/>
      <c r="X395" s="14"/>
      <c r="Y395" s="5">
        <v>45962</v>
      </c>
      <c r="Z395" s="5">
        <v>45964</v>
      </c>
      <c r="AA395" s="4" t="s">
        <v>103</v>
      </c>
      <c r="AB395" s="4" t="s">
        <v>488</v>
      </c>
      <c r="AC395" s="4" t="s">
        <v>103</v>
      </c>
      <c r="AD395" s="4" t="s">
        <v>97</v>
      </c>
      <c r="AE395" s="4" t="s">
        <v>97</v>
      </c>
      <c r="AF395" s="4" t="s">
        <v>97</v>
      </c>
      <c r="AG395" s="4" t="s">
        <v>97</v>
      </c>
      <c r="AH395" s="4" t="s">
        <v>103</v>
      </c>
      <c r="AI395" s="5">
        <v>45962</v>
      </c>
      <c r="AJ395" s="4" t="s">
        <v>97</v>
      </c>
      <c r="AK395" s="4" t="s">
        <v>97</v>
      </c>
      <c r="AL395" s="4" t="s">
        <v>97</v>
      </c>
      <c r="AM395" s="4" t="s">
        <v>103</v>
      </c>
      <c r="AN395" s="4" t="s">
        <v>103</v>
      </c>
      <c r="AO395" s="4" t="s">
        <v>103</v>
      </c>
      <c r="AP395" s="4" t="s">
        <v>103</v>
      </c>
      <c r="AQ395" s="4" t="s">
        <v>97</v>
      </c>
      <c r="AR395" s="4" t="s">
        <v>103</v>
      </c>
      <c r="AS395" s="4" t="s">
        <v>103</v>
      </c>
      <c r="AT395" s="4"/>
      <c r="AU395" s="4"/>
      <c r="AV395" s="4" t="s">
        <v>103</v>
      </c>
      <c r="AW395" s="4" t="s">
        <v>97</v>
      </c>
      <c r="AX395" s="4" t="s">
        <v>97</v>
      </c>
      <c r="AY395" s="4" t="s">
        <v>97</v>
      </c>
      <c r="AZ395" s="4" t="s">
        <v>97</v>
      </c>
      <c r="BA395" s="4" t="s">
        <v>97</v>
      </c>
      <c r="BB395" s="5">
        <v>45964</v>
      </c>
      <c r="BC395" s="5">
        <v>45971</v>
      </c>
      <c r="BD395" s="5">
        <v>45971</v>
      </c>
      <c r="BE395" s="5">
        <v>45971</v>
      </c>
      <c r="BF395" s="4" t="s">
        <v>98</v>
      </c>
      <c r="BG395" s="4" t="s">
        <v>97</v>
      </c>
      <c r="BH395" s="4" t="s">
        <v>103</v>
      </c>
      <c r="BI395" s="4" t="s">
        <v>834</v>
      </c>
    </row>
    <row r="396" spans="1:61" x14ac:dyDescent="0.35">
      <c r="A396" s="4" t="s">
        <v>1065</v>
      </c>
      <c r="B396" s="8" t="str">
        <f t="shared" si="36"/>
        <v>2025</v>
      </c>
      <c r="C396" s="2" t="s">
        <v>55</v>
      </c>
      <c r="D396" s="6" t="str">
        <f t="shared" si="37"/>
        <v>Ziguinchor</v>
      </c>
      <c r="E396" s="6">
        <f t="shared" si="38"/>
        <v>64244</v>
      </c>
      <c r="F396" s="6">
        <f t="shared" si="39"/>
        <v>729952</v>
      </c>
      <c r="G396" s="4" t="s">
        <v>1073</v>
      </c>
      <c r="H396" s="4" t="s">
        <v>1074</v>
      </c>
      <c r="I396" s="4">
        <v>38</v>
      </c>
      <c r="J396" s="4" t="s">
        <v>114</v>
      </c>
      <c r="K396" s="4" t="s">
        <v>1075</v>
      </c>
      <c r="L396" s="5">
        <v>45950</v>
      </c>
      <c r="M396" s="4"/>
      <c r="N396" s="4"/>
      <c r="O396" s="4" t="s">
        <v>238</v>
      </c>
      <c r="P396" s="4" t="s">
        <v>103</v>
      </c>
      <c r="Q396" s="4" t="s">
        <v>97</v>
      </c>
      <c r="R396" s="14" t="s">
        <v>100</v>
      </c>
      <c r="S396" s="14" t="s">
        <v>100</v>
      </c>
      <c r="T396" s="14" t="s">
        <v>481</v>
      </c>
      <c r="U396" s="8"/>
      <c r="V396" s="14"/>
      <c r="W396" s="14"/>
      <c r="X396" s="14"/>
      <c r="Y396" s="5">
        <v>45969</v>
      </c>
      <c r="Z396" s="5">
        <v>45971</v>
      </c>
      <c r="AA396" s="4" t="s">
        <v>97</v>
      </c>
      <c r="AB396" s="4"/>
      <c r="AC396" s="4" t="s">
        <v>97</v>
      </c>
      <c r="AD396" s="4" t="s">
        <v>97</v>
      </c>
      <c r="AE396" s="4" t="s">
        <v>97</v>
      </c>
      <c r="AF396" s="4" t="s">
        <v>97</v>
      </c>
      <c r="AG396" s="4" t="s">
        <v>97</v>
      </c>
      <c r="AH396" s="4" t="s">
        <v>103</v>
      </c>
      <c r="AI396" s="5">
        <v>45969</v>
      </c>
      <c r="AJ396" s="4" t="s">
        <v>97</v>
      </c>
      <c r="AK396" s="4" t="s">
        <v>97</v>
      </c>
      <c r="AL396" s="4" t="s">
        <v>97</v>
      </c>
      <c r="AM396" s="4" t="s">
        <v>97</v>
      </c>
      <c r="AN396" s="4" t="s">
        <v>97</v>
      </c>
      <c r="AO396" s="4" t="s">
        <v>97</v>
      </c>
      <c r="AP396" s="4" t="s">
        <v>97</v>
      </c>
      <c r="AQ396" s="4" t="s">
        <v>97</v>
      </c>
      <c r="AR396" s="4" t="s">
        <v>97</v>
      </c>
      <c r="AS396" s="4" t="s">
        <v>97</v>
      </c>
      <c r="AT396" s="4"/>
      <c r="AU396" s="4"/>
      <c r="AV396" s="4" t="s">
        <v>103</v>
      </c>
      <c r="AW396" s="4" t="s">
        <v>97</v>
      </c>
      <c r="AX396" s="4" t="s">
        <v>97</v>
      </c>
      <c r="AY396" s="4" t="s">
        <v>97</v>
      </c>
      <c r="AZ396" s="4" t="s">
        <v>103</v>
      </c>
      <c r="BA396" s="4" t="s">
        <v>97</v>
      </c>
      <c r="BB396" s="5">
        <v>45971</v>
      </c>
      <c r="BC396" s="5">
        <v>45972</v>
      </c>
      <c r="BD396" s="5">
        <v>45972</v>
      </c>
      <c r="BE396" s="5">
        <v>45972</v>
      </c>
      <c r="BF396" s="4" t="s">
        <v>98</v>
      </c>
      <c r="BG396" s="4" t="s">
        <v>97</v>
      </c>
      <c r="BH396" s="4" t="s">
        <v>103</v>
      </c>
      <c r="BI396" s="4" t="s">
        <v>834</v>
      </c>
    </row>
    <row r="397" spans="1:61" x14ac:dyDescent="0.35">
      <c r="A397" s="4" t="s">
        <v>1065</v>
      </c>
      <c r="B397" s="8" t="str">
        <f t="shared" si="36"/>
        <v>2025</v>
      </c>
      <c r="C397" s="2" t="s">
        <v>52</v>
      </c>
      <c r="D397" s="6" t="str">
        <f t="shared" si="37"/>
        <v>Kaolack</v>
      </c>
      <c r="E397" s="6">
        <f t="shared" si="38"/>
        <v>231613</v>
      </c>
      <c r="F397" s="6">
        <f t="shared" si="39"/>
        <v>1267013</v>
      </c>
      <c r="G397" s="4" t="s">
        <v>1076</v>
      </c>
      <c r="H397" s="4" t="s">
        <v>1077</v>
      </c>
      <c r="I397" s="4">
        <v>22</v>
      </c>
      <c r="J397" s="4" t="s">
        <v>96</v>
      </c>
      <c r="K397" s="4"/>
      <c r="L397" s="4"/>
      <c r="M397" s="4"/>
      <c r="N397" s="4"/>
      <c r="O397" s="4" t="s">
        <v>238</v>
      </c>
      <c r="P397" s="4" t="s">
        <v>97</v>
      </c>
      <c r="Q397" s="4" t="s">
        <v>97</v>
      </c>
      <c r="R397" s="14" t="s">
        <v>100</v>
      </c>
      <c r="S397" s="14" t="s">
        <v>100</v>
      </c>
      <c r="T397" s="14" t="s">
        <v>100</v>
      </c>
      <c r="U397" s="8"/>
      <c r="V397" s="14"/>
      <c r="W397" s="14"/>
      <c r="X397" s="14"/>
      <c r="Y397" s="5">
        <v>45958</v>
      </c>
      <c r="Z397" s="5">
        <v>45968</v>
      </c>
      <c r="AA397" s="4" t="s">
        <v>103</v>
      </c>
      <c r="AB397" s="4" t="s">
        <v>513</v>
      </c>
      <c r="AC397" s="4" t="s">
        <v>103</v>
      </c>
      <c r="AD397" s="4" t="s">
        <v>97</v>
      </c>
      <c r="AE397" s="4" t="s">
        <v>97</v>
      </c>
      <c r="AF397" s="4" t="s">
        <v>97</v>
      </c>
      <c r="AG397" s="4" t="s">
        <v>97</v>
      </c>
      <c r="AH397" s="4" t="s">
        <v>103</v>
      </c>
      <c r="AI397" s="5">
        <v>45958</v>
      </c>
      <c r="AJ397" s="4" t="s">
        <v>103</v>
      </c>
      <c r="AK397" s="4" t="s">
        <v>97</v>
      </c>
      <c r="AL397" s="4" t="s">
        <v>97</v>
      </c>
      <c r="AM397" s="4" t="s">
        <v>103</v>
      </c>
      <c r="AN397" s="4" t="s">
        <v>97</v>
      </c>
      <c r="AO397" s="4" t="s">
        <v>97</v>
      </c>
      <c r="AP397" s="4" t="s">
        <v>97</v>
      </c>
      <c r="AQ397" s="4" t="s">
        <v>97</v>
      </c>
      <c r="AR397" s="4" t="s">
        <v>97</v>
      </c>
      <c r="AS397" s="4" t="s">
        <v>97</v>
      </c>
      <c r="AT397" s="4"/>
      <c r="AU397" s="4"/>
      <c r="AV397" s="4" t="s">
        <v>97</v>
      </c>
      <c r="AW397" s="4" t="s">
        <v>97</v>
      </c>
      <c r="AX397" s="4" t="s">
        <v>97</v>
      </c>
      <c r="AY397" s="4" t="s">
        <v>97</v>
      </c>
      <c r="AZ397" s="4" t="s">
        <v>103</v>
      </c>
      <c r="BA397" s="4" t="s">
        <v>97</v>
      </c>
      <c r="BB397" s="5">
        <v>45969</v>
      </c>
      <c r="BC397" s="5">
        <v>45970</v>
      </c>
      <c r="BD397" s="5">
        <v>45972</v>
      </c>
      <c r="BE397" s="5">
        <v>45972</v>
      </c>
      <c r="BF397" s="4" t="s">
        <v>98</v>
      </c>
      <c r="BG397" s="4" t="s">
        <v>97</v>
      </c>
      <c r="BH397" s="4" t="s">
        <v>103</v>
      </c>
      <c r="BI397" s="4" t="s">
        <v>834</v>
      </c>
    </row>
    <row r="398" spans="1:61" x14ac:dyDescent="0.35">
      <c r="A398" s="4" t="s">
        <v>1065</v>
      </c>
      <c r="B398" s="8" t="str">
        <f t="shared" si="36"/>
        <v>2025</v>
      </c>
      <c r="C398" s="2" t="s">
        <v>58</v>
      </c>
      <c r="D398" s="6" t="str">
        <f t="shared" si="37"/>
        <v>Dakar</v>
      </c>
      <c r="E398" s="6">
        <f t="shared" si="38"/>
        <v>423495</v>
      </c>
      <c r="F398" s="6">
        <f t="shared" si="39"/>
        <v>4042240</v>
      </c>
      <c r="G398" s="4" t="s">
        <v>1078</v>
      </c>
      <c r="H398" s="4" t="s">
        <v>1079</v>
      </c>
      <c r="I398" s="4">
        <v>15</v>
      </c>
      <c r="J398" s="4" t="s">
        <v>114</v>
      </c>
      <c r="K398" s="4"/>
      <c r="L398" s="4"/>
      <c r="M398" s="4"/>
      <c r="N398" s="4"/>
      <c r="O398" s="4" t="s">
        <v>238</v>
      </c>
      <c r="P398" s="4" t="s">
        <v>97</v>
      </c>
      <c r="Q398" s="4" t="s">
        <v>97</v>
      </c>
      <c r="R398" s="14" t="s">
        <v>100</v>
      </c>
      <c r="S398" s="14" t="s">
        <v>100</v>
      </c>
      <c r="T398" s="14" t="s">
        <v>100</v>
      </c>
      <c r="U398" s="8"/>
      <c r="V398" s="14"/>
      <c r="W398" s="14"/>
      <c r="X398" s="14"/>
      <c r="Y398" s="5">
        <v>45954</v>
      </c>
      <c r="Z398" s="5">
        <v>45966</v>
      </c>
      <c r="AA398" s="4" t="s">
        <v>103</v>
      </c>
      <c r="AB398" s="4" t="s">
        <v>488</v>
      </c>
      <c r="AC398" s="4" t="s">
        <v>103</v>
      </c>
      <c r="AD398" s="4" t="s">
        <v>97</v>
      </c>
      <c r="AE398" s="4" t="s">
        <v>97</v>
      </c>
      <c r="AF398" s="4" t="s">
        <v>103</v>
      </c>
      <c r="AG398" s="4" t="s">
        <v>97</v>
      </c>
      <c r="AH398" s="4" t="s">
        <v>103</v>
      </c>
      <c r="AI398" s="5">
        <v>45954</v>
      </c>
      <c r="AJ398" s="4" t="s">
        <v>97</v>
      </c>
      <c r="AK398" s="4" t="s">
        <v>97</v>
      </c>
      <c r="AL398" s="4" t="s">
        <v>97</v>
      </c>
      <c r="AM398" s="4" t="s">
        <v>97</v>
      </c>
      <c r="AN398" s="4" t="s">
        <v>103</v>
      </c>
      <c r="AO398" s="4" t="s">
        <v>103</v>
      </c>
      <c r="AP398" s="4" t="s">
        <v>103</v>
      </c>
      <c r="AQ398" s="4" t="s">
        <v>97</v>
      </c>
      <c r="AR398" s="4" t="s">
        <v>97</v>
      </c>
      <c r="AS398" s="4" t="s">
        <v>97</v>
      </c>
      <c r="AT398" s="4"/>
      <c r="AU398" s="4"/>
      <c r="AV398" s="4" t="s">
        <v>97</v>
      </c>
      <c r="AW398" s="4" t="s">
        <v>97</v>
      </c>
      <c r="AX398" s="4" t="s">
        <v>103</v>
      </c>
      <c r="AY398" s="4" t="s">
        <v>97</v>
      </c>
      <c r="AZ398" s="4" t="s">
        <v>97</v>
      </c>
      <c r="BA398" s="4" t="s">
        <v>97</v>
      </c>
      <c r="BB398" s="5">
        <v>44140</v>
      </c>
      <c r="BC398" s="5">
        <v>45966</v>
      </c>
      <c r="BD398" s="5">
        <v>45788</v>
      </c>
      <c r="BE398" s="5">
        <v>45788</v>
      </c>
      <c r="BF398" s="4" t="s">
        <v>98</v>
      </c>
      <c r="BG398" s="4" t="s">
        <v>97</v>
      </c>
      <c r="BH398" s="4" t="s">
        <v>103</v>
      </c>
      <c r="BI398" s="4" t="s">
        <v>834</v>
      </c>
    </row>
    <row r="399" spans="1:61" x14ac:dyDescent="0.35">
      <c r="A399" s="4" t="s">
        <v>1065</v>
      </c>
      <c r="B399" s="8" t="str">
        <f t="shared" si="36"/>
        <v>2025</v>
      </c>
      <c r="C399" s="2" t="s">
        <v>61</v>
      </c>
      <c r="D399" s="6" t="str">
        <f t="shared" si="37"/>
        <v>Thies</v>
      </c>
      <c r="E399" s="6">
        <f t="shared" si="38"/>
        <v>153582</v>
      </c>
      <c r="F399" s="6">
        <f t="shared" si="39"/>
        <v>2280463</v>
      </c>
      <c r="G399" s="4" t="s">
        <v>1080</v>
      </c>
      <c r="H399" s="4" t="s">
        <v>1081</v>
      </c>
      <c r="I399" s="4">
        <v>1</v>
      </c>
      <c r="J399" s="4" t="s">
        <v>114</v>
      </c>
      <c r="K399" s="4"/>
      <c r="L399" s="4"/>
      <c r="M399" s="4"/>
      <c r="N399" s="4"/>
      <c r="O399" s="4" t="s">
        <v>238</v>
      </c>
      <c r="P399" s="4" t="s">
        <v>97</v>
      </c>
      <c r="Q399" s="4" t="s">
        <v>97</v>
      </c>
      <c r="R399" s="14" t="s">
        <v>100</v>
      </c>
      <c r="S399" s="14" t="s">
        <v>100</v>
      </c>
      <c r="T399" s="14" t="s">
        <v>100</v>
      </c>
      <c r="U399" s="8"/>
      <c r="V399" s="14"/>
      <c r="W399" s="14"/>
      <c r="X399" s="14"/>
      <c r="Y399" s="5">
        <v>45970</v>
      </c>
      <c r="Z399" s="5">
        <v>45972</v>
      </c>
      <c r="AA399" s="4" t="s">
        <v>103</v>
      </c>
      <c r="AB399" s="4" t="s">
        <v>488</v>
      </c>
      <c r="AC399" s="4" t="s">
        <v>97</v>
      </c>
      <c r="AD399" s="4" t="s">
        <v>97</v>
      </c>
      <c r="AE399" s="4" t="s">
        <v>97</v>
      </c>
      <c r="AF399" s="4" t="s">
        <v>97</v>
      </c>
      <c r="AG399" s="4" t="s">
        <v>97</v>
      </c>
      <c r="AH399" s="4" t="s">
        <v>103</v>
      </c>
      <c r="AI399" s="5">
        <v>45971</v>
      </c>
      <c r="AJ399" s="4" t="s">
        <v>97</v>
      </c>
      <c r="AK399" s="4" t="s">
        <v>97</v>
      </c>
      <c r="AL399" s="4" t="s">
        <v>97</v>
      </c>
      <c r="AM399" s="4" t="s">
        <v>97</v>
      </c>
      <c r="AN399" s="4" t="s">
        <v>103</v>
      </c>
      <c r="AO399" s="4" t="s">
        <v>97</v>
      </c>
      <c r="AP399" s="4" t="s">
        <v>97</v>
      </c>
      <c r="AQ399" s="4" t="s">
        <v>97</v>
      </c>
      <c r="AR399" s="4" t="s">
        <v>97</v>
      </c>
      <c r="AS399" s="4" t="s">
        <v>97</v>
      </c>
      <c r="AT399" s="4"/>
      <c r="AU399" s="4"/>
      <c r="AV399" s="4" t="s">
        <v>97</v>
      </c>
      <c r="AW399" s="4" t="s">
        <v>97</v>
      </c>
      <c r="AX399" s="4" t="s">
        <v>97</v>
      </c>
      <c r="AY399" s="4" t="s">
        <v>97</v>
      </c>
      <c r="AZ399" s="4" t="s">
        <v>103</v>
      </c>
      <c r="BA399" s="4" t="s">
        <v>97</v>
      </c>
      <c r="BB399" s="5">
        <v>45972</v>
      </c>
      <c r="BC399" s="5">
        <v>45973</v>
      </c>
      <c r="BD399" s="5">
        <v>45974</v>
      </c>
      <c r="BE399" s="5">
        <v>45974</v>
      </c>
      <c r="BF399" s="4" t="s">
        <v>98</v>
      </c>
      <c r="BG399" s="4" t="s">
        <v>97</v>
      </c>
      <c r="BH399" s="4" t="s">
        <v>103</v>
      </c>
      <c r="BI399" s="4" t="s">
        <v>834</v>
      </c>
    </row>
    <row r="400" spans="1:61" x14ac:dyDescent="0.35">
      <c r="A400" s="4" t="s">
        <v>1065</v>
      </c>
      <c r="B400" s="8" t="str">
        <f t="shared" si="36"/>
        <v>2025</v>
      </c>
      <c r="C400" s="2" t="s">
        <v>33</v>
      </c>
      <c r="D400" s="6" t="str">
        <f t="shared" si="37"/>
        <v>Thies</v>
      </c>
      <c r="E400" s="6">
        <f t="shared" si="38"/>
        <v>102475</v>
      </c>
      <c r="F400" s="6">
        <f t="shared" si="39"/>
        <v>2280463</v>
      </c>
      <c r="G400" s="4" t="s">
        <v>1082</v>
      </c>
      <c r="H400" s="4" t="s">
        <v>1083</v>
      </c>
      <c r="I400" s="4">
        <v>30</v>
      </c>
      <c r="J400" s="4" t="s">
        <v>114</v>
      </c>
      <c r="K400" s="4"/>
      <c r="L400" s="4"/>
      <c r="M400" s="4"/>
      <c r="N400" s="4"/>
      <c r="O400" s="4" t="s">
        <v>238</v>
      </c>
      <c r="P400" s="4" t="s">
        <v>97</v>
      </c>
      <c r="Q400" s="4" t="s">
        <v>97</v>
      </c>
      <c r="R400" s="14" t="s">
        <v>100</v>
      </c>
      <c r="S400" s="14" t="s">
        <v>100</v>
      </c>
      <c r="T400" s="14" t="s">
        <v>100</v>
      </c>
      <c r="U400" s="8"/>
      <c r="V400" s="14"/>
      <c r="W400" s="14"/>
      <c r="X400" s="14"/>
      <c r="Y400" s="5">
        <v>45967</v>
      </c>
      <c r="Z400" s="5">
        <v>45971</v>
      </c>
      <c r="AA400" s="4" t="s">
        <v>103</v>
      </c>
      <c r="AB400" s="4" t="s">
        <v>488</v>
      </c>
      <c r="AC400" s="4" t="s">
        <v>103</v>
      </c>
      <c r="AD400" s="4" t="s">
        <v>97</v>
      </c>
      <c r="AE400" s="4" t="s">
        <v>97</v>
      </c>
      <c r="AF400" s="4" t="s">
        <v>103</v>
      </c>
      <c r="AG400" s="4" t="s">
        <v>97</v>
      </c>
      <c r="AH400" s="4" t="s">
        <v>103</v>
      </c>
      <c r="AI400" s="5">
        <v>45967</v>
      </c>
      <c r="AJ400" s="4" t="s">
        <v>103</v>
      </c>
      <c r="AK400" s="4" t="s">
        <v>103</v>
      </c>
      <c r="AL400" s="4" t="s">
        <v>97</v>
      </c>
      <c r="AM400" s="4" t="s">
        <v>103</v>
      </c>
      <c r="AN400" s="4" t="s">
        <v>103</v>
      </c>
      <c r="AO400" s="4" t="s">
        <v>97</v>
      </c>
      <c r="AP400" s="4" t="s">
        <v>97</v>
      </c>
      <c r="AQ400" s="4" t="s">
        <v>97</v>
      </c>
      <c r="AR400" s="4" t="s">
        <v>97</v>
      </c>
      <c r="AS400" s="4" t="s">
        <v>97</v>
      </c>
      <c r="AT400" s="4"/>
      <c r="AU400" s="4"/>
      <c r="AV400" s="4" t="s">
        <v>103</v>
      </c>
      <c r="AW400" s="4" t="s">
        <v>103</v>
      </c>
      <c r="AX400" s="4" t="s">
        <v>97</v>
      </c>
      <c r="AY400" s="4" t="s">
        <v>97</v>
      </c>
      <c r="AZ400" s="4" t="s">
        <v>103</v>
      </c>
      <c r="BA400" s="4" t="s">
        <v>97</v>
      </c>
      <c r="BB400" s="5">
        <v>45971</v>
      </c>
      <c r="BC400" s="5">
        <v>45973</v>
      </c>
      <c r="BD400" s="5">
        <v>45974</v>
      </c>
      <c r="BE400" s="5">
        <v>45974</v>
      </c>
      <c r="BF400" s="4" t="s">
        <v>98</v>
      </c>
      <c r="BG400" s="4" t="s">
        <v>97</v>
      </c>
      <c r="BH400" s="4" t="s">
        <v>103</v>
      </c>
      <c r="BI400" s="4" t="s">
        <v>834</v>
      </c>
    </row>
    <row r="401" spans="1:61" x14ac:dyDescent="0.35">
      <c r="A401" s="4" t="s">
        <v>1065</v>
      </c>
      <c r="B401" s="8" t="str">
        <f t="shared" si="36"/>
        <v>2025</v>
      </c>
      <c r="C401" s="2" t="s">
        <v>39</v>
      </c>
      <c r="D401" s="6" t="str">
        <f t="shared" si="37"/>
        <v>Thies</v>
      </c>
      <c r="E401" s="6">
        <f t="shared" si="38"/>
        <v>177609</v>
      </c>
      <c r="F401" s="6">
        <f t="shared" si="39"/>
        <v>2280463</v>
      </c>
      <c r="G401" s="4" t="s">
        <v>1084</v>
      </c>
      <c r="H401" s="4" t="s">
        <v>1085</v>
      </c>
      <c r="I401" s="4">
        <v>62</v>
      </c>
      <c r="J401" s="4" t="s">
        <v>96</v>
      </c>
      <c r="K401" s="4"/>
      <c r="L401" s="4"/>
      <c r="M401" s="4"/>
      <c r="N401" s="4"/>
      <c r="O401" s="4" t="s">
        <v>238</v>
      </c>
      <c r="P401" s="4" t="s">
        <v>97</v>
      </c>
      <c r="Q401" s="4" t="s">
        <v>97</v>
      </c>
      <c r="R401" s="14" t="s">
        <v>100</v>
      </c>
      <c r="S401" s="14" t="s">
        <v>100</v>
      </c>
      <c r="T401" s="14" t="s">
        <v>100</v>
      </c>
      <c r="U401" s="8"/>
      <c r="V401" s="14"/>
      <c r="W401" s="14"/>
      <c r="X401" s="14"/>
      <c r="Y401" s="5">
        <v>45965</v>
      </c>
      <c r="Z401" s="5">
        <v>45969</v>
      </c>
      <c r="AA401" s="4" t="s">
        <v>97</v>
      </c>
      <c r="AB401" s="4"/>
      <c r="AC401" s="4" t="s">
        <v>103</v>
      </c>
      <c r="AD401" s="4" t="s">
        <v>97</v>
      </c>
      <c r="AE401" s="4" t="s">
        <v>97</v>
      </c>
      <c r="AF401" s="4" t="s">
        <v>97</v>
      </c>
      <c r="AG401" s="4" t="s">
        <v>97</v>
      </c>
      <c r="AH401" s="4" t="s">
        <v>103</v>
      </c>
      <c r="AI401" s="5">
        <v>45965</v>
      </c>
      <c r="AJ401" s="4" t="s">
        <v>97</v>
      </c>
      <c r="AK401" s="4" t="s">
        <v>103</v>
      </c>
      <c r="AL401" s="4" t="s">
        <v>97</v>
      </c>
      <c r="AM401" s="4" t="s">
        <v>97</v>
      </c>
      <c r="AN401" s="4" t="s">
        <v>97</v>
      </c>
      <c r="AO401" s="4" t="s">
        <v>97</v>
      </c>
      <c r="AP401" s="4" t="s">
        <v>97</v>
      </c>
      <c r="AQ401" s="4" t="s">
        <v>97</v>
      </c>
      <c r="AR401" s="4" t="s">
        <v>97</v>
      </c>
      <c r="AS401" s="4" t="s">
        <v>97</v>
      </c>
      <c r="AT401" s="4"/>
      <c r="AU401" s="4"/>
      <c r="AV401" s="4" t="s">
        <v>103</v>
      </c>
      <c r="AW401" s="4" t="s">
        <v>97</v>
      </c>
      <c r="AX401" s="4" t="s">
        <v>97</v>
      </c>
      <c r="AY401" s="4" t="s">
        <v>97</v>
      </c>
      <c r="AZ401" s="4" t="s">
        <v>97</v>
      </c>
      <c r="BA401" s="4" t="s">
        <v>97</v>
      </c>
      <c r="BB401" s="5">
        <v>45973</v>
      </c>
      <c r="BC401" s="5">
        <v>45973</v>
      </c>
      <c r="BD401" s="5">
        <v>45974</v>
      </c>
      <c r="BE401" s="5">
        <v>45974</v>
      </c>
      <c r="BF401" s="4" t="s">
        <v>98</v>
      </c>
      <c r="BG401" s="4" t="s">
        <v>97</v>
      </c>
      <c r="BH401" s="4" t="s">
        <v>103</v>
      </c>
      <c r="BI401" s="4" t="s">
        <v>834</v>
      </c>
    </row>
    <row r="402" spans="1:61" x14ac:dyDescent="0.35">
      <c r="A402" s="4" t="s">
        <v>1065</v>
      </c>
      <c r="B402" s="8" t="str">
        <f t="shared" si="36"/>
        <v>2025</v>
      </c>
      <c r="C402" s="2" t="s">
        <v>19</v>
      </c>
      <c r="D402" s="6" t="str">
        <f t="shared" si="37"/>
        <v>Dakar</v>
      </c>
      <c r="E402" s="6">
        <f t="shared" si="38"/>
        <v>565040</v>
      </c>
      <c r="F402" s="6">
        <f t="shared" si="39"/>
        <v>4042240</v>
      </c>
      <c r="G402" s="4" t="s">
        <v>1086</v>
      </c>
      <c r="H402" s="4" t="s">
        <v>1087</v>
      </c>
      <c r="I402" s="4">
        <v>1</v>
      </c>
      <c r="J402" s="4" t="s">
        <v>96</v>
      </c>
      <c r="K402" s="4"/>
      <c r="L402" s="4"/>
      <c r="M402" s="4"/>
      <c r="N402" s="4"/>
      <c r="O402" s="4" t="s">
        <v>238</v>
      </c>
      <c r="P402" s="4" t="s">
        <v>97</v>
      </c>
      <c r="Q402" s="4" t="s">
        <v>97</v>
      </c>
      <c r="R402" s="14" t="s">
        <v>100</v>
      </c>
      <c r="S402" s="14" t="s">
        <v>100</v>
      </c>
      <c r="T402" s="14" t="s">
        <v>100</v>
      </c>
      <c r="U402" s="8"/>
      <c r="V402" s="14"/>
      <c r="W402" s="14"/>
      <c r="X402" s="14"/>
      <c r="Y402" s="5">
        <v>45967</v>
      </c>
      <c r="Z402" s="5">
        <v>45968</v>
      </c>
      <c r="AA402" s="4" t="s">
        <v>103</v>
      </c>
      <c r="AB402" s="4" t="s">
        <v>509</v>
      </c>
      <c r="AC402" s="4" t="s">
        <v>97</v>
      </c>
      <c r="AD402" s="4" t="s">
        <v>97</v>
      </c>
      <c r="AE402" s="4" t="s">
        <v>97</v>
      </c>
      <c r="AF402" s="4" t="s">
        <v>97</v>
      </c>
      <c r="AG402" s="4" t="s">
        <v>97</v>
      </c>
      <c r="AH402" s="4" t="s">
        <v>103</v>
      </c>
      <c r="AI402" s="5">
        <v>45967</v>
      </c>
      <c r="AJ402" s="4" t="s">
        <v>97</v>
      </c>
      <c r="AK402" s="4" t="s">
        <v>97</v>
      </c>
      <c r="AL402" s="4" t="s">
        <v>97</v>
      </c>
      <c r="AM402" s="4" t="s">
        <v>97</v>
      </c>
      <c r="AN402" s="4" t="s">
        <v>103</v>
      </c>
      <c r="AO402" s="4" t="s">
        <v>103</v>
      </c>
      <c r="AP402" s="4" t="s">
        <v>103</v>
      </c>
      <c r="AQ402" s="4" t="s">
        <v>97</v>
      </c>
      <c r="AR402" s="4" t="s">
        <v>97</v>
      </c>
      <c r="AS402" s="4" t="s">
        <v>97</v>
      </c>
      <c r="AT402" s="4"/>
      <c r="AU402" s="4"/>
      <c r="AV402" s="4" t="s">
        <v>103</v>
      </c>
      <c r="AW402" s="4" t="s">
        <v>97</v>
      </c>
      <c r="AX402" s="4" t="s">
        <v>97</v>
      </c>
      <c r="AY402" s="4" t="s">
        <v>97</v>
      </c>
      <c r="AZ402" s="4" t="s">
        <v>97</v>
      </c>
      <c r="BA402" s="4" t="s">
        <v>97</v>
      </c>
      <c r="BB402" s="5">
        <v>45972</v>
      </c>
      <c r="BC402" s="5">
        <v>45972</v>
      </c>
      <c r="BD402" s="5">
        <v>45973</v>
      </c>
      <c r="BE402" s="5">
        <v>45973</v>
      </c>
      <c r="BF402" s="4" t="s">
        <v>98</v>
      </c>
      <c r="BG402" s="4" t="s">
        <v>97</v>
      </c>
      <c r="BH402" s="4" t="s">
        <v>103</v>
      </c>
      <c r="BI402" s="4" t="s">
        <v>834</v>
      </c>
    </row>
    <row r="403" spans="1:61" x14ac:dyDescent="0.35">
      <c r="A403" s="4" t="s">
        <v>1065</v>
      </c>
      <c r="B403" s="8" t="str">
        <f t="shared" si="36"/>
        <v>2025</v>
      </c>
      <c r="C403" s="2" t="s">
        <v>18</v>
      </c>
      <c r="D403" s="6" t="str">
        <f t="shared" si="37"/>
        <v>Dakar</v>
      </c>
      <c r="E403" s="6">
        <f t="shared" si="38"/>
        <v>419489</v>
      </c>
      <c r="F403" s="6">
        <f t="shared" si="39"/>
        <v>4042240</v>
      </c>
      <c r="G403" s="4" t="s">
        <v>1088</v>
      </c>
      <c r="H403" s="4" t="s">
        <v>1089</v>
      </c>
      <c r="I403" s="4">
        <v>40</v>
      </c>
      <c r="J403" s="4" t="s">
        <v>114</v>
      </c>
      <c r="K403" s="4"/>
      <c r="L403" s="4"/>
      <c r="M403" s="4"/>
      <c r="N403" s="4"/>
      <c r="O403" s="4" t="s">
        <v>238</v>
      </c>
      <c r="P403" s="4" t="s">
        <v>103</v>
      </c>
      <c r="Q403" s="4" t="s">
        <v>97</v>
      </c>
      <c r="R403" s="14" t="s">
        <v>100</v>
      </c>
      <c r="S403" s="14" t="s">
        <v>100</v>
      </c>
      <c r="T403" s="14" t="s">
        <v>100</v>
      </c>
      <c r="U403" s="8"/>
      <c r="V403" s="14"/>
      <c r="W403" s="14"/>
      <c r="X403" s="14"/>
      <c r="Y403" s="5">
        <v>45971</v>
      </c>
      <c r="Z403" s="5">
        <v>45972</v>
      </c>
      <c r="AA403" s="4" t="s">
        <v>103</v>
      </c>
      <c r="AB403" s="25">
        <v>39</v>
      </c>
      <c r="AC403" s="4" t="s">
        <v>103</v>
      </c>
      <c r="AD403" s="4" t="s">
        <v>97</v>
      </c>
      <c r="AE403" s="4" t="s">
        <v>97</v>
      </c>
      <c r="AF403" s="4" t="s">
        <v>103</v>
      </c>
      <c r="AG403" s="4" t="s">
        <v>103</v>
      </c>
      <c r="AH403" s="4" t="s">
        <v>103</v>
      </c>
      <c r="AI403" s="5">
        <v>45971</v>
      </c>
      <c r="AJ403" s="4" t="s">
        <v>97</v>
      </c>
      <c r="AK403" s="4" t="s">
        <v>97</v>
      </c>
      <c r="AL403" s="4" t="s">
        <v>97</v>
      </c>
      <c r="AM403" s="4" t="s">
        <v>97</v>
      </c>
      <c r="AN403" s="4" t="s">
        <v>97</v>
      </c>
      <c r="AO403" s="4" t="s">
        <v>97</v>
      </c>
      <c r="AP403" s="4" t="s">
        <v>97</v>
      </c>
      <c r="AQ403" s="4" t="s">
        <v>97</v>
      </c>
      <c r="AR403" s="4" t="s">
        <v>97</v>
      </c>
      <c r="AS403" s="4" t="s">
        <v>97</v>
      </c>
      <c r="AT403" s="4"/>
      <c r="AU403" s="4"/>
      <c r="AV403" s="4" t="s">
        <v>97</v>
      </c>
      <c r="AW403" s="4" t="s">
        <v>97</v>
      </c>
      <c r="AX403" s="4" t="s">
        <v>97</v>
      </c>
      <c r="AY403" s="4" t="s">
        <v>97</v>
      </c>
      <c r="AZ403" s="4" t="s">
        <v>103</v>
      </c>
      <c r="BA403" s="4" t="s">
        <v>97</v>
      </c>
      <c r="BB403" s="5">
        <v>45973</v>
      </c>
      <c r="BC403" s="5">
        <v>45973</v>
      </c>
      <c r="BD403" s="5">
        <v>45973</v>
      </c>
      <c r="BE403" s="5">
        <v>45973</v>
      </c>
      <c r="BF403" s="4" t="s">
        <v>98</v>
      </c>
      <c r="BG403" s="4" t="s">
        <v>97</v>
      </c>
      <c r="BH403" s="4" t="s">
        <v>103</v>
      </c>
      <c r="BI403" s="4" t="s">
        <v>834</v>
      </c>
    </row>
    <row r="404" spans="1:61" x14ac:dyDescent="0.35">
      <c r="A404" s="4" t="s">
        <v>1065</v>
      </c>
      <c r="B404" s="8" t="str">
        <f t="shared" si="36"/>
        <v>2025</v>
      </c>
      <c r="C404" s="2" t="s">
        <v>18</v>
      </c>
      <c r="D404" s="6" t="str">
        <f t="shared" si="37"/>
        <v>Dakar</v>
      </c>
      <c r="E404" s="6">
        <f t="shared" si="38"/>
        <v>419489</v>
      </c>
      <c r="F404" s="6">
        <f t="shared" si="39"/>
        <v>4042240</v>
      </c>
      <c r="G404" s="4" t="s">
        <v>1090</v>
      </c>
      <c r="H404" s="4" t="s">
        <v>1091</v>
      </c>
      <c r="I404" s="4">
        <v>1</v>
      </c>
      <c r="J404" s="4" t="s">
        <v>114</v>
      </c>
      <c r="K404" s="4"/>
      <c r="L404" s="4"/>
      <c r="M404" s="4"/>
      <c r="N404" s="4"/>
      <c r="O404" s="4" t="s">
        <v>238</v>
      </c>
      <c r="P404" s="4" t="s">
        <v>97</v>
      </c>
      <c r="Q404" s="4" t="s">
        <v>97</v>
      </c>
      <c r="R404" s="14" t="s">
        <v>100</v>
      </c>
      <c r="S404" s="14" t="s">
        <v>100</v>
      </c>
      <c r="T404" s="14" t="s">
        <v>100</v>
      </c>
      <c r="U404" s="8"/>
      <c r="V404" s="14"/>
      <c r="W404" s="14"/>
      <c r="X404" s="14"/>
      <c r="Y404" s="5">
        <v>45970</v>
      </c>
      <c r="Z404" s="5">
        <v>45972</v>
      </c>
      <c r="AA404" s="4" t="s">
        <v>103</v>
      </c>
      <c r="AB404" s="4" t="s">
        <v>488</v>
      </c>
      <c r="AC404" s="4" t="s">
        <v>97</v>
      </c>
      <c r="AD404" s="4" t="s">
        <v>97</v>
      </c>
      <c r="AE404" s="4" t="s">
        <v>97</v>
      </c>
      <c r="AF404" s="4" t="s">
        <v>97</v>
      </c>
      <c r="AG404" s="4" t="s">
        <v>97</v>
      </c>
      <c r="AH404" s="4" t="s">
        <v>103</v>
      </c>
      <c r="AI404" s="5">
        <v>45970</v>
      </c>
      <c r="AJ404" s="4" t="s">
        <v>97</v>
      </c>
      <c r="AK404" s="4" t="s">
        <v>103</v>
      </c>
      <c r="AL404" s="4" t="s">
        <v>97</v>
      </c>
      <c r="AM404" s="4" t="s">
        <v>103</v>
      </c>
      <c r="AN404" s="4" t="s">
        <v>103</v>
      </c>
      <c r="AO404" s="4" t="s">
        <v>97</v>
      </c>
      <c r="AP404" s="4" t="s">
        <v>97</v>
      </c>
      <c r="AQ404" s="4" t="s">
        <v>97</v>
      </c>
      <c r="AR404" s="4" t="s">
        <v>103</v>
      </c>
      <c r="AS404" s="4" t="s">
        <v>103</v>
      </c>
      <c r="AT404" s="4"/>
      <c r="AU404" s="4"/>
      <c r="AV404" s="4" t="s">
        <v>97</v>
      </c>
      <c r="AW404" s="4" t="s">
        <v>97</v>
      </c>
      <c r="AX404" s="4" t="s">
        <v>97</v>
      </c>
      <c r="AY404" s="4" t="s">
        <v>97</v>
      </c>
      <c r="AZ404" s="4" t="s">
        <v>103</v>
      </c>
      <c r="BA404" s="4" t="s">
        <v>97</v>
      </c>
      <c r="BB404" s="5">
        <v>45972</v>
      </c>
      <c r="BC404" s="5">
        <v>45973</v>
      </c>
      <c r="BD404" s="5">
        <v>45973</v>
      </c>
      <c r="BE404" s="5">
        <v>45973</v>
      </c>
      <c r="BF404" s="4" t="s">
        <v>98</v>
      </c>
      <c r="BG404" s="4" t="s">
        <v>97</v>
      </c>
      <c r="BH404" s="4" t="s">
        <v>103</v>
      </c>
      <c r="BI404" s="4" t="s">
        <v>834</v>
      </c>
    </row>
    <row r="405" spans="1:61" x14ac:dyDescent="0.35">
      <c r="A405" s="4" t="s">
        <v>1065</v>
      </c>
      <c r="B405" s="8" t="str">
        <f t="shared" si="36"/>
        <v>2025</v>
      </c>
      <c r="C405" s="2" t="s">
        <v>18</v>
      </c>
      <c r="D405" s="6" t="str">
        <f t="shared" si="37"/>
        <v>Dakar</v>
      </c>
      <c r="E405" s="6">
        <f t="shared" si="38"/>
        <v>419489</v>
      </c>
      <c r="F405" s="6">
        <f t="shared" si="39"/>
        <v>4042240</v>
      </c>
      <c r="G405" s="4" t="s">
        <v>1092</v>
      </c>
      <c r="H405" s="4" t="s">
        <v>1093</v>
      </c>
      <c r="I405" s="4">
        <v>1</v>
      </c>
      <c r="J405" s="4" t="s">
        <v>114</v>
      </c>
      <c r="K405" s="4"/>
      <c r="L405" s="4"/>
      <c r="M405" s="4"/>
      <c r="N405" s="4"/>
      <c r="O405" s="4" t="s">
        <v>238</v>
      </c>
      <c r="P405" s="4" t="s">
        <v>97</v>
      </c>
      <c r="Q405" s="4" t="s">
        <v>97</v>
      </c>
      <c r="R405" s="14" t="s">
        <v>100</v>
      </c>
      <c r="S405" s="14" t="s">
        <v>100</v>
      </c>
      <c r="T405" s="14" t="s">
        <v>100</v>
      </c>
      <c r="U405" s="8"/>
      <c r="V405" s="14"/>
      <c r="W405" s="14"/>
      <c r="X405" s="14"/>
      <c r="Y405" s="5">
        <v>45969</v>
      </c>
      <c r="Z405" s="5">
        <v>45972</v>
      </c>
      <c r="AA405" s="4" t="s">
        <v>97</v>
      </c>
      <c r="AB405" s="4"/>
      <c r="AC405" s="4" t="s">
        <v>97</v>
      </c>
      <c r="AD405" s="4" t="s">
        <v>97</v>
      </c>
      <c r="AE405" s="4" t="s">
        <v>97</v>
      </c>
      <c r="AF405" s="4" t="s">
        <v>97</v>
      </c>
      <c r="AG405" s="4" t="s">
        <v>97</v>
      </c>
      <c r="AH405" s="4" t="s">
        <v>103</v>
      </c>
      <c r="AI405" s="5">
        <v>45969</v>
      </c>
      <c r="AJ405" s="4" t="s">
        <v>103</v>
      </c>
      <c r="AK405" s="4" t="s">
        <v>103</v>
      </c>
      <c r="AL405" s="4" t="s">
        <v>97</v>
      </c>
      <c r="AM405" s="4" t="s">
        <v>103</v>
      </c>
      <c r="AN405" s="4" t="s">
        <v>103</v>
      </c>
      <c r="AO405" s="4" t="s">
        <v>97</v>
      </c>
      <c r="AP405" s="4" t="s">
        <v>97</v>
      </c>
      <c r="AQ405" s="4" t="s">
        <v>97</v>
      </c>
      <c r="AR405" s="4" t="s">
        <v>103</v>
      </c>
      <c r="AS405" s="4" t="s">
        <v>97</v>
      </c>
      <c r="AT405" s="4"/>
      <c r="AU405" s="4"/>
      <c r="AV405" s="4" t="s">
        <v>97</v>
      </c>
      <c r="AW405" s="4" t="s">
        <v>97</v>
      </c>
      <c r="AX405" s="4" t="s">
        <v>97</v>
      </c>
      <c r="AY405" s="4" t="s">
        <v>97</v>
      </c>
      <c r="AZ405" s="4" t="s">
        <v>103</v>
      </c>
      <c r="BA405" s="4" t="s">
        <v>97</v>
      </c>
      <c r="BB405" s="5">
        <v>45973</v>
      </c>
      <c r="BC405" s="5">
        <v>45973</v>
      </c>
      <c r="BD405" s="5">
        <v>45973</v>
      </c>
      <c r="BE405" s="5">
        <v>45973</v>
      </c>
      <c r="BF405" s="4" t="s">
        <v>98</v>
      </c>
      <c r="BG405" s="4" t="s">
        <v>97</v>
      </c>
      <c r="BH405" s="4" t="s">
        <v>103</v>
      </c>
      <c r="BI405" s="4" t="s">
        <v>834</v>
      </c>
    </row>
    <row r="406" spans="1:61" x14ac:dyDescent="0.35">
      <c r="A406" s="4" t="s">
        <v>1065</v>
      </c>
      <c r="B406" s="8" t="str">
        <f t="shared" si="36"/>
        <v>2025</v>
      </c>
      <c r="C406" s="2" t="s">
        <v>18</v>
      </c>
      <c r="D406" s="6" t="str">
        <f t="shared" si="37"/>
        <v>Dakar</v>
      </c>
      <c r="E406" s="6">
        <f t="shared" si="38"/>
        <v>419489</v>
      </c>
      <c r="F406" s="6">
        <f t="shared" si="39"/>
        <v>4042240</v>
      </c>
      <c r="G406" s="4" t="s">
        <v>1094</v>
      </c>
      <c r="H406" s="4" t="s">
        <v>1095</v>
      </c>
      <c r="I406" s="4">
        <v>1</v>
      </c>
      <c r="J406" s="4" t="s">
        <v>114</v>
      </c>
      <c r="K406" s="4"/>
      <c r="L406" s="4"/>
      <c r="M406" s="4"/>
      <c r="N406" s="4"/>
      <c r="O406" s="4" t="s">
        <v>238</v>
      </c>
      <c r="P406" s="4" t="s">
        <v>97</v>
      </c>
      <c r="Q406" s="4" t="s">
        <v>97</v>
      </c>
      <c r="R406" s="14" t="s">
        <v>100</v>
      </c>
      <c r="S406" s="14" t="s">
        <v>100</v>
      </c>
      <c r="T406" s="14" t="s">
        <v>100</v>
      </c>
      <c r="U406" s="8"/>
      <c r="V406" s="14"/>
      <c r="W406" s="14"/>
      <c r="X406" s="14"/>
      <c r="Y406" s="5">
        <v>45970</v>
      </c>
      <c r="Z406" s="5">
        <v>45971</v>
      </c>
      <c r="AA406" s="4" t="s">
        <v>97</v>
      </c>
      <c r="AB406" s="4"/>
      <c r="AC406" s="4" t="s">
        <v>97</v>
      </c>
      <c r="AD406" s="4" t="s">
        <v>97</v>
      </c>
      <c r="AE406" s="4" t="s">
        <v>97</v>
      </c>
      <c r="AF406" s="4" t="s">
        <v>97</v>
      </c>
      <c r="AG406" s="4" t="s">
        <v>97</v>
      </c>
      <c r="AH406" s="4" t="s">
        <v>103</v>
      </c>
      <c r="AI406" s="5">
        <v>45970</v>
      </c>
      <c r="AJ406" s="4" t="s">
        <v>103</v>
      </c>
      <c r="AK406" s="4" t="s">
        <v>103</v>
      </c>
      <c r="AL406" s="4" t="s">
        <v>97</v>
      </c>
      <c r="AM406" s="4" t="s">
        <v>103</v>
      </c>
      <c r="AN406" s="4" t="s">
        <v>103</v>
      </c>
      <c r="AO406" s="4" t="s">
        <v>97</v>
      </c>
      <c r="AP406" s="4" t="s">
        <v>97</v>
      </c>
      <c r="AQ406" s="4" t="s">
        <v>103</v>
      </c>
      <c r="AR406" s="4" t="s">
        <v>103</v>
      </c>
      <c r="AS406" s="4" t="s">
        <v>103</v>
      </c>
      <c r="AT406" s="4"/>
      <c r="AU406" s="4"/>
      <c r="AV406" s="4" t="s">
        <v>97</v>
      </c>
      <c r="AW406" s="4" t="s">
        <v>97</v>
      </c>
      <c r="AX406" s="4" t="s">
        <v>97</v>
      </c>
      <c r="AY406" s="4" t="s">
        <v>97</v>
      </c>
      <c r="AZ406" s="4" t="s">
        <v>103</v>
      </c>
      <c r="BA406" s="4" t="s">
        <v>97</v>
      </c>
      <c r="BB406" s="5">
        <v>45973</v>
      </c>
      <c r="BC406" s="5">
        <v>45973</v>
      </c>
      <c r="BD406" s="5">
        <v>45973</v>
      </c>
      <c r="BE406" s="5">
        <v>45973</v>
      </c>
      <c r="BF406" s="4" t="s">
        <v>98</v>
      </c>
      <c r="BG406" s="4" t="s">
        <v>97</v>
      </c>
      <c r="BH406" s="4" t="s">
        <v>103</v>
      </c>
      <c r="BI406" s="4" t="s">
        <v>834</v>
      </c>
    </row>
    <row r="407" spans="1:61" x14ac:dyDescent="0.35">
      <c r="A407" s="4" t="s">
        <v>1065</v>
      </c>
      <c r="B407" s="8" t="str">
        <f t="shared" si="36"/>
        <v>2025</v>
      </c>
      <c r="C407" s="2" t="s">
        <v>18</v>
      </c>
      <c r="D407" s="6" t="str">
        <f t="shared" si="37"/>
        <v>Dakar</v>
      </c>
      <c r="E407" s="6">
        <f t="shared" si="38"/>
        <v>419489</v>
      </c>
      <c r="F407" s="6">
        <f t="shared" si="39"/>
        <v>4042240</v>
      </c>
      <c r="G407" s="4" t="s">
        <v>1096</v>
      </c>
      <c r="H407" s="4" t="s">
        <v>1097</v>
      </c>
      <c r="I407" s="4">
        <v>2</v>
      </c>
      <c r="J407" s="4" t="s">
        <v>96</v>
      </c>
      <c r="K407" s="4"/>
      <c r="L407" s="4"/>
      <c r="M407" s="4"/>
      <c r="N407" s="4"/>
      <c r="O407" s="4" t="s">
        <v>238</v>
      </c>
      <c r="P407" s="4" t="s">
        <v>97</v>
      </c>
      <c r="Q407" s="4" t="s">
        <v>97</v>
      </c>
      <c r="R407" s="14" t="s">
        <v>100</v>
      </c>
      <c r="S407" s="14" t="s">
        <v>100</v>
      </c>
      <c r="T407" s="14" t="s">
        <v>100</v>
      </c>
      <c r="U407" s="8"/>
      <c r="V407" s="14"/>
      <c r="W407" s="14"/>
      <c r="X407" s="14"/>
      <c r="Y407" s="5">
        <v>45969</v>
      </c>
      <c r="Z407" s="5">
        <v>45972</v>
      </c>
      <c r="AA407" s="4" t="s">
        <v>103</v>
      </c>
      <c r="AB407" s="25">
        <v>38</v>
      </c>
      <c r="AC407" s="4" t="s">
        <v>97</v>
      </c>
      <c r="AD407" s="4" t="s">
        <v>97</v>
      </c>
      <c r="AE407" s="4" t="s">
        <v>97</v>
      </c>
      <c r="AF407" s="4" t="s">
        <v>97</v>
      </c>
      <c r="AG407" s="4" t="s">
        <v>97</v>
      </c>
      <c r="AH407" s="4" t="s">
        <v>103</v>
      </c>
      <c r="AI407" s="5">
        <v>45969</v>
      </c>
      <c r="AJ407" s="4" t="s">
        <v>103</v>
      </c>
      <c r="AK407" s="4" t="s">
        <v>103</v>
      </c>
      <c r="AL407" s="4" t="s">
        <v>97</v>
      </c>
      <c r="AM407" s="4" t="s">
        <v>97</v>
      </c>
      <c r="AN407" s="4" t="s">
        <v>97</v>
      </c>
      <c r="AO407" s="4" t="s">
        <v>97</v>
      </c>
      <c r="AP407" s="4" t="s">
        <v>97</v>
      </c>
      <c r="AQ407" s="4" t="s">
        <v>103</v>
      </c>
      <c r="AR407" s="4" t="s">
        <v>103</v>
      </c>
      <c r="AS407" s="4" t="s">
        <v>103</v>
      </c>
      <c r="AT407" s="4"/>
      <c r="AU407" s="4"/>
      <c r="AV407" s="4" t="s">
        <v>97</v>
      </c>
      <c r="AW407" s="4" t="s">
        <v>97</v>
      </c>
      <c r="AX407" s="4" t="s">
        <v>97</v>
      </c>
      <c r="AY407" s="4" t="s">
        <v>97</v>
      </c>
      <c r="AZ407" s="4" t="s">
        <v>103</v>
      </c>
      <c r="BA407" s="4" t="s">
        <v>97</v>
      </c>
      <c r="BB407" s="5">
        <v>45972</v>
      </c>
      <c r="BC407" s="5">
        <v>45972</v>
      </c>
      <c r="BD407" s="5">
        <v>45973</v>
      </c>
      <c r="BE407" s="5">
        <v>45973</v>
      </c>
      <c r="BF407" s="4" t="s">
        <v>98</v>
      </c>
      <c r="BG407" s="4" t="s">
        <v>97</v>
      </c>
      <c r="BH407" s="4" t="s">
        <v>103</v>
      </c>
      <c r="BI407" s="4" t="s">
        <v>834</v>
      </c>
    </row>
    <row r="408" spans="1:61" x14ac:dyDescent="0.35">
      <c r="A408" s="4" t="s">
        <v>1065</v>
      </c>
      <c r="B408" s="8" t="str">
        <f t="shared" si="36"/>
        <v>2025</v>
      </c>
      <c r="C408" s="2" t="s">
        <v>19</v>
      </c>
      <c r="D408" s="6" t="str">
        <f t="shared" si="37"/>
        <v>Dakar</v>
      </c>
      <c r="E408" s="6">
        <f t="shared" si="38"/>
        <v>565040</v>
      </c>
      <c r="F408" s="6">
        <f t="shared" si="39"/>
        <v>4042240</v>
      </c>
      <c r="G408" s="4" t="s">
        <v>1098</v>
      </c>
      <c r="H408" s="4" t="s">
        <v>1099</v>
      </c>
      <c r="I408" s="4">
        <v>22</v>
      </c>
      <c r="J408" s="4" t="s">
        <v>114</v>
      </c>
      <c r="K408" s="4"/>
      <c r="L408" s="4"/>
      <c r="M408" s="4"/>
      <c r="N408" s="4"/>
      <c r="O408" s="4" t="s">
        <v>238</v>
      </c>
      <c r="P408" s="4" t="s">
        <v>97</v>
      </c>
      <c r="Q408" s="4" t="s">
        <v>97</v>
      </c>
      <c r="R408" s="14" t="s">
        <v>100</v>
      </c>
      <c r="S408" s="14" t="s">
        <v>100</v>
      </c>
      <c r="T408" s="14" t="s">
        <v>100</v>
      </c>
      <c r="U408" s="8"/>
      <c r="V408" s="14"/>
      <c r="W408" s="14"/>
      <c r="X408" s="14"/>
      <c r="Y408" s="5">
        <v>45960</v>
      </c>
      <c r="Z408" s="5">
        <v>45972</v>
      </c>
      <c r="AA408" s="4" t="s">
        <v>103</v>
      </c>
      <c r="AB408" s="4" t="s">
        <v>463</v>
      </c>
      <c r="AC408" s="4" t="s">
        <v>103</v>
      </c>
      <c r="AD408" s="4" t="s">
        <v>97</v>
      </c>
      <c r="AE408" s="4" t="s">
        <v>97</v>
      </c>
      <c r="AF408" s="4" t="s">
        <v>103</v>
      </c>
      <c r="AG408" s="4" t="s">
        <v>97</v>
      </c>
      <c r="AH408" s="4" t="s">
        <v>103</v>
      </c>
      <c r="AI408" s="5">
        <v>45960</v>
      </c>
      <c r="AJ408" s="4" t="s">
        <v>97</v>
      </c>
      <c r="AK408" s="4" t="s">
        <v>97</v>
      </c>
      <c r="AL408" s="4" t="s">
        <v>103</v>
      </c>
      <c r="AM408" s="4" t="s">
        <v>103</v>
      </c>
      <c r="AN408" s="4" t="s">
        <v>103</v>
      </c>
      <c r="AO408" s="4" t="s">
        <v>97</v>
      </c>
      <c r="AP408" s="4" t="s">
        <v>97</v>
      </c>
      <c r="AQ408" s="4" t="s">
        <v>97</v>
      </c>
      <c r="AR408" s="4" t="s">
        <v>97</v>
      </c>
      <c r="AS408" s="4" t="s">
        <v>97</v>
      </c>
      <c r="AT408" s="4"/>
      <c r="AU408" s="4"/>
      <c r="AV408" s="4" t="s">
        <v>103</v>
      </c>
      <c r="AW408" s="4" t="s">
        <v>97</v>
      </c>
      <c r="AX408" s="4" t="s">
        <v>97</v>
      </c>
      <c r="AY408" s="4" t="s">
        <v>97</v>
      </c>
      <c r="AZ408" s="4" t="s">
        <v>103</v>
      </c>
      <c r="BA408" s="4" t="s">
        <v>97</v>
      </c>
      <c r="BB408" s="5">
        <v>45972</v>
      </c>
      <c r="BC408" s="5">
        <v>45973</v>
      </c>
      <c r="BD408" s="5">
        <v>45973</v>
      </c>
      <c r="BE408" s="5">
        <v>45973</v>
      </c>
      <c r="BF408" s="4" t="s">
        <v>98</v>
      </c>
      <c r="BG408" s="4" t="s">
        <v>97</v>
      </c>
      <c r="BH408" s="4" t="s">
        <v>103</v>
      </c>
      <c r="BI408" s="4" t="s">
        <v>834</v>
      </c>
    </row>
    <row r="409" spans="1:61" x14ac:dyDescent="0.35">
      <c r="A409" s="4" t="s">
        <v>1065</v>
      </c>
      <c r="B409" s="8" t="str">
        <f t="shared" si="36"/>
        <v>2025</v>
      </c>
      <c r="C409" s="2" t="s">
        <v>19</v>
      </c>
      <c r="D409" s="6" t="str">
        <f t="shared" si="37"/>
        <v>Dakar</v>
      </c>
      <c r="E409" s="6">
        <f t="shared" si="38"/>
        <v>565040</v>
      </c>
      <c r="F409" s="6">
        <f t="shared" si="39"/>
        <v>4042240</v>
      </c>
      <c r="G409" s="4" t="s">
        <v>1100</v>
      </c>
      <c r="H409" s="4" t="s">
        <v>1101</v>
      </c>
      <c r="I409" s="4">
        <v>2</v>
      </c>
      <c r="J409" s="4" t="s">
        <v>96</v>
      </c>
      <c r="K409" s="4"/>
      <c r="L409" s="4"/>
      <c r="M409" s="4"/>
      <c r="N409" s="4"/>
      <c r="O409" s="4" t="s">
        <v>238</v>
      </c>
      <c r="P409" s="4" t="s">
        <v>97</v>
      </c>
      <c r="Q409" s="4" t="s">
        <v>97</v>
      </c>
      <c r="R409" s="14" t="s">
        <v>100</v>
      </c>
      <c r="S409" s="14" t="s">
        <v>100</v>
      </c>
      <c r="T409" s="14" t="s">
        <v>100</v>
      </c>
      <c r="U409" s="8"/>
      <c r="V409" s="14"/>
      <c r="W409" s="14"/>
      <c r="X409" s="14"/>
      <c r="Y409" s="5">
        <v>45969</v>
      </c>
      <c r="Z409" s="5">
        <v>45971</v>
      </c>
      <c r="AA409" s="4" t="s">
        <v>103</v>
      </c>
      <c r="AB409" s="4" t="s">
        <v>488</v>
      </c>
      <c r="AC409" s="4" t="s">
        <v>97</v>
      </c>
      <c r="AD409" s="4" t="s">
        <v>97</v>
      </c>
      <c r="AE409" s="4" t="s">
        <v>97</v>
      </c>
      <c r="AF409" s="4" t="s">
        <v>103</v>
      </c>
      <c r="AG409" s="4" t="s">
        <v>103</v>
      </c>
      <c r="AH409" s="4" t="s">
        <v>103</v>
      </c>
      <c r="AI409" s="5">
        <v>45969</v>
      </c>
      <c r="AJ409" s="4" t="s">
        <v>97</v>
      </c>
      <c r="AK409" s="4" t="s">
        <v>97</v>
      </c>
      <c r="AL409" s="4" t="s">
        <v>97</v>
      </c>
      <c r="AM409" s="4" t="s">
        <v>103</v>
      </c>
      <c r="AN409" s="4" t="s">
        <v>103</v>
      </c>
      <c r="AO409" s="4" t="s">
        <v>103</v>
      </c>
      <c r="AP409" s="4" t="s">
        <v>103</v>
      </c>
      <c r="AQ409" s="4" t="s">
        <v>97</v>
      </c>
      <c r="AR409" s="4" t="s">
        <v>97</v>
      </c>
      <c r="AS409" s="4" t="s">
        <v>97</v>
      </c>
      <c r="AT409" s="4"/>
      <c r="AU409" s="4"/>
      <c r="AV409" s="4" t="s">
        <v>103</v>
      </c>
      <c r="AW409" s="4" t="s">
        <v>97</v>
      </c>
      <c r="AX409" s="4" t="s">
        <v>97</v>
      </c>
      <c r="AY409" s="4" t="s">
        <v>97</v>
      </c>
      <c r="AZ409" s="4" t="s">
        <v>103</v>
      </c>
      <c r="BA409" s="4" t="s">
        <v>97</v>
      </c>
      <c r="BB409" s="5">
        <v>45972</v>
      </c>
      <c r="BC409" s="5">
        <v>45973</v>
      </c>
      <c r="BD409" s="5">
        <v>45973</v>
      </c>
      <c r="BE409" s="5">
        <v>45973</v>
      </c>
      <c r="BF409" s="4" t="s">
        <v>98</v>
      </c>
      <c r="BG409" s="4" t="s">
        <v>97</v>
      </c>
      <c r="BH409" s="4" t="s">
        <v>103</v>
      </c>
      <c r="BI409" s="4" t="s">
        <v>834</v>
      </c>
    </row>
    <row r="410" spans="1:61" x14ac:dyDescent="0.35">
      <c r="A410" s="4" t="s">
        <v>1065</v>
      </c>
      <c r="B410" s="8" t="str">
        <f t="shared" si="36"/>
        <v>2025</v>
      </c>
      <c r="C410" s="2" t="s">
        <v>61</v>
      </c>
      <c r="D410" s="6" t="str">
        <f t="shared" si="37"/>
        <v>Thies</v>
      </c>
      <c r="E410" s="6">
        <f t="shared" si="38"/>
        <v>153582</v>
      </c>
      <c r="F410" s="6">
        <f t="shared" si="39"/>
        <v>2280463</v>
      </c>
      <c r="G410" s="4" t="s">
        <v>1102</v>
      </c>
      <c r="H410" s="4" t="s">
        <v>1103</v>
      </c>
      <c r="I410" s="4">
        <v>10</v>
      </c>
      <c r="J410" s="4" t="s">
        <v>114</v>
      </c>
      <c r="K410" s="4"/>
      <c r="L410" s="4"/>
      <c r="M410" s="4"/>
      <c r="N410" s="4"/>
      <c r="O410" s="4" t="s">
        <v>238</v>
      </c>
      <c r="P410" s="4" t="s">
        <v>97</v>
      </c>
      <c r="Q410" s="4" t="s">
        <v>97</v>
      </c>
      <c r="R410" s="14" t="s">
        <v>100</v>
      </c>
      <c r="S410" s="14" t="s">
        <v>100</v>
      </c>
      <c r="T410" s="14" t="s">
        <v>100</v>
      </c>
      <c r="U410" s="8"/>
      <c r="V410" s="14"/>
      <c r="W410" s="14"/>
      <c r="X410" s="14"/>
      <c r="Y410" s="5">
        <v>45931</v>
      </c>
      <c r="Z410" s="5">
        <v>45972</v>
      </c>
      <c r="AA410" s="4" t="s">
        <v>97</v>
      </c>
      <c r="AB410" s="4"/>
      <c r="AC410" s="4" t="s">
        <v>97</v>
      </c>
      <c r="AD410" s="4" t="s">
        <v>97</v>
      </c>
      <c r="AE410" s="4" t="s">
        <v>97</v>
      </c>
      <c r="AF410" s="4" t="s">
        <v>97</v>
      </c>
      <c r="AG410" s="4" t="s">
        <v>97</v>
      </c>
      <c r="AH410" s="4" t="s">
        <v>103</v>
      </c>
      <c r="AI410" s="5">
        <v>45970</v>
      </c>
      <c r="AJ410" s="4" t="s">
        <v>97</v>
      </c>
      <c r="AK410" s="4" t="s">
        <v>97</v>
      </c>
      <c r="AL410" s="4" t="s">
        <v>97</v>
      </c>
      <c r="AM410" s="4" t="s">
        <v>103</v>
      </c>
      <c r="AN410" s="4" t="s">
        <v>103</v>
      </c>
      <c r="AO410" s="4" t="s">
        <v>97</v>
      </c>
      <c r="AP410" s="4" t="s">
        <v>97</v>
      </c>
      <c r="AQ410" s="4" t="s">
        <v>97</v>
      </c>
      <c r="AR410" s="4" t="s">
        <v>97</v>
      </c>
      <c r="AS410" s="4" t="s">
        <v>97</v>
      </c>
      <c r="AT410" s="4"/>
      <c r="AU410" s="4"/>
      <c r="AV410" s="4" t="s">
        <v>103</v>
      </c>
      <c r="AW410" s="4" t="s">
        <v>97</v>
      </c>
      <c r="AX410" s="4" t="s">
        <v>97</v>
      </c>
      <c r="AY410" s="4" t="s">
        <v>97</v>
      </c>
      <c r="AZ410" s="4" t="s">
        <v>103</v>
      </c>
      <c r="BA410" s="4" t="s">
        <v>97</v>
      </c>
      <c r="BB410" s="5">
        <v>45972</v>
      </c>
      <c r="BC410" s="5">
        <v>45972</v>
      </c>
      <c r="BD410" s="5">
        <v>45975</v>
      </c>
      <c r="BE410" s="5">
        <v>45975</v>
      </c>
      <c r="BF410" s="4" t="s">
        <v>98</v>
      </c>
      <c r="BG410" s="4" t="s">
        <v>97</v>
      </c>
      <c r="BH410" s="4" t="s">
        <v>103</v>
      </c>
      <c r="BI410" s="4" t="s">
        <v>834</v>
      </c>
    </row>
    <row r="411" spans="1:61" x14ac:dyDescent="0.35">
      <c r="A411" s="4" t="s">
        <v>1065</v>
      </c>
      <c r="B411" s="8" t="str">
        <f t="shared" si="36"/>
        <v>2025</v>
      </c>
      <c r="C411" s="2" t="s">
        <v>32</v>
      </c>
      <c r="D411" s="6" t="str">
        <f t="shared" si="37"/>
        <v>Kaolack</v>
      </c>
      <c r="E411" s="6">
        <f t="shared" si="38"/>
        <v>151881</v>
      </c>
      <c r="F411" s="6">
        <f t="shared" si="39"/>
        <v>1267013</v>
      </c>
      <c r="G411" s="4" t="s">
        <v>1104</v>
      </c>
      <c r="H411" s="4" t="s">
        <v>1105</v>
      </c>
      <c r="I411" s="4">
        <v>12</v>
      </c>
      <c r="J411" s="4" t="s">
        <v>96</v>
      </c>
      <c r="K411" s="4"/>
      <c r="L411" s="4"/>
      <c r="M411" s="4"/>
      <c r="N411" s="4"/>
      <c r="O411" s="4" t="s">
        <v>238</v>
      </c>
      <c r="P411" s="4" t="s">
        <v>97</v>
      </c>
      <c r="Q411" s="4" t="s">
        <v>97</v>
      </c>
      <c r="R411" s="14" t="s">
        <v>100</v>
      </c>
      <c r="S411" s="14" t="s">
        <v>100</v>
      </c>
      <c r="T411" s="14" t="s">
        <v>100</v>
      </c>
      <c r="U411" s="8"/>
      <c r="V411" s="14"/>
      <c r="W411" s="14"/>
      <c r="X411" s="14"/>
      <c r="Y411" s="5">
        <v>45960</v>
      </c>
      <c r="Z411" s="5">
        <v>45974</v>
      </c>
      <c r="AA411" s="4" t="s">
        <v>103</v>
      </c>
      <c r="AB411" s="25">
        <v>37</v>
      </c>
      <c r="AC411" s="4" t="s">
        <v>97</v>
      </c>
      <c r="AD411" s="4" t="s">
        <v>97</v>
      </c>
      <c r="AE411" s="4" t="s">
        <v>97</v>
      </c>
      <c r="AF411" s="4" t="s">
        <v>103</v>
      </c>
      <c r="AG411" s="4" t="s">
        <v>103</v>
      </c>
      <c r="AH411" s="4" t="s">
        <v>103</v>
      </c>
      <c r="AI411" s="5">
        <v>45960</v>
      </c>
      <c r="AJ411" s="4" t="s">
        <v>103</v>
      </c>
      <c r="AK411" s="4" t="s">
        <v>103</v>
      </c>
      <c r="AL411" s="4" t="s">
        <v>97</v>
      </c>
      <c r="AM411" s="4" t="s">
        <v>97</v>
      </c>
      <c r="AN411" s="4" t="s">
        <v>103</v>
      </c>
      <c r="AO411" s="4" t="s">
        <v>97</v>
      </c>
      <c r="AP411" s="4" t="s">
        <v>103</v>
      </c>
      <c r="AQ411" s="4" t="s">
        <v>97</v>
      </c>
      <c r="AR411" s="4" t="s">
        <v>97</v>
      </c>
      <c r="AS411" s="4" t="s">
        <v>97</v>
      </c>
      <c r="AT411" s="4"/>
      <c r="AU411" s="4"/>
      <c r="AV411" s="4" t="s">
        <v>103</v>
      </c>
      <c r="AW411" s="4" t="s">
        <v>97</v>
      </c>
      <c r="AX411" s="4" t="s">
        <v>97</v>
      </c>
      <c r="AY411" s="4" t="s">
        <v>97</v>
      </c>
      <c r="AZ411" s="4" t="s">
        <v>97</v>
      </c>
      <c r="BA411" s="4" t="s">
        <v>97</v>
      </c>
      <c r="BB411" s="5">
        <v>45975</v>
      </c>
      <c r="BC411" s="5">
        <v>45975</v>
      </c>
      <c r="BD411" s="5">
        <v>45975</v>
      </c>
      <c r="BE411" s="5">
        <v>45975</v>
      </c>
      <c r="BF411" s="4" t="s">
        <v>98</v>
      </c>
      <c r="BG411" s="4" t="s">
        <v>97</v>
      </c>
      <c r="BH411" s="4" t="s">
        <v>103</v>
      </c>
      <c r="BI411" s="4" t="s">
        <v>834</v>
      </c>
    </row>
    <row r="412" spans="1:61" x14ac:dyDescent="0.35">
      <c r="A412" s="4" t="s">
        <v>1065</v>
      </c>
      <c r="B412" s="8" t="str">
        <f t="shared" si="36"/>
        <v>2025</v>
      </c>
      <c r="C412" s="2" t="s">
        <v>21</v>
      </c>
      <c r="D412" s="6" t="str">
        <f t="shared" si="37"/>
        <v>Dakar</v>
      </c>
      <c r="E412" s="6">
        <f t="shared" si="38"/>
        <v>219872</v>
      </c>
      <c r="F412" s="6">
        <f t="shared" si="39"/>
        <v>4042240</v>
      </c>
      <c r="G412" s="4" t="s">
        <v>1106</v>
      </c>
      <c r="H412" s="4" t="s">
        <v>1107</v>
      </c>
      <c r="I412" s="4">
        <v>11</v>
      </c>
      <c r="J412" s="4" t="s">
        <v>96</v>
      </c>
      <c r="K412" s="4"/>
      <c r="L412" s="4"/>
      <c r="M412" s="4"/>
      <c r="N412" s="4"/>
      <c r="O412" s="4" t="s">
        <v>238</v>
      </c>
      <c r="P412" s="4" t="s">
        <v>97</v>
      </c>
      <c r="Q412" s="4" t="s">
        <v>97</v>
      </c>
      <c r="R412" s="14" t="s">
        <v>100</v>
      </c>
      <c r="S412" s="14" t="s">
        <v>100</v>
      </c>
      <c r="T412" s="14" t="s">
        <v>100</v>
      </c>
      <c r="U412" s="8"/>
      <c r="V412" s="14"/>
      <c r="W412" s="14"/>
      <c r="X412" s="14"/>
      <c r="Y412" s="5">
        <v>45968</v>
      </c>
      <c r="Z412" s="5">
        <v>45972</v>
      </c>
      <c r="AA412" s="4" t="s">
        <v>103</v>
      </c>
      <c r="AB412" s="4" t="s">
        <v>488</v>
      </c>
      <c r="AC412" s="4" t="s">
        <v>103</v>
      </c>
      <c r="AD412" s="4" t="s">
        <v>97</v>
      </c>
      <c r="AE412" s="4" t="s">
        <v>97</v>
      </c>
      <c r="AF412" s="4" t="s">
        <v>103</v>
      </c>
      <c r="AG412" s="4" t="s">
        <v>97</v>
      </c>
      <c r="AH412" s="4" t="s">
        <v>103</v>
      </c>
      <c r="AI412" s="5">
        <v>45968</v>
      </c>
      <c r="AJ412" s="4" t="s">
        <v>97</v>
      </c>
      <c r="AK412" s="4" t="s">
        <v>97</v>
      </c>
      <c r="AL412" s="4" t="s">
        <v>97</v>
      </c>
      <c r="AM412" s="4" t="s">
        <v>103</v>
      </c>
      <c r="AN412" s="4" t="s">
        <v>103</v>
      </c>
      <c r="AO412" s="4" t="s">
        <v>97</v>
      </c>
      <c r="AP412" s="4" t="s">
        <v>103</v>
      </c>
      <c r="AQ412" s="4" t="s">
        <v>97</v>
      </c>
      <c r="AR412" s="4" t="s">
        <v>97</v>
      </c>
      <c r="AS412" s="4" t="s">
        <v>97</v>
      </c>
      <c r="AT412" s="4"/>
      <c r="AU412" s="4"/>
      <c r="AV412" s="4" t="s">
        <v>97</v>
      </c>
      <c r="AW412" s="4" t="s">
        <v>97</v>
      </c>
      <c r="AX412" s="4" t="s">
        <v>97</v>
      </c>
      <c r="AY412" s="4" t="s">
        <v>97</v>
      </c>
      <c r="AZ412" s="4" t="s">
        <v>103</v>
      </c>
      <c r="BA412" s="4" t="s">
        <v>97</v>
      </c>
      <c r="BB412" s="5">
        <v>45975</v>
      </c>
      <c r="BC412" s="5">
        <v>45975</v>
      </c>
      <c r="BD412" s="5">
        <v>45975</v>
      </c>
      <c r="BE412" s="5">
        <v>45975</v>
      </c>
      <c r="BF412" s="4" t="s">
        <v>98</v>
      </c>
      <c r="BG412" s="4" t="s">
        <v>97</v>
      </c>
      <c r="BH412" s="4" t="s">
        <v>103</v>
      </c>
      <c r="BI412" s="4" t="s">
        <v>834</v>
      </c>
    </row>
    <row r="413" spans="1:61" x14ac:dyDescent="0.35">
      <c r="A413" s="4" t="s">
        <v>1065</v>
      </c>
      <c r="B413" s="8" t="str">
        <f t="shared" si="36"/>
        <v>2025</v>
      </c>
      <c r="C413" s="2" t="s">
        <v>21</v>
      </c>
      <c r="D413" s="6" t="str">
        <f t="shared" si="37"/>
        <v>Dakar</v>
      </c>
      <c r="E413" s="6">
        <f t="shared" si="38"/>
        <v>219872</v>
      </c>
      <c r="F413" s="6">
        <f t="shared" si="39"/>
        <v>4042240</v>
      </c>
      <c r="G413" s="4" t="s">
        <v>1108</v>
      </c>
      <c r="H413" s="4" t="s">
        <v>1109</v>
      </c>
      <c r="I413" s="4">
        <v>1</v>
      </c>
      <c r="J413" s="4" t="s">
        <v>114</v>
      </c>
      <c r="K413" s="4"/>
      <c r="L413" s="4"/>
      <c r="M413" s="4"/>
      <c r="N413" s="4"/>
      <c r="O413" s="4" t="s">
        <v>238</v>
      </c>
      <c r="P413" s="4" t="s">
        <v>97</v>
      </c>
      <c r="Q413" s="4" t="s">
        <v>97</v>
      </c>
      <c r="R413" s="14" t="s">
        <v>100</v>
      </c>
      <c r="S413" s="14" t="s">
        <v>100</v>
      </c>
      <c r="T413" s="14" t="s">
        <v>100</v>
      </c>
      <c r="U413" s="8"/>
      <c r="V413" s="14"/>
      <c r="W413" s="14"/>
      <c r="X413" s="14"/>
      <c r="Y413" s="5">
        <v>45970</v>
      </c>
      <c r="Z413" s="5">
        <v>45972</v>
      </c>
      <c r="AA413" s="4" t="s">
        <v>103</v>
      </c>
      <c r="AB413" s="4" t="s">
        <v>413</v>
      </c>
      <c r="AC413" s="4" t="s">
        <v>97</v>
      </c>
      <c r="AD413" s="4" t="s">
        <v>97</v>
      </c>
      <c r="AE413" s="4" t="s">
        <v>97</v>
      </c>
      <c r="AF413" s="4" t="s">
        <v>103</v>
      </c>
      <c r="AG413" s="4" t="s">
        <v>97</v>
      </c>
      <c r="AH413" s="4" t="s">
        <v>103</v>
      </c>
      <c r="AI413" s="5">
        <v>45971</v>
      </c>
      <c r="AJ413" s="4" t="s">
        <v>97</v>
      </c>
      <c r="AK413" s="4" t="s">
        <v>97</v>
      </c>
      <c r="AL413" s="4" t="s">
        <v>103</v>
      </c>
      <c r="AM413" s="4" t="s">
        <v>103</v>
      </c>
      <c r="AN413" s="4" t="s">
        <v>103</v>
      </c>
      <c r="AO413" s="4" t="s">
        <v>103</v>
      </c>
      <c r="AP413" s="4" t="s">
        <v>103</v>
      </c>
      <c r="AQ413" s="4" t="s">
        <v>103</v>
      </c>
      <c r="AR413" s="4" t="s">
        <v>97</v>
      </c>
      <c r="AS413" s="4" t="s">
        <v>103</v>
      </c>
      <c r="AT413" s="4"/>
      <c r="AU413" s="4"/>
      <c r="AV413" s="4" t="s">
        <v>103</v>
      </c>
      <c r="AW413" s="4" t="s">
        <v>97</v>
      </c>
      <c r="AX413" s="4" t="s">
        <v>97</v>
      </c>
      <c r="AY413" s="4" t="s">
        <v>97</v>
      </c>
      <c r="AZ413" s="4" t="s">
        <v>103</v>
      </c>
      <c r="BA413" s="4" t="s">
        <v>97</v>
      </c>
      <c r="BB413" s="5">
        <v>45972</v>
      </c>
      <c r="BC413" s="5">
        <v>45972</v>
      </c>
      <c r="BD413" s="5">
        <v>45975</v>
      </c>
      <c r="BE413" s="5">
        <v>45975</v>
      </c>
      <c r="BF413" s="4" t="s">
        <v>98</v>
      </c>
      <c r="BG413" s="4" t="s">
        <v>97</v>
      </c>
      <c r="BH413" s="4" t="s">
        <v>103</v>
      </c>
      <c r="BI413" s="4" t="s">
        <v>834</v>
      </c>
    </row>
    <row r="414" spans="1:61" x14ac:dyDescent="0.35">
      <c r="A414" s="4" t="s">
        <v>1065</v>
      </c>
      <c r="B414" s="8" t="str">
        <f t="shared" si="36"/>
        <v>2025</v>
      </c>
      <c r="C414" s="2" t="s">
        <v>18</v>
      </c>
      <c r="D414" s="6" t="str">
        <f t="shared" si="37"/>
        <v>Dakar</v>
      </c>
      <c r="E414" s="6">
        <f t="shared" si="38"/>
        <v>419489</v>
      </c>
      <c r="F414" s="6">
        <f t="shared" si="39"/>
        <v>4042240</v>
      </c>
      <c r="G414" s="4" t="s">
        <v>1110</v>
      </c>
      <c r="H414" s="4" t="s">
        <v>1111</v>
      </c>
      <c r="I414" s="4">
        <v>29</v>
      </c>
      <c r="J414" s="4" t="s">
        <v>114</v>
      </c>
      <c r="K414" s="4"/>
      <c r="L414" s="4"/>
      <c r="M414" s="4"/>
      <c r="N414" s="4"/>
      <c r="O414" s="4" t="s">
        <v>238</v>
      </c>
      <c r="P414" s="4" t="s">
        <v>97</v>
      </c>
      <c r="Q414" s="4" t="s">
        <v>97</v>
      </c>
      <c r="R414" s="14" t="s">
        <v>100</v>
      </c>
      <c r="S414" s="14" t="s">
        <v>100</v>
      </c>
      <c r="T414" s="14" t="s">
        <v>100</v>
      </c>
      <c r="U414" s="8"/>
      <c r="V414" s="14"/>
      <c r="W414" s="14"/>
      <c r="X414" s="14"/>
      <c r="Y414" s="5">
        <v>45964</v>
      </c>
      <c r="Z414" s="5">
        <v>45975</v>
      </c>
      <c r="AA414" s="4" t="s">
        <v>103</v>
      </c>
      <c r="AB414" s="4" t="s">
        <v>509</v>
      </c>
      <c r="AC414" s="4" t="s">
        <v>103</v>
      </c>
      <c r="AD414" s="4" t="s">
        <v>103</v>
      </c>
      <c r="AE414" s="4" t="s">
        <v>97</v>
      </c>
      <c r="AF414" s="4" t="s">
        <v>103</v>
      </c>
      <c r="AG414" s="4" t="s">
        <v>103</v>
      </c>
      <c r="AH414" s="4" t="s">
        <v>103</v>
      </c>
      <c r="AI414" s="5">
        <v>45974</v>
      </c>
      <c r="AJ414" s="4" t="s">
        <v>97</v>
      </c>
      <c r="AK414" s="4" t="s">
        <v>103</v>
      </c>
      <c r="AL414" s="4" t="s">
        <v>97</v>
      </c>
      <c r="AM414" s="4" t="s">
        <v>103</v>
      </c>
      <c r="AN414" s="4" t="s">
        <v>103</v>
      </c>
      <c r="AO414" s="4" t="s">
        <v>97</v>
      </c>
      <c r="AP414" s="4" t="s">
        <v>97</v>
      </c>
      <c r="AQ414" s="4" t="s">
        <v>97</v>
      </c>
      <c r="AR414" s="4" t="s">
        <v>97</v>
      </c>
      <c r="AS414" s="4" t="s">
        <v>97</v>
      </c>
      <c r="AT414" s="4"/>
      <c r="AU414" s="4"/>
      <c r="AV414" s="4" t="s">
        <v>103</v>
      </c>
      <c r="AW414" s="4" t="s">
        <v>97</v>
      </c>
      <c r="AX414" s="4" t="s">
        <v>97</v>
      </c>
      <c r="AY414" s="4" t="s">
        <v>97</v>
      </c>
      <c r="AZ414" s="4" t="s">
        <v>103</v>
      </c>
      <c r="BA414" s="4" t="s">
        <v>97</v>
      </c>
      <c r="BB414" s="5">
        <v>45975</v>
      </c>
      <c r="BC414" s="5">
        <v>45975</v>
      </c>
      <c r="BD414" s="5">
        <v>45975</v>
      </c>
      <c r="BE414" s="5">
        <v>45975</v>
      </c>
      <c r="BF414" s="4" t="s">
        <v>98</v>
      </c>
      <c r="BG414" s="4" t="s">
        <v>97</v>
      </c>
      <c r="BH414" s="4" t="s">
        <v>103</v>
      </c>
      <c r="BI414" s="4" t="s">
        <v>834</v>
      </c>
    </row>
    <row r="415" spans="1:61" x14ac:dyDescent="0.35">
      <c r="A415" s="4" t="s">
        <v>1065</v>
      </c>
      <c r="B415" s="8" t="str">
        <f t="shared" si="36"/>
        <v>2025</v>
      </c>
      <c r="C415" s="2" t="s">
        <v>18</v>
      </c>
      <c r="D415" s="6" t="str">
        <f t="shared" si="37"/>
        <v>Dakar</v>
      </c>
      <c r="E415" s="6">
        <f t="shared" si="38"/>
        <v>419489</v>
      </c>
      <c r="F415" s="6">
        <f t="shared" si="39"/>
        <v>4042240</v>
      </c>
      <c r="G415" s="4" t="s">
        <v>1112</v>
      </c>
      <c r="H415" s="4" t="s">
        <v>1113</v>
      </c>
      <c r="I415" s="4">
        <v>44</v>
      </c>
      <c r="J415" s="4" t="s">
        <v>114</v>
      </c>
      <c r="K415" s="4" t="s">
        <v>1114</v>
      </c>
      <c r="L415" s="5">
        <v>45970</v>
      </c>
      <c r="M415" s="4"/>
      <c r="N415" s="4"/>
      <c r="O415" s="4" t="s">
        <v>238</v>
      </c>
      <c r="P415" s="4" t="s">
        <v>97</v>
      </c>
      <c r="Q415" s="4" t="s">
        <v>97</v>
      </c>
      <c r="R415" s="14" t="s">
        <v>481</v>
      </c>
      <c r="S415" s="14" t="s">
        <v>100</v>
      </c>
      <c r="T415" s="14" t="s">
        <v>100</v>
      </c>
      <c r="U415" s="8"/>
      <c r="V415" s="14"/>
      <c r="W415" s="14"/>
      <c r="X415" s="14"/>
      <c r="Y415" s="5">
        <v>45970</v>
      </c>
      <c r="Z415" s="5">
        <v>45975</v>
      </c>
      <c r="AA415" s="4" t="s">
        <v>97</v>
      </c>
      <c r="AB415" s="4"/>
      <c r="AC415" s="4" t="s">
        <v>97</v>
      </c>
      <c r="AD415" s="4" t="s">
        <v>97</v>
      </c>
      <c r="AE415" s="4" t="s">
        <v>97</v>
      </c>
      <c r="AF415" s="4" t="s">
        <v>103</v>
      </c>
      <c r="AG415" s="4" t="s">
        <v>97</v>
      </c>
      <c r="AH415" s="4" t="s">
        <v>103</v>
      </c>
      <c r="AI415" s="5">
        <v>45970</v>
      </c>
      <c r="AJ415" s="4" t="s">
        <v>103</v>
      </c>
      <c r="AK415" s="4" t="s">
        <v>97</v>
      </c>
      <c r="AL415" s="4" t="s">
        <v>103</v>
      </c>
      <c r="AM415" s="4" t="s">
        <v>103</v>
      </c>
      <c r="AN415" s="4" t="s">
        <v>103</v>
      </c>
      <c r="AO415" s="4" t="s">
        <v>97</v>
      </c>
      <c r="AP415" s="4" t="s">
        <v>97</v>
      </c>
      <c r="AQ415" s="4" t="s">
        <v>97</v>
      </c>
      <c r="AR415" s="4" t="s">
        <v>103</v>
      </c>
      <c r="AS415" s="4" t="s">
        <v>103</v>
      </c>
      <c r="AT415" s="4"/>
      <c r="AU415" s="4"/>
      <c r="AV415" s="4" t="s">
        <v>103</v>
      </c>
      <c r="AW415" s="4" t="s">
        <v>97</v>
      </c>
      <c r="AX415" s="4" t="s">
        <v>97</v>
      </c>
      <c r="AY415" s="4" t="s">
        <v>97</v>
      </c>
      <c r="AZ415" s="4" t="s">
        <v>103</v>
      </c>
      <c r="BA415" s="4" t="s">
        <v>97</v>
      </c>
      <c r="BB415" s="5">
        <v>45975</v>
      </c>
      <c r="BC415" s="5">
        <v>45975</v>
      </c>
      <c r="BD415" s="5">
        <v>45975</v>
      </c>
      <c r="BE415" s="5">
        <v>45975</v>
      </c>
      <c r="BF415" s="4" t="s">
        <v>98</v>
      </c>
      <c r="BG415" s="4" t="s">
        <v>103</v>
      </c>
      <c r="BH415" s="4" t="s">
        <v>97</v>
      </c>
      <c r="BI415" s="4" t="s">
        <v>482</v>
      </c>
    </row>
    <row r="416" spans="1:61" x14ac:dyDescent="0.35">
      <c r="A416" s="4" t="s">
        <v>1115</v>
      </c>
      <c r="B416" s="8" t="str">
        <f t="shared" si="36"/>
        <v>2025</v>
      </c>
      <c r="C416" s="2" t="s">
        <v>91</v>
      </c>
      <c r="D416" s="6" t="str">
        <f t="shared" si="37"/>
        <v>Dakar</v>
      </c>
      <c r="E416" s="6">
        <f t="shared" si="38"/>
        <v>179835</v>
      </c>
      <c r="F416" s="6">
        <f t="shared" si="39"/>
        <v>4042240</v>
      </c>
      <c r="G416" s="4" t="s">
        <v>1116</v>
      </c>
      <c r="H416" s="4" t="s">
        <v>1117</v>
      </c>
      <c r="I416" s="4">
        <v>4</v>
      </c>
      <c r="J416" s="4" t="s">
        <v>114</v>
      </c>
      <c r="K416" s="4"/>
      <c r="L416" s="4"/>
      <c r="M416" s="4"/>
      <c r="N416" s="4"/>
      <c r="O416" s="4" t="s">
        <v>238</v>
      </c>
      <c r="P416" s="4" t="s">
        <v>97</v>
      </c>
      <c r="Q416" s="4" t="s">
        <v>97</v>
      </c>
      <c r="R416" s="14" t="s">
        <v>100</v>
      </c>
      <c r="S416" s="14" t="s">
        <v>100</v>
      </c>
      <c r="T416" s="14" t="s">
        <v>100</v>
      </c>
      <c r="U416" s="8"/>
      <c r="V416" s="14"/>
      <c r="W416" s="14"/>
      <c r="X416" s="14"/>
      <c r="Y416" s="5">
        <v>45972</v>
      </c>
      <c r="Z416" s="5">
        <v>45975</v>
      </c>
      <c r="AA416" s="4" t="s">
        <v>103</v>
      </c>
      <c r="AB416" s="4" t="s">
        <v>546</v>
      </c>
      <c r="AC416" s="4" t="s">
        <v>97</v>
      </c>
      <c r="AD416" s="4" t="s">
        <v>97</v>
      </c>
      <c r="AE416" s="4" t="s">
        <v>97</v>
      </c>
      <c r="AF416" s="4" t="s">
        <v>97</v>
      </c>
      <c r="AG416" s="4" t="s">
        <v>97</v>
      </c>
      <c r="AH416" s="4" t="s">
        <v>103</v>
      </c>
      <c r="AI416" s="5">
        <v>45972</v>
      </c>
      <c r="AJ416" s="4" t="s">
        <v>103</v>
      </c>
      <c r="AK416" s="4" t="s">
        <v>103</v>
      </c>
      <c r="AL416" s="4" t="s">
        <v>97</v>
      </c>
      <c r="AM416" s="4" t="s">
        <v>97</v>
      </c>
      <c r="AN416" s="4" t="s">
        <v>97</v>
      </c>
      <c r="AO416" s="4" t="s">
        <v>103</v>
      </c>
      <c r="AP416" s="4" t="s">
        <v>103</v>
      </c>
      <c r="AQ416" s="4" t="s">
        <v>97</v>
      </c>
      <c r="AR416" s="4" t="s">
        <v>97</v>
      </c>
      <c r="AS416" s="4" t="s">
        <v>103</v>
      </c>
      <c r="AT416" s="4"/>
      <c r="AU416" s="4"/>
      <c r="AV416" s="4" t="s">
        <v>103</v>
      </c>
      <c r="AW416" s="4" t="s">
        <v>97</v>
      </c>
      <c r="AX416" s="4" t="s">
        <v>97</v>
      </c>
      <c r="AY416" s="4" t="s">
        <v>97</v>
      </c>
      <c r="AZ416" s="4" t="s">
        <v>97</v>
      </c>
      <c r="BA416" s="4" t="s">
        <v>97</v>
      </c>
      <c r="BB416" s="5">
        <v>45975</v>
      </c>
      <c r="BC416" s="5">
        <v>45975</v>
      </c>
      <c r="BD416" s="5">
        <v>45976</v>
      </c>
      <c r="BE416" s="5">
        <v>45976</v>
      </c>
      <c r="BF416" s="4" t="s">
        <v>98</v>
      </c>
      <c r="BG416" s="4" t="s">
        <v>97</v>
      </c>
      <c r="BH416" s="4" t="s">
        <v>97</v>
      </c>
      <c r="BI416" s="4" t="s">
        <v>834</v>
      </c>
    </row>
    <row r="417" spans="1:61" x14ac:dyDescent="0.35">
      <c r="A417" s="4" t="s">
        <v>1115</v>
      </c>
      <c r="B417" s="8" t="str">
        <f t="shared" si="36"/>
        <v>2025</v>
      </c>
      <c r="C417" s="2" t="s">
        <v>18</v>
      </c>
      <c r="D417" s="6" t="str">
        <f t="shared" si="37"/>
        <v>Dakar</v>
      </c>
      <c r="E417" s="6">
        <f t="shared" si="38"/>
        <v>419489</v>
      </c>
      <c r="F417" s="6">
        <f t="shared" si="39"/>
        <v>4042240</v>
      </c>
      <c r="G417" s="4" t="s">
        <v>1118</v>
      </c>
      <c r="H417" s="4" t="s">
        <v>1119</v>
      </c>
      <c r="I417" s="4">
        <v>34</v>
      </c>
      <c r="J417" s="4" t="s">
        <v>114</v>
      </c>
      <c r="K417" s="4" t="s">
        <v>422</v>
      </c>
      <c r="L417" s="5">
        <v>45954</v>
      </c>
      <c r="M417" s="4"/>
      <c r="N417" s="4"/>
      <c r="O417" s="4" t="s">
        <v>238</v>
      </c>
      <c r="P417" s="4" t="s">
        <v>97</v>
      </c>
      <c r="Q417" s="4" t="s">
        <v>97</v>
      </c>
      <c r="R417" s="14" t="s">
        <v>100</v>
      </c>
      <c r="S417" s="14" t="s">
        <v>100</v>
      </c>
      <c r="T417" s="14" t="s">
        <v>100</v>
      </c>
      <c r="U417" s="8"/>
      <c r="V417" s="14"/>
      <c r="W417" s="14"/>
      <c r="X417" s="14"/>
      <c r="Y417" s="5">
        <v>45972</v>
      </c>
      <c r="Z417" s="5">
        <v>45976</v>
      </c>
      <c r="AA417" s="4" t="s">
        <v>97</v>
      </c>
      <c r="AB417" s="4"/>
      <c r="AC417" s="4" t="s">
        <v>97</v>
      </c>
      <c r="AD417" s="4" t="s">
        <v>97</v>
      </c>
      <c r="AE417" s="4" t="s">
        <v>97</v>
      </c>
      <c r="AF417" s="4" t="s">
        <v>97</v>
      </c>
      <c r="AG417" s="4" t="s">
        <v>97</v>
      </c>
      <c r="AH417" s="4" t="s">
        <v>103</v>
      </c>
      <c r="AI417" s="5">
        <v>45972</v>
      </c>
      <c r="AJ417" s="4" t="s">
        <v>103</v>
      </c>
      <c r="AK417" s="4" t="s">
        <v>103</v>
      </c>
      <c r="AL417" s="4" t="s">
        <v>97</v>
      </c>
      <c r="AM417" s="4" t="s">
        <v>103</v>
      </c>
      <c r="AN417" s="4" t="s">
        <v>97</v>
      </c>
      <c r="AO417" s="4" t="s">
        <v>97</v>
      </c>
      <c r="AP417" s="4" t="s">
        <v>103</v>
      </c>
      <c r="AQ417" s="4" t="s">
        <v>103</v>
      </c>
      <c r="AR417" s="4" t="s">
        <v>97</v>
      </c>
      <c r="AS417" s="4" t="s">
        <v>103</v>
      </c>
      <c r="AT417" s="4"/>
      <c r="AU417" s="4"/>
      <c r="AV417" s="4" t="s">
        <v>103</v>
      </c>
      <c r="AW417" s="4" t="s">
        <v>97</v>
      </c>
      <c r="AX417" s="4" t="s">
        <v>97</v>
      </c>
      <c r="AY417" s="4" t="s">
        <v>97</v>
      </c>
      <c r="AZ417" s="4" t="s">
        <v>97</v>
      </c>
      <c r="BA417" s="4" t="s">
        <v>97</v>
      </c>
      <c r="BB417" s="5">
        <v>45976</v>
      </c>
      <c r="BC417" s="5">
        <v>45976</v>
      </c>
      <c r="BD417" s="5">
        <v>45976</v>
      </c>
      <c r="BE417" s="5">
        <v>45976</v>
      </c>
      <c r="BF417" s="4" t="s">
        <v>98</v>
      </c>
      <c r="BG417" s="4" t="s">
        <v>97</v>
      </c>
      <c r="BH417" s="4" t="s">
        <v>103</v>
      </c>
      <c r="BI417" s="4" t="s">
        <v>834</v>
      </c>
    </row>
    <row r="418" spans="1:61" x14ac:dyDescent="0.35">
      <c r="A418" s="4" t="s">
        <v>1115</v>
      </c>
      <c r="B418" s="8" t="str">
        <f t="shared" si="36"/>
        <v>2025</v>
      </c>
      <c r="C418" s="2" t="s">
        <v>91</v>
      </c>
      <c r="D418" s="6" t="str">
        <f t="shared" si="37"/>
        <v>Dakar</v>
      </c>
      <c r="E418" s="6">
        <f t="shared" si="38"/>
        <v>179835</v>
      </c>
      <c r="F418" s="6">
        <f t="shared" si="39"/>
        <v>4042240</v>
      </c>
      <c r="G418" s="4" t="s">
        <v>1120</v>
      </c>
      <c r="H418" s="4" t="s">
        <v>1121</v>
      </c>
      <c r="I418" s="4">
        <v>11</v>
      </c>
      <c r="J418" s="4" t="s">
        <v>114</v>
      </c>
      <c r="K418" s="4"/>
      <c r="L418" s="4"/>
      <c r="M418" s="4"/>
      <c r="N418" s="4"/>
      <c r="O418" s="4" t="s">
        <v>238</v>
      </c>
      <c r="P418" s="4" t="s">
        <v>97</v>
      </c>
      <c r="Q418" s="4" t="s">
        <v>97</v>
      </c>
      <c r="R418" s="14" t="s">
        <v>100</v>
      </c>
      <c r="S418" s="14" t="s">
        <v>100</v>
      </c>
      <c r="T418" s="14" t="s">
        <v>100</v>
      </c>
      <c r="U418" s="8"/>
      <c r="V418" s="14"/>
      <c r="W418" s="14"/>
      <c r="X418" s="14"/>
      <c r="Y418" s="5">
        <v>45970</v>
      </c>
      <c r="Z418" s="5">
        <v>45974</v>
      </c>
      <c r="AA418" s="4" t="s">
        <v>103</v>
      </c>
      <c r="AB418" s="4" t="s">
        <v>1122</v>
      </c>
      <c r="AC418" s="4" t="s">
        <v>97</v>
      </c>
      <c r="AD418" s="4" t="s">
        <v>103</v>
      </c>
      <c r="AE418" s="4" t="s">
        <v>97</v>
      </c>
      <c r="AF418" s="4" t="s">
        <v>97</v>
      </c>
      <c r="AG418" s="4" t="s">
        <v>97</v>
      </c>
      <c r="AH418" s="4" t="s">
        <v>103</v>
      </c>
      <c r="AI418" s="5">
        <v>45970</v>
      </c>
      <c r="AJ418" s="4" t="s">
        <v>97</v>
      </c>
      <c r="AK418" s="4" t="s">
        <v>97</v>
      </c>
      <c r="AL418" s="4" t="s">
        <v>97</v>
      </c>
      <c r="AM418" s="4" t="s">
        <v>97</v>
      </c>
      <c r="AN418" s="4" t="s">
        <v>97</v>
      </c>
      <c r="AO418" s="4" t="s">
        <v>103</v>
      </c>
      <c r="AP418" s="4" t="s">
        <v>97</v>
      </c>
      <c r="AQ418" s="4" t="s">
        <v>97</v>
      </c>
      <c r="AR418" s="4" t="s">
        <v>97</v>
      </c>
      <c r="AS418" s="4" t="s">
        <v>97</v>
      </c>
      <c r="AT418" s="4"/>
      <c r="AU418" s="4"/>
      <c r="AV418" s="4" t="s">
        <v>103</v>
      </c>
      <c r="AW418" s="4" t="s">
        <v>97</v>
      </c>
      <c r="AX418" s="4" t="s">
        <v>97</v>
      </c>
      <c r="AY418" s="4" t="s">
        <v>97</v>
      </c>
      <c r="AZ418" s="4" t="s">
        <v>103</v>
      </c>
      <c r="BA418" s="4" t="s">
        <v>97</v>
      </c>
      <c r="BB418" s="5">
        <v>45974</v>
      </c>
      <c r="BC418" s="5">
        <v>45975</v>
      </c>
      <c r="BD418" s="5">
        <v>45979</v>
      </c>
      <c r="BE418" s="5">
        <v>45979</v>
      </c>
      <c r="BF418" s="4" t="s">
        <v>98</v>
      </c>
      <c r="BG418" s="4" t="s">
        <v>97</v>
      </c>
      <c r="BH418" s="4" t="s">
        <v>103</v>
      </c>
      <c r="BI418" s="4" t="s">
        <v>834</v>
      </c>
    </row>
    <row r="419" spans="1:61" x14ac:dyDescent="0.35">
      <c r="A419" s="4" t="s">
        <v>1115</v>
      </c>
      <c r="B419" s="8" t="str">
        <f t="shared" si="36"/>
        <v>2025</v>
      </c>
      <c r="C419" s="2" t="s">
        <v>61</v>
      </c>
      <c r="D419" s="6" t="str">
        <f t="shared" si="37"/>
        <v>Thies</v>
      </c>
      <c r="E419" s="6">
        <f t="shared" si="38"/>
        <v>153582</v>
      </c>
      <c r="F419" s="6">
        <f t="shared" si="39"/>
        <v>2280463</v>
      </c>
      <c r="G419" s="4" t="s">
        <v>1123</v>
      </c>
      <c r="H419" s="4" t="s">
        <v>1124</v>
      </c>
      <c r="I419" s="4">
        <v>5</v>
      </c>
      <c r="J419" s="4" t="s">
        <v>96</v>
      </c>
      <c r="K419" s="4"/>
      <c r="L419" s="4"/>
      <c r="M419" s="4"/>
      <c r="N419" s="4"/>
      <c r="O419" s="4" t="s">
        <v>238</v>
      </c>
      <c r="P419" s="4" t="s">
        <v>97</v>
      </c>
      <c r="Q419" s="4" t="s">
        <v>97</v>
      </c>
      <c r="R419" s="14" t="s">
        <v>100</v>
      </c>
      <c r="S419" s="14" t="s">
        <v>100</v>
      </c>
      <c r="T419" s="14" t="s">
        <v>100</v>
      </c>
      <c r="U419" s="8"/>
      <c r="V419" s="14"/>
      <c r="W419" s="14"/>
      <c r="X419" s="14"/>
      <c r="Y419" s="5">
        <v>45971</v>
      </c>
      <c r="Z419" s="5">
        <v>45978</v>
      </c>
      <c r="AA419" s="4" t="s">
        <v>97</v>
      </c>
      <c r="AB419" s="4"/>
      <c r="AC419" s="4" t="s">
        <v>97</v>
      </c>
      <c r="AD419" s="4" t="s">
        <v>97</v>
      </c>
      <c r="AE419" s="4" t="s">
        <v>97</v>
      </c>
      <c r="AF419" s="4" t="s">
        <v>97</v>
      </c>
      <c r="AG419" s="4" t="s">
        <v>97</v>
      </c>
      <c r="AH419" s="4" t="s">
        <v>103</v>
      </c>
      <c r="AI419" s="5">
        <v>45971</v>
      </c>
      <c r="AJ419" s="4" t="s">
        <v>97</v>
      </c>
      <c r="AK419" s="4" t="s">
        <v>97</v>
      </c>
      <c r="AL419" s="4" t="s">
        <v>103</v>
      </c>
      <c r="AM419" s="4" t="s">
        <v>97</v>
      </c>
      <c r="AN419" s="4" t="s">
        <v>103</v>
      </c>
      <c r="AO419" s="4" t="s">
        <v>97</v>
      </c>
      <c r="AP419" s="4" t="s">
        <v>97</v>
      </c>
      <c r="AQ419" s="4" t="s">
        <v>97</v>
      </c>
      <c r="AR419" s="4" t="s">
        <v>97</v>
      </c>
      <c r="AS419" s="4" t="s">
        <v>97</v>
      </c>
      <c r="AT419" s="4"/>
      <c r="AU419" s="4"/>
      <c r="AV419" s="4" t="s">
        <v>103</v>
      </c>
      <c r="AW419" s="4" t="s">
        <v>97</v>
      </c>
      <c r="AX419" s="4" t="s">
        <v>97</v>
      </c>
      <c r="AY419" s="4" t="s">
        <v>97</v>
      </c>
      <c r="AZ419" s="4" t="s">
        <v>97</v>
      </c>
      <c r="BA419" s="4" t="s">
        <v>97</v>
      </c>
      <c r="BB419" s="5">
        <v>45978</v>
      </c>
      <c r="BC419" s="5">
        <v>45978</v>
      </c>
      <c r="BD419" s="5">
        <v>45980</v>
      </c>
      <c r="BE419" s="5">
        <v>45980</v>
      </c>
      <c r="BF419" s="4" t="s">
        <v>98</v>
      </c>
      <c r="BG419" s="4" t="s">
        <v>97</v>
      </c>
      <c r="BH419" s="4" t="s">
        <v>103</v>
      </c>
      <c r="BI419" s="4" t="s">
        <v>834</v>
      </c>
    </row>
    <row r="420" spans="1:61" x14ac:dyDescent="0.35">
      <c r="A420" s="4" t="s">
        <v>1115</v>
      </c>
      <c r="B420" s="8" t="str">
        <f t="shared" si="36"/>
        <v>2025</v>
      </c>
      <c r="C420" s="2" t="s">
        <v>33</v>
      </c>
      <c r="D420" s="6" t="str">
        <f t="shared" si="37"/>
        <v>Thies</v>
      </c>
      <c r="E420" s="6">
        <f t="shared" si="38"/>
        <v>102475</v>
      </c>
      <c r="F420" s="6">
        <f t="shared" si="39"/>
        <v>2280463</v>
      </c>
      <c r="G420" s="4" t="s">
        <v>1125</v>
      </c>
      <c r="H420" s="4" t="s">
        <v>1126</v>
      </c>
      <c r="I420" s="4">
        <v>23</v>
      </c>
      <c r="J420" s="4" t="s">
        <v>96</v>
      </c>
      <c r="K420" s="4"/>
      <c r="L420" s="4"/>
      <c r="M420" s="4"/>
      <c r="N420" s="4"/>
      <c r="O420" s="4" t="s">
        <v>238</v>
      </c>
      <c r="P420" s="4" t="s">
        <v>97</v>
      </c>
      <c r="Q420" s="4" t="s">
        <v>97</v>
      </c>
      <c r="R420" s="14" t="s">
        <v>100</v>
      </c>
      <c r="S420" s="14" t="s">
        <v>100</v>
      </c>
      <c r="T420" s="14" t="s">
        <v>100</v>
      </c>
      <c r="U420" s="8"/>
      <c r="V420" s="14"/>
      <c r="W420" s="14"/>
      <c r="X420" s="14"/>
      <c r="Y420" s="5">
        <v>45971</v>
      </c>
      <c r="Z420" s="5">
        <v>45978</v>
      </c>
      <c r="AA420" s="4" t="s">
        <v>103</v>
      </c>
      <c r="AB420" s="4" t="s">
        <v>488</v>
      </c>
      <c r="AC420" s="4" t="s">
        <v>103</v>
      </c>
      <c r="AD420" s="4" t="s">
        <v>97</v>
      </c>
      <c r="AE420" s="4" t="s">
        <v>97</v>
      </c>
      <c r="AF420" s="4" t="s">
        <v>97</v>
      </c>
      <c r="AG420" s="4" t="s">
        <v>103</v>
      </c>
      <c r="AH420" s="4" t="s">
        <v>103</v>
      </c>
      <c r="AI420" s="5">
        <v>45971</v>
      </c>
      <c r="AJ420" s="4" t="s">
        <v>97</v>
      </c>
      <c r="AK420" s="4" t="s">
        <v>97</v>
      </c>
      <c r="AL420" s="4" t="s">
        <v>97</v>
      </c>
      <c r="AM420" s="4" t="s">
        <v>97</v>
      </c>
      <c r="AN420" s="4" t="s">
        <v>97</v>
      </c>
      <c r="AO420" s="4" t="s">
        <v>97</v>
      </c>
      <c r="AP420" s="4" t="s">
        <v>97</v>
      </c>
      <c r="AQ420" s="4" t="s">
        <v>97</v>
      </c>
      <c r="AR420" s="4" t="s">
        <v>97</v>
      </c>
      <c r="AS420" s="4" t="s">
        <v>97</v>
      </c>
      <c r="AT420" s="4"/>
      <c r="AU420" s="4"/>
      <c r="AV420" s="4" t="s">
        <v>103</v>
      </c>
      <c r="AW420" s="4" t="s">
        <v>97</v>
      </c>
      <c r="AX420" s="4" t="s">
        <v>97</v>
      </c>
      <c r="AY420" s="4" t="s">
        <v>97</v>
      </c>
      <c r="AZ420" s="4" t="s">
        <v>97</v>
      </c>
      <c r="BA420" s="4" t="s">
        <v>97</v>
      </c>
      <c r="BB420" s="5">
        <v>45978</v>
      </c>
      <c r="BC420" s="5">
        <v>45978</v>
      </c>
      <c r="BD420" s="5">
        <v>45980</v>
      </c>
      <c r="BE420" s="5">
        <v>45980</v>
      </c>
      <c r="BF420" s="4" t="s">
        <v>98</v>
      </c>
      <c r="BG420" s="4" t="s">
        <v>97</v>
      </c>
      <c r="BH420" s="4" t="s">
        <v>103</v>
      </c>
      <c r="BI420" s="4" t="s">
        <v>834</v>
      </c>
    </row>
    <row r="421" spans="1:61" x14ac:dyDescent="0.35">
      <c r="A421" s="4" t="s">
        <v>1115</v>
      </c>
      <c r="B421" s="8" t="str">
        <f t="shared" si="36"/>
        <v>2025</v>
      </c>
      <c r="C421" s="2" t="s">
        <v>61</v>
      </c>
      <c r="D421" s="6" t="str">
        <f t="shared" si="37"/>
        <v>Thies</v>
      </c>
      <c r="E421" s="6">
        <f t="shared" si="38"/>
        <v>153582</v>
      </c>
      <c r="F421" s="6">
        <f t="shared" si="39"/>
        <v>2280463</v>
      </c>
      <c r="G421" s="4" t="s">
        <v>1127</v>
      </c>
      <c r="H421" s="4" t="s">
        <v>1128</v>
      </c>
      <c r="I421" s="4">
        <v>6</v>
      </c>
      <c r="J421" s="4" t="s">
        <v>114</v>
      </c>
      <c r="K421" s="4"/>
      <c r="L421" s="4"/>
      <c r="M421" s="4"/>
      <c r="N421" s="4"/>
      <c r="O421" s="4" t="s">
        <v>238</v>
      </c>
      <c r="P421" s="4" t="s">
        <v>97</v>
      </c>
      <c r="Q421" s="4" t="s">
        <v>97</v>
      </c>
      <c r="R421" s="14" t="s">
        <v>100</v>
      </c>
      <c r="S421" s="14" t="s">
        <v>100</v>
      </c>
      <c r="T421" s="14" t="s">
        <v>100</v>
      </c>
      <c r="U421" s="8"/>
      <c r="V421" s="14"/>
      <c r="W421" s="14"/>
      <c r="X421" s="14"/>
      <c r="Y421" s="5">
        <v>45973</v>
      </c>
      <c r="Z421" s="5">
        <v>45978</v>
      </c>
      <c r="AA421" s="4" t="s">
        <v>103</v>
      </c>
      <c r="AB421" s="4" t="s">
        <v>488</v>
      </c>
      <c r="AC421" s="4" t="s">
        <v>97</v>
      </c>
      <c r="AD421" s="4" t="s">
        <v>97</v>
      </c>
      <c r="AE421" s="4" t="s">
        <v>97</v>
      </c>
      <c r="AF421" s="4" t="s">
        <v>97</v>
      </c>
      <c r="AG421" s="4" t="s">
        <v>97</v>
      </c>
      <c r="AH421" s="4" t="s">
        <v>103</v>
      </c>
      <c r="AI421" s="5">
        <v>45973</v>
      </c>
      <c r="AJ421" s="4" t="s">
        <v>97</v>
      </c>
      <c r="AK421" s="4" t="s">
        <v>97</v>
      </c>
      <c r="AL421" s="4" t="s">
        <v>103</v>
      </c>
      <c r="AM421" s="4" t="s">
        <v>97</v>
      </c>
      <c r="AN421" s="4" t="s">
        <v>103</v>
      </c>
      <c r="AO421" s="4" t="s">
        <v>97</v>
      </c>
      <c r="AP421" s="4" t="s">
        <v>97</v>
      </c>
      <c r="AQ421" s="4" t="s">
        <v>97</v>
      </c>
      <c r="AR421" s="4" t="s">
        <v>97</v>
      </c>
      <c r="AS421" s="4" t="s">
        <v>97</v>
      </c>
      <c r="AT421" s="4"/>
      <c r="AU421" s="4"/>
      <c r="AV421" s="4" t="s">
        <v>103</v>
      </c>
      <c r="AW421" s="4" t="s">
        <v>97</v>
      </c>
      <c r="AX421" s="4" t="s">
        <v>97</v>
      </c>
      <c r="AY421" s="4" t="s">
        <v>97</v>
      </c>
      <c r="AZ421" s="4" t="s">
        <v>97</v>
      </c>
      <c r="BA421" s="4" t="s">
        <v>97</v>
      </c>
      <c r="BB421" s="5">
        <v>45978</v>
      </c>
      <c r="BC421" s="5">
        <v>45980</v>
      </c>
      <c r="BD421" s="5">
        <v>45981</v>
      </c>
      <c r="BE421" s="5">
        <v>45981</v>
      </c>
      <c r="BF421" s="4" t="s">
        <v>98</v>
      </c>
      <c r="BG421" s="4" t="s">
        <v>97</v>
      </c>
      <c r="BH421" s="4" t="s">
        <v>103</v>
      </c>
      <c r="BI421" s="4" t="s">
        <v>834</v>
      </c>
    </row>
    <row r="422" spans="1:61" x14ac:dyDescent="0.35">
      <c r="A422" s="4" t="s">
        <v>1115</v>
      </c>
      <c r="B422" s="8" t="str">
        <f t="shared" si="36"/>
        <v>2025</v>
      </c>
      <c r="C422" s="2" t="s">
        <v>71</v>
      </c>
      <c r="D422" s="6" t="str">
        <f t="shared" si="37"/>
        <v>Thies</v>
      </c>
      <c r="E422" s="6">
        <f t="shared" si="38"/>
        <v>195082</v>
      </c>
      <c r="F422" s="6">
        <f t="shared" si="39"/>
        <v>2280463</v>
      </c>
      <c r="G422" s="4" t="s">
        <v>1130</v>
      </c>
      <c r="H422" s="4" t="s">
        <v>1129</v>
      </c>
      <c r="I422" s="4">
        <v>6</v>
      </c>
      <c r="J422" s="4" t="s">
        <v>114</v>
      </c>
      <c r="K422" s="4"/>
      <c r="L422" s="4"/>
      <c r="M422" s="4"/>
      <c r="N422" s="4"/>
      <c r="O422" s="4" t="s">
        <v>238</v>
      </c>
      <c r="P422" s="4" t="s">
        <v>103</v>
      </c>
      <c r="Q422" s="4" t="s">
        <v>97</v>
      </c>
      <c r="R422" s="14" t="s">
        <v>100</v>
      </c>
      <c r="S422" s="14" t="s">
        <v>100</v>
      </c>
      <c r="T422" s="14" t="s">
        <v>100</v>
      </c>
      <c r="U422" s="8"/>
      <c r="V422" s="14"/>
      <c r="W422" s="14"/>
      <c r="X422" s="14"/>
      <c r="Y422" s="5">
        <v>45976</v>
      </c>
      <c r="Z422" s="5">
        <v>45979</v>
      </c>
      <c r="AA422" s="4" t="s">
        <v>103</v>
      </c>
      <c r="AB422" s="25">
        <v>39</v>
      </c>
      <c r="AC422" s="4" t="s">
        <v>97</v>
      </c>
      <c r="AD422" s="4" t="s">
        <v>103</v>
      </c>
      <c r="AE422" s="4" t="s">
        <v>97</v>
      </c>
      <c r="AF422" s="4" t="s">
        <v>97</v>
      </c>
      <c r="AG422" s="4" t="s">
        <v>103</v>
      </c>
      <c r="AH422" s="4" t="s">
        <v>103</v>
      </c>
      <c r="AI422" s="5">
        <v>45976</v>
      </c>
      <c r="AJ422" s="4" t="s">
        <v>103</v>
      </c>
      <c r="AK422" s="4" t="s">
        <v>103</v>
      </c>
      <c r="AL422" s="4" t="s">
        <v>97</v>
      </c>
      <c r="AM422" s="4" t="s">
        <v>103</v>
      </c>
      <c r="AN422" s="4" t="s">
        <v>103</v>
      </c>
      <c r="AO422" s="4" t="s">
        <v>103</v>
      </c>
      <c r="AP422" s="4" t="s">
        <v>97</v>
      </c>
      <c r="AQ422" s="4" t="s">
        <v>97</v>
      </c>
      <c r="AR422" s="4" t="s">
        <v>103</v>
      </c>
      <c r="AS422" s="4" t="s">
        <v>97</v>
      </c>
      <c r="AT422" s="4"/>
      <c r="AU422" s="4"/>
      <c r="AV422" s="4" t="s">
        <v>103</v>
      </c>
      <c r="AW422" s="4" t="s">
        <v>97</v>
      </c>
      <c r="AX422" s="4" t="s">
        <v>97</v>
      </c>
      <c r="AY422" s="4" t="s">
        <v>97</v>
      </c>
      <c r="AZ422" s="4" t="s">
        <v>97</v>
      </c>
      <c r="BA422" s="4" t="s">
        <v>97</v>
      </c>
      <c r="BB422" s="5">
        <v>45979</v>
      </c>
      <c r="BC422" s="5">
        <v>45982</v>
      </c>
      <c r="BD422" s="5">
        <v>45982</v>
      </c>
      <c r="BE422" s="5">
        <v>45982</v>
      </c>
      <c r="BF422" s="4" t="s">
        <v>98</v>
      </c>
      <c r="BG422" s="4" t="s">
        <v>97</v>
      </c>
      <c r="BH422" s="4" t="s">
        <v>103</v>
      </c>
      <c r="BI422" s="4" t="s">
        <v>834</v>
      </c>
    </row>
    <row r="423" spans="1:61" x14ac:dyDescent="0.35">
      <c r="A423" s="4" t="s">
        <v>1115</v>
      </c>
      <c r="B423" s="8" t="str">
        <f t="shared" si="36"/>
        <v>2025</v>
      </c>
      <c r="C423" s="2" t="s">
        <v>32</v>
      </c>
      <c r="D423" s="6" t="str">
        <f t="shared" si="37"/>
        <v>Kaolack</v>
      </c>
      <c r="E423" s="6">
        <f t="shared" si="38"/>
        <v>151881</v>
      </c>
      <c r="F423" s="6">
        <f t="shared" si="39"/>
        <v>1267013</v>
      </c>
      <c r="G423" s="4" t="s">
        <v>1131</v>
      </c>
      <c r="H423" s="4" t="s">
        <v>1132</v>
      </c>
      <c r="I423" s="4">
        <v>27</v>
      </c>
      <c r="J423" s="4" t="s">
        <v>96</v>
      </c>
      <c r="K423" s="4"/>
      <c r="L423" s="4"/>
      <c r="M423" s="4"/>
      <c r="N423" s="4"/>
      <c r="O423" s="4" t="s">
        <v>238</v>
      </c>
      <c r="P423" s="4" t="s">
        <v>97</v>
      </c>
      <c r="Q423" s="4" t="s">
        <v>97</v>
      </c>
      <c r="R423" s="14" t="s">
        <v>100</v>
      </c>
      <c r="S423" s="14" t="s">
        <v>100</v>
      </c>
      <c r="T423" s="14" t="s">
        <v>100</v>
      </c>
      <c r="U423" s="14"/>
      <c r="V423" s="14"/>
      <c r="W423" s="14"/>
      <c r="X423" s="14"/>
      <c r="Y423" s="5">
        <v>45970</v>
      </c>
      <c r="Z423" s="5">
        <v>45975</v>
      </c>
      <c r="AA423" s="4" t="s">
        <v>97</v>
      </c>
      <c r="AB423" s="4"/>
      <c r="AC423" s="4" t="s">
        <v>103</v>
      </c>
      <c r="AD423" s="4" t="s">
        <v>97</v>
      </c>
      <c r="AE423" s="4" t="s">
        <v>97</v>
      </c>
      <c r="AF423" s="4" t="s">
        <v>103</v>
      </c>
      <c r="AG423" s="4" t="s">
        <v>103</v>
      </c>
      <c r="AH423" s="4" t="s">
        <v>103</v>
      </c>
      <c r="AI423" s="5">
        <v>45970</v>
      </c>
      <c r="AJ423" s="4" t="s">
        <v>97</v>
      </c>
      <c r="AK423" s="4" t="s">
        <v>103</v>
      </c>
      <c r="AL423" s="4" t="s">
        <v>97</v>
      </c>
      <c r="AM423" s="4" t="s">
        <v>103</v>
      </c>
      <c r="AN423" s="4" t="s">
        <v>103</v>
      </c>
      <c r="AO423" s="4" t="s">
        <v>97</v>
      </c>
      <c r="AP423" s="4" t="s">
        <v>97</v>
      </c>
      <c r="AQ423" s="4" t="s">
        <v>103</v>
      </c>
      <c r="AR423" s="4" t="s">
        <v>97</v>
      </c>
      <c r="AS423" s="4" t="s">
        <v>97</v>
      </c>
      <c r="AT423" s="4"/>
      <c r="AU423" s="4"/>
      <c r="AV423" s="4" t="s">
        <v>103</v>
      </c>
      <c r="AW423" s="4" t="s">
        <v>97</v>
      </c>
      <c r="AX423" s="4" t="s">
        <v>97</v>
      </c>
      <c r="AY423" s="4" t="s">
        <v>97</v>
      </c>
      <c r="AZ423" s="4" t="s">
        <v>97</v>
      </c>
      <c r="BA423" s="4" t="s">
        <v>97</v>
      </c>
      <c r="BB423" s="5">
        <v>45975</v>
      </c>
      <c r="BC423" s="5">
        <v>45979</v>
      </c>
      <c r="BD423" s="5">
        <v>45982</v>
      </c>
      <c r="BE423" s="5">
        <v>45982</v>
      </c>
      <c r="BF423" s="4" t="s">
        <v>98</v>
      </c>
      <c r="BG423" s="4" t="s">
        <v>97</v>
      </c>
      <c r="BH423" s="4" t="s">
        <v>103</v>
      </c>
      <c r="BI423" s="4" t="s">
        <v>834</v>
      </c>
    </row>
    <row r="424" spans="1:61" x14ac:dyDescent="0.35">
      <c r="A424" s="4" t="s">
        <v>1115</v>
      </c>
      <c r="B424" s="8" t="str">
        <f t="shared" si="36"/>
        <v>2025</v>
      </c>
      <c r="C424" s="2" t="s">
        <v>18</v>
      </c>
      <c r="D424" s="6" t="str">
        <f t="shared" si="37"/>
        <v>Dakar</v>
      </c>
      <c r="E424" s="6">
        <f t="shared" si="38"/>
        <v>419489</v>
      </c>
      <c r="F424" s="6">
        <f t="shared" si="39"/>
        <v>4042240</v>
      </c>
      <c r="G424" s="4" t="s">
        <v>1133</v>
      </c>
      <c r="H424" s="4" t="s">
        <v>1134</v>
      </c>
      <c r="I424" s="4">
        <v>1</v>
      </c>
      <c r="J424" s="4" t="s">
        <v>96</v>
      </c>
      <c r="K424" s="4"/>
      <c r="L424" s="4"/>
      <c r="M424" s="4"/>
      <c r="N424" s="4"/>
      <c r="O424" s="4" t="s">
        <v>238</v>
      </c>
      <c r="P424" s="4" t="s">
        <v>97</v>
      </c>
      <c r="Q424" s="4" t="s">
        <v>97</v>
      </c>
      <c r="R424" s="14" t="s">
        <v>100</v>
      </c>
      <c r="S424" s="14" t="s">
        <v>100</v>
      </c>
      <c r="T424" s="14" t="s">
        <v>100</v>
      </c>
      <c r="U424" s="14"/>
      <c r="V424" s="14"/>
      <c r="W424" s="14"/>
      <c r="X424" s="14"/>
      <c r="Y424" s="5">
        <v>45979</v>
      </c>
      <c r="Z424" s="5">
        <v>45980</v>
      </c>
      <c r="AA424" s="4" t="s">
        <v>103</v>
      </c>
      <c r="AB424" s="4" t="s">
        <v>463</v>
      </c>
      <c r="AC424" s="4" t="s">
        <v>97</v>
      </c>
      <c r="AD424" s="4" t="s">
        <v>97</v>
      </c>
      <c r="AE424" s="4" t="s">
        <v>97</v>
      </c>
      <c r="AF424" s="4" t="s">
        <v>97</v>
      </c>
      <c r="AG424" s="4" t="s">
        <v>97</v>
      </c>
      <c r="AH424" s="4" t="s">
        <v>103</v>
      </c>
      <c r="AI424" s="5">
        <v>45979</v>
      </c>
      <c r="AJ424" s="4" t="s">
        <v>103</v>
      </c>
      <c r="AK424" s="4" t="s">
        <v>103</v>
      </c>
      <c r="AL424" s="4" t="s">
        <v>103</v>
      </c>
      <c r="AM424" s="4" t="s">
        <v>103</v>
      </c>
      <c r="AN424" s="4" t="s">
        <v>103</v>
      </c>
      <c r="AO424" s="4" t="s">
        <v>103</v>
      </c>
      <c r="AP424" s="4" t="s">
        <v>103</v>
      </c>
      <c r="AQ424" s="4" t="s">
        <v>97</v>
      </c>
      <c r="AR424" s="4" t="s">
        <v>103</v>
      </c>
      <c r="AS424" s="4" t="s">
        <v>103</v>
      </c>
      <c r="AT424" s="4"/>
      <c r="AU424" s="4"/>
      <c r="AV424" s="4" t="s">
        <v>97</v>
      </c>
      <c r="AW424" s="4" t="s">
        <v>97</v>
      </c>
      <c r="AX424" s="4" t="s">
        <v>97</v>
      </c>
      <c r="AY424" s="4" t="s">
        <v>97</v>
      </c>
      <c r="AZ424" s="4" t="s">
        <v>103</v>
      </c>
      <c r="BA424" s="4" t="s">
        <v>97</v>
      </c>
      <c r="BB424" s="5">
        <v>45981</v>
      </c>
      <c r="BC424" s="5">
        <v>45981</v>
      </c>
      <c r="BD424" s="5">
        <v>45981</v>
      </c>
      <c r="BE424" s="5">
        <v>45981</v>
      </c>
      <c r="BF424" s="4" t="s">
        <v>98</v>
      </c>
      <c r="BG424" s="4" t="s">
        <v>97</v>
      </c>
      <c r="BH424" s="4" t="s">
        <v>103</v>
      </c>
      <c r="BI424" s="4" t="s">
        <v>834</v>
      </c>
    </row>
    <row r="425" spans="1:61" x14ac:dyDescent="0.35">
      <c r="A425" s="4" t="s">
        <v>1115</v>
      </c>
      <c r="B425" s="8" t="str">
        <f t="shared" si="36"/>
        <v>2025</v>
      </c>
      <c r="C425" s="2" t="s">
        <v>31</v>
      </c>
      <c r="D425" s="6" t="str">
        <f t="shared" si="37"/>
        <v>Dakar</v>
      </c>
      <c r="E425" s="6">
        <f t="shared" si="38"/>
        <v>424760</v>
      </c>
      <c r="F425" s="6">
        <f t="shared" si="39"/>
        <v>4042240</v>
      </c>
      <c r="G425" s="4" t="s">
        <v>1138</v>
      </c>
      <c r="H425" s="4" t="s">
        <v>1139</v>
      </c>
      <c r="I425" s="4">
        <v>5</v>
      </c>
      <c r="J425" s="4" t="s">
        <v>114</v>
      </c>
      <c r="K425" s="4"/>
      <c r="L425" s="4"/>
      <c r="M425" s="4"/>
      <c r="N425" s="4"/>
      <c r="O425" s="4" t="s">
        <v>238</v>
      </c>
      <c r="P425" s="4" t="s">
        <v>97</v>
      </c>
      <c r="Q425" s="4" t="s">
        <v>97</v>
      </c>
      <c r="R425" s="14" t="s">
        <v>100</v>
      </c>
      <c r="S425" s="14" t="s">
        <v>100</v>
      </c>
      <c r="T425" s="14" t="s">
        <v>100</v>
      </c>
      <c r="U425" s="14"/>
      <c r="V425" s="14"/>
      <c r="W425" s="14"/>
      <c r="X425" s="14"/>
      <c r="Y425" s="5">
        <v>45976</v>
      </c>
      <c r="Z425" s="5">
        <v>45979</v>
      </c>
      <c r="AA425" s="4" t="s">
        <v>103</v>
      </c>
      <c r="AB425" s="25">
        <v>38</v>
      </c>
      <c r="AC425" s="4" t="s">
        <v>103</v>
      </c>
      <c r="AD425" s="4" t="s">
        <v>97</v>
      </c>
      <c r="AE425" s="4" t="s">
        <v>97</v>
      </c>
      <c r="AF425" s="4" t="s">
        <v>97</v>
      </c>
      <c r="AG425" s="4" t="s">
        <v>97</v>
      </c>
      <c r="AH425" s="4" t="s">
        <v>103</v>
      </c>
      <c r="AI425" s="5">
        <v>45975</v>
      </c>
      <c r="AJ425" s="4" t="s">
        <v>103</v>
      </c>
      <c r="AK425" s="4" t="s">
        <v>103</v>
      </c>
      <c r="AL425" s="4" t="s">
        <v>97</v>
      </c>
      <c r="AM425" s="4" t="s">
        <v>103</v>
      </c>
      <c r="AN425" s="4" t="s">
        <v>97</v>
      </c>
      <c r="AO425" s="4" t="s">
        <v>103</v>
      </c>
      <c r="AP425" s="4" t="s">
        <v>103</v>
      </c>
      <c r="AQ425" s="4" t="s">
        <v>103</v>
      </c>
      <c r="AR425" s="4" t="s">
        <v>97</v>
      </c>
      <c r="AS425" s="4" t="s">
        <v>97</v>
      </c>
      <c r="AT425" s="4"/>
      <c r="AU425" s="4"/>
      <c r="AV425" s="4" t="s">
        <v>103</v>
      </c>
      <c r="AW425" s="4" t="s">
        <v>97</v>
      </c>
      <c r="AX425" s="4" t="s">
        <v>97</v>
      </c>
      <c r="AY425" s="4" t="s">
        <v>97</v>
      </c>
      <c r="AZ425" s="4" t="s">
        <v>103</v>
      </c>
      <c r="BA425" s="4" t="s">
        <v>97</v>
      </c>
      <c r="BB425" s="5">
        <v>45982</v>
      </c>
      <c r="BC425" s="5">
        <v>45982</v>
      </c>
      <c r="BD425" s="5">
        <v>45982</v>
      </c>
      <c r="BE425" s="5">
        <v>45982</v>
      </c>
      <c r="BF425" s="4" t="s">
        <v>98</v>
      </c>
      <c r="BG425" s="4" t="s">
        <v>97</v>
      </c>
      <c r="BH425" s="4" t="s">
        <v>103</v>
      </c>
      <c r="BI425" s="4" t="s">
        <v>834</v>
      </c>
    </row>
    <row r="426" spans="1:61" x14ac:dyDescent="0.35">
      <c r="A426" s="4" t="s">
        <v>1140</v>
      </c>
      <c r="B426" s="8" t="str">
        <f t="shared" si="36"/>
        <v>2025</v>
      </c>
      <c r="C426" s="2" t="s">
        <v>0</v>
      </c>
      <c r="D426" s="6" t="str">
        <f t="shared" si="37"/>
        <v>Matam</v>
      </c>
      <c r="E426" s="6">
        <f t="shared" si="38"/>
        <v>271560</v>
      </c>
      <c r="F426" s="6">
        <f t="shared" si="39"/>
        <v>789215</v>
      </c>
      <c r="G426" s="4" t="s">
        <v>1141</v>
      </c>
      <c r="H426" s="4" t="s">
        <v>1142</v>
      </c>
      <c r="I426" s="4">
        <v>36</v>
      </c>
      <c r="J426" s="4" t="s">
        <v>114</v>
      </c>
      <c r="K426" s="4"/>
      <c r="L426" s="4"/>
      <c r="M426" s="4"/>
      <c r="N426" s="4"/>
      <c r="O426" s="4" t="s">
        <v>238</v>
      </c>
      <c r="P426" s="4" t="s">
        <v>97</v>
      </c>
      <c r="Q426" s="4" t="s">
        <v>97</v>
      </c>
      <c r="R426" s="14" t="s">
        <v>100</v>
      </c>
      <c r="S426" s="14" t="s">
        <v>100</v>
      </c>
      <c r="T426" s="14" t="s">
        <v>100</v>
      </c>
      <c r="U426" s="14"/>
      <c r="V426" s="14"/>
      <c r="W426" s="14"/>
      <c r="X426" s="14"/>
      <c r="Y426" s="5">
        <v>45968</v>
      </c>
      <c r="Z426" s="5">
        <v>45970</v>
      </c>
      <c r="AA426" s="4" t="s">
        <v>103</v>
      </c>
      <c r="AB426" s="25">
        <v>38</v>
      </c>
      <c r="AC426" s="4" t="s">
        <v>103</v>
      </c>
      <c r="AD426" s="4" t="s">
        <v>97</v>
      </c>
      <c r="AE426" s="4" t="s">
        <v>97</v>
      </c>
      <c r="AF426" s="4" t="s">
        <v>103</v>
      </c>
      <c r="AG426" s="4" t="s">
        <v>103</v>
      </c>
      <c r="AH426" s="4" t="s">
        <v>103</v>
      </c>
      <c r="AI426" s="26" t="s">
        <v>1062</v>
      </c>
      <c r="AJ426" s="4" t="s">
        <v>103</v>
      </c>
      <c r="AK426" s="4" t="s">
        <v>103</v>
      </c>
      <c r="AL426" s="4" t="s">
        <v>103</v>
      </c>
      <c r="AM426" s="4" t="s">
        <v>103</v>
      </c>
      <c r="AN426" s="4" t="s">
        <v>103</v>
      </c>
      <c r="AO426" s="4" t="s">
        <v>103</v>
      </c>
      <c r="AP426" s="4" t="s">
        <v>103</v>
      </c>
      <c r="AQ426" s="4" t="s">
        <v>103</v>
      </c>
      <c r="AR426" s="4" t="s">
        <v>103</v>
      </c>
      <c r="AS426" s="4" t="s">
        <v>97</v>
      </c>
      <c r="AT426" s="4"/>
      <c r="AU426" s="4"/>
      <c r="AV426" s="4" t="s">
        <v>97</v>
      </c>
      <c r="AW426" s="4" t="s">
        <v>97</v>
      </c>
      <c r="AX426" s="4" t="s">
        <v>97</v>
      </c>
      <c r="AY426" s="4" t="s">
        <v>97</v>
      </c>
      <c r="AZ426" s="4" t="s">
        <v>103</v>
      </c>
      <c r="BA426" s="4" t="s">
        <v>97</v>
      </c>
      <c r="BB426" s="5">
        <v>45980</v>
      </c>
      <c r="BC426" s="5">
        <v>45980</v>
      </c>
      <c r="BD426" s="5">
        <v>45983</v>
      </c>
      <c r="BE426" s="5">
        <v>45983</v>
      </c>
      <c r="BF426" s="4" t="s">
        <v>98</v>
      </c>
      <c r="BG426" s="4" t="s">
        <v>97</v>
      </c>
      <c r="BH426" s="4" t="s">
        <v>103</v>
      </c>
      <c r="BI426" s="4" t="s">
        <v>834</v>
      </c>
    </row>
    <row r="427" spans="1:61" x14ac:dyDescent="0.35">
      <c r="A427" s="4" t="s">
        <v>1140</v>
      </c>
      <c r="B427" s="8" t="str">
        <f t="shared" si="36"/>
        <v>2025</v>
      </c>
      <c r="C427" s="2" t="s">
        <v>17</v>
      </c>
      <c r="D427" s="6" t="str">
        <f t="shared" si="37"/>
        <v>Louga</v>
      </c>
      <c r="E427" s="6">
        <f t="shared" si="38"/>
        <v>169119</v>
      </c>
      <c r="F427" s="6">
        <f t="shared" si="39"/>
        <v>1121619</v>
      </c>
      <c r="G427" s="4" t="s">
        <v>1143</v>
      </c>
      <c r="H427" s="4" t="s">
        <v>940</v>
      </c>
      <c r="I427" s="4">
        <v>18</v>
      </c>
      <c r="J427" s="4" t="s">
        <v>96</v>
      </c>
      <c r="K427" s="4"/>
      <c r="L427" s="4"/>
      <c r="M427" s="4"/>
      <c r="N427" s="4"/>
      <c r="O427" s="4" t="s">
        <v>238</v>
      </c>
      <c r="P427" s="4" t="s">
        <v>97</v>
      </c>
      <c r="Q427" s="4" t="s">
        <v>97</v>
      </c>
      <c r="R427" s="14" t="s">
        <v>100</v>
      </c>
      <c r="S427" s="14" t="s">
        <v>100</v>
      </c>
      <c r="T427" s="14" t="s">
        <v>100</v>
      </c>
      <c r="U427" s="14"/>
      <c r="V427" s="14"/>
      <c r="W427" s="14"/>
      <c r="X427" s="14"/>
      <c r="Y427" s="5">
        <v>45957</v>
      </c>
      <c r="Z427" s="5">
        <v>45967</v>
      </c>
      <c r="AA427" s="4" t="s">
        <v>103</v>
      </c>
      <c r="AB427" s="25">
        <v>38</v>
      </c>
      <c r="AC427" s="4" t="s">
        <v>97</v>
      </c>
      <c r="AD427" s="4" t="s">
        <v>103</v>
      </c>
      <c r="AE427" s="4" t="s">
        <v>97</v>
      </c>
      <c r="AF427" s="4" t="s">
        <v>97</v>
      </c>
      <c r="AG427" s="4" t="s">
        <v>97</v>
      </c>
      <c r="AH427" s="4" t="s">
        <v>103</v>
      </c>
      <c r="AI427" s="5">
        <v>45967</v>
      </c>
      <c r="AJ427" s="4" t="s">
        <v>97</v>
      </c>
      <c r="AK427" s="4" t="s">
        <v>97</v>
      </c>
      <c r="AL427" s="4" t="s">
        <v>97</v>
      </c>
      <c r="AM427" s="4" t="s">
        <v>103</v>
      </c>
      <c r="AN427" s="4" t="s">
        <v>97</v>
      </c>
      <c r="AO427" s="4" t="s">
        <v>103</v>
      </c>
      <c r="AP427" s="4" t="s">
        <v>103</v>
      </c>
      <c r="AQ427" s="4" t="s">
        <v>97</v>
      </c>
      <c r="AR427" s="4" t="s">
        <v>97</v>
      </c>
      <c r="AS427" s="4" t="s">
        <v>97</v>
      </c>
      <c r="AT427" s="4"/>
      <c r="AU427" s="4"/>
      <c r="AV427" s="4" t="s">
        <v>97</v>
      </c>
      <c r="AW427" s="4" t="s">
        <v>97</v>
      </c>
      <c r="AX427" s="4" t="s">
        <v>97</v>
      </c>
      <c r="AY427" s="4" t="s">
        <v>97</v>
      </c>
      <c r="AZ427" s="4" t="s">
        <v>103</v>
      </c>
      <c r="BA427" s="4" t="s">
        <v>97</v>
      </c>
      <c r="BB427" s="5">
        <v>45968</v>
      </c>
      <c r="BC427" s="5">
        <v>45980</v>
      </c>
      <c r="BD427" s="5">
        <v>45983</v>
      </c>
      <c r="BE427" s="5">
        <v>45983</v>
      </c>
      <c r="BF427" s="4" t="s">
        <v>98</v>
      </c>
      <c r="BG427" s="4" t="s">
        <v>97</v>
      </c>
      <c r="BH427" s="4" t="s">
        <v>103</v>
      </c>
      <c r="BI427" s="4" t="s">
        <v>834</v>
      </c>
    </row>
    <row r="428" spans="1:61" x14ac:dyDescent="0.35">
      <c r="A428" s="4" t="s">
        <v>1140</v>
      </c>
      <c r="B428" s="8" t="str">
        <f t="shared" si="36"/>
        <v>2025</v>
      </c>
      <c r="C428" s="2" t="s">
        <v>91</v>
      </c>
      <c r="D428" s="6" t="str">
        <f t="shared" si="37"/>
        <v>Dakar</v>
      </c>
      <c r="E428" s="6">
        <f t="shared" si="38"/>
        <v>179835</v>
      </c>
      <c r="F428" s="6">
        <f t="shared" si="39"/>
        <v>4042240</v>
      </c>
      <c r="G428" s="4" t="s">
        <v>1144</v>
      </c>
      <c r="H428" s="4" t="s">
        <v>556</v>
      </c>
      <c r="I428" s="4">
        <v>38</v>
      </c>
      <c r="J428" s="4" t="s">
        <v>96</v>
      </c>
      <c r="K428" s="4"/>
      <c r="L428" s="4"/>
      <c r="M428" s="4"/>
      <c r="N428" s="4"/>
      <c r="O428" s="4" t="s">
        <v>238</v>
      </c>
      <c r="P428" s="4" t="s">
        <v>97</v>
      </c>
      <c r="Q428" s="4" t="s">
        <v>97</v>
      </c>
      <c r="R428" s="14" t="s">
        <v>100</v>
      </c>
      <c r="S428" s="14" t="s">
        <v>100</v>
      </c>
      <c r="T428" s="14" t="s">
        <v>100</v>
      </c>
      <c r="U428" s="14"/>
      <c r="V428" s="14"/>
      <c r="W428" s="14"/>
      <c r="X428" s="14"/>
      <c r="Y428" s="5">
        <v>45981</v>
      </c>
      <c r="Z428" s="5">
        <v>45985</v>
      </c>
      <c r="AA428" s="4" t="s">
        <v>103</v>
      </c>
      <c r="AB428" s="25" t="s">
        <v>550</v>
      </c>
      <c r="AC428" s="4" t="s">
        <v>103</v>
      </c>
      <c r="AD428" s="4" t="s">
        <v>97</v>
      </c>
      <c r="AE428" s="4" t="s">
        <v>97</v>
      </c>
      <c r="AF428" s="4" t="s">
        <v>97</v>
      </c>
      <c r="AG428" s="4" t="s">
        <v>103</v>
      </c>
      <c r="AH428" s="4" t="s">
        <v>97</v>
      </c>
      <c r="AI428" s="5">
        <v>45979</v>
      </c>
      <c r="AJ428" s="4" t="s">
        <v>97</v>
      </c>
      <c r="AK428" s="4" t="s">
        <v>97</v>
      </c>
      <c r="AL428" s="4" t="s">
        <v>97</v>
      </c>
      <c r="AM428" s="4" t="s">
        <v>97</v>
      </c>
      <c r="AN428" s="4" t="s">
        <v>103</v>
      </c>
      <c r="AO428" s="4" t="s">
        <v>97</v>
      </c>
      <c r="AP428" s="4" t="s">
        <v>103</v>
      </c>
      <c r="AQ428" s="4" t="s">
        <v>97</v>
      </c>
      <c r="AR428" s="4" t="s">
        <v>97</v>
      </c>
      <c r="AS428" s="4" t="s">
        <v>97</v>
      </c>
      <c r="AT428" s="4"/>
      <c r="AU428" s="4"/>
      <c r="AV428" s="4" t="s">
        <v>103</v>
      </c>
      <c r="AW428" s="4" t="s">
        <v>97</v>
      </c>
      <c r="AX428" s="4" t="s">
        <v>97</v>
      </c>
      <c r="AY428" s="4" t="s">
        <v>97</v>
      </c>
      <c r="AZ428" s="4" t="s">
        <v>103</v>
      </c>
      <c r="BA428" s="4" t="s">
        <v>97</v>
      </c>
      <c r="BB428" s="5">
        <v>45985</v>
      </c>
      <c r="BC428" s="5">
        <v>45986</v>
      </c>
      <c r="BD428" s="5">
        <v>45986</v>
      </c>
      <c r="BE428" s="5">
        <v>45986</v>
      </c>
      <c r="BF428" s="4" t="s">
        <v>98</v>
      </c>
      <c r="BG428" s="4" t="s">
        <v>97</v>
      </c>
      <c r="BH428" s="4" t="s">
        <v>103</v>
      </c>
      <c r="BI428" s="4" t="s">
        <v>834</v>
      </c>
    </row>
    <row r="429" spans="1:61" x14ac:dyDescent="0.35">
      <c r="A429" s="4" t="s">
        <v>1140</v>
      </c>
      <c r="B429" s="8" t="str">
        <f t="shared" si="36"/>
        <v>2025</v>
      </c>
      <c r="C429" s="2" t="s">
        <v>75</v>
      </c>
      <c r="D429" s="6" t="str">
        <f t="shared" si="37"/>
        <v>Diourbel</v>
      </c>
      <c r="E429" s="6">
        <f t="shared" si="38"/>
        <v>996481</v>
      </c>
      <c r="F429" s="6">
        <f t="shared" si="39"/>
        <v>1980827</v>
      </c>
      <c r="G429" s="4" t="s">
        <v>1146</v>
      </c>
      <c r="H429" s="4" t="s">
        <v>195</v>
      </c>
      <c r="I429" s="4">
        <v>11</v>
      </c>
      <c r="J429" s="4" t="s">
        <v>114</v>
      </c>
      <c r="K429" s="4"/>
      <c r="L429" s="4"/>
      <c r="M429" s="4"/>
      <c r="N429" s="4"/>
      <c r="O429" s="4" t="s">
        <v>238</v>
      </c>
      <c r="P429" s="4" t="s">
        <v>97</v>
      </c>
      <c r="Q429" s="4" t="s">
        <v>97</v>
      </c>
      <c r="R429" s="14" t="s">
        <v>100</v>
      </c>
      <c r="S429" s="14" t="s">
        <v>100</v>
      </c>
      <c r="T429" s="14" t="s">
        <v>100</v>
      </c>
      <c r="U429" s="14"/>
      <c r="V429" s="14"/>
      <c r="W429" s="14"/>
      <c r="X429" s="14"/>
      <c r="Y429" s="5">
        <v>45985</v>
      </c>
      <c r="Z429" s="5">
        <v>45987</v>
      </c>
      <c r="AA429" s="4"/>
      <c r="AB429" s="4"/>
      <c r="AC429" s="4" t="s">
        <v>97</v>
      </c>
      <c r="AD429" s="4" t="s">
        <v>97</v>
      </c>
      <c r="AE429" s="4" t="s">
        <v>103</v>
      </c>
      <c r="AF429" s="4" t="s">
        <v>103</v>
      </c>
      <c r="AG429" s="4" t="s">
        <v>97</v>
      </c>
      <c r="AH429" s="4" t="s">
        <v>103</v>
      </c>
      <c r="AI429" s="5">
        <v>45985</v>
      </c>
      <c r="AJ429" s="4" t="s">
        <v>97</v>
      </c>
      <c r="AK429" s="4" t="s">
        <v>97</v>
      </c>
      <c r="AL429" s="4" t="s">
        <v>97</v>
      </c>
      <c r="AM429" s="4" t="s">
        <v>103</v>
      </c>
      <c r="AN429" s="4" t="s">
        <v>103</v>
      </c>
      <c r="AO429" s="4" t="s">
        <v>103</v>
      </c>
      <c r="AP429" s="4" t="s">
        <v>103</v>
      </c>
      <c r="AQ429" s="4" t="s">
        <v>97</v>
      </c>
      <c r="AR429" s="4" t="s">
        <v>103</v>
      </c>
      <c r="AS429" s="4" t="s">
        <v>97</v>
      </c>
      <c r="AT429" s="4"/>
      <c r="AU429" s="4"/>
      <c r="AV429" s="4" t="s">
        <v>103</v>
      </c>
      <c r="AW429" s="4" t="s">
        <v>97</v>
      </c>
      <c r="AX429" s="4" t="s">
        <v>97</v>
      </c>
      <c r="AY429" s="4" t="s">
        <v>97</v>
      </c>
      <c r="AZ429" s="4" t="s">
        <v>97</v>
      </c>
      <c r="BA429" s="4" t="s">
        <v>97</v>
      </c>
      <c r="BB429" s="5">
        <v>45987</v>
      </c>
      <c r="BC429" s="5">
        <v>45987</v>
      </c>
      <c r="BD429" s="5">
        <v>45989</v>
      </c>
      <c r="BE429" s="5">
        <v>45989</v>
      </c>
      <c r="BF429" s="4" t="s">
        <v>98</v>
      </c>
      <c r="BG429" s="4" t="s">
        <v>97</v>
      </c>
      <c r="BH429" s="4" t="s">
        <v>103</v>
      </c>
      <c r="BI429" s="4" t="s">
        <v>834</v>
      </c>
    </row>
    <row r="430" spans="1:61" x14ac:dyDescent="0.35">
      <c r="A430" s="4" t="s">
        <v>1140</v>
      </c>
      <c r="B430" s="8" t="str">
        <f t="shared" si="36"/>
        <v>2025</v>
      </c>
      <c r="C430" s="2" t="s">
        <v>65</v>
      </c>
      <c r="D430" s="6" t="str">
        <f t="shared" si="37"/>
        <v>Saint-Louis</v>
      </c>
      <c r="E430" s="6">
        <f t="shared" si="38"/>
        <v>375150</v>
      </c>
      <c r="F430" s="6">
        <f t="shared" si="39"/>
        <v>1150065</v>
      </c>
      <c r="G430" s="4" t="s">
        <v>1147</v>
      </c>
      <c r="H430" s="4" t="s">
        <v>1148</v>
      </c>
      <c r="I430" s="4">
        <v>15</v>
      </c>
      <c r="J430" s="4" t="s">
        <v>114</v>
      </c>
      <c r="K430" s="4"/>
      <c r="L430" s="4"/>
      <c r="M430" s="4"/>
      <c r="N430" s="4"/>
      <c r="O430" s="4" t="s">
        <v>238</v>
      </c>
      <c r="P430" s="4" t="s">
        <v>97</v>
      </c>
      <c r="Q430" s="4" t="s">
        <v>97</v>
      </c>
      <c r="R430" s="14" t="s">
        <v>100</v>
      </c>
      <c r="S430" s="14" t="s">
        <v>100</v>
      </c>
      <c r="T430" s="14" t="s">
        <v>100</v>
      </c>
      <c r="U430" s="14"/>
      <c r="V430" s="14"/>
      <c r="W430" s="14"/>
      <c r="X430" s="14"/>
      <c r="Y430" s="5">
        <v>45977</v>
      </c>
      <c r="Z430" s="5">
        <v>45982</v>
      </c>
      <c r="AA430" s="4" t="s">
        <v>103</v>
      </c>
      <c r="AB430" s="4" t="s">
        <v>488</v>
      </c>
      <c r="AC430" s="4" t="s">
        <v>103</v>
      </c>
      <c r="AD430" s="4" t="s">
        <v>97</v>
      </c>
      <c r="AE430" s="4" t="s">
        <v>97</v>
      </c>
      <c r="AF430" s="4" t="s">
        <v>97</v>
      </c>
      <c r="AG430" s="4" t="s">
        <v>97</v>
      </c>
      <c r="AH430" s="4" t="s">
        <v>103</v>
      </c>
      <c r="AI430" s="5">
        <v>45977</v>
      </c>
      <c r="AJ430" s="4" t="s">
        <v>97</v>
      </c>
      <c r="AK430" s="4" t="s">
        <v>103</v>
      </c>
      <c r="AL430" s="4" t="s">
        <v>97</v>
      </c>
      <c r="AM430" s="4" t="s">
        <v>103</v>
      </c>
      <c r="AN430" s="4" t="s">
        <v>103</v>
      </c>
      <c r="AO430" s="4" t="s">
        <v>103</v>
      </c>
      <c r="AP430" s="4" t="s">
        <v>103</v>
      </c>
      <c r="AQ430" s="4" t="s">
        <v>97</v>
      </c>
      <c r="AR430" s="4" t="s">
        <v>97</v>
      </c>
      <c r="AS430" s="4" t="s">
        <v>97</v>
      </c>
      <c r="AT430" s="4"/>
      <c r="AU430" s="4"/>
      <c r="AV430" s="4" t="s">
        <v>103</v>
      </c>
      <c r="AW430" s="4" t="s">
        <v>97</v>
      </c>
      <c r="AX430" s="4" t="s">
        <v>97</v>
      </c>
      <c r="AY430" s="4" t="s">
        <v>97</v>
      </c>
      <c r="AZ430" s="4" t="s">
        <v>103</v>
      </c>
      <c r="BA430" s="4" t="s">
        <v>97</v>
      </c>
      <c r="BB430" s="5">
        <v>45987</v>
      </c>
      <c r="BC430" s="5">
        <v>45987</v>
      </c>
      <c r="BD430" s="5">
        <v>45988</v>
      </c>
      <c r="BE430" s="5">
        <v>45988</v>
      </c>
      <c r="BF430" s="4" t="s">
        <v>98</v>
      </c>
      <c r="BG430" s="4" t="s">
        <v>97</v>
      </c>
      <c r="BH430" s="4" t="s">
        <v>103</v>
      </c>
      <c r="BI430" s="4" t="s">
        <v>834</v>
      </c>
    </row>
    <row r="431" spans="1:61" x14ac:dyDescent="0.35">
      <c r="A431" s="4" t="s">
        <v>1140</v>
      </c>
      <c r="B431" s="8" t="str">
        <f t="shared" si="36"/>
        <v>2025</v>
      </c>
      <c r="C431" s="2" t="s">
        <v>19</v>
      </c>
      <c r="D431" s="6" t="str">
        <f t="shared" si="37"/>
        <v>Dakar</v>
      </c>
      <c r="E431" s="6">
        <f t="shared" si="38"/>
        <v>565040</v>
      </c>
      <c r="F431" s="6">
        <f t="shared" si="39"/>
        <v>4042240</v>
      </c>
      <c r="G431" s="4" t="s">
        <v>1174</v>
      </c>
      <c r="H431" s="4" t="s">
        <v>1149</v>
      </c>
      <c r="I431" s="4">
        <v>41</v>
      </c>
      <c r="J431" s="4" t="s">
        <v>114</v>
      </c>
      <c r="K431" s="4"/>
      <c r="L431" s="4"/>
      <c r="M431" s="4"/>
      <c r="N431" s="4"/>
      <c r="O431" s="4" t="s">
        <v>238</v>
      </c>
      <c r="P431" s="4" t="s">
        <v>97</v>
      </c>
      <c r="Q431" s="4" t="s">
        <v>97</v>
      </c>
      <c r="R431" s="14" t="s">
        <v>100</v>
      </c>
      <c r="S431" s="14" t="s">
        <v>100</v>
      </c>
      <c r="T431" s="14" t="s">
        <v>100</v>
      </c>
      <c r="U431" s="14"/>
      <c r="V431" s="14"/>
      <c r="W431" s="14"/>
      <c r="X431" s="14"/>
      <c r="Y431" s="5">
        <v>45984</v>
      </c>
      <c r="Z431" s="5">
        <v>45987</v>
      </c>
      <c r="AA431" s="4" t="s">
        <v>103</v>
      </c>
      <c r="AB431" s="25">
        <v>38</v>
      </c>
      <c r="AC431" s="4" t="s">
        <v>97</v>
      </c>
      <c r="AD431" s="4" t="s">
        <v>103</v>
      </c>
      <c r="AE431" s="4" t="s">
        <v>97</v>
      </c>
      <c r="AF431" s="4" t="s">
        <v>97</v>
      </c>
      <c r="AG431" s="4" t="s">
        <v>97</v>
      </c>
      <c r="AH431" s="4" t="s">
        <v>103</v>
      </c>
      <c r="AI431" s="5">
        <v>45984</v>
      </c>
      <c r="AJ431" s="4" t="s">
        <v>103</v>
      </c>
      <c r="AK431" s="4" t="s">
        <v>103</v>
      </c>
      <c r="AL431" s="4" t="s">
        <v>97</v>
      </c>
      <c r="AM431" s="4" t="s">
        <v>103</v>
      </c>
      <c r="AN431" s="4" t="s">
        <v>103</v>
      </c>
      <c r="AO431" s="4" t="s">
        <v>103</v>
      </c>
      <c r="AP431" s="4" t="s">
        <v>103</v>
      </c>
      <c r="AQ431" s="4" t="s">
        <v>97</v>
      </c>
      <c r="AR431" s="4" t="s">
        <v>103</v>
      </c>
      <c r="AS431" s="4" t="s">
        <v>97</v>
      </c>
      <c r="AT431" s="4"/>
      <c r="AU431" s="4"/>
      <c r="AV431" s="4" t="s">
        <v>103</v>
      </c>
      <c r="AW431" s="4" t="s">
        <v>103</v>
      </c>
      <c r="AX431" s="4" t="s">
        <v>97</v>
      </c>
      <c r="AY431" s="4" t="s">
        <v>97</v>
      </c>
      <c r="AZ431" s="4" t="s">
        <v>97</v>
      </c>
      <c r="BA431" s="4" t="s">
        <v>97</v>
      </c>
      <c r="BB431" s="5">
        <v>45987</v>
      </c>
      <c r="BC431" s="5">
        <v>45989</v>
      </c>
      <c r="BD431" s="5">
        <v>45989</v>
      </c>
      <c r="BE431" s="5">
        <v>45989</v>
      </c>
      <c r="BF431" s="4" t="s">
        <v>98</v>
      </c>
      <c r="BG431" s="4" t="s">
        <v>97</v>
      </c>
      <c r="BH431" s="4" t="s">
        <v>103</v>
      </c>
      <c r="BI431" s="4" t="s">
        <v>834</v>
      </c>
    </row>
    <row r="432" spans="1:61" x14ac:dyDescent="0.35">
      <c r="A432" s="4" t="s">
        <v>1140</v>
      </c>
      <c r="B432" s="8" t="str">
        <f t="shared" si="36"/>
        <v>2025</v>
      </c>
      <c r="C432" s="2" t="s">
        <v>76</v>
      </c>
      <c r="D432" s="6" t="str">
        <f t="shared" si="37"/>
        <v>Kolda</v>
      </c>
      <c r="E432" s="6">
        <f t="shared" si="38"/>
        <v>367976</v>
      </c>
      <c r="F432" s="6">
        <f t="shared" si="39"/>
        <v>875661</v>
      </c>
      <c r="G432" s="4" t="s">
        <v>1150</v>
      </c>
      <c r="H432" s="4" t="s">
        <v>1151</v>
      </c>
      <c r="I432" s="4">
        <v>30</v>
      </c>
      <c r="J432" s="4" t="s">
        <v>114</v>
      </c>
      <c r="K432" s="4"/>
      <c r="L432" s="4"/>
      <c r="M432" s="4"/>
      <c r="N432" s="4"/>
      <c r="O432" s="4" t="s">
        <v>238</v>
      </c>
      <c r="P432" s="4" t="s">
        <v>97</v>
      </c>
      <c r="Q432" s="4" t="s">
        <v>97</v>
      </c>
      <c r="R432" s="14" t="s">
        <v>100</v>
      </c>
      <c r="S432" s="14" t="s">
        <v>100</v>
      </c>
      <c r="T432" s="14" t="s">
        <v>100</v>
      </c>
      <c r="U432" s="14"/>
      <c r="V432" s="14"/>
      <c r="W432" s="14"/>
      <c r="X432" s="14"/>
      <c r="Y432" s="5">
        <v>45978</v>
      </c>
      <c r="Z432" s="5">
        <v>45981</v>
      </c>
      <c r="AA432" s="4" t="s">
        <v>103</v>
      </c>
      <c r="AB432" s="25">
        <v>39</v>
      </c>
      <c r="AC432" s="4" t="s">
        <v>103</v>
      </c>
      <c r="AD432" s="4" t="s">
        <v>97</v>
      </c>
      <c r="AE432" s="4" t="s">
        <v>97</v>
      </c>
      <c r="AF432" s="4" t="s">
        <v>103</v>
      </c>
      <c r="AG432" s="4" t="s">
        <v>103</v>
      </c>
      <c r="AH432" s="4" t="s">
        <v>103</v>
      </c>
      <c r="AI432" s="5">
        <v>45978</v>
      </c>
      <c r="AJ432" s="4" t="s">
        <v>97</v>
      </c>
      <c r="AK432" s="4" t="s">
        <v>97</v>
      </c>
      <c r="AL432" s="4" t="s">
        <v>97</v>
      </c>
      <c r="AM432" s="4" t="s">
        <v>97</v>
      </c>
      <c r="AN432" s="4" t="s">
        <v>97</v>
      </c>
      <c r="AO432" s="4" t="s">
        <v>97</v>
      </c>
      <c r="AP432" s="4" t="s">
        <v>97</v>
      </c>
      <c r="AQ432" s="4" t="s">
        <v>97</v>
      </c>
      <c r="AR432" s="4" t="s">
        <v>97</v>
      </c>
      <c r="AS432" s="4" t="s">
        <v>97</v>
      </c>
      <c r="AT432" s="4"/>
      <c r="AU432" s="4"/>
      <c r="AV432" s="4" t="s">
        <v>103</v>
      </c>
      <c r="AW432" s="4" t="s">
        <v>97</v>
      </c>
      <c r="AX432" s="4" t="s">
        <v>97</v>
      </c>
      <c r="AY432" s="4" t="s">
        <v>97</v>
      </c>
      <c r="AZ432" s="4" t="s">
        <v>97</v>
      </c>
      <c r="BA432" s="4" t="s">
        <v>97</v>
      </c>
      <c r="BB432" s="5">
        <v>45981</v>
      </c>
      <c r="BC432" s="5">
        <v>45987</v>
      </c>
      <c r="BD432" s="5">
        <v>45987</v>
      </c>
      <c r="BE432" s="5">
        <v>45987</v>
      </c>
      <c r="BF432" s="4" t="s">
        <v>98</v>
      </c>
      <c r="BG432" s="4" t="s">
        <v>97</v>
      </c>
      <c r="BH432" s="4" t="s">
        <v>103</v>
      </c>
      <c r="BI432" s="4" t="s">
        <v>834</v>
      </c>
    </row>
    <row r="433" spans="1:61" x14ac:dyDescent="0.35">
      <c r="A433" s="4" t="s">
        <v>1140</v>
      </c>
      <c r="B433" s="8" t="str">
        <f t="shared" si="36"/>
        <v>2025</v>
      </c>
      <c r="C433" s="2" t="s">
        <v>76</v>
      </c>
      <c r="D433" s="6" t="str">
        <f t="shared" si="37"/>
        <v>Kolda</v>
      </c>
      <c r="E433" s="6">
        <f t="shared" si="38"/>
        <v>367976</v>
      </c>
      <c r="F433" s="6">
        <f t="shared" si="39"/>
        <v>875661</v>
      </c>
      <c r="G433" s="4" t="s">
        <v>1152</v>
      </c>
      <c r="H433" s="4" t="s">
        <v>199</v>
      </c>
      <c r="I433" s="4">
        <v>20</v>
      </c>
      <c r="J433" s="4" t="s">
        <v>114</v>
      </c>
      <c r="K433" s="4"/>
      <c r="L433" s="4"/>
      <c r="M433" s="4"/>
      <c r="N433" s="4"/>
      <c r="O433" s="4" t="s">
        <v>238</v>
      </c>
      <c r="P433" s="4" t="s">
        <v>97</v>
      </c>
      <c r="Q433" s="4" t="s">
        <v>97</v>
      </c>
      <c r="R433" s="14" t="s">
        <v>100</v>
      </c>
      <c r="S433" s="14" t="s">
        <v>100</v>
      </c>
      <c r="T433" s="14" t="s">
        <v>100</v>
      </c>
      <c r="U433" s="14"/>
      <c r="V433" s="14"/>
      <c r="W433" s="14"/>
      <c r="X433" s="14"/>
      <c r="Y433" s="5">
        <v>45971</v>
      </c>
      <c r="Z433" s="5">
        <v>45982</v>
      </c>
      <c r="AA433" s="4" t="s">
        <v>103</v>
      </c>
      <c r="AB433" s="25">
        <v>39</v>
      </c>
      <c r="AC433" s="4" t="s">
        <v>103</v>
      </c>
      <c r="AD433" s="4" t="s">
        <v>103</v>
      </c>
      <c r="AE433" s="4" t="s">
        <v>97</v>
      </c>
      <c r="AF433" s="4" t="s">
        <v>97</v>
      </c>
      <c r="AG433" s="4" t="s">
        <v>97</v>
      </c>
      <c r="AH433" s="4" t="s">
        <v>103</v>
      </c>
      <c r="AI433" s="5">
        <v>45971</v>
      </c>
      <c r="AJ433" s="4" t="s">
        <v>97</v>
      </c>
      <c r="AK433" s="4" t="s">
        <v>97</v>
      </c>
      <c r="AL433" s="4" t="s">
        <v>97</v>
      </c>
      <c r="AM433" s="4" t="s">
        <v>97</v>
      </c>
      <c r="AN433" s="4" t="s">
        <v>97</v>
      </c>
      <c r="AO433" s="4" t="s">
        <v>97</v>
      </c>
      <c r="AP433" s="4" t="s">
        <v>97</v>
      </c>
      <c r="AQ433" s="4" t="s">
        <v>97</v>
      </c>
      <c r="AR433" s="4" t="s">
        <v>97</v>
      </c>
      <c r="AS433" s="4" t="s">
        <v>97</v>
      </c>
      <c r="AT433" s="4"/>
      <c r="AU433" s="4"/>
      <c r="AV433" s="4" t="s">
        <v>103</v>
      </c>
      <c r="AW433" s="4" t="s">
        <v>97</v>
      </c>
      <c r="AX433" s="4" t="s">
        <v>97</v>
      </c>
      <c r="AY433" s="4" t="s">
        <v>97</v>
      </c>
      <c r="AZ433" s="4" t="s">
        <v>97</v>
      </c>
      <c r="BA433" s="4" t="s">
        <v>97</v>
      </c>
      <c r="BB433" s="5">
        <v>45982</v>
      </c>
      <c r="BC433" s="5">
        <v>45987</v>
      </c>
      <c r="BD433" s="5">
        <v>45987</v>
      </c>
      <c r="BE433" s="5">
        <v>45987</v>
      </c>
      <c r="BF433" s="4" t="s">
        <v>98</v>
      </c>
      <c r="BG433" s="4" t="s">
        <v>97</v>
      </c>
      <c r="BH433" s="4" t="s">
        <v>103</v>
      </c>
      <c r="BI433" s="4" t="s">
        <v>834</v>
      </c>
    </row>
    <row r="434" spans="1:61" x14ac:dyDescent="0.35">
      <c r="A434" s="4" t="s">
        <v>1140</v>
      </c>
      <c r="B434" s="8" t="str">
        <f t="shared" si="36"/>
        <v>2025</v>
      </c>
      <c r="C434" s="2" t="s">
        <v>76</v>
      </c>
      <c r="D434" s="6" t="str">
        <f t="shared" si="37"/>
        <v>Kolda</v>
      </c>
      <c r="E434" s="6">
        <f t="shared" si="38"/>
        <v>367976</v>
      </c>
      <c r="F434" s="6">
        <f t="shared" si="39"/>
        <v>875661</v>
      </c>
      <c r="G434" s="4" t="s">
        <v>1153</v>
      </c>
      <c r="H434" s="4" t="s">
        <v>1154</v>
      </c>
      <c r="I434" s="4">
        <v>41</v>
      </c>
      <c r="J434" s="4" t="s">
        <v>114</v>
      </c>
      <c r="K434" s="4" t="s">
        <v>213</v>
      </c>
      <c r="L434" s="5">
        <v>45971</v>
      </c>
      <c r="M434" s="4"/>
      <c r="N434" s="4"/>
      <c r="O434" s="4" t="s">
        <v>238</v>
      </c>
      <c r="P434" s="4" t="s">
        <v>97</v>
      </c>
      <c r="Q434" s="4" t="s">
        <v>97</v>
      </c>
      <c r="R434" s="14" t="s">
        <v>100</v>
      </c>
      <c r="S434" s="14" t="s">
        <v>100</v>
      </c>
      <c r="T434" s="14" t="s">
        <v>100</v>
      </c>
      <c r="U434" s="14"/>
      <c r="V434" s="14"/>
      <c r="W434" s="14"/>
      <c r="X434" s="14"/>
      <c r="Y434" s="5">
        <v>45977</v>
      </c>
      <c r="Z434" s="5">
        <v>45981</v>
      </c>
      <c r="AA434" s="4" t="s">
        <v>103</v>
      </c>
      <c r="AB434" s="25" t="s">
        <v>296</v>
      </c>
      <c r="AC434" s="4" t="s">
        <v>103</v>
      </c>
      <c r="AD434" s="4" t="s">
        <v>97</v>
      </c>
      <c r="AE434" s="4" t="s">
        <v>97</v>
      </c>
      <c r="AF434" s="4" t="s">
        <v>103</v>
      </c>
      <c r="AG434" s="4" t="s">
        <v>103</v>
      </c>
      <c r="AH434" s="4" t="s">
        <v>103</v>
      </c>
      <c r="AI434" s="5">
        <v>45977</v>
      </c>
      <c r="AJ434" s="4" t="s">
        <v>97</v>
      </c>
      <c r="AK434" s="4" t="s">
        <v>97</v>
      </c>
      <c r="AL434" s="4" t="s">
        <v>97</v>
      </c>
      <c r="AM434" s="4" t="s">
        <v>97</v>
      </c>
      <c r="AN434" s="4" t="s">
        <v>97</v>
      </c>
      <c r="AO434" s="4" t="s">
        <v>97</v>
      </c>
      <c r="AP434" s="4" t="s">
        <v>97</v>
      </c>
      <c r="AQ434" s="4" t="s">
        <v>97</v>
      </c>
      <c r="AR434" s="4" t="s">
        <v>97</v>
      </c>
      <c r="AS434" s="4" t="s">
        <v>97</v>
      </c>
      <c r="AT434" s="4"/>
      <c r="AU434" s="4"/>
      <c r="AV434" s="4" t="s">
        <v>103</v>
      </c>
      <c r="AW434" s="4" t="s">
        <v>97</v>
      </c>
      <c r="AX434" s="4" t="s">
        <v>97</v>
      </c>
      <c r="AY434" s="4" t="s">
        <v>97</v>
      </c>
      <c r="AZ434" s="4" t="s">
        <v>97</v>
      </c>
      <c r="BA434" s="4" t="s">
        <v>97</v>
      </c>
      <c r="BB434" s="5">
        <v>45981</v>
      </c>
      <c r="BC434" s="5">
        <v>45987</v>
      </c>
      <c r="BD434" s="5">
        <v>45987</v>
      </c>
      <c r="BE434" s="5">
        <v>45987</v>
      </c>
      <c r="BF434" s="4" t="s">
        <v>98</v>
      </c>
      <c r="BG434" s="4" t="s">
        <v>97</v>
      </c>
      <c r="BH434" s="4" t="s">
        <v>103</v>
      </c>
      <c r="BI434" s="4" t="s">
        <v>834</v>
      </c>
    </row>
    <row r="435" spans="1:61" x14ac:dyDescent="0.35">
      <c r="A435" s="4" t="s">
        <v>1140</v>
      </c>
      <c r="B435" s="8" t="str">
        <f t="shared" si="36"/>
        <v>2025</v>
      </c>
      <c r="C435" s="2" t="s">
        <v>76</v>
      </c>
      <c r="D435" s="6" t="str">
        <f t="shared" si="37"/>
        <v>Kolda</v>
      </c>
      <c r="E435" s="6">
        <f t="shared" si="38"/>
        <v>367976</v>
      </c>
      <c r="F435" s="6">
        <f t="shared" si="39"/>
        <v>875661</v>
      </c>
      <c r="G435" s="4" t="s">
        <v>1155</v>
      </c>
      <c r="H435" s="4" t="s">
        <v>1156</v>
      </c>
      <c r="I435" s="4">
        <v>4</v>
      </c>
      <c r="J435" s="4" t="s">
        <v>114</v>
      </c>
      <c r="K435" s="4"/>
      <c r="L435" s="4"/>
      <c r="M435" s="4"/>
      <c r="N435" s="4"/>
      <c r="O435" s="4" t="s">
        <v>238</v>
      </c>
      <c r="P435" s="4" t="s">
        <v>97</v>
      </c>
      <c r="Q435" s="4" t="s">
        <v>97</v>
      </c>
      <c r="R435" s="14" t="s">
        <v>100</v>
      </c>
      <c r="S435" s="14" t="s">
        <v>100</v>
      </c>
      <c r="T435" s="14" t="s">
        <v>100</v>
      </c>
      <c r="U435" s="14"/>
      <c r="V435" s="14"/>
      <c r="W435" s="14"/>
      <c r="X435" s="14"/>
      <c r="Y435" s="5">
        <v>45970</v>
      </c>
      <c r="Z435" s="5">
        <v>45973</v>
      </c>
      <c r="AA435" s="4" t="s">
        <v>103</v>
      </c>
      <c r="AB435" s="25" t="s">
        <v>550</v>
      </c>
      <c r="AC435" s="4" t="s">
        <v>103</v>
      </c>
      <c r="AD435" s="4" t="s">
        <v>97</v>
      </c>
      <c r="AE435" s="4" t="s">
        <v>97</v>
      </c>
      <c r="AF435" s="4" t="s">
        <v>103</v>
      </c>
      <c r="AG435" s="4" t="s">
        <v>103</v>
      </c>
      <c r="AH435" s="4" t="s">
        <v>103</v>
      </c>
      <c r="AI435" s="5">
        <v>45970</v>
      </c>
      <c r="AJ435" s="4" t="s">
        <v>97</v>
      </c>
      <c r="AK435" s="4" t="s">
        <v>97</v>
      </c>
      <c r="AL435" s="4" t="s">
        <v>97</v>
      </c>
      <c r="AM435" s="4" t="s">
        <v>103</v>
      </c>
      <c r="AN435" s="4" t="s">
        <v>103</v>
      </c>
      <c r="AO435" s="4" t="s">
        <v>97</v>
      </c>
      <c r="AP435" s="4" t="s">
        <v>97</v>
      </c>
      <c r="AQ435" s="4" t="s">
        <v>97</v>
      </c>
      <c r="AR435" s="4" t="s">
        <v>97</v>
      </c>
      <c r="AS435" s="4" t="s">
        <v>97</v>
      </c>
      <c r="AT435" s="4"/>
      <c r="AU435" s="4"/>
      <c r="AV435" s="4" t="s">
        <v>103</v>
      </c>
      <c r="AW435" s="4" t="s">
        <v>97</v>
      </c>
      <c r="AX435" s="4" t="s">
        <v>97</v>
      </c>
      <c r="AY435" s="4" t="s">
        <v>97</v>
      </c>
      <c r="AZ435" s="4" t="s">
        <v>97</v>
      </c>
      <c r="BA435" s="4" t="s">
        <v>97</v>
      </c>
      <c r="BB435" s="5">
        <v>45973</v>
      </c>
      <c r="BC435" s="5">
        <v>45987</v>
      </c>
      <c r="BD435" s="5">
        <v>45987</v>
      </c>
      <c r="BE435" s="5">
        <v>45987</v>
      </c>
      <c r="BF435" s="4" t="s">
        <v>98</v>
      </c>
      <c r="BG435" s="4" t="s">
        <v>97</v>
      </c>
      <c r="BH435" s="4" t="s">
        <v>103</v>
      </c>
      <c r="BI435" s="4" t="s">
        <v>834</v>
      </c>
    </row>
    <row r="436" spans="1:61" x14ac:dyDescent="0.35">
      <c r="A436" s="4" t="s">
        <v>1140</v>
      </c>
      <c r="B436" s="8" t="str">
        <f t="shared" si="36"/>
        <v>2025</v>
      </c>
      <c r="C436" s="2" t="s">
        <v>76</v>
      </c>
      <c r="D436" s="6" t="str">
        <f t="shared" si="37"/>
        <v>Kolda</v>
      </c>
      <c r="E436" s="6">
        <f t="shared" si="38"/>
        <v>367976</v>
      </c>
      <c r="F436" s="6">
        <f t="shared" si="39"/>
        <v>875661</v>
      </c>
      <c r="G436" s="4" t="s">
        <v>1157</v>
      </c>
      <c r="H436" s="4" t="s">
        <v>144</v>
      </c>
      <c r="I436" s="4">
        <v>4</v>
      </c>
      <c r="J436" s="4" t="s">
        <v>114</v>
      </c>
      <c r="K436" s="4"/>
      <c r="L436" s="4"/>
      <c r="M436" s="4"/>
      <c r="N436" s="4"/>
      <c r="O436" s="4" t="s">
        <v>238</v>
      </c>
      <c r="P436" s="4" t="s">
        <v>97</v>
      </c>
      <c r="Q436" s="4" t="s">
        <v>97</v>
      </c>
      <c r="R436" s="14" t="s">
        <v>100</v>
      </c>
      <c r="S436" s="14" t="s">
        <v>100</v>
      </c>
      <c r="T436" s="14" t="s">
        <v>100</v>
      </c>
      <c r="U436" s="14"/>
      <c r="V436" s="14"/>
      <c r="W436" s="14"/>
      <c r="X436" s="14"/>
      <c r="Y436" s="5">
        <v>45973</v>
      </c>
      <c r="Z436" s="5">
        <v>45975</v>
      </c>
      <c r="AA436" s="4" t="s">
        <v>103</v>
      </c>
      <c r="AB436" s="25" t="s">
        <v>264</v>
      </c>
      <c r="AC436" s="4" t="s">
        <v>97</v>
      </c>
      <c r="AD436" s="4" t="s">
        <v>97</v>
      </c>
      <c r="AE436" s="4" t="s">
        <v>97</v>
      </c>
      <c r="AF436" s="4" t="s">
        <v>103</v>
      </c>
      <c r="AG436" s="4" t="s">
        <v>103</v>
      </c>
      <c r="AH436" s="4" t="s">
        <v>103</v>
      </c>
      <c r="AI436" s="5">
        <v>45973</v>
      </c>
      <c r="AJ436" s="4" t="s">
        <v>97</v>
      </c>
      <c r="AK436" s="4" t="s">
        <v>97</v>
      </c>
      <c r="AL436" s="4" t="s">
        <v>97</v>
      </c>
      <c r="AM436" s="4" t="s">
        <v>97</v>
      </c>
      <c r="AN436" s="4" t="s">
        <v>97</v>
      </c>
      <c r="AO436" s="4" t="s">
        <v>97</v>
      </c>
      <c r="AP436" s="4" t="s">
        <v>97</v>
      </c>
      <c r="AQ436" s="4" t="s">
        <v>97</v>
      </c>
      <c r="AR436" s="4" t="s">
        <v>97</v>
      </c>
      <c r="AS436" s="4" t="s">
        <v>97</v>
      </c>
      <c r="AT436" s="4"/>
      <c r="AU436" s="4"/>
      <c r="AV436" s="4" t="s">
        <v>103</v>
      </c>
      <c r="AW436" s="4" t="s">
        <v>97</v>
      </c>
      <c r="AX436" s="4" t="s">
        <v>97</v>
      </c>
      <c r="AY436" s="4" t="s">
        <v>97</v>
      </c>
      <c r="AZ436" s="4" t="s">
        <v>97</v>
      </c>
      <c r="BA436" s="4" t="s">
        <v>97</v>
      </c>
      <c r="BB436" s="5">
        <v>45975</v>
      </c>
      <c r="BC436" s="5">
        <v>45987</v>
      </c>
      <c r="BD436" s="5">
        <v>45987</v>
      </c>
      <c r="BE436" s="5">
        <v>45987</v>
      </c>
      <c r="BF436" s="4" t="s">
        <v>98</v>
      </c>
      <c r="BG436" s="4" t="s">
        <v>97</v>
      </c>
      <c r="BH436" s="4" t="s">
        <v>103</v>
      </c>
      <c r="BI436" s="4" t="s">
        <v>834</v>
      </c>
    </row>
    <row r="437" spans="1:61" x14ac:dyDescent="0.35">
      <c r="A437" s="4" t="s">
        <v>1140</v>
      </c>
      <c r="B437" s="8" t="str">
        <f t="shared" si="36"/>
        <v>2025</v>
      </c>
      <c r="C437" s="2" t="s">
        <v>60</v>
      </c>
      <c r="D437" s="6" t="str">
        <f t="shared" si="37"/>
        <v>Thies</v>
      </c>
      <c r="E437" s="6">
        <f t="shared" si="38"/>
        <v>92691</v>
      </c>
      <c r="F437" s="6">
        <f t="shared" si="39"/>
        <v>2280463</v>
      </c>
      <c r="G437" s="4" t="s">
        <v>1158</v>
      </c>
      <c r="H437" s="4" t="s">
        <v>1159</v>
      </c>
      <c r="I437" s="4">
        <v>28</v>
      </c>
      <c r="J437" s="4" t="s">
        <v>114</v>
      </c>
      <c r="K437" s="4"/>
      <c r="L437" s="4"/>
      <c r="M437" s="4"/>
      <c r="N437" s="4"/>
      <c r="O437" s="4" t="s">
        <v>238</v>
      </c>
      <c r="P437" s="4" t="s">
        <v>97</v>
      </c>
      <c r="Q437" s="4" t="s">
        <v>97</v>
      </c>
      <c r="R437" s="14" t="s">
        <v>100</v>
      </c>
      <c r="S437" s="14" t="s">
        <v>100</v>
      </c>
      <c r="T437" s="14" t="s">
        <v>100</v>
      </c>
      <c r="U437" s="14"/>
      <c r="V437" s="14"/>
      <c r="W437" s="14"/>
      <c r="X437" s="14"/>
      <c r="Y437" s="5">
        <v>45983</v>
      </c>
      <c r="Z437" s="5">
        <v>45985</v>
      </c>
      <c r="AA437" s="4"/>
      <c r="AB437" s="25"/>
      <c r="AC437" s="4" t="s">
        <v>97</v>
      </c>
      <c r="AD437" s="4" t="s">
        <v>97</v>
      </c>
      <c r="AE437" s="4" t="s">
        <v>97</v>
      </c>
      <c r="AF437" s="4" t="s">
        <v>103</v>
      </c>
      <c r="AG437" s="4" t="s">
        <v>97</v>
      </c>
      <c r="AH437" s="4" t="s">
        <v>103</v>
      </c>
      <c r="AI437" s="5">
        <v>45983</v>
      </c>
      <c r="AJ437" s="4" t="s">
        <v>103</v>
      </c>
      <c r="AK437" s="4" t="s">
        <v>97</v>
      </c>
      <c r="AL437" s="4" t="s">
        <v>97</v>
      </c>
      <c r="AM437" s="4" t="s">
        <v>97</v>
      </c>
      <c r="AN437" s="4" t="s">
        <v>103</v>
      </c>
      <c r="AO437" s="4" t="s">
        <v>103</v>
      </c>
      <c r="AP437" s="4" t="s">
        <v>103</v>
      </c>
      <c r="AQ437" s="4" t="s">
        <v>97</v>
      </c>
      <c r="AR437" s="4" t="s">
        <v>97</v>
      </c>
      <c r="AS437" s="4" t="s">
        <v>97</v>
      </c>
      <c r="AT437" s="4"/>
      <c r="AU437" s="4"/>
      <c r="AV437" s="4" t="s">
        <v>103</v>
      </c>
      <c r="AW437" s="4" t="s">
        <v>97</v>
      </c>
      <c r="AX437" s="4" t="s">
        <v>97</v>
      </c>
      <c r="AY437" s="4" t="s">
        <v>97</v>
      </c>
      <c r="AZ437" s="4" t="s">
        <v>103</v>
      </c>
      <c r="BA437" s="4" t="s">
        <v>97</v>
      </c>
      <c r="BB437" s="5">
        <v>45986</v>
      </c>
      <c r="BC437" s="5">
        <v>45987</v>
      </c>
      <c r="BD437" s="5">
        <v>45988</v>
      </c>
      <c r="BE437" s="5">
        <v>45988</v>
      </c>
      <c r="BF437" s="4" t="s">
        <v>98</v>
      </c>
      <c r="BG437" s="4" t="s">
        <v>97</v>
      </c>
      <c r="BH437" s="4" t="s">
        <v>103</v>
      </c>
      <c r="BI437" s="4" t="s">
        <v>834</v>
      </c>
    </row>
    <row r="438" spans="1:61" x14ac:dyDescent="0.35">
      <c r="A438" s="4" t="s">
        <v>1160</v>
      </c>
      <c r="B438" s="8" t="str">
        <f t="shared" si="36"/>
        <v>2025</v>
      </c>
      <c r="C438" s="2" t="s">
        <v>75</v>
      </c>
      <c r="D438" s="6" t="str">
        <f t="shared" si="37"/>
        <v>Diourbel</v>
      </c>
      <c r="E438" s="6">
        <f t="shared" si="38"/>
        <v>996481</v>
      </c>
      <c r="F438" s="6">
        <f t="shared" si="39"/>
        <v>1980827</v>
      </c>
      <c r="G438" s="4" t="s">
        <v>1161</v>
      </c>
      <c r="H438" s="4" t="s">
        <v>1162</v>
      </c>
      <c r="I438" s="4">
        <v>14</v>
      </c>
      <c r="J438" s="4" t="s">
        <v>114</v>
      </c>
      <c r="K438" s="4"/>
      <c r="L438" s="4"/>
      <c r="M438" s="4"/>
      <c r="N438" s="4"/>
      <c r="O438" s="4" t="s">
        <v>238</v>
      </c>
      <c r="P438" s="4" t="s">
        <v>97</v>
      </c>
      <c r="Q438" s="4" t="s">
        <v>97</v>
      </c>
      <c r="R438" s="14" t="s">
        <v>100</v>
      </c>
      <c r="S438" s="14" t="s">
        <v>100</v>
      </c>
      <c r="T438" s="14" t="s">
        <v>100</v>
      </c>
      <c r="U438" s="14"/>
      <c r="V438" s="14"/>
      <c r="W438" s="14"/>
      <c r="X438" s="14"/>
      <c r="Y438" s="5">
        <v>45989</v>
      </c>
      <c r="Z438" s="5">
        <v>45991</v>
      </c>
      <c r="AA438" s="4" t="s">
        <v>103</v>
      </c>
      <c r="AB438" s="25" t="s">
        <v>405</v>
      </c>
      <c r="AC438" s="4" t="s">
        <v>103</v>
      </c>
      <c r="AD438" s="4" t="s">
        <v>97</v>
      </c>
      <c r="AE438" s="4" t="s">
        <v>97</v>
      </c>
      <c r="AF438" s="4" t="s">
        <v>103</v>
      </c>
      <c r="AG438" s="4" t="s">
        <v>97</v>
      </c>
      <c r="AH438" s="4" t="s">
        <v>103</v>
      </c>
      <c r="AI438" s="5">
        <v>45989</v>
      </c>
      <c r="AJ438" s="4" t="s">
        <v>97</v>
      </c>
      <c r="AK438" s="4" t="s">
        <v>103</v>
      </c>
      <c r="AL438" s="4" t="s">
        <v>97</v>
      </c>
      <c r="AM438" s="4" t="s">
        <v>97</v>
      </c>
      <c r="AN438" s="4" t="s">
        <v>103</v>
      </c>
      <c r="AO438" s="4" t="s">
        <v>97</v>
      </c>
      <c r="AP438" s="4" t="s">
        <v>97</v>
      </c>
      <c r="AQ438" s="4" t="s">
        <v>97</v>
      </c>
      <c r="AR438" s="4" t="s">
        <v>97</v>
      </c>
      <c r="AS438" s="4" t="s">
        <v>97</v>
      </c>
      <c r="AT438" s="4"/>
      <c r="AU438" s="4"/>
      <c r="AV438" s="4" t="s">
        <v>103</v>
      </c>
      <c r="AW438" s="4" t="s">
        <v>97</v>
      </c>
      <c r="AX438" s="4" t="s">
        <v>97</v>
      </c>
      <c r="AY438" s="4" t="s">
        <v>97</v>
      </c>
      <c r="AZ438" s="4" t="s">
        <v>103</v>
      </c>
      <c r="BA438" s="4" t="s">
        <v>97</v>
      </c>
      <c r="BB438" s="5">
        <v>45991</v>
      </c>
      <c r="BC438" s="5">
        <v>45992</v>
      </c>
      <c r="BD438" s="5">
        <v>45994</v>
      </c>
      <c r="BE438" s="5">
        <v>45994</v>
      </c>
      <c r="BF438" s="4" t="s">
        <v>98</v>
      </c>
      <c r="BG438" s="4" t="s">
        <v>97</v>
      </c>
      <c r="BH438" s="4" t="s">
        <v>103</v>
      </c>
      <c r="BI438" s="4" t="s">
        <v>834</v>
      </c>
    </row>
    <row r="439" spans="1:61" x14ac:dyDescent="0.35">
      <c r="A439" s="4" t="s">
        <v>1160</v>
      </c>
      <c r="B439" s="8" t="str">
        <f t="shared" si="36"/>
        <v>2025</v>
      </c>
      <c r="C439" s="2" t="s">
        <v>75</v>
      </c>
      <c r="D439" s="6" t="str">
        <f t="shared" si="37"/>
        <v>Diourbel</v>
      </c>
      <c r="E439" s="6">
        <f t="shared" si="38"/>
        <v>996481</v>
      </c>
      <c r="F439" s="6">
        <f t="shared" si="39"/>
        <v>1980827</v>
      </c>
      <c r="G439" s="4" t="s">
        <v>1163</v>
      </c>
      <c r="H439" s="4" t="s">
        <v>1164</v>
      </c>
      <c r="I439" s="4">
        <v>7</v>
      </c>
      <c r="J439" s="4" t="s">
        <v>114</v>
      </c>
      <c r="K439" s="4"/>
      <c r="L439" s="4"/>
      <c r="M439" s="4"/>
      <c r="N439" s="4"/>
      <c r="O439" s="4" t="s">
        <v>238</v>
      </c>
      <c r="P439" s="4" t="s">
        <v>97</v>
      </c>
      <c r="Q439" s="4" t="s">
        <v>97</v>
      </c>
      <c r="R439" s="14" t="s">
        <v>100</v>
      </c>
      <c r="S439" s="14" t="s">
        <v>100</v>
      </c>
      <c r="T439" s="14" t="s">
        <v>100</v>
      </c>
      <c r="U439" s="14"/>
      <c r="V439" s="14"/>
      <c r="W439" s="14"/>
      <c r="X439" s="14"/>
      <c r="Y439" s="5">
        <v>45987</v>
      </c>
      <c r="Z439" s="5">
        <v>45989</v>
      </c>
      <c r="AA439" s="4" t="s">
        <v>103</v>
      </c>
      <c r="AB439" s="25" t="s">
        <v>488</v>
      </c>
      <c r="AC439" s="4" t="s">
        <v>97</v>
      </c>
      <c r="AD439" s="4" t="s">
        <v>97</v>
      </c>
      <c r="AE439" s="4" t="s">
        <v>97</v>
      </c>
      <c r="AF439" s="4" t="s">
        <v>97</v>
      </c>
      <c r="AG439" s="4" t="s">
        <v>97</v>
      </c>
      <c r="AH439" s="4" t="s">
        <v>103</v>
      </c>
      <c r="AI439" s="5">
        <v>45986</v>
      </c>
      <c r="AJ439" s="4" t="s">
        <v>97</v>
      </c>
      <c r="AK439" s="4" t="s">
        <v>97</v>
      </c>
      <c r="AL439" s="4" t="s">
        <v>97</v>
      </c>
      <c r="AM439" s="4" t="s">
        <v>103</v>
      </c>
      <c r="AN439" s="4" t="s">
        <v>103</v>
      </c>
      <c r="AO439" s="4" t="s">
        <v>97</v>
      </c>
      <c r="AP439" s="4" t="s">
        <v>97</v>
      </c>
      <c r="AQ439" s="4" t="s">
        <v>97</v>
      </c>
      <c r="AR439" s="4" t="s">
        <v>97</v>
      </c>
      <c r="AS439" s="4" t="s">
        <v>103</v>
      </c>
      <c r="AT439" s="4"/>
      <c r="AU439" s="4"/>
      <c r="AV439" s="4" t="s">
        <v>103</v>
      </c>
      <c r="AW439" s="4" t="s">
        <v>97</v>
      </c>
      <c r="AX439" s="4" t="s">
        <v>97</v>
      </c>
      <c r="AY439" s="4" t="s">
        <v>97</v>
      </c>
      <c r="AZ439" s="4" t="s">
        <v>103</v>
      </c>
      <c r="BA439" s="4" t="s">
        <v>97</v>
      </c>
      <c r="BB439" s="5">
        <v>45989</v>
      </c>
      <c r="BC439" s="5">
        <v>45992</v>
      </c>
      <c r="BD439" s="5">
        <v>45994</v>
      </c>
      <c r="BE439" s="5">
        <v>45994</v>
      </c>
      <c r="BF439" s="4" t="s">
        <v>98</v>
      </c>
      <c r="BG439" s="4" t="s">
        <v>97</v>
      </c>
      <c r="BH439" s="4" t="s">
        <v>103</v>
      </c>
      <c r="BI439" s="4" t="s">
        <v>834</v>
      </c>
    </row>
    <row r="440" spans="1:61" x14ac:dyDescent="0.35">
      <c r="A440" s="4" t="s">
        <v>1160</v>
      </c>
      <c r="B440" s="8" t="str">
        <f t="shared" si="36"/>
        <v>2025</v>
      </c>
      <c r="C440" s="2" t="s">
        <v>31</v>
      </c>
      <c r="D440" s="6" t="str">
        <f t="shared" si="37"/>
        <v>Dakar</v>
      </c>
      <c r="E440" s="6">
        <f t="shared" si="38"/>
        <v>424760</v>
      </c>
      <c r="F440" s="6">
        <f t="shared" si="39"/>
        <v>4042240</v>
      </c>
      <c r="G440" s="4" t="s">
        <v>1165</v>
      </c>
      <c r="H440" s="4" t="s">
        <v>1166</v>
      </c>
      <c r="I440" s="4">
        <v>1</v>
      </c>
      <c r="J440" s="4" t="s">
        <v>114</v>
      </c>
      <c r="K440" s="4"/>
      <c r="L440" s="4"/>
      <c r="M440" s="4"/>
      <c r="N440" s="4"/>
      <c r="O440" s="4" t="s">
        <v>238</v>
      </c>
      <c r="P440" s="4" t="s">
        <v>97</v>
      </c>
      <c r="Q440" s="4" t="s">
        <v>97</v>
      </c>
      <c r="R440" s="14" t="s">
        <v>100</v>
      </c>
      <c r="S440" s="14" t="s">
        <v>100</v>
      </c>
      <c r="T440" s="14" t="s">
        <v>100</v>
      </c>
      <c r="U440" s="14"/>
      <c r="V440" s="14"/>
      <c r="W440" s="14"/>
      <c r="X440" s="14"/>
      <c r="Y440" s="26" t="s">
        <v>1167</v>
      </c>
      <c r="Z440" s="5">
        <v>45993</v>
      </c>
      <c r="AA440" s="4" t="s">
        <v>103</v>
      </c>
      <c r="AB440" s="25">
        <v>38</v>
      </c>
      <c r="AC440" s="4" t="s">
        <v>97</v>
      </c>
      <c r="AD440" s="4" t="s">
        <v>97</v>
      </c>
      <c r="AE440" s="4" t="s">
        <v>97</v>
      </c>
      <c r="AF440" s="4" t="s">
        <v>97</v>
      </c>
      <c r="AG440" s="4" t="s">
        <v>97</v>
      </c>
      <c r="AH440" s="4" t="s">
        <v>103</v>
      </c>
      <c r="AI440" s="5">
        <v>45991</v>
      </c>
      <c r="AJ440" s="4" t="s">
        <v>103</v>
      </c>
      <c r="AK440" s="4" t="s">
        <v>103</v>
      </c>
      <c r="AL440" s="4" t="s">
        <v>103</v>
      </c>
      <c r="AM440" s="4" t="s">
        <v>97</v>
      </c>
      <c r="AN440" s="4" t="s">
        <v>103</v>
      </c>
      <c r="AO440" s="4" t="s">
        <v>103</v>
      </c>
      <c r="AP440" s="4" t="s">
        <v>103</v>
      </c>
      <c r="AQ440" s="4" t="s">
        <v>97</v>
      </c>
      <c r="AR440" s="4" t="s">
        <v>103</v>
      </c>
      <c r="AS440" s="4" t="s">
        <v>97</v>
      </c>
      <c r="AT440" s="4"/>
      <c r="AU440" s="4"/>
      <c r="AV440" s="4" t="s">
        <v>103</v>
      </c>
      <c r="AW440" s="4" t="s">
        <v>97</v>
      </c>
      <c r="AX440" s="4" t="s">
        <v>97</v>
      </c>
      <c r="AY440" s="4" t="s">
        <v>97</v>
      </c>
      <c r="AZ440" s="4" t="s">
        <v>103</v>
      </c>
      <c r="BA440" s="4" t="s">
        <v>97</v>
      </c>
      <c r="BB440" s="5">
        <v>45993</v>
      </c>
      <c r="BC440" s="5">
        <v>45993</v>
      </c>
      <c r="BD440" s="5">
        <v>45994</v>
      </c>
      <c r="BE440" s="5">
        <v>45994</v>
      </c>
      <c r="BF440" s="4" t="s">
        <v>98</v>
      </c>
      <c r="BG440" s="4" t="s">
        <v>97</v>
      </c>
      <c r="BH440" s="4" t="s">
        <v>103</v>
      </c>
      <c r="BI440" s="4" t="s">
        <v>834</v>
      </c>
    </row>
    <row r="441" spans="1:61" x14ac:dyDescent="0.35">
      <c r="A441" s="4" t="s">
        <v>1168</v>
      </c>
      <c r="B441" s="8" t="str">
        <f t="shared" si="36"/>
        <v>2025</v>
      </c>
      <c r="C441" s="2" t="s">
        <v>75</v>
      </c>
      <c r="D441" s="6" t="str">
        <f t="shared" si="37"/>
        <v>Diourbel</v>
      </c>
      <c r="E441" s="6">
        <f t="shared" si="38"/>
        <v>996481</v>
      </c>
      <c r="F441" s="6">
        <f t="shared" si="39"/>
        <v>1980827</v>
      </c>
      <c r="G441" s="4" t="s">
        <v>1169</v>
      </c>
      <c r="H441" s="4" t="s">
        <v>339</v>
      </c>
      <c r="I441" s="4">
        <v>35</v>
      </c>
      <c r="J441" s="4" t="s">
        <v>114</v>
      </c>
      <c r="K441" s="4"/>
      <c r="L441" s="4"/>
      <c r="M441" s="4"/>
      <c r="N441" s="4"/>
      <c r="O441" s="4" t="s">
        <v>238</v>
      </c>
      <c r="P441" s="4" t="s">
        <v>97</v>
      </c>
      <c r="Q441" s="4" t="s">
        <v>97</v>
      </c>
      <c r="R441" s="14" t="s">
        <v>100</v>
      </c>
      <c r="S441" s="14" t="s">
        <v>100</v>
      </c>
      <c r="T441" s="14" t="s">
        <v>100</v>
      </c>
      <c r="U441" s="14"/>
      <c r="V441" s="14"/>
      <c r="W441" s="14"/>
      <c r="X441" s="14"/>
      <c r="Y441" s="5">
        <v>45978</v>
      </c>
      <c r="Z441" s="5">
        <v>45994</v>
      </c>
      <c r="AA441" s="4" t="s">
        <v>103</v>
      </c>
      <c r="AB441" s="25">
        <v>38</v>
      </c>
      <c r="AC441" s="4" t="s">
        <v>97</v>
      </c>
      <c r="AD441" s="4" t="s">
        <v>97</v>
      </c>
      <c r="AE441" s="4" t="s">
        <v>97</v>
      </c>
      <c r="AF441" s="4" t="s">
        <v>103</v>
      </c>
      <c r="AG441" s="4" t="s">
        <v>103</v>
      </c>
      <c r="AH441" s="4" t="s">
        <v>103</v>
      </c>
      <c r="AI441" s="5">
        <v>45993</v>
      </c>
      <c r="AJ441" s="4" t="s">
        <v>97</v>
      </c>
      <c r="AK441" s="4" t="s">
        <v>97</v>
      </c>
      <c r="AL441" s="4" t="s">
        <v>103</v>
      </c>
      <c r="AM441" s="4" t="s">
        <v>97</v>
      </c>
      <c r="AN441" s="4" t="s">
        <v>97</v>
      </c>
      <c r="AO441" s="4" t="s">
        <v>97</v>
      </c>
      <c r="AP441" s="4" t="s">
        <v>103</v>
      </c>
      <c r="AQ441" s="4" t="s">
        <v>97</v>
      </c>
      <c r="AR441" s="4" t="s">
        <v>97</v>
      </c>
      <c r="AS441" s="4" t="s">
        <v>103</v>
      </c>
      <c r="AT441" s="4"/>
      <c r="AU441" s="4"/>
      <c r="AV441" s="4" t="s">
        <v>103</v>
      </c>
      <c r="AW441" s="4" t="s">
        <v>97</v>
      </c>
      <c r="AX441" s="4" t="s">
        <v>97</v>
      </c>
      <c r="AY441" s="4" t="s">
        <v>97</v>
      </c>
      <c r="AZ441" s="4" t="s">
        <v>103</v>
      </c>
      <c r="BA441" s="4" t="s">
        <v>97</v>
      </c>
      <c r="BB441" s="5">
        <v>45994</v>
      </c>
      <c r="BC441" s="5">
        <v>45997</v>
      </c>
      <c r="BD441" s="5">
        <v>45997</v>
      </c>
      <c r="BE441" s="5">
        <v>45997</v>
      </c>
      <c r="BF441" s="4" t="s">
        <v>98</v>
      </c>
      <c r="BG441" s="4" t="s">
        <v>97</v>
      </c>
      <c r="BH441" s="4" t="s">
        <v>103</v>
      </c>
      <c r="BI441" s="4" t="s">
        <v>834</v>
      </c>
    </row>
    <row r="442" spans="1:61" x14ac:dyDescent="0.35">
      <c r="A442" s="4" t="s">
        <v>1168</v>
      </c>
      <c r="B442" s="8" t="str">
        <f t="shared" si="36"/>
        <v>2025</v>
      </c>
      <c r="C442" s="2" t="s">
        <v>75</v>
      </c>
      <c r="D442" s="6" t="str">
        <f t="shared" si="37"/>
        <v>Diourbel</v>
      </c>
      <c r="E442" s="6">
        <f t="shared" si="38"/>
        <v>996481</v>
      </c>
      <c r="F442" s="6">
        <f t="shared" si="39"/>
        <v>1980827</v>
      </c>
      <c r="G442" s="4" t="s">
        <v>1170</v>
      </c>
      <c r="H442" s="4" t="s">
        <v>1171</v>
      </c>
      <c r="I442" s="4">
        <v>7</v>
      </c>
      <c r="J442" s="4" t="s">
        <v>114</v>
      </c>
      <c r="K442" s="4"/>
      <c r="L442" s="4"/>
      <c r="M442" s="4"/>
      <c r="N442" s="4"/>
      <c r="O442" s="4" t="s">
        <v>238</v>
      </c>
      <c r="P442" s="4" t="s">
        <v>97</v>
      </c>
      <c r="Q442" s="4" t="s">
        <v>97</v>
      </c>
      <c r="R442" s="14" t="s">
        <v>100</v>
      </c>
      <c r="S442" s="14" t="s">
        <v>100</v>
      </c>
      <c r="T442" s="14" t="s">
        <v>100</v>
      </c>
      <c r="U442" s="14"/>
      <c r="V442" s="14"/>
      <c r="W442" s="14"/>
      <c r="X442" s="14"/>
      <c r="Y442" s="5">
        <v>45966</v>
      </c>
      <c r="Z442" s="5">
        <v>45966</v>
      </c>
      <c r="AA442" s="4">
        <v>0</v>
      </c>
      <c r="AB442" s="25" t="s">
        <v>509</v>
      </c>
      <c r="AC442" s="4" t="s">
        <v>97</v>
      </c>
      <c r="AD442" s="4" t="s">
        <v>97</v>
      </c>
      <c r="AE442" s="4" t="s">
        <v>97</v>
      </c>
      <c r="AF442" s="4" t="s">
        <v>97</v>
      </c>
      <c r="AG442" s="4" t="s">
        <v>97</v>
      </c>
      <c r="AH442" s="4" t="s">
        <v>103</v>
      </c>
      <c r="AI442" s="5">
        <v>45996</v>
      </c>
      <c r="AJ442" s="4" t="s">
        <v>97</v>
      </c>
      <c r="AK442" s="4" t="s">
        <v>97</v>
      </c>
      <c r="AL442" s="4" t="s">
        <v>97</v>
      </c>
      <c r="AM442" s="4" t="s">
        <v>97</v>
      </c>
      <c r="AN442" s="4" t="s">
        <v>103</v>
      </c>
      <c r="AO442" s="4" t="s">
        <v>103</v>
      </c>
      <c r="AP442" s="4" t="s">
        <v>103</v>
      </c>
      <c r="AQ442" s="4" t="s">
        <v>97</v>
      </c>
      <c r="AR442" s="4" t="s">
        <v>97</v>
      </c>
      <c r="AS442" s="4" t="s">
        <v>97</v>
      </c>
      <c r="AT442" s="4"/>
      <c r="AU442" s="4"/>
      <c r="AV442" s="4" t="s">
        <v>103</v>
      </c>
      <c r="AW442" s="4" t="s">
        <v>97</v>
      </c>
      <c r="AX442" s="4" t="s">
        <v>97</v>
      </c>
      <c r="AY442" s="4" t="s">
        <v>97</v>
      </c>
      <c r="AZ442" s="4" t="s">
        <v>97</v>
      </c>
      <c r="BA442" s="4" t="s">
        <v>97</v>
      </c>
      <c r="BB442" s="5">
        <v>45996</v>
      </c>
      <c r="BC442" s="5">
        <v>45999</v>
      </c>
      <c r="BD442" s="5">
        <v>45999</v>
      </c>
      <c r="BE442" s="5">
        <v>45999</v>
      </c>
      <c r="BF442" s="4" t="s">
        <v>98</v>
      </c>
      <c r="BG442" s="4" t="s">
        <v>97</v>
      </c>
      <c r="BH442" s="4" t="s">
        <v>103</v>
      </c>
      <c r="BI442" s="4" t="s">
        <v>834</v>
      </c>
    </row>
    <row r="443" spans="1:61" x14ac:dyDescent="0.35">
      <c r="A443" s="4" t="s">
        <v>1168</v>
      </c>
      <c r="B443" s="8" t="str">
        <f t="shared" si="36"/>
        <v>2025</v>
      </c>
      <c r="C443" s="2" t="s">
        <v>6</v>
      </c>
      <c r="D443" s="6" t="str">
        <f t="shared" si="37"/>
        <v>Kaffrine</v>
      </c>
      <c r="E443" s="6">
        <f t="shared" si="38"/>
        <v>286531</v>
      </c>
      <c r="F443" s="6">
        <f t="shared" si="39"/>
        <v>782275</v>
      </c>
      <c r="G443" s="4" t="s">
        <v>1172</v>
      </c>
      <c r="H443" s="4" t="s">
        <v>1173</v>
      </c>
      <c r="I443" s="4">
        <v>53</v>
      </c>
      <c r="J443" s="4" t="s">
        <v>114</v>
      </c>
      <c r="K443" s="4"/>
      <c r="L443" s="4"/>
      <c r="M443" s="4"/>
      <c r="N443" s="4"/>
      <c r="O443" s="4" t="s">
        <v>238</v>
      </c>
      <c r="P443" s="4" t="s">
        <v>97</v>
      </c>
      <c r="Q443" s="4" t="s">
        <v>103</v>
      </c>
      <c r="R443" s="14" t="s">
        <v>100</v>
      </c>
      <c r="S443" s="14" t="s">
        <v>100</v>
      </c>
      <c r="T443" s="14" t="s">
        <v>100</v>
      </c>
      <c r="U443" s="14"/>
      <c r="V443" s="14"/>
      <c r="W443" s="14"/>
      <c r="X443" s="14"/>
      <c r="Y443" s="5">
        <v>45914</v>
      </c>
      <c r="Z443" s="5">
        <v>45918</v>
      </c>
      <c r="AA443" s="4" t="s">
        <v>103</v>
      </c>
      <c r="AB443" s="4" t="s">
        <v>276</v>
      </c>
      <c r="AC443" s="4" t="s">
        <v>103</v>
      </c>
      <c r="AD443" s="4" t="s">
        <v>103</v>
      </c>
      <c r="AE443" s="4" t="s">
        <v>97</v>
      </c>
      <c r="AF443" s="4" t="s">
        <v>103</v>
      </c>
      <c r="AG443" s="4" t="s">
        <v>97</v>
      </c>
      <c r="AH443" s="4" t="s">
        <v>103</v>
      </c>
      <c r="AI443" s="5">
        <v>45916</v>
      </c>
      <c r="AJ443" s="4" t="s">
        <v>97</v>
      </c>
      <c r="AK443" s="4" t="s">
        <v>97</v>
      </c>
      <c r="AL443" s="4" t="s">
        <v>97</v>
      </c>
      <c r="AM443" s="4" t="s">
        <v>103</v>
      </c>
      <c r="AN443" s="4" t="s">
        <v>97</v>
      </c>
      <c r="AO443" s="4" t="s">
        <v>97</v>
      </c>
      <c r="AP443" s="4" t="s">
        <v>97</v>
      </c>
      <c r="AQ443" s="4" t="s">
        <v>97</v>
      </c>
      <c r="AR443" s="4" t="s">
        <v>97</v>
      </c>
      <c r="AS443" s="4" t="s">
        <v>97</v>
      </c>
      <c r="AT443" s="4"/>
      <c r="AU443" s="4"/>
      <c r="AV443" s="4" t="s">
        <v>103</v>
      </c>
      <c r="AW443" s="4" t="s">
        <v>103</v>
      </c>
      <c r="AX443" s="4" t="s">
        <v>97</v>
      </c>
      <c r="AY443" s="4" t="s">
        <v>97</v>
      </c>
      <c r="AZ443" s="4" t="s">
        <v>97</v>
      </c>
      <c r="BA443" s="4" t="s">
        <v>97</v>
      </c>
      <c r="BB443" s="5">
        <v>46000</v>
      </c>
      <c r="BC443" s="5">
        <v>46000</v>
      </c>
      <c r="BD443" s="5">
        <v>46000</v>
      </c>
      <c r="BE443" s="5">
        <v>46000</v>
      </c>
      <c r="BF443" s="4" t="s">
        <v>98</v>
      </c>
      <c r="BG443" s="4" t="s">
        <v>97</v>
      </c>
      <c r="BH443" s="4" t="s">
        <v>103</v>
      </c>
      <c r="BI443" s="4" t="s">
        <v>834</v>
      </c>
    </row>
    <row r="444" spans="1:61" x14ac:dyDescent="0.35">
      <c r="A444" s="4" t="s">
        <v>1168</v>
      </c>
      <c r="B444" s="8" t="str">
        <f t="shared" si="36"/>
        <v>2025</v>
      </c>
      <c r="C444" s="2" t="s">
        <v>37</v>
      </c>
      <c r="D444" s="6" t="str">
        <f t="shared" si="37"/>
        <v>Dakar</v>
      </c>
      <c r="E444" s="6">
        <f t="shared" si="38"/>
        <v>301226</v>
      </c>
      <c r="F444" s="6">
        <f t="shared" si="39"/>
        <v>4042240</v>
      </c>
      <c r="G444" s="4" t="s">
        <v>1175</v>
      </c>
      <c r="H444" s="4" t="s">
        <v>1176</v>
      </c>
      <c r="I444" s="4">
        <v>2</v>
      </c>
      <c r="J444" s="4" t="s">
        <v>96</v>
      </c>
      <c r="K444" s="4"/>
      <c r="L444" s="4"/>
      <c r="M444" s="4"/>
      <c r="N444" s="4"/>
      <c r="O444" s="4" t="s">
        <v>238</v>
      </c>
      <c r="P444" s="4" t="s">
        <v>97</v>
      </c>
      <c r="Q444" s="4" t="s">
        <v>97</v>
      </c>
      <c r="R444" s="14" t="s">
        <v>100</v>
      </c>
      <c r="S444" s="14" t="s">
        <v>100</v>
      </c>
      <c r="T444" s="14" t="s">
        <v>100</v>
      </c>
      <c r="U444" s="14"/>
      <c r="V444" s="14"/>
      <c r="W444" s="14"/>
      <c r="X444" s="14"/>
      <c r="Y444" s="5">
        <v>45989</v>
      </c>
      <c r="Z444" s="5">
        <v>45992</v>
      </c>
      <c r="AA444" s="4" t="s">
        <v>103</v>
      </c>
      <c r="AB444" s="4" t="s">
        <v>488</v>
      </c>
      <c r="AC444" s="4" t="s">
        <v>103</v>
      </c>
      <c r="AD444" s="4" t="s">
        <v>97</v>
      </c>
      <c r="AE444" s="4" t="s">
        <v>97</v>
      </c>
      <c r="AF444" s="4" t="s">
        <v>97</v>
      </c>
      <c r="AG444" s="4" t="s">
        <v>97</v>
      </c>
      <c r="AH444" s="4" t="s">
        <v>103</v>
      </c>
      <c r="AI444" s="5">
        <v>45989</v>
      </c>
      <c r="AJ444" s="4" t="s">
        <v>103</v>
      </c>
      <c r="AK444" s="4" t="s">
        <v>103</v>
      </c>
      <c r="AL444" s="4" t="s">
        <v>97</v>
      </c>
      <c r="AM444" s="4" t="s">
        <v>103</v>
      </c>
      <c r="AN444" s="4" t="s">
        <v>97</v>
      </c>
      <c r="AO444" s="4" t="s">
        <v>103</v>
      </c>
      <c r="AP444" s="4" t="s">
        <v>103</v>
      </c>
      <c r="AQ444" s="4" t="s">
        <v>97</v>
      </c>
      <c r="AR444" s="4" t="s">
        <v>97</v>
      </c>
      <c r="AS444" s="4" t="s">
        <v>97</v>
      </c>
      <c r="AT444" s="4"/>
      <c r="AU444" s="4"/>
      <c r="AV444" s="4" t="s">
        <v>103</v>
      </c>
      <c r="AW444" s="4" t="s">
        <v>97</v>
      </c>
      <c r="AX444" s="4" t="s">
        <v>97</v>
      </c>
      <c r="AY444" s="4" t="s">
        <v>97</v>
      </c>
      <c r="AZ444" s="4" t="s">
        <v>103</v>
      </c>
      <c r="BA444" s="4" t="s">
        <v>97</v>
      </c>
      <c r="BB444" s="5">
        <v>45999</v>
      </c>
      <c r="BC444" s="5">
        <v>45999</v>
      </c>
      <c r="BD444" s="5">
        <v>46000</v>
      </c>
      <c r="BE444" s="5">
        <v>46000</v>
      </c>
      <c r="BF444" s="4" t="s">
        <v>98</v>
      </c>
      <c r="BG444" s="4" t="s">
        <v>97</v>
      </c>
      <c r="BH444" s="4" t="s">
        <v>103</v>
      </c>
      <c r="BI444" s="4" t="s">
        <v>834</v>
      </c>
    </row>
    <row r="445" spans="1:61" x14ac:dyDescent="0.35">
      <c r="A445" s="4" t="s">
        <v>1168</v>
      </c>
      <c r="B445" s="8" t="str">
        <f t="shared" ref="B445:B448" si="40">RIGHT(A445,4)</f>
        <v>2025</v>
      </c>
      <c r="C445" s="2" t="s">
        <v>78</v>
      </c>
      <c r="D445" s="6" t="str">
        <f t="shared" ref="D445:D508" si="41">IF(C445="","",VLOOKUP(C445,district_region,2,FALSE))</f>
        <v>Ziguinchor</v>
      </c>
      <c r="E445" s="6">
        <f t="shared" ref="E445:E508" si="42">IF(C445="","",VLOOKUP(C445,liste_pop,3,FALSE))</f>
        <v>330001</v>
      </c>
      <c r="F445" s="6">
        <f t="shared" ref="F445:F508" si="43">IF(D445="","",IF(D445="Dakar",4042240,VLOOKUP(D445,liste_pop,4,FALSE)))</f>
        <v>729952</v>
      </c>
      <c r="G445" s="4" t="s">
        <v>1177</v>
      </c>
      <c r="H445" s="4" t="s">
        <v>1178</v>
      </c>
      <c r="I445" s="4">
        <v>11</v>
      </c>
      <c r="J445" s="4" t="s">
        <v>96</v>
      </c>
      <c r="K445" s="4"/>
      <c r="L445" s="4"/>
      <c r="M445" s="4"/>
      <c r="N445" s="4"/>
      <c r="O445" s="4" t="s">
        <v>238</v>
      </c>
      <c r="P445" s="4" t="s">
        <v>97</v>
      </c>
      <c r="Q445" s="4" t="s">
        <v>97</v>
      </c>
      <c r="R445" s="14" t="s">
        <v>100</v>
      </c>
      <c r="S445" s="14" t="s">
        <v>100</v>
      </c>
      <c r="T445" s="14" t="s">
        <v>100</v>
      </c>
      <c r="U445" s="14"/>
      <c r="V445" s="14"/>
      <c r="W445" s="14"/>
      <c r="X445" s="14"/>
      <c r="Y445" s="5">
        <v>45995</v>
      </c>
      <c r="Z445" s="5">
        <v>45999</v>
      </c>
      <c r="AA445" s="4" t="s">
        <v>103</v>
      </c>
      <c r="AB445" s="4" t="s">
        <v>488</v>
      </c>
      <c r="AC445" s="4" t="s">
        <v>103</v>
      </c>
      <c r="AD445" s="4" t="s">
        <v>97</v>
      </c>
      <c r="AE445" s="4" t="s">
        <v>97</v>
      </c>
      <c r="AF445" s="4" t="s">
        <v>97</v>
      </c>
      <c r="AG445" s="4" t="s">
        <v>103</v>
      </c>
      <c r="AH445" s="4" t="s">
        <v>103</v>
      </c>
      <c r="AI445" s="5">
        <v>45997</v>
      </c>
      <c r="AJ445" s="4" t="s">
        <v>97</v>
      </c>
      <c r="AK445" s="4" t="s">
        <v>97</v>
      </c>
      <c r="AL445" s="4" t="s">
        <v>97</v>
      </c>
      <c r="AM445" s="4" t="s">
        <v>103</v>
      </c>
      <c r="AN445" s="4" t="s">
        <v>103</v>
      </c>
      <c r="AO445" s="4" t="s">
        <v>103</v>
      </c>
      <c r="AP445" s="4" t="s">
        <v>103</v>
      </c>
      <c r="AQ445" s="4" t="s">
        <v>97</v>
      </c>
      <c r="AR445" s="4" t="s">
        <v>97</v>
      </c>
      <c r="AS445" s="4" t="s">
        <v>97</v>
      </c>
      <c r="AT445" s="4"/>
      <c r="AU445" s="4"/>
      <c r="AV445" s="4" t="s">
        <v>103</v>
      </c>
      <c r="AW445" s="4" t="s">
        <v>97</v>
      </c>
      <c r="AX445" s="4" t="s">
        <v>97</v>
      </c>
      <c r="AY445" s="4" t="s">
        <v>97</v>
      </c>
      <c r="AZ445" s="4" t="s">
        <v>103</v>
      </c>
      <c r="BA445" s="4" t="s">
        <v>97</v>
      </c>
      <c r="BB445" s="5">
        <v>45999</v>
      </c>
      <c r="BC445" s="5">
        <v>45999</v>
      </c>
      <c r="BD445" s="5">
        <v>45999</v>
      </c>
      <c r="BE445" s="5">
        <v>45999</v>
      </c>
      <c r="BF445" s="4" t="s">
        <v>98</v>
      </c>
      <c r="BG445" s="4" t="s">
        <v>97</v>
      </c>
      <c r="BH445" s="4" t="s">
        <v>103</v>
      </c>
      <c r="BI445" s="4" t="s">
        <v>834</v>
      </c>
    </row>
    <row r="446" spans="1:61" x14ac:dyDescent="0.35">
      <c r="A446" s="4" t="s">
        <v>1168</v>
      </c>
      <c r="B446" s="8" t="str">
        <f t="shared" si="40"/>
        <v>2025</v>
      </c>
      <c r="C446" s="2" t="s">
        <v>78</v>
      </c>
      <c r="D446" s="6" t="str">
        <f t="shared" si="41"/>
        <v>Ziguinchor</v>
      </c>
      <c r="E446" s="6">
        <f t="shared" si="42"/>
        <v>330001</v>
      </c>
      <c r="F446" s="6">
        <f t="shared" si="43"/>
        <v>729952</v>
      </c>
      <c r="G446" s="4" t="s">
        <v>1179</v>
      </c>
      <c r="H446" s="4" t="s">
        <v>1180</v>
      </c>
      <c r="I446" s="4">
        <v>27</v>
      </c>
      <c r="J446" s="4" t="s">
        <v>114</v>
      </c>
      <c r="K446" s="4"/>
      <c r="L446" s="4"/>
      <c r="M446" s="4"/>
      <c r="N446" s="4"/>
      <c r="O446" s="4" t="s">
        <v>238</v>
      </c>
      <c r="P446" s="4" t="s">
        <v>97</v>
      </c>
      <c r="Q446" s="4" t="s">
        <v>97</v>
      </c>
      <c r="R446" s="14" t="s">
        <v>100</v>
      </c>
      <c r="S446" s="14" t="s">
        <v>100</v>
      </c>
      <c r="T446" s="14" t="s">
        <v>100</v>
      </c>
      <c r="U446" s="14"/>
      <c r="V446" s="14"/>
      <c r="W446" s="14"/>
      <c r="X446" s="14"/>
      <c r="Y446" s="5">
        <v>45991</v>
      </c>
      <c r="Z446" s="5">
        <v>45992</v>
      </c>
      <c r="AA446" s="4" t="s">
        <v>103</v>
      </c>
      <c r="AB446" s="4" t="s">
        <v>488</v>
      </c>
      <c r="AC446" s="4" t="s">
        <v>103</v>
      </c>
      <c r="AD446" s="4" t="s">
        <v>97</v>
      </c>
      <c r="AE446" s="4" t="s">
        <v>97</v>
      </c>
      <c r="AF446" s="4" t="s">
        <v>97</v>
      </c>
      <c r="AG446" s="4" t="s">
        <v>103</v>
      </c>
      <c r="AH446" s="4" t="s">
        <v>103</v>
      </c>
      <c r="AI446" s="26" t="s">
        <v>1167</v>
      </c>
      <c r="AJ446" s="4" t="s">
        <v>97</v>
      </c>
      <c r="AK446" s="4" t="s">
        <v>97</v>
      </c>
      <c r="AL446" s="4" t="s">
        <v>97</v>
      </c>
      <c r="AM446" s="4" t="s">
        <v>97</v>
      </c>
      <c r="AN446" s="4" t="s">
        <v>97</v>
      </c>
      <c r="AO446" s="4" t="s">
        <v>97</v>
      </c>
      <c r="AP446" s="4" t="s">
        <v>97</v>
      </c>
      <c r="AQ446" s="4" t="s">
        <v>97</v>
      </c>
      <c r="AR446" s="4" t="s">
        <v>97</v>
      </c>
      <c r="AS446" s="4" t="s">
        <v>97</v>
      </c>
      <c r="AT446" s="4"/>
      <c r="AU446" s="4"/>
      <c r="AV446" s="4" t="s">
        <v>103</v>
      </c>
      <c r="AW446" s="4" t="s">
        <v>97</v>
      </c>
      <c r="AX446" s="4" t="s">
        <v>97</v>
      </c>
      <c r="AY446" s="4" t="s">
        <v>97</v>
      </c>
      <c r="AZ446" s="4" t="s">
        <v>103</v>
      </c>
      <c r="BA446" s="4" t="s">
        <v>97</v>
      </c>
      <c r="BB446" s="5">
        <v>46000</v>
      </c>
      <c r="BC446" s="5">
        <v>46000</v>
      </c>
      <c r="BD446" s="5">
        <v>46001</v>
      </c>
      <c r="BE446" s="5">
        <v>46001</v>
      </c>
      <c r="BF446" s="4" t="s">
        <v>98</v>
      </c>
      <c r="BG446" s="4" t="s">
        <v>97</v>
      </c>
      <c r="BH446" s="4" t="s">
        <v>103</v>
      </c>
      <c r="BI446" s="4" t="s">
        <v>834</v>
      </c>
    </row>
    <row r="447" spans="1:61" x14ac:dyDescent="0.35">
      <c r="A447" s="4" t="s">
        <v>1168</v>
      </c>
      <c r="B447" s="8" t="str">
        <f t="shared" si="40"/>
        <v>2025</v>
      </c>
      <c r="C447" s="2" t="s">
        <v>62</v>
      </c>
      <c r="D447" s="6" t="str">
        <f t="shared" si="41"/>
        <v>Matam</v>
      </c>
      <c r="E447" s="6">
        <f t="shared" si="42"/>
        <v>71989</v>
      </c>
      <c r="F447" s="6">
        <f t="shared" si="43"/>
        <v>789215</v>
      </c>
      <c r="G447" s="4" t="s">
        <v>1181</v>
      </c>
      <c r="H447" s="4" t="s">
        <v>1182</v>
      </c>
      <c r="I447" s="4">
        <v>6</v>
      </c>
      <c r="J447" s="4" t="s">
        <v>96</v>
      </c>
      <c r="K447" s="4"/>
      <c r="L447" s="4"/>
      <c r="M447" s="4"/>
      <c r="N447" s="4"/>
      <c r="O447" s="4" t="s">
        <v>238</v>
      </c>
      <c r="P447" s="4" t="s">
        <v>97</v>
      </c>
      <c r="Q447" s="4" t="s">
        <v>97</v>
      </c>
      <c r="R447" s="14" t="s">
        <v>100</v>
      </c>
      <c r="S447" s="14" t="s">
        <v>100</v>
      </c>
      <c r="T447" s="14" t="s">
        <v>100</v>
      </c>
      <c r="U447" s="14"/>
      <c r="V447" s="14"/>
      <c r="W447" s="14"/>
      <c r="X447" s="14"/>
      <c r="Y447" s="24">
        <v>45997</v>
      </c>
      <c r="Z447" s="26" t="s">
        <v>1183</v>
      </c>
      <c r="AA447" s="4" t="s">
        <v>103</v>
      </c>
      <c r="AB447" s="25">
        <v>40</v>
      </c>
      <c r="AC447" s="4" t="s">
        <v>97</v>
      </c>
      <c r="AD447" s="4" t="s">
        <v>97</v>
      </c>
      <c r="AE447" s="4" t="s">
        <v>97</v>
      </c>
      <c r="AF447" s="4" t="s">
        <v>103</v>
      </c>
      <c r="AG447" s="4" t="s">
        <v>97</v>
      </c>
      <c r="AH447" s="4" t="s">
        <v>103</v>
      </c>
      <c r="AI447" s="26" t="s">
        <v>1184</v>
      </c>
      <c r="AJ447" s="4" t="s">
        <v>103</v>
      </c>
      <c r="AK447" s="4" t="s">
        <v>103</v>
      </c>
      <c r="AL447" s="4" t="s">
        <v>97</v>
      </c>
      <c r="AM447" s="4" t="s">
        <v>103</v>
      </c>
      <c r="AN447" s="4" t="s">
        <v>103</v>
      </c>
      <c r="AO447" s="4" t="s">
        <v>103</v>
      </c>
      <c r="AP447" s="4" t="s">
        <v>97</v>
      </c>
      <c r="AQ447" s="4" t="s">
        <v>103</v>
      </c>
      <c r="AR447" s="4" t="s">
        <v>97</v>
      </c>
      <c r="AS447" s="4" t="s">
        <v>103</v>
      </c>
      <c r="AT447" s="4"/>
      <c r="AU447" s="4"/>
      <c r="AV447" s="4" t="s">
        <v>103</v>
      </c>
      <c r="AW447" s="4" t="s">
        <v>97</v>
      </c>
      <c r="AX447" s="4" t="s">
        <v>97</v>
      </c>
      <c r="AY447" s="4" t="s">
        <v>97</v>
      </c>
      <c r="AZ447" s="4" t="s">
        <v>97</v>
      </c>
      <c r="BA447" s="4" t="s">
        <v>97</v>
      </c>
      <c r="BB447" s="5">
        <v>45999</v>
      </c>
      <c r="BC447" s="5">
        <v>45999</v>
      </c>
      <c r="BD447" s="5">
        <v>46001</v>
      </c>
      <c r="BE447" s="5">
        <v>46001</v>
      </c>
      <c r="BF447" s="4" t="s">
        <v>98</v>
      </c>
      <c r="BG447" s="4" t="s">
        <v>97</v>
      </c>
      <c r="BH447" s="4" t="s">
        <v>97</v>
      </c>
      <c r="BI447" s="4" t="s">
        <v>834</v>
      </c>
    </row>
    <row r="448" spans="1:61" x14ac:dyDescent="0.35">
      <c r="A448" s="4" t="s">
        <v>1185</v>
      </c>
      <c r="B448" s="8" t="str">
        <f t="shared" si="40"/>
        <v>2025</v>
      </c>
      <c r="C448" s="2" t="s">
        <v>60</v>
      </c>
      <c r="D448" s="6" t="str">
        <f t="shared" si="41"/>
        <v>Thies</v>
      </c>
      <c r="E448" s="6">
        <f t="shared" si="42"/>
        <v>92691</v>
      </c>
      <c r="F448" s="6">
        <f t="shared" si="43"/>
        <v>2280463</v>
      </c>
      <c r="G448" s="4" t="s">
        <v>1186</v>
      </c>
      <c r="H448" s="4" t="s">
        <v>1187</v>
      </c>
      <c r="I448" s="4">
        <v>37</v>
      </c>
      <c r="J448" s="4" t="s">
        <v>114</v>
      </c>
      <c r="K448" s="4"/>
      <c r="L448" s="4"/>
      <c r="M448" s="4"/>
      <c r="N448" s="4"/>
      <c r="O448" s="4" t="s">
        <v>238</v>
      </c>
      <c r="P448" s="4" t="s">
        <v>97</v>
      </c>
      <c r="Q448" s="4" t="s">
        <v>97</v>
      </c>
      <c r="R448" s="14" t="s">
        <v>100</v>
      </c>
      <c r="S448" s="14" t="s">
        <v>100</v>
      </c>
      <c r="T448" s="14" t="s">
        <v>100</v>
      </c>
      <c r="U448" s="14"/>
      <c r="V448" s="14"/>
      <c r="W448" s="14"/>
      <c r="X448" s="14"/>
      <c r="Y448" s="5">
        <v>45996</v>
      </c>
      <c r="Z448" s="5">
        <v>46002</v>
      </c>
      <c r="AA448" s="4" t="s">
        <v>103</v>
      </c>
      <c r="AB448" s="4" t="s">
        <v>488</v>
      </c>
      <c r="AC448" s="4" t="s">
        <v>97</v>
      </c>
      <c r="AD448" s="4" t="s">
        <v>97</v>
      </c>
      <c r="AE448" s="4" t="s">
        <v>97</v>
      </c>
      <c r="AF448" s="4" t="s">
        <v>97</v>
      </c>
      <c r="AG448" s="4" t="s">
        <v>97</v>
      </c>
      <c r="AH448" s="4" t="s">
        <v>103</v>
      </c>
      <c r="AI448" s="5">
        <v>45996</v>
      </c>
      <c r="AJ448" s="4" t="s">
        <v>97</v>
      </c>
      <c r="AK448" s="4" t="s">
        <v>97</v>
      </c>
      <c r="AL448" s="4" t="s">
        <v>97</v>
      </c>
      <c r="AM448" s="4" t="s">
        <v>103</v>
      </c>
      <c r="AN448" s="4" t="s">
        <v>103</v>
      </c>
      <c r="AO448" s="4" t="s">
        <v>97</v>
      </c>
      <c r="AP448" s="4" t="s">
        <v>97</v>
      </c>
      <c r="AQ448" s="4" t="s">
        <v>103</v>
      </c>
      <c r="AR448" s="4" t="s">
        <v>97</v>
      </c>
      <c r="AS448" s="4" t="s">
        <v>97</v>
      </c>
      <c r="AT448" s="4"/>
      <c r="AU448" s="4"/>
      <c r="AV448" s="4" t="s">
        <v>97</v>
      </c>
      <c r="AW448" s="4" t="s">
        <v>103</v>
      </c>
      <c r="AX448" s="4" t="s">
        <v>97</v>
      </c>
      <c r="AY448" s="4" t="s">
        <v>97</v>
      </c>
      <c r="AZ448" s="4" t="s">
        <v>103</v>
      </c>
      <c r="BA448" s="4" t="s">
        <v>97</v>
      </c>
      <c r="BB448" s="5">
        <v>46002</v>
      </c>
      <c r="BC448" s="5">
        <v>46002</v>
      </c>
      <c r="BD448" s="5">
        <v>46006</v>
      </c>
      <c r="BE448" s="5">
        <v>46006</v>
      </c>
      <c r="BF448" s="4" t="s">
        <v>98</v>
      </c>
      <c r="BG448" s="4" t="s">
        <v>97</v>
      </c>
      <c r="BH448" s="4" t="s">
        <v>103</v>
      </c>
      <c r="BI448" s="4" t="s">
        <v>834</v>
      </c>
    </row>
    <row r="449" spans="1:61" x14ac:dyDescent="0.35">
      <c r="A449" s="4" t="s">
        <v>1185</v>
      </c>
      <c r="B449" s="8" t="str">
        <f t="shared" ref="B449:B508" si="44">RIGHT(A449,4)</f>
        <v>2025</v>
      </c>
      <c r="C449" s="2" t="s">
        <v>75</v>
      </c>
      <c r="D449" s="6" t="str">
        <f t="shared" si="41"/>
        <v>Diourbel</v>
      </c>
      <c r="E449" s="6">
        <f t="shared" si="42"/>
        <v>996481</v>
      </c>
      <c r="F449" s="6">
        <f t="shared" si="43"/>
        <v>1980827</v>
      </c>
      <c r="G449" s="4" t="s">
        <v>1188</v>
      </c>
      <c r="H449" s="4" t="s">
        <v>1189</v>
      </c>
      <c r="I449" s="4">
        <v>3</v>
      </c>
      <c r="J449" s="4" t="s">
        <v>96</v>
      </c>
      <c r="K449" s="4"/>
      <c r="L449" s="4"/>
      <c r="M449" s="4"/>
      <c r="N449" s="4"/>
      <c r="O449" s="4" t="s">
        <v>238</v>
      </c>
      <c r="P449" s="4" t="s">
        <v>97</v>
      </c>
      <c r="Q449" s="4" t="s">
        <v>97</v>
      </c>
      <c r="R449" s="14" t="s">
        <v>100</v>
      </c>
      <c r="S449" s="14" t="s">
        <v>100</v>
      </c>
      <c r="T449" s="14" t="s">
        <v>100</v>
      </c>
      <c r="U449" s="14"/>
      <c r="V449" s="14"/>
      <c r="W449" s="14"/>
      <c r="X449" s="14"/>
      <c r="Y449" s="5">
        <v>45998</v>
      </c>
      <c r="Z449" s="5">
        <v>46003</v>
      </c>
      <c r="AA449" s="4" t="s">
        <v>97</v>
      </c>
      <c r="AB449" s="4"/>
      <c r="AC449" s="4" t="s">
        <v>97</v>
      </c>
      <c r="AD449" s="4" t="s">
        <v>97</v>
      </c>
      <c r="AE449" s="4" t="s">
        <v>97</v>
      </c>
      <c r="AF449" s="4" t="s">
        <v>97</v>
      </c>
      <c r="AG449" s="4" t="s">
        <v>97</v>
      </c>
      <c r="AH449" s="4" t="s">
        <v>103</v>
      </c>
      <c r="AI449" s="5">
        <v>45998</v>
      </c>
      <c r="AJ449" s="4" t="s">
        <v>97</v>
      </c>
      <c r="AK449" s="4" t="s">
        <v>97</v>
      </c>
      <c r="AL449" s="4" t="s">
        <v>97</v>
      </c>
      <c r="AM449" s="4" t="s">
        <v>97</v>
      </c>
      <c r="AN449" s="4" t="s">
        <v>103</v>
      </c>
      <c r="AO449" s="4" t="s">
        <v>103</v>
      </c>
      <c r="AP449" s="4" t="s">
        <v>103</v>
      </c>
      <c r="AQ449" s="4" t="s">
        <v>97</v>
      </c>
      <c r="AR449" s="4" t="s">
        <v>97</v>
      </c>
      <c r="AS449" s="4" t="s">
        <v>97</v>
      </c>
      <c r="AT449" s="4"/>
      <c r="AU449" s="4"/>
      <c r="AV449" s="4" t="s">
        <v>103</v>
      </c>
      <c r="AW449" s="4" t="s">
        <v>97</v>
      </c>
      <c r="AX449" s="4" t="s">
        <v>97</v>
      </c>
      <c r="AY449" s="4" t="s">
        <v>97</v>
      </c>
      <c r="AZ449" s="4" t="s">
        <v>97</v>
      </c>
      <c r="BA449" s="4" t="s">
        <v>97</v>
      </c>
      <c r="BB449" s="5">
        <v>46004</v>
      </c>
      <c r="BC449" s="5">
        <v>46004</v>
      </c>
      <c r="BD449" s="5">
        <v>46005</v>
      </c>
      <c r="BE449" s="5">
        <v>46005</v>
      </c>
      <c r="BF449" s="4" t="s">
        <v>98</v>
      </c>
      <c r="BG449" s="4" t="s">
        <v>97</v>
      </c>
      <c r="BH449" s="4" t="s">
        <v>103</v>
      </c>
      <c r="BI449" s="4" t="s">
        <v>834</v>
      </c>
    </row>
    <row r="450" spans="1:61" x14ac:dyDescent="0.35">
      <c r="A450" s="4" t="s">
        <v>1185</v>
      </c>
      <c r="B450" s="8" t="str">
        <f t="shared" si="44"/>
        <v>2025</v>
      </c>
      <c r="C450" s="2" t="s">
        <v>19</v>
      </c>
      <c r="D450" s="6" t="str">
        <f t="shared" si="41"/>
        <v>Dakar</v>
      </c>
      <c r="E450" s="6">
        <f t="shared" si="42"/>
        <v>565040</v>
      </c>
      <c r="F450" s="6">
        <f t="shared" si="43"/>
        <v>4042240</v>
      </c>
      <c r="G450" s="4" t="s">
        <v>1190</v>
      </c>
      <c r="H450" s="4" t="s">
        <v>297</v>
      </c>
      <c r="I450" s="4">
        <v>68</v>
      </c>
      <c r="J450" s="4" t="s">
        <v>96</v>
      </c>
      <c r="K450" s="4"/>
      <c r="L450" s="4"/>
      <c r="M450" s="4"/>
      <c r="N450" s="4"/>
      <c r="O450" s="4" t="s">
        <v>238</v>
      </c>
      <c r="P450" s="4" t="s">
        <v>97</v>
      </c>
      <c r="Q450" s="4" t="s">
        <v>97</v>
      </c>
      <c r="R450" s="14" t="s">
        <v>100</v>
      </c>
      <c r="S450" s="14" t="s">
        <v>100</v>
      </c>
      <c r="T450" s="14" t="s">
        <v>100</v>
      </c>
      <c r="U450" s="14"/>
      <c r="V450" s="14"/>
      <c r="W450" s="14"/>
      <c r="X450" s="14"/>
      <c r="Y450" s="5">
        <v>46005</v>
      </c>
      <c r="Z450" s="5">
        <v>46005</v>
      </c>
      <c r="AA450" s="4" t="s">
        <v>97</v>
      </c>
      <c r="AB450" s="4"/>
      <c r="AC450" s="4" t="s">
        <v>103</v>
      </c>
      <c r="AD450" s="4" t="s">
        <v>103</v>
      </c>
      <c r="AE450" s="4" t="s">
        <v>97</v>
      </c>
      <c r="AF450" s="4" t="s">
        <v>97</v>
      </c>
      <c r="AG450" s="4" t="s">
        <v>97</v>
      </c>
      <c r="AH450" s="4" t="s">
        <v>97</v>
      </c>
      <c r="AI450" s="5">
        <v>46005</v>
      </c>
      <c r="AJ450" s="4" t="s">
        <v>97</v>
      </c>
      <c r="AK450" s="4" t="s">
        <v>97</v>
      </c>
      <c r="AL450" s="4" t="s">
        <v>97</v>
      </c>
      <c r="AM450" s="4" t="s">
        <v>97</v>
      </c>
      <c r="AN450" s="4" t="s">
        <v>97</v>
      </c>
      <c r="AO450" s="4" t="s">
        <v>97</v>
      </c>
      <c r="AP450" s="4" t="s">
        <v>97</v>
      </c>
      <c r="AQ450" s="4" t="s">
        <v>97</v>
      </c>
      <c r="AR450" s="4" t="s">
        <v>97</v>
      </c>
      <c r="AS450" s="4" t="s">
        <v>97</v>
      </c>
      <c r="AT450" s="4"/>
      <c r="AU450" s="4"/>
      <c r="AV450" s="4" t="s">
        <v>103</v>
      </c>
      <c r="AW450" s="4" t="s">
        <v>97</v>
      </c>
      <c r="AX450" s="4" t="s">
        <v>97</v>
      </c>
      <c r="AY450" s="4" t="s">
        <v>97</v>
      </c>
      <c r="AZ450" s="4" t="s">
        <v>97</v>
      </c>
      <c r="BA450" s="4" t="s">
        <v>97</v>
      </c>
      <c r="BB450" s="5">
        <v>46005</v>
      </c>
      <c r="BC450" s="5">
        <v>46005</v>
      </c>
      <c r="BD450" s="5">
        <v>46005</v>
      </c>
      <c r="BE450" s="5">
        <v>46005</v>
      </c>
      <c r="BF450" s="4" t="s">
        <v>98</v>
      </c>
      <c r="BG450" s="4" t="s">
        <v>97</v>
      </c>
      <c r="BH450" s="4" t="s">
        <v>103</v>
      </c>
      <c r="BI450" s="4" t="s">
        <v>834</v>
      </c>
    </row>
    <row r="451" spans="1:61" x14ac:dyDescent="0.35">
      <c r="A451" s="4" t="s">
        <v>1185</v>
      </c>
      <c r="B451" s="8" t="str">
        <f t="shared" si="44"/>
        <v>2025</v>
      </c>
      <c r="C451" s="2" t="s">
        <v>18</v>
      </c>
      <c r="D451" s="6" t="str">
        <f t="shared" si="41"/>
        <v>Dakar</v>
      </c>
      <c r="E451" s="6">
        <f t="shared" si="42"/>
        <v>419489</v>
      </c>
      <c r="F451" s="6">
        <f t="shared" si="43"/>
        <v>4042240</v>
      </c>
      <c r="G451" s="4" t="s">
        <v>1191</v>
      </c>
      <c r="H451" s="4" t="s">
        <v>1192</v>
      </c>
      <c r="I451" s="4">
        <v>52</v>
      </c>
      <c r="J451" s="4" t="s">
        <v>96</v>
      </c>
      <c r="K451" s="4"/>
      <c r="L451" s="4"/>
      <c r="M451" s="4"/>
      <c r="N451" s="4"/>
      <c r="O451" s="4" t="s">
        <v>238</v>
      </c>
      <c r="P451" s="4" t="s">
        <v>97</v>
      </c>
      <c r="Q451" s="4" t="s">
        <v>103</v>
      </c>
      <c r="R451" s="14" t="s">
        <v>100</v>
      </c>
      <c r="S451" s="14" t="s">
        <v>100</v>
      </c>
      <c r="T451" s="14" t="s">
        <v>100</v>
      </c>
      <c r="U451" s="14"/>
      <c r="V451" s="14"/>
      <c r="W451" s="14"/>
      <c r="X451" s="14"/>
      <c r="Y451" s="5">
        <v>46005</v>
      </c>
      <c r="Z451" s="5">
        <v>46005</v>
      </c>
      <c r="AA451" s="4"/>
      <c r="AB451" s="4"/>
      <c r="AC451" s="4" t="s">
        <v>97</v>
      </c>
      <c r="AD451" s="4" t="s">
        <v>97</v>
      </c>
      <c r="AE451" s="4" t="s">
        <v>97</v>
      </c>
      <c r="AF451" s="4" t="s">
        <v>103</v>
      </c>
      <c r="AG451" s="4" t="s">
        <v>97</v>
      </c>
      <c r="AH451" s="4" t="s">
        <v>103</v>
      </c>
      <c r="AI451" s="5">
        <v>46001</v>
      </c>
      <c r="AJ451" s="4" t="s">
        <v>97</v>
      </c>
      <c r="AK451" s="4" t="s">
        <v>97</v>
      </c>
      <c r="AL451" s="4" t="s">
        <v>97</v>
      </c>
      <c r="AM451" s="4" t="s">
        <v>103</v>
      </c>
      <c r="AN451" s="4" t="s">
        <v>103</v>
      </c>
      <c r="AO451" s="4" t="s">
        <v>97</v>
      </c>
      <c r="AP451" s="4" t="s">
        <v>97</v>
      </c>
      <c r="AQ451" s="4" t="s">
        <v>97</v>
      </c>
      <c r="AR451" s="4" t="s">
        <v>97</v>
      </c>
      <c r="AS451" s="4" t="s">
        <v>97</v>
      </c>
      <c r="AT451" s="4"/>
      <c r="AU451" s="4"/>
      <c r="AV451" s="4" t="s">
        <v>103</v>
      </c>
      <c r="AW451" s="4" t="s">
        <v>103</v>
      </c>
      <c r="AX451" s="4" t="s">
        <v>97</v>
      </c>
      <c r="AY451" s="4" t="s">
        <v>97</v>
      </c>
      <c r="AZ451" s="4" t="s">
        <v>103</v>
      </c>
      <c r="BA451" s="4" t="s">
        <v>97</v>
      </c>
      <c r="BB451" s="5">
        <v>46003</v>
      </c>
      <c r="BC451" s="5">
        <v>46003</v>
      </c>
      <c r="BD451" s="5">
        <v>46005</v>
      </c>
      <c r="BE451" s="5">
        <v>46005</v>
      </c>
      <c r="BF451" s="4" t="s">
        <v>98</v>
      </c>
      <c r="BG451" s="4" t="s">
        <v>97</v>
      </c>
      <c r="BH451" s="4" t="s">
        <v>103</v>
      </c>
      <c r="BI451" s="4" t="s">
        <v>834</v>
      </c>
    </row>
    <row r="452" spans="1:61" x14ac:dyDescent="0.35">
      <c r="A452" s="4" t="s">
        <v>1185</v>
      </c>
      <c r="B452" s="8" t="str">
        <f t="shared" si="44"/>
        <v>2025</v>
      </c>
      <c r="C452" s="2" t="s">
        <v>20</v>
      </c>
      <c r="D452" s="6" t="str">
        <f t="shared" si="41"/>
        <v>Dakar</v>
      </c>
      <c r="E452" s="6">
        <f t="shared" si="42"/>
        <v>272276</v>
      </c>
      <c r="F452" s="6">
        <f t="shared" si="43"/>
        <v>4042240</v>
      </c>
      <c r="G452" s="4" t="s">
        <v>1193</v>
      </c>
      <c r="H452" s="4" t="s">
        <v>1194</v>
      </c>
      <c r="I452" s="4">
        <v>1</v>
      </c>
      <c r="J452" s="4" t="s">
        <v>114</v>
      </c>
      <c r="K452" s="4"/>
      <c r="L452" s="4"/>
      <c r="M452" s="4"/>
      <c r="N452" s="4"/>
      <c r="O452" s="4" t="s">
        <v>238</v>
      </c>
      <c r="P452" s="4" t="s">
        <v>97</v>
      </c>
      <c r="Q452" s="4" t="s">
        <v>97</v>
      </c>
      <c r="R452" s="14" t="s">
        <v>100</v>
      </c>
      <c r="S452" s="14" t="s">
        <v>100</v>
      </c>
      <c r="T452" s="14" t="s">
        <v>100</v>
      </c>
      <c r="U452" s="14"/>
      <c r="V452" s="14"/>
      <c r="W452" s="14"/>
      <c r="X452" s="14"/>
      <c r="Y452" s="5">
        <v>46004</v>
      </c>
      <c r="Z452" s="5">
        <v>46005</v>
      </c>
      <c r="AA452" s="4" t="s">
        <v>97</v>
      </c>
      <c r="AB452" s="4"/>
      <c r="AC452" s="3" t="s">
        <v>97</v>
      </c>
      <c r="AD452" s="3" t="s">
        <v>97</v>
      </c>
      <c r="AE452" s="4" t="s">
        <v>97</v>
      </c>
      <c r="AF452" s="4" t="s">
        <v>97</v>
      </c>
      <c r="AG452" s="4" t="s">
        <v>97</v>
      </c>
      <c r="AH452" s="4" t="s">
        <v>103</v>
      </c>
      <c r="AI452" s="5">
        <v>46004</v>
      </c>
      <c r="AJ452" s="4" t="s">
        <v>97</v>
      </c>
      <c r="AK452" s="4" t="s">
        <v>103</v>
      </c>
      <c r="AL452" s="4" t="s">
        <v>97</v>
      </c>
      <c r="AM452" s="4" t="s">
        <v>97</v>
      </c>
      <c r="AN452" s="4" t="s">
        <v>97</v>
      </c>
      <c r="AO452" s="4" t="s">
        <v>103</v>
      </c>
      <c r="AP452" s="4" t="s">
        <v>103</v>
      </c>
      <c r="AQ452" s="4" t="s">
        <v>97</v>
      </c>
      <c r="AR452" s="4" t="s">
        <v>103</v>
      </c>
      <c r="AS452" s="4" t="s">
        <v>103</v>
      </c>
      <c r="AT452" s="4"/>
      <c r="AU452" s="4"/>
      <c r="AV452" s="4" t="s">
        <v>103</v>
      </c>
      <c r="AW452" s="4" t="s">
        <v>97</v>
      </c>
      <c r="AX452" s="4" t="s">
        <v>97</v>
      </c>
      <c r="AY452" s="4" t="s">
        <v>97</v>
      </c>
      <c r="AZ452" s="4" t="s">
        <v>103</v>
      </c>
      <c r="BA452" s="4" t="s">
        <v>97</v>
      </c>
      <c r="BB452" s="5">
        <v>46007</v>
      </c>
      <c r="BC452" s="5">
        <v>46007</v>
      </c>
      <c r="BD452" s="5">
        <v>46007</v>
      </c>
      <c r="BE452" s="5">
        <v>46007</v>
      </c>
      <c r="BF452" s="4" t="s">
        <v>98</v>
      </c>
      <c r="BG452" s="4" t="s">
        <v>97</v>
      </c>
      <c r="BH452" s="4" t="s">
        <v>103</v>
      </c>
      <c r="BI452" s="4" t="s">
        <v>834</v>
      </c>
    </row>
    <row r="453" spans="1:61" x14ac:dyDescent="0.35">
      <c r="A453" s="4" t="s">
        <v>1204</v>
      </c>
      <c r="B453" s="8" t="str">
        <f t="shared" si="44"/>
        <v>2025</v>
      </c>
      <c r="C453" s="2" t="s">
        <v>75</v>
      </c>
      <c r="D453" s="6" t="str">
        <f t="shared" si="41"/>
        <v>Diourbel</v>
      </c>
      <c r="E453" s="6">
        <f t="shared" si="42"/>
        <v>996481</v>
      </c>
      <c r="F453" s="6">
        <f t="shared" si="43"/>
        <v>1980827</v>
      </c>
      <c r="G453" s="4" t="s">
        <v>1195</v>
      </c>
      <c r="H453" s="4" t="s">
        <v>1196</v>
      </c>
      <c r="I453" s="4">
        <v>7</v>
      </c>
      <c r="J453" s="4" t="s">
        <v>114</v>
      </c>
      <c r="K453" s="4"/>
      <c r="L453" s="4"/>
      <c r="M453" s="4"/>
      <c r="N453" s="4"/>
      <c r="O453" s="4" t="s">
        <v>238</v>
      </c>
      <c r="P453" s="4" t="s">
        <v>97</v>
      </c>
      <c r="Q453" s="4" t="s">
        <v>97</v>
      </c>
      <c r="R453" s="14" t="s">
        <v>100</v>
      </c>
      <c r="S453" s="14" t="s">
        <v>100</v>
      </c>
      <c r="T453" s="14" t="s">
        <v>100</v>
      </c>
      <c r="U453" s="14"/>
      <c r="V453" s="14"/>
      <c r="W453" s="14"/>
      <c r="X453" s="14"/>
      <c r="Y453" s="27">
        <v>46014</v>
      </c>
      <c r="Z453" s="27">
        <v>46017</v>
      </c>
      <c r="AA453" s="4" t="s">
        <v>103</v>
      </c>
      <c r="AB453" s="4" t="s">
        <v>488</v>
      </c>
      <c r="AC453" s="4" t="s">
        <v>103</v>
      </c>
      <c r="AD453" s="4" t="s">
        <v>97</v>
      </c>
      <c r="AE453" s="4" t="s">
        <v>97</v>
      </c>
      <c r="AF453" s="4" t="s">
        <v>103</v>
      </c>
      <c r="AG453" s="4" t="s">
        <v>97</v>
      </c>
      <c r="AH453" s="3" t="s">
        <v>103</v>
      </c>
      <c r="AI453" s="5">
        <v>46014</v>
      </c>
      <c r="AJ453" s="4" t="s">
        <v>97</v>
      </c>
      <c r="AK453" s="4" t="s">
        <v>97</v>
      </c>
      <c r="AL453" s="4" t="s">
        <v>97</v>
      </c>
      <c r="AM453" s="4" t="s">
        <v>103</v>
      </c>
      <c r="AN453" s="4" t="s">
        <v>97</v>
      </c>
      <c r="AO453" s="4" t="s">
        <v>103</v>
      </c>
      <c r="AP453" s="4" t="s">
        <v>103</v>
      </c>
      <c r="AQ453" s="4" t="s">
        <v>97</v>
      </c>
      <c r="AR453" s="4" t="s">
        <v>97</v>
      </c>
      <c r="AS453" s="4" t="s">
        <v>103</v>
      </c>
      <c r="AT453" s="4"/>
      <c r="AU453" s="4"/>
      <c r="AV453" s="4" t="s">
        <v>97</v>
      </c>
      <c r="AW453" s="4" t="s">
        <v>103</v>
      </c>
      <c r="AX453" s="4" t="s">
        <v>97</v>
      </c>
      <c r="AY453" s="4" t="s">
        <v>97</v>
      </c>
      <c r="AZ453" s="4" t="s">
        <v>103</v>
      </c>
      <c r="BA453" s="4" t="s">
        <v>97</v>
      </c>
      <c r="BB453" s="5">
        <v>46017</v>
      </c>
      <c r="BC453" s="5">
        <v>46017</v>
      </c>
      <c r="BD453" s="5">
        <v>46017</v>
      </c>
      <c r="BE453" s="5">
        <v>46017</v>
      </c>
      <c r="BF453" s="4" t="s">
        <v>98</v>
      </c>
      <c r="BG453" s="4" t="s">
        <v>97</v>
      </c>
      <c r="BH453" s="4" t="s">
        <v>103</v>
      </c>
      <c r="BI453" s="4" t="s">
        <v>834</v>
      </c>
    </row>
    <row r="454" spans="1:61" x14ac:dyDescent="0.35">
      <c r="A454" s="4" t="s">
        <v>1203</v>
      </c>
      <c r="B454" s="8" t="str">
        <f t="shared" si="44"/>
        <v>2026</v>
      </c>
      <c r="C454" s="2" t="s">
        <v>57</v>
      </c>
      <c r="D454" s="6" t="str">
        <f t="shared" si="41"/>
        <v>Saint-Louis</v>
      </c>
      <c r="E454" s="6">
        <f t="shared" si="42"/>
        <v>207969</v>
      </c>
      <c r="F454" s="6">
        <f t="shared" si="43"/>
        <v>1150065</v>
      </c>
      <c r="G454" s="4" t="s">
        <v>1197</v>
      </c>
      <c r="H454" s="4" t="s">
        <v>1200</v>
      </c>
      <c r="I454" s="4">
        <v>7</v>
      </c>
      <c r="J454" s="4" t="s">
        <v>114</v>
      </c>
      <c r="K454" s="4"/>
      <c r="L454" s="4"/>
      <c r="M454" s="4"/>
      <c r="N454" s="4"/>
      <c r="O454" s="4" t="s">
        <v>238</v>
      </c>
      <c r="P454" s="4" t="s">
        <v>97</v>
      </c>
      <c r="Q454" s="4" t="s">
        <v>97</v>
      </c>
      <c r="R454" s="14" t="s">
        <v>100</v>
      </c>
      <c r="S454" s="14" t="s">
        <v>100</v>
      </c>
      <c r="T454" s="14" t="s">
        <v>100</v>
      </c>
      <c r="U454" s="14"/>
      <c r="V454" s="14"/>
      <c r="W454" s="14"/>
      <c r="X454" s="14"/>
      <c r="Y454" s="5">
        <v>45998</v>
      </c>
      <c r="Z454" s="5">
        <v>46000</v>
      </c>
      <c r="AA454" s="4" t="s">
        <v>103</v>
      </c>
      <c r="AB454" s="25">
        <v>38</v>
      </c>
      <c r="AC454" s="4" t="s">
        <v>97</v>
      </c>
      <c r="AD454" s="4" t="s">
        <v>97</v>
      </c>
      <c r="AE454" s="4" t="s">
        <v>97</v>
      </c>
      <c r="AF454" s="4" t="s">
        <v>97</v>
      </c>
      <c r="AG454" s="4" t="s">
        <v>97</v>
      </c>
      <c r="AH454" s="4" t="s">
        <v>103</v>
      </c>
      <c r="AI454" s="5">
        <v>46000</v>
      </c>
      <c r="AJ454" s="4" t="s">
        <v>97</v>
      </c>
      <c r="AK454" s="4" t="s">
        <v>97</v>
      </c>
      <c r="AL454" s="4" t="s">
        <v>97</v>
      </c>
      <c r="AM454" s="4" t="s">
        <v>103</v>
      </c>
      <c r="AN454" s="4" t="s">
        <v>103</v>
      </c>
      <c r="AO454" s="4" t="s">
        <v>103</v>
      </c>
      <c r="AP454" s="4" t="s">
        <v>103</v>
      </c>
      <c r="AQ454" s="4" t="s">
        <v>97</v>
      </c>
      <c r="AR454" s="4" t="s">
        <v>97</v>
      </c>
      <c r="AS454" s="4" t="s">
        <v>97</v>
      </c>
      <c r="AT454" s="4"/>
      <c r="AU454" s="4"/>
      <c r="AV454" s="4" t="s">
        <v>103</v>
      </c>
      <c r="AW454" s="4" t="s">
        <v>97</v>
      </c>
      <c r="AX454" s="4" t="s">
        <v>97</v>
      </c>
      <c r="AY454" s="4" t="s">
        <v>97</v>
      </c>
      <c r="AZ454" s="4" t="s">
        <v>103</v>
      </c>
      <c r="BA454" s="4" t="s">
        <v>97</v>
      </c>
      <c r="BB454" s="5">
        <v>46013</v>
      </c>
      <c r="BC454" s="5">
        <v>46013</v>
      </c>
      <c r="BD454" s="5">
        <v>46013</v>
      </c>
      <c r="BE454" s="5">
        <v>46013</v>
      </c>
      <c r="BF454" s="4" t="s">
        <v>98</v>
      </c>
      <c r="BG454" s="4" t="s">
        <v>97</v>
      </c>
      <c r="BH454" s="4" t="s">
        <v>103</v>
      </c>
      <c r="BI454" s="4" t="s">
        <v>834</v>
      </c>
    </row>
    <row r="455" spans="1:61" x14ac:dyDescent="0.35">
      <c r="A455" s="4" t="s">
        <v>1203</v>
      </c>
      <c r="B455" s="8" t="str">
        <f t="shared" si="44"/>
        <v>2026</v>
      </c>
      <c r="C455" s="2" t="s">
        <v>57</v>
      </c>
      <c r="D455" s="6" t="str">
        <f t="shared" si="41"/>
        <v>Saint-Louis</v>
      </c>
      <c r="E455" s="6">
        <f t="shared" si="42"/>
        <v>207969</v>
      </c>
      <c r="F455" s="6">
        <f t="shared" si="43"/>
        <v>1150065</v>
      </c>
      <c r="G455" s="4" t="s">
        <v>1198</v>
      </c>
      <c r="H455" s="4" t="s">
        <v>1199</v>
      </c>
      <c r="I455" s="4">
        <v>6</v>
      </c>
      <c r="J455" s="4" t="s">
        <v>96</v>
      </c>
      <c r="K455" s="4"/>
      <c r="L455" s="4"/>
      <c r="M455" s="4"/>
      <c r="N455" s="4"/>
      <c r="O455" s="4" t="s">
        <v>238</v>
      </c>
      <c r="P455" s="4" t="s">
        <v>97</v>
      </c>
      <c r="Q455" s="4" t="s">
        <v>97</v>
      </c>
      <c r="R455" s="14" t="s">
        <v>100</v>
      </c>
      <c r="S455" s="14" t="s">
        <v>100</v>
      </c>
      <c r="T455" s="14" t="s">
        <v>100</v>
      </c>
      <c r="U455" s="14"/>
      <c r="V455" s="14"/>
      <c r="W455" s="14"/>
      <c r="X455" s="14"/>
      <c r="Y455" s="5">
        <v>45995</v>
      </c>
      <c r="Z455" s="5">
        <v>45997</v>
      </c>
      <c r="AA455" s="4" t="s">
        <v>103</v>
      </c>
      <c r="AB455" s="25">
        <v>38</v>
      </c>
      <c r="AC455" s="4" t="s">
        <v>97</v>
      </c>
      <c r="AD455" s="4" t="s">
        <v>97</v>
      </c>
      <c r="AE455" s="4" t="s">
        <v>97</v>
      </c>
      <c r="AF455" s="4" t="s">
        <v>97</v>
      </c>
      <c r="AG455" s="4" t="s">
        <v>97</v>
      </c>
      <c r="AH455" s="4" t="s">
        <v>103</v>
      </c>
      <c r="AI455" s="5">
        <v>45995</v>
      </c>
      <c r="AJ455" s="4" t="s">
        <v>97</v>
      </c>
      <c r="AK455" s="4" t="s">
        <v>97</v>
      </c>
      <c r="AL455" s="4" t="s">
        <v>97</v>
      </c>
      <c r="AM455" s="4" t="s">
        <v>103</v>
      </c>
      <c r="AN455" s="4" t="s">
        <v>103</v>
      </c>
      <c r="AO455" s="4" t="s">
        <v>103</v>
      </c>
      <c r="AP455" s="4" t="s">
        <v>103</v>
      </c>
      <c r="AQ455" s="4" t="s">
        <v>97</v>
      </c>
      <c r="AR455" s="4" t="s">
        <v>97</v>
      </c>
      <c r="AS455" s="4" t="s">
        <v>97</v>
      </c>
      <c r="AT455" s="4"/>
      <c r="AU455" s="4"/>
      <c r="AV455" s="4" t="s">
        <v>103</v>
      </c>
      <c r="AW455" s="4" t="s">
        <v>97</v>
      </c>
      <c r="AX455" s="4" t="s">
        <v>97</v>
      </c>
      <c r="AY455" s="4" t="s">
        <v>97</v>
      </c>
      <c r="AZ455" s="4" t="s">
        <v>103</v>
      </c>
      <c r="BA455" s="4" t="s">
        <v>97</v>
      </c>
      <c r="BB455" s="5">
        <v>46013</v>
      </c>
      <c r="BC455" s="5">
        <v>46013</v>
      </c>
      <c r="BD455" s="5">
        <v>46013</v>
      </c>
      <c r="BE455" s="5">
        <v>46013</v>
      </c>
      <c r="BF455" s="4" t="s">
        <v>98</v>
      </c>
      <c r="BG455" s="4" t="s">
        <v>97</v>
      </c>
      <c r="BH455" s="4" t="s">
        <v>97</v>
      </c>
      <c r="BI455" s="4" t="s">
        <v>834</v>
      </c>
    </row>
    <row r="456" spans="1:61" x14ac:dyDescent="0.35">
      <c r="A456" s="4" t="s">
        <v>1203</v>
      </c>
      <c r="B456" s="8" t="str">
        <f t="shared" si="44"/>
        <v>2026</v>
      </c>
      <c r="C456" s="2" t="s">
        <v>71</v>
      </c>
      <c r="D456" s="6" t="str">
        <f t="shared" si="41"/>
        <v>Thies</v>
      </c>
      <c r="E456" s="6">
        <f t="shared" si="42"/>
        <v>195082</v>
      </c>
      <c r="F456" s="6">
        <f t="shared" si="43"/>
        <v>2280463</v>
      </c>
      <c r="G456" s="4" t="s">
        <v>1201</v>
      </c>
      <c r="H456" s="4" t="s">
        <v>1202</v>
      </c>
      <c r="I456" s="4">
        <v>30</v>
      </c>
      <c r="J456" s="4" t="s">
        <v>114</v>
      </c>
      <c r="K456" s="4"/>
      <c r="L456" s="4"/>
      <c r="M456" s="4"/>
      <c r="N456" s="4"/>
      <c r="O456" s="4" t="s">
        <v>238</v>
      </c>
      <c r="P456" s="4" t="s">
        <v>97</v>
      </c>
      <c r="Q456" s="4" t="s">
        <v>97</v>
      </c>
      <c r="R456" s="14" t="s">
        <v>100</v>
      </c>
      <c r="S456" s="14" t="s">
        <v>100</v>
      </c>
      <c r="T456" s="14" t="s">
        <v>100</v>
      </c>
      <c r="U456" s="14"/>
      <c r="V456" s="14"/>
      <c r="W456" s="14"/>
      <c r="X456" s="14"/>
      <c r="Y456" s="5">
        <v>46015</v>
      </c>
      <c r="Z456" s="5">
        <v>46016</v>
      </c>
      <c r="AA456" s="4" t="s">
        <v>97</v>
      </c>
      <c r="AB456" s="4"/>
      <c r="AC456" s="4" t="s">
        <v>97</v>
      </c>
      <c r="AD456" s="4" t="s">
        <v>97</v>
      </c>
      <c r="AE456" s="4" t="s">
        <v>97</v>
      </c>
      <c r="AF456" s="4" t="s">
        <v>97</v>
      </c>
      <c r="AG456" s="4" t="s">
        <v>103</v>
      </c>
      <c r="AH456" s="4" t="s">
        <v>103</v>
      </c>
      <c r="AI456" s="5">
        <v>46015</v>
      </c>
      <c r="AJ456" s="4" t="s">
        <v>103</v>
      </c>
      <c r="AK456" s="4" t="s">
        <v>103</v>
      </c>
      <c r="AL456" s="4" t="s">
        <v>97</v>
      </c>
      <c r="AM456" s="4" t="s">
        <v>103</v>
      </c>
      <c r="AN456" s="4" t="s">
        <v>103</v>
      </c>
      <c r="AO456" s="4" t="s">
        <v>97</v>
      </c>
      <c r="AP456" s="4" t="s">
        <v>97</v>
      </c>
      <c r="AQ456" s="4" t="s">
        <v>97</v>
      </c>
      <c r="AR456" s="4" t="s">
        <v>97</v>
      </c>
      <c r="AS456" s="4" t="s">
        <v>97</v>
      </c>
      <c r="AT456" s="4"/>
      <c r="AU456" s="4"/>
      <c r="AV456" s="4" t="s">
        <v>103</v>
      </c>
      <c r="AW456" s="4" t="s">
        <v>97</v>
      </c>
      <c r="AX456" s="4" t="s">
        <v>97</v>
      </c>
      <c r="AY456" s="4" t="s">
        <v>97</v>
      </c>
      <c r="AZ456" s="4" t="s">
        <v>97</v>
      </c>
      <c r="BA456" s="4" t="s">
        <v>97</v>
      </c>
      <c r="BB456" s="5">
        <v>46018</v>
      </c>
      <c r="BC456" s="5">
        <v>46020</v>
      </c>
      <c r="BD456" s="5">
        <v>46021</v>
      </c>
      <c r="BE456" s="5">
        <v>46021</v>
      </c>
      <c r="BF456" s="4" t="s">
        <v>98</v>
      </c>
      <c r="BG456" s="4" t="s">
        <v>97</v>
      </c>
      <c r="BH456" s="4" t="s">
        <v>97</v>
      </c>
      <c r="BI456" s="4" t="s">
        <v>834</v>
      </c>
    </row>
    <row r="457" spans="1:61" x14ac:dyDescent="0.35">
      <c r="A457" s="4" t="s">
        <v>1205</v>
      </c>
      <c r="B457" s="8" t="str">
        <f t="shared" si="44"/>
        <v>2026</v>
      </c>
      <c r="C457" s="2" t="s">
        <v>75</v>
      </c>
      <c r="D457" s="6" t="str">
        <f t="shared" si="41"/>
        <v>Diourbel</v>
      </c>
      <c r="E457" s="6">
        <f t="shared" si="42"/>
        <v>996481</v>
      </c>
      <c r="F457" s="6">
        <f t="shared" si="43"/>
        <v>1980827</v>
      </c>
      <c r="G457" s="4" t="s">
        <v>1206</v>
      </c>
      <c r="H457" s="4" t="s">
        <v>1207</v>
      </c>
      <c r="I457" s="4">
        <v>15</v>
      </c>
      <c r="J457" s="4" t="s">
        <v>114</v>
      </c>
      <c r="K457" s="4"/>
      <c r="L457" s="4"/>
      <c r="M457" s="4"/>
      <c r="N457" s="4"/>
      <c r="O457" s="4" t="s">
        <v>238</v>
      </c>
      <c r="P457" s="4" t="s">
        <v>97</v>
      </c>
      <c r="Q457" s="4" t="s">
        <v>97</v>
      </c>
      <c r="R457" s="14" t="s">
        <v>100</v>
      </c>
      <c r="S457" s="14" t="s">
        <v>100</v>
      </c>
      <c r="T457" s="14" t="s">
        <v>100</v>
      </c>
      <c r="U457" s="14"/>
      <c r="V457" s="14"/>
      <c r="W457" s="14"/>
      <c r="X457" s="14"/>
      <c r="Y457" s="5">
        <v>46013</v>
      </c>
      <c r="Z457" s="5">
        <v>46019</v>
      </c>
      <c r="AA457" s="4" t="s">
        <v>103</v>
      </c>
      <c r="AB457" s="4" t="s">
        <v>488</v>
      </c>
      <c r="AC457" s="4" t="s">
        <v>97</v>
      </c>
      <c r="AD457" s="4" t="s">
        <v>103</v>
      </c>
      <c r="AE457" s="4" t="s">
        <v>97</v>
      </c>
      <c r="AF457" s="4" t="s">
        <v>97</v>
      </c>
      <c r="AG457" s="4" t="s">
        <v>97</v>
      </c>
      <c r="AH457" s="4" t="s">
        <v>103</v>
      </c>
      <c r="AI457" s="5">
        <v>46012</v>
      </c>
      <c r="AJ457" s="4" t="s">
        <v>97</v>
      </c>
      <c r="AK457" s="4" t="s">
        <v>103</v>
      </c>
      <c r="AL457" s="4" t="s">
        <v>97</v>
      </c>
      <c r="AM457" s="4" t="s">
        <v>97</v>
      </c>
      <c r="AN457" s="4" t="s">
        <v>103</v>
      </c>
      <c r="AO457" s="4" t="s">
        <v>103</v>
      </c>
      <c r="AP457" s="4" t="s">
        <v>97</v>
      </c>
      <c r="AQ457" s="4" t="s">
        <v>97</v>
      </c>
      <c r="AR457" s="4" t="s">
        <v>97</v>
      </c>
      <c r="AS457" s="4" t="s">
        <v>97</v>
      </c>
      <c r="AT457" s="4"/>
      <c r="AU457" s="4"/>
      <c r="AV457" s="4" t="s">
        <v>103</v>
      </c>
      <c r="AW457" s="4" t="s">
        <v>97</v>
      </c>
      <c r="AX457" s="4" t="s">
        <v>97</v>
      </c>
      <c r="AY457" s="4" t="s">
        <v>97</v>
      </c>
      <c r="AZ457" s="4" t="s">
        <v>103</v>
      </c>
      <c r="BA457" s="4" t="s">
        <v>97</v>
      </c>
      <c r="BB457" s="5">
        <v>46020</v>
      </c>
      <c r="BC457" s="5">
        <v>46020</v>
      </c>
      <c r="BD457" s="5">
        <v>46021</v>
      </c>
      <c r="BE457" s="5">
        <v>46021</v>
      </c>
      <c r="BF457" s="4" t="s">
        <v>98</v>
      </c>
      <c r="BG457" s="4" t="s">
        <v>97</v>
      </c>
      <c r="BH457" s="4" t="s">
        <v>97</v>
      </c>
      <c r="BI457" s="4" t="s">
        <v>834</v>
      </c>
    </row>
    <row r="458" spans="1:61" x14ac:dyDescent="0.35">
      <c r="A458" s="4" t="s">
        <v>1205</v>
      </c>
      <c r="B458" s="8" t="str">
        <f t="shared" si="44"/>
        <v>2026</v>
      </c>
      <c r="C458" s="2" t="s">
        <v>75</v>
      </c>
      <c r="D458" s="6" t="str">
        <f t="shared" si="41"/>
        <v>Diourbel</v>
      </c>
      <c r="E458" s="6">
        <f t="shared" si="42"/>
        <v>996481</v>
      </c>
      <c r="F458" s="6">
        <f t="shared" si="43"/>
        <v>1980827</v>
      </c>
      <c r="G458" s="4" t="s">
        <v>1208</v>
      </c>
      <c r="H458" s="4" t="s">
        <v>1209</v>
      </c>
      <c r="I458" s="4">
        <v>1</v>
      </c>
      <c r="J458" s="4" t="s">
        <v>114</v>
      </c>
      <c r="K458" s="4"/>
      <c r="L458" s="4"/>
      <c r="M458" s="4"/>
      <c r="N458" s="4"/>
      <c r="O458" s="4" t="s">
        <v>238</v>
      </c>
      <c r="P458" s="4" t="s">
        <v>97</v>
      </c>
      <c r="Q458" s="4" t="s">
        <v>97</v>
      </c>
      <c r="R458" s="14" t="s">
        <v>100</v>
      </c>
      <c r="S458" s="14" t="s">
        <v>100</v>
      </c>
      <c r="T458" s="14" t="s">
        <v>100</v>
      </c>
      <c r="U458" s="14"/>
      <c r="V458" s="14"/>
      <c r="W458" s="14"/>
      <c r="X458" s="14"/>
      <c r="Y458" s="5">
        <v>46021</v>
      </c>
      <c r="Z458" s="5">
        <v>46024</v>
      </c>
      <c r="AA458" s="4" t="s">
        <v>103</v>
      </c>
      <c r="AB458" s="4" t="s">
        <v>488</v>
      </c>
      <c r="AC458" s="4" t="s">
        <v>97</v>
      </c>
      <c r="AD458" s="4" t="s">
        <v>97</v>
      </c>
      <c r="AE458" s="4" t="s">
        <v>97</v>
      </c>
      <c r="AF458" s="4" t="s">
        <v>97</v>
      </c>
      <c r="AG458" s="4" t="s">
        <v>97</v>
      </c>
      <c r="AH458" s="4" t="s">
        <v>103</v>
      </c>
      <c r="AI458" s="5">
        <v>46021</v>
      </c>
      <c r="AJ458" s="4" t="s">
        <v>97</v>
      </c>
      <c r="AK458" s="4" t="s">
        <v>97</v>
      </c>
      <c r="AL458" s="4" t="s">
        <v>97</v>
      </c>
      <c r="AM458" s="4" t="s">
        <v>103</v>
      </c>
      <c r="AN458" s="4" t="s">
        <v>97</v>
      </c>
      <c r="AO458" s="4" t="s">
        <v>97</v>
      </c>
      <c r="AP458" s="4" t="s">
        <v>103</v>
      </c>
      <c r="AQ458" s="4" t="s">
        <v>97</v>
      </c>
      <c r="AR458" s="4" t="s">
        <v>97</v>
      </c>
      <c r="AS458" s="4" t="s">
        <v>103</v>
      </c>
      <c r="AT458" s="4"/>
      <c r="AU458" s="4"/>
      <c r="AV458" s="4" t="s">
        <v>103</v>
      </c>
      <c r="AW458" s="4" t="s">
        <v>103</v>
      </c>
      <c r="AX458" s="4" t="s">
        <v>97</v>
      </c>
      <c r="AY458" s="4" t="s">
        <v>97</v>
      </c>
      <c r="AZ458" s="4" t="s">
        <v>103</v>
      </c>
      <c r="BA458" s="4" t="s">
        <v>97</v>
      </c>
      <c r="BB458" s="24">
        <v>46024</v>
      </c>
      <c r="BC458" s="24">
        <v>46024</v>
      </c>
      <c r="BD458" s="24">
        <v>46024</v>
      </c>
      <c r="BE458" s="24">
        <v>46024</v>
      </c>
      <c r="BF458" s="4" t="s">
        <v>98</v>
      </c>
      <c r="BG458" s="4" t="s">
        <v>97</v>
      </c>
      <c r="BH458" s="4" t="s">
        <v>97</v>
      </c>
      <c r="BI458" s="4" t="s">
        <v>834</v>
      </c>
    </row>
    <row r="459" spans="1:61" x14ac:dyDescent="0.35">
      <c r="A459" s="4" t="s">
        <v>1205</v>
      </c>
      <c r="B459" s="8" t="str">
        <f t="shared" si="44"/>
        <v>2026</v>
      </c>
      <c r="C459" s="2" t="s">
        <v>18</v>
      </c>
      <c r="D459" s="6" t="str">
        <f t="shared" si="41"/>
        <v>Dakar</v>
      </c>
      <c r="E459" s="6">
        <f t="shared" si="42"/>
        <v>419489</v>
      </c>
      <c r="F459" s="6">
        <f t="shared" si="43"/>
        <v>4042240</v>
      </c>
      <c r="G459" s="4" t="s">
        <v>1210</v>
      </c>
      <c r="H459" s="4" t="s">
        <v>1211</v>
      </c>
      <c r="I459" s="4">
        <v>29</v>
      </c>
      <c r="J459" s="4" t="s">
        <v>114</v>
      </c>
      <c r="K459" s="4"/>
      <c r="L459" s="4"/>
      <c r="M459" s="4"/>
      <c r="N459" s="4"/>
      <c r="O459" s="4" t="s">
        <v>238</v>
      </c>
      <c r="P459" s="4" t="s">
        <v>97</v>
      </c>
      <c r="Q459" s="4" t="s">
        <v>97</v>
      </c>
      <c r="R459" s="14" t="s">
        <v>100</v>
      </c>
      <c r="S459" s="14" t="s">
        <v>100</v>
      </c>
      <c r="T459" s="14" t="s">
        <v>100</v>
      </c>
      <c r="U459" s="14"/>
      <c r="V459" s="14"/>
      <c r="W459" s="14"/>
      <c r="X459" s="14"/>
      <c r="Y459" s="5">
        <v>46018</v>
      </c>
      <c r="Z459" s="5">
        <v>46022</v>
      </c>
      <c r="AA459" s="4" t="s">
        <v>97</v>
      </c>
      <c r="AB459" s="4"/>
      <c r="AC459" s="4" t="s">
        <v>97</v>
      </c>
      <c r="AD459" s="4" t="s">
        <v>97</v>
      </c>
      <c r="AE459" s="4" t="s">
        <v>103</v>
      </c>
      <c r="AF459" s="4" t="s">
        <v>103</v>
      </c>
      <c r="AG459" s="4" t="s">
        <v>103</v>
      </c>
      <c r="AH459" s="4" t="s">
        <v>103</v>
      </c>
      <c r="AI459" s="5">
        <v>46018</v>
      </c>
      <c r="AJ459" s="4" t="s">
        <v>97</v>
      </c>
      <c r="AK459" s="4" t="s">
        <v>97</v>
      </c>
      <c r="AL459" s="4" t="s">
        <v>97</v>
      </c>
      <c r="AM459" s="4" t="s">
        <v>97</v>
      </c>
      <c r="AN459" s="4" t="s">
        <v>103</v>
      </c>
      <c r="AO459" s="4" t="s">
        <v>97</v>
      </c>
      <c r="AP459" s="4" t="s">
        <v>97</v>
      </c>
      <c r="AQ459" s="4" t="s">
        <v>97</v>
      </c>
      <c r="AR459" s="4" t="s">
        <v>97</v>
      </c>
      <c r="AS459" s="4" t="s">
        <v>97</v>
      </c>
      <c r="AT459" s="4"/>
      <c r="AU459" s="4"/>
      <c r="AV459" s="4" t="s">
        <v>103</v>
      </c>
      <c r="AW459" s="4" t="s">
        <v>97</v>
      </c>
      <c r="AX459" s="4" t="s">
        <v>97</v>
      </c>
      <c r="AY459" s="4" t="s">
        <v>97</v>
      </c>
      <c r="AZ459" s="4" t="s">
        <v>103</v>
      </c>
      <c r="BA459" s="4" t="s">
        <v>97</v>
      </c>
      <c r="BB459" s="5">
        <v>46021</v>
      </c>
      <c r="BC459" s="5">
        <v>46021</v>
      </c>
      <c r="BD459" s="5">
        <v>46021</v>
      </c>
      <c r="BE459" s="5">
        <v>46021</v>
      </c>
      <c r="BF459" s="4" t="s">
        <v>98</v>
      </c>
      <c r="BG459" s="4" t="s">
        <v>97</v>
      </c>
      <c r="BH459" s="4" t="s">
        <v>103</v>
      </c>
      <c r="BI459" s="4" t="s">
        <v>834</v>
      </c>
    </row>
    <row r="460" spans="1:61" x14ac:dyDescent="0.35">
      <c r="A460" s="4" t="s">
        <v>1205</v>
      </c>
      <c r="B460" s="8" t="str">
        <f t="shared" si="44"/>
        <v>2026</v>
      </c>
      <c r="C460" s="2" t="s">
        <v>46</v>
      </c>
      <c r="D460" s="6" t="str">
        <f t="shared" si="41"/>
        <v>Tambacounda</v>
      </c>
      <c r="E460" s="6">
        <f t="shared" si="42"/>
        <v>94499</v>
      </c>
      <c r="F460" s="6">
        <f t="shared" si="43"/>
        <v>937181</v>
      </c>
      <c r="G460" s="4" t="s">
        <v>1213</v>
      </c>
      <c r="H460" s="4" t="s">
        <v>1212</v>
      </c>
      <c r="I460" s="4">
        <v>37</v>
      </c>
      <c r="J460" s="4" t="s">
        <v>114</v>
      </c>
      <c r="K460" s="4"/>
      <c r="L460" s="4"/>
      <c r="M460" s="4"/>
      <c r="N460" s="4"/>
      <c r="O460" s="4" t="s">
        <v>238</v>
      </c>
      <c r="P460" s="4" t="s">
        <v>97</v>
      </c>
      <c r="Q460" s="4" t="s">
        <v>97</v>
      </c>
      <c r="R460" s="14" t="s">
        <v>100</v>
      </c>
      <c r="S460" s="14" t="s">
        <v>100</v>
      </c>
      <c r="T460" s="14" t="s">
        <v>100</v>
      </c>
      <c r="U460" s="14"/>
      <c r="V460" s="14"/>
      <c r="W460" s="14"/>
      <c r="X460" s="14"/>
      <c r="Y460" s="5">
        <v>46020</v>
      </c>
      <c r="Z460" s="5">
        <v>46024</v>
      </c>
      <c r="AA460" s="4" t="s">
        <v>97</v>
      </c>
      <c r="AB460" s="4"/>
      <c r="AC460" s="4" t="s">
        <v>97</v>
      </c>
      <c r="AD460" s="4" t="s">
        <v>103</v>
      </c>
      <c r="AE460" s="4" t="s">
        <v>97</v>
      </c>
      <c r="AF460" s="4" t="s">
        <v>103</v>
      </c>
      <c r="AG460" s="4" t="s">
        <v>103</v>
      </c>
      <c r="AH460" s="4" t="s">
        <v>103</v>
      </c>
      <c r="AI460" s="5">
        <v>46020</v>
      </c>
      <c r="AJ460" s="4" t="s">
        <v>103</v>
      </c>
      <c r="AK460" s="4" t="s">
        <v>103</v>
      </c>
      <c r="AL460" s="4" t="s">
        <v>97</v>
      </c>
      <c r="AM460" s="4" t="s">
        <v>97</v>
      </c>
      <c r="AN460" s="4" t="s">
        <v>103</v>
      </c>
      <c r="AO460" s="4" t="s">
        <v>97</v>
      </c>
      <c r="AP460" s="4" t="s">
        <v>97</v>
      </c>
      <c r="AQ460" s="4" t="s">
        <v>103</v>
      </c>
      <c r="AR460" s="4" t="s">
        <v>97</v>
      </c>
      <c r="AS460" s="4" t="s">
        <v>103</v>
      </c>
      <c r="AT460" s="4"/>
      <c r="AU460" s="4"/>
      <c r="AV460" s="4" t="s">
        <v>97</v>
      </c>
      <c r="AW460" s="4" t="s">
        <v>97</v>
      </c>
      <c r="AX460" s="4" t="s">
        <v>97</v>
      </c>
      <c r="AY460" s="4" t="s">
        <v>97</v>
      </c>
      <c r="AZ460" s="4" t="s">
        <v>103</v>
      </c>
      <c r="BA460" s="4" t="s">
        <v>97</v>
      </c>
      <c r="BB460" s="24">
        <v>46024</v>
      </c>
      <c r="BC460" s="24">
        <v>46024</v>
      </c>
      <c r="BD460" s="24">
        <v>46027</v>
      </c>
      <c r="BE460" s="24">
        <v>46027</v>
      </c>
      <c r="BF460" s="4" t="s">
        <v>98</v>
      </c>
      <c r="BG460" s="4" t="s">
        <v>97</v>
      </c>
      <c r="BH460" s="4" t="s">
        <v>103</v>
      </c>
      <c r="BI460" s="4" t="s">
        <v>834</v>
      </c>
    </row>
    <row r="461" spans="1:61" x14ac:dyDescent="0.35">
      <c r="A461" s="4" t="s">
        <v>1205</v>
      </c>
      <c r="B461" s="8" t="str">
        <f t="shared" si="44"/>
        <v>2026</v>
      </c>
      <c r="C461" s="2" t="s">
        <v>23</v>
      </c>
      <c r="D461" s="6" t="str">
        <f t="shared" si="41"/>
        <v>Dakar</v>
      </c>
      <c r="E461" s="6">
        <f t="shared" si="42"/>
        <v>167577</v>
      </c>
      <c r="F461" s="6">
        <f t="shared" si="43"/>
        <v>4042240</v>
      </c>
      <c r="G461" s="4" t="s">
        <v>1214</v>
      </c>
      <c r="H461" s="4" t="s">
        <v>1215</v>
      </c>
      <c r="I461" s="4">
        <v>15</v>
      </c>
      <c r="J461" s="4" t="s">
        <v>114</v>
      </c>
      <c r="K461" s="4"/>
      <c r="L461" s="4"/>
      <c r="M461" s="4"/>
      <c r="N461" s="4"/>
      <c r="O461" s="4" t="s">
        <v>238</v>
      </c>
      <c r="P461" s="4" t="s">
        <v>97</v>
      </c>
      <c r="Q461" s="4" t="s">
        <v>97</v>
      </c>
      <c r="R461" s="14" t="s">
        <v>100</v>
      </c>
      <c r="S461" s="14" t="s">
        <v>100</v>
      </c>
      <c r="T461" s="14" t="s">
        <v>100</v>
      </c>
      <c r="U461" s="14"/>
      <c r="V461" s="14"/>
      <c r="W461" s="14"/>
      <c r="X461" s="14"/>
      <c r="Y461" s="5">
        <v>46019</v>
      </c>
      <c r="Z461" s="5">
        <v>46024</v>
      </c>
      <c r="AA461" s="4" t="s">
        <v>103</v>
      </c>
      <c r="AB461" s="4" t="s">
        <v>488</v>
      </c>
      <c r="AC461" s="4" t="s">
        <v>97</v>
      </c>
      <c r="AD461" s="4" t="s">
        <v>97</v>
      </c>
      <c r="AE461" s="4" t="s">
        <v>103</v>
      </c>
      <c r="AF461" s="4" t="s">
        <v>103</v>
      </c>
      <c r="AG461" s="4" t="s">
        <v>97</v>
      </c>
      <c r="AH461" s="4" t="s">
        <v>103</v>
      </c>
      <c r="AI461" s="5">
        <v>46019</v>
      </c>
      <c r="AJ461" s="4" t="s">
        <v>97</v>
      </c>
      <c r="AK461" s="4" t="s">
        <v>97</v>
      </c>
      <c r="AL461" s="4" t="s">
        <v>103</v>
      </c>
      <c r="AM461" s="4" t="s">
        <v>97</v>
      </c>
      <c r="AN461" s="4" t="s">
        <v>103</v>
      </c>
      <c r="AO461" s="4" t="s">
        <v>97</v>
      </c>
      <c r="AP461" s="4" t="s">
        <v>97</v>
      </c>
      <c r="AQ461" s="4" t="s">
        <v>103</v>
      </c>
      <c r="AR461" s="4" t="s">
        <v>97</v>
      </c>
      <c r="AS461" s="4" t="s">
        <v>103</v>
      </c>
      <c r="AT461" s="4"/>
      <c r="AU461" s="4"/>
      <c r="AV461" s="4" t="s">
        <v>103</v>
      </c>
      <c r="AW461" s="4" t="s">
        <v>97</v>
      </c>
      <c r="AX461" s="4" t="s">
        <v>97</v>
      </c>
      <c r="AY461" s="4" t="s">
        <v>97</v>
      </c>
      <c r="AZ461" s="4" t="s">
        <v>97</v>
      </c>
      <c r="BA461" s="4" t="s">
        <v>97</v>
      </c>
      <c r="BB461" s="24">
        <v>46025</v>
      </c>
      <c r="BC461" s="24">
        <v>46025</v>
      </c>
      <c r="BD461" s="24">
        <v>46027</v>
      </c>
      <c r="BE461" s="24">
        <v>46027</v>
      </c>
      <c r="BF461" s="4" t="s">
        <v>98</v>
      </c>
      <c r="BG461" s="4" t="s">
        <v>97</v>
      </c>
      <c r="BH461" s="4" t="s">
        <v>103</v>
      </c>
      <c r="BI461" s="4" t="s">
        <v>834</v>
      </c>
    </row>
    <row r="462" spans="1:61" x14ac:dyDescent="0.35">
      <c r="A462" s="4" t="s">
        <v>1216</v>
      </c>
      <c r="B462" s="8" t="str">
        <f t="shared" si="44"/>
        <v>2026</v>
      </c>
      <c r="C462" s="2" t="s">
        <v>2</v>
      </c>
      <c r="D462" s="6" t="str">
        <f t="shared" si="41"/>
        <v>Fatick</v>
      </c>
      <c r="E462" s="6">
        <f t="shared" si="42"/>
        <v>151740</v>
      </c>
      <c r="F462" s="6">
        <f t="shared" si="43"/>
        <v>965914</v>
      </c>
      <c r="G462" s="4" t="s">
        <v>1217</v>
      </c>
      <c r="H462" s="4" t="s">
        <v>1218</v>
      </c>
      <c r="I462" s="4">
        <v>2</v>
      </c>
      <c r="J462" s="4" t="s">
        <v>114</v>
      </c>
      <c r="K462" s="4"/>
      <c r="L462" s="4"/>
      <c r="M462" s="4"/>
      <c r="N462" s="4"/>
      <c r="O462" s="4" t="s">
        <v>238</v>
      </c>
      <c r="P462" s="4" t="s">
        <v>97</v>
      </c>
      <c r="Q462" s="4" t="s">
        <v>97</v>
      </c>
      <c r="R462" s="14" t="s">
        <v>100</v>
      </c>
      <c r="S462" s="14" t="s">
        <v>100</v>
      </c>
      <c r="T462" s="14" t="s">
        <v>100</v>
      </c>
      <c r="U462" s="14"/>
      <c r="V462" s="14"/>
      <c r="W462" s="14"/>
      <c r="X462" s="14"/>
      <c r="Y462" s="5">
        <v>46027</v>
      </c>
      <c r="Z462" s="5">
        <v>46029</v>
      </c>
      <c r="AA462" s="4" t="s">
        <v>97</v>
      </c>
      <c r="AB462" s="4"/>
      <c r="AC462" s="4" t="s">
        <v>97</v>
      </c>
      <c r="AD462" s="4" t="s">
        <v>97</v>
      </c>
      <c r="AE462" s="4" t="s">
        <v>97</v>
      </c>
      <c r="AF462" s="4" t="s">
        <v>97</v>
      </c>
      <c r="AG462" s="4" t="s">
        <v>97</v>
      </c>
      <c r="AH462" s="4" t="s">
        <v>103</v>
      </c>
      <c r="AI462" s="5">
        <v>46027</v>
      </c>
      <c r="AJ462" s="4" t="s">
        <v>97</v>
      </c>
      <c r="AK462" s="4" t="s">
        <v>97</v>
      </c>
      <c r="AL462" s="4" t="s">
        <v>103</v>
      </c>
      <c r="AM462" s="4" t="s">
        <v>97</v>
      </c>
      <c r="AN462" s="4" t="s">
        <v>97</v>
      </c>
      <c r="AO462" s="4" t="s">
        <v>103</v>
      </c>
      <c r="AP462" s="4" t="s">
        <v>103</v>
      </c>
      <c r="AQ462" s="4" t="s">
        <v>103</v>
      </c>
      <c r="AR462" s="4" t="s">
        <v>103</v>
      </c>
      <c r="AS462" s="4" t="s">
        <v>97</v>
      </c>
      <c r="AT462" s="4"/>
      <c r="AU462" s="4"/>
      <c r="AV462" s="4" t="s">
        <v>97</v>
      </c>
      <c r="AW462" s="4" t="s">
        <v>97</v>
      </c>
      <c r="AX462" s="4" t="s">
        <v>103</v>
      </c>
      <c r="AY462" s="4" t="s">
        <v>97</v>
      </c>
      <c r="AZ462" s="4" t="s">
        <v>103</v>
      </c>
      <c r="BA462" s="4" t="s">
        <v>97</v>
      </c>
      <c r="BB462" s="5">
        <v>46029</v>
      </c>
      <c r="BC462" s="5">
        <v>46034</v>
      </c>
      <c r="BD462" s="5">
        <v>46034</v>
      </c>
      <c r="BE462" s="5">
        <v>46034</v>
      </c>
      <c r="BF462" s="4" t="s">
        <v>98</v>
      </c>
      <c r="BG462" s="4" t="s">
        <v>97</v>
      </c>
      <c r="BH462" s="4" t="s">
        <v>103</v>
      </c>
      <c r="BI462" s="4" t="s">
        <v>834</v>
      </c>
    </row>
    <row r="463" spans="1:61" x14ac:dyDescent="0.35">
      <c r="A463" s="4" t="s">
        <v>1216</v>
      </c>
      <c r="B463" s="8" t="str">
        <f t="shared" si="44"/>
        <v>2026</v>
      </c>
      <c r="C463" s="2" t="s">
        <v>78</v>
      </c>
      <c r="D463" s="6" t="str">
        <f t="shared" si="41"/>
        <v>Ziguinchor</v>
      </c>
      <c r="E463" s="6">
        <f t="shared" si="42"/>
        <v>330001</v>
      </c>
      <c r="F463" s="6">
        <f t="shared" si="43"/>
        <v>729952</v>
      </c>
      <c r="G463" s="4" t="s">
        <v>1219</v>
      </c>
      <c r="H463" s="4" t="s">
        <v>1220</v>
      </c>
      <c r="I463" s="4">
        <v>1</v>
      </c>
      <c r="J463" s="4" t="s">
        <v>114</v>
      </c>
      <c r="K463" s="4"/>
      <c r="L463" s="4"/>
      <c r="M463" s="4"/>
      <c r="N463" s="4"/>
      <c r="O463" s="4" t="s">
        <v>238</v>
      </c>
      <c r="P463" s="4" t="s">
        <v>97</v>
      </c>
      <c r="Q463" s="4" t="s">
        <v>97</v>
      </c>
      <c r="R463" s="14" t="s">
        <v>100</v>
      </c>
      <c r="S463" s="14" t="s">
        <v>100</v>
      </c>
      <c r="T463" s="14" t="s">
        <v>100</v>
      </c>
      <c r="U463" s="14"/>
      <c r="V463" s="14"/>
      <c r="W463" s="14"/>
      <c r="X463" s="14"/>
      <c r="Y463" s="5">
        <v>46026</v>
      </c>
      <c r="Z463" s="5">
        <v>46029</v>
      </c>
      <c r="AA463" s="4" t="s">
        <v>97</v>
      </c>
      <c r="AB463" s="4"/>
      <c r="AC463" s="4" t="s">
        <v>97</v>
      </c>
      <c r="AD463" s="4" t="s">
        <v>97</v>
      </c>
      <c r="AE463" s="4" t="s">
        <v>97</v>
      </c>
      <c r="AF463" s="4" t="s">
        <v>97</v>
      </c>
      <c r="AG463" s="4" t="s">
        <v>97</v>
      </c>
      <c r="AH463" s="4" t="s">
        <v>103</v>
      </c>
      <c r="AI463" s="5">
        <v>46026</v>
      </c>
      <c r="AJ463" s="4" t="s">
        <v>97</v>
      </c>
      <c r="AK463" s="4" t="s">
        <v>97</v>
      </c>
      <c r="AL463" s="4" t="s">
        <v>103</v>
      </c>
      <c r="AM463" s="4" t="s">
        <v>97</v>
      </c>
      <c r="AN463" s="4" t="s">
        <v>97</v>
      </c>
      <c r="AO463" s="4" t="s">
        <v>97</v>
      </c>
      <c r="AP463" s="4" t="s">
        <v>97</v>
      </c>
      <c r="AQ463" s="4" t="s">
        <v>103</v>
      </c>
      <c r="AR463" s="4" t="s">
        <v>97</v>
      </c>
      <c r="AS463" s="4" t="s">
        <v>97</v>
      </c>
      <c r="AT463" s="4"/>
      <c r="AU463" s="4"/>
      <c r="AV463" s="4" t="s">
        <v>103</v>
      </c>
      <c r="AW463" s="4" t="s">
        <v>97</v>
      </c>
      <c r="AX463" s="4" t="s">
        <v>97</v>
      </c>
      <c r="AY463" s="4" t="s">
        <v>97</v>
      </c>
      <c r="AZ463" s="4" t="s">
        <v>103</v>
      </c>
      <c r="BA463" s="4" t="s">
        <v>97</v>
      </c>
      <c r="BB463" s="5">
        <v>46029</v>
      </c>
      <c r="BC463" s="5">
        <v>46029</v>
      </c>
      <c r="BD463" s="5">
        <v>46030</v>
      </c>
      <c r="BE463" s="5">
        <v>46030</v>
      </c>
      <c r="BF463" s="4" t="s">
        <v>98</v>
      </c>
      <c r="BG463" s="4" t="s">
        <v>97</v>
      </c>
      <c r="BH463" s="4" t="s">
        <v>103</v>
      </c>
      <c r="BI463" s="4" t="s">
        <v>834</v>
      </c>
    </row>
    <row r="464" spans="1:61" x14ac:dyDescent="0.35">
      <c r="A464" s="4" t="s">
        <v>1216</v>
      </c>
      <c r="B464" s="8" t="str">
        <f>RIGHT(A465,4)</f>
        <v>2026</v>
      </c>
      <c r="C464" s="2" t="s">
        <v>70</v>
      </c>
      <c r="D464" s="6" t="str">
        <f t="shared" si="41"/>
        <v>Fatick</v>
      </c>
      <c r="E464" s="6">
        <f t="shared" si="42"/>
        <v>198755</v>
      </c>
      <c r="F464" s="6">
        <f t="shared" si="43"/>
        <v>965914</v>
      </c>
      <c r="G464" s="4" t="s">
        <v>1221</v>
      </c>
      <c r="H464" s="4" t="s">
        <v>1222</v>
      </c>
      <c r="I464" s="4">
        <v>26</v>
      </c>
      <c r="J464" s="4" t="s">
        <v>114</v>
      </c>
      <c r="K464" s="4"/>
      <c r="L464" s="4"/>
      <c r="M464" s="4"/>
      <c r="N464" s="4"/>
      <c r="O464" s="4" t="s">
        <v>238</v>
      </c>
      <c r="P464" s="4" t="s">
        <v>97</v>
      </c>
      <c r="Q464" s="4" t="s">
        <v>97</v>
      </c>
      <c r="R464" s="14" t="s">
        <v>100</v>
      </c>
      <c r="S464" s="14" t="s">
        <v>100</v>
      </c>
      <c r="T464" s="14" t="s">
        <v>100</v>
      </c>
      <c r="U464" s="14"/>
      <c r="V464" s="14"/>
      <c r="W464" s="14"/>
      <c r="X464" s="14"/>
      <c r="Y464" s="5">
        <v>46036</v>
      </c>
      <c r="Z464" s="5">
        <v>46036</v>
      </c>
      <c r="AA464" s="4" t="s">
        <v>103</v>
      </c>
      <c r="AB464" s="25">
        <v>38</v>
      </c>
      <c r="AC464" s="4" t="s">
        <v>103</v>
      </c>
      <c r="AD464" s="4" t="s">
        <v>97</v>
      </c>
      <c r="AE464" s="4" t="s">
        <v>97</v>
      </c>
      <c r="AF464" s="4" t="s">
        <v>103</v>
      </c>
      <c r="AG464" s="4" t="s">
        <v>103</v>
      </c>
      <c r="AH464" s="4" t="s">
        <v>103</v>
      </c>
      <c r="AI464" s="5">
        <v>46030</v>
      </c>
      <c r="AJ464" s="4" t="s">
        <v>103</v>
      </c>
      <c r="AK464" s="4" t="s">
        <v>97</v>
      </c>
      <c r="AL464" s="4" t="s">
        <v>103</v>
      </c>
      <c r="AM464" s="4" t="s">
        <v>103</v>
      </c>
      <c r="AN464" s="4" t="s">
        <v>103</v>
      </c>
      <c r="AO464" s="4" t="s">
        <v>97</v>
      </c>
      <c r="AP464" s="4" t="s">
        <v>97</v>
      </c>
      <c r="AQ464" s="4" t="s">
        <v>97</v>
      </c>
      <c r="AR464" s="4" t="s">
        <v>97</v>
      </c>
      <c r="AS464" s="4" t="s">
        <v>103</v>
      </c>
      <c r="AT464" s="4"/>
      <c r="AU464" s="4"/>
      <c r="AV464" s="4" t="s">
        <v>97</v>
      </c>
      <c r="AW464" s="4" t="s">
        <v>103</v>
      </c>
      <c r="AX464" s="4" t="s">
        <v>103</v>
      </c>
      <c r="AY464" s="4" t="s">
        <v>97</v>
      </c>
      <c r="AZ464" s="4" t="s">
        <v>103</v>
      </c>
      <c r="BA464" s="4" t="s">
        <v>97</v>
      </c>
      <c r="BB464" s="5">
        <v>46036</v>
      </c>
      <c r="BC464" s="5">
        <v>46370</v>
      </c>
      <c r="BD464" s="5">
        <v>46371</v>
      </c>
      <c r="BE464" s="5">
        <v>46371</v>
      </c>
      <c r="BF464" s="4" t="s">
        <v>98</v>
      </c>
      <c r="BG464" s="4" t="s">
        <v>97</v>
      </c>
      <c r="BH464" s="4" t="s">
        <v>103</v>
      </c>
      <c r="BI464" s="4" t="s">
        <v>834</v>
      </c>
    </row>
    <row r="465" spans="1:61" x14ac:dyDescent="0.35">
      <c r="A465" s="4" t="s">
        <v>1216</v>
      </c>
      <c r="B465" s="8" t="str">
        <f>RIGHT(A466,4)</f>
        <v>2026</v>
      </c>
      <c r="C465" s="2" t="s">
        <v>48</v>
      </c>
      <c r="D465" s="6" t="str">
        <f t="shared" si="41"/>
        <v>Diourbel</v>
      </c>
      <c r="E465" s="6">
        <f t="shared" si="42"/>
        <v>233408</v>
      </c>
      <c r="F465" s="6">
        <f t="shared" si="43"/>
        <v>1980827</v>
      </c>
      <c r="G465" s="4" t="s">
        <v>1223</v>
      </c>
      <c r="H465" s="4" t="s">
        <v>1224</v>
      </c>
      <c r="I465" s="4">
        <v>11</v>
      </c>
      <c r="J465" s="4" t="s">
        <v>96</v>
      </c>
      <c r="K465" s="4"/>
      <c r="L465" s="4"/>
      <c r="M465" s="4"/>
      <c r="N465" s="4"/>
      <c r="O465" s="4" t="s">
        <v>238</v>
      </c>
      <c r="P465" s="4" t="s">
        <v>97</v>
      </c>
      <c r="Q465" s="4" t="s">
        <v>97</v>
      </c>
      <c r="R465" s="14" t="s">
        <v>100</v>
      </c>
      <c r="S465" s="14" t="s">
        <v>100</v>
      </c>
      <c r="T465" s="14" t="s">
        <v>100</v>
      </c>
      <c r="U465" s="14"/>
      <c r="V465" s="14"/>
      <c r="W465" s="14"/>
      <c r="X465" s="14"/>
      <c r="Y465" s="5">
        <v>46023</v>
      </c>
      <c r="Z465" s="5">
        <v>46026</v>
      </c>
      <c r="AA465" s="4" t="s">
        <v>103</v>
      </c>
      <c r="AB465" s="4" t="s">
        <v>488</v>
      </c>
      <c r="AC465" s="4" t="s">
        <v>97</v>
      </c>
      <c r="AD465" s="4" t="s">
        <v>97</v>
      </c>
      <c r="AE465" s="4" t="s">
        <v>97</v>
      </c>
      <c r="AF465" s="4" t="s">
        <v>97</v>
      </c>
      <c r="AG465" s="4" t="s">
        <v>97</v>
      </c>
      <c r="AH465" s="4" t="s">
        <v>103</v>
      </c>
      <c r="AI465" s="5">
        <v>46023</v>
      </c>
      <c r="AJ465" s="4" t="s">
        <v>97</v>
      </c>
      <c r="AK465" s="4" t="s">
        <v>97</v>
      </c>
      <c r="AL465" s="4" t="s">
        <v>97</v>
      </c>
      <c r="AM465" s="4" t="s">
        <v>103</v>
      </c>
      <c r="AN465" s="4" t="s">
        <v>97</v>
      </c>
      <c r="AO465" s="4" t="s">
        <v>97</v>
      </c>
      <c r="AP465" s="4" t="s">
        <v>103</v>
      </c>
      <c r="AQ465" s="4" t="s">
        <v>97</v>
      </c>
      <c r="AR465" s="4" t="s">
        <v>97</v>
      </c>
      <c r="AS465" s="4" t="s">
        <v>97</v>
      </c>
      <c r="AT465" s="4"/>
      <c r="AU465" s="4"/>
      <c r="AV465" s="4" t="s">
        <v>103</v>
      </c>
      <c r="AW465" s="4" t="s">
        <v>103</v>
      </c>
      <c r="AX465" s="4" t="s">
        <v>97</v>
      </c>
      <c r="AY465" s="4" t="s">
        <v>97</v>
      </c>
      <c r="AZ465" s="4" t="s">
        <v>97</v>
      </c>
      <c r="BA465" s="4" t="s">
        <v>97</v>
      </c>
      <c r="BB465" s="5">
        <v>46027</v>
      </c>
      <c r="BC465" s="5">
        <v>46028</v>
      </c>
      <c r="BD465" s="5">
        <v>46030</v>
      </c>
      <c r="BE465" s="5">
        <v>46030</v>
      </c>
      <c r="BF465" s="4" t="s">
        <v>98</v>
      </c>
      <c r="BG465" s="4" t="s">
        <v>103</v>
      </c>
      <c r="BH465" s="4" t="s">
        <v>103</v>
      </c>
      <c r="BI465" s="4" t="s">
        <v>834</v>
      </c>
    </row>
    <row r="466" spans="1:61" x14ac:dyDescent="0.35">
      <c r="A466" s="4" t="s">
        <v>1216</v>
      </c>
      <c r="B466" s="8" t="str">
        <f t="shared" si="44"/>
        <v>2026</v>
      </c>
      <c r="C466" s="2" t="s">
        <v>75</v>
      </c>
      <c r="D466" s="6" t="str">
        <f t="shared" si="41"/>
        <v>Diourbel</v>
      </c>
      <c r="E466" s="6">
        <f t="shared" si="42"/>
        <v>996481</v>
      </c>
      <c r="F466" s="6">
        <f t="shared" si="43"/>
        <v>1980827</v>
      </c>
      <c r="G466" s="4" t="s">
        <v>1225</v>
      </c>
      <c r="H466" s="4" t="s">
        <v>1226</v>
      </c>
      <c r="I466" s="4">
        <v>18</v>
      </c>
      <c r="J466" s="4" t="s">
        <v>96</v>
      </c>
      <c r="K466" s="4"/>
      <c r="L466" s="4"/>
      <c r="M466" s="4"/>
      <c r="N466" s="4"/>
      <c r="O466" s="4" t="s">
        <v>238</v>
      </c>
      <c r="P466" s="4" t="s">
        <v>97</v>
      </c>
      <c r="Q466" s="4" t="s">
        <v>97</v>
      </c>
      <c r="R466" s="14" t="s">
        <v>100</v>
      </c>
      <c r="S466" s="14" t="s">
        <v>100</v>
      </c>
      <c r="T466" s="14" t="s">
        <v>100</v>
      </c>
      <c r="U466" s="14"/>
      <c r="V466" s="14"/>
      <c r="W466" s="14"/>
      <c r="X466" s="14"/>
      <c r="Y466" s="5">
        <v>46028</v>
      </c>
      <c r="Z466" s="5">
        <v>46029</v>
      </c>
      <c r="AA466" s="4" t="s">
        <v>103</v>
      </c>
      <c r="AB466" s="4" t="s">
        <v>488</v>
      </c>
      <c r="AC466" s="4" t="s">
        <v>103</v>
      </c>
      <c r="AD466" s="4" t="s">
        <v>97</v>
      </c>
      <c r="AE466" s="4" t="s">
        <v>97</v>
      </c>
      <c r="AF466" s="4" t="s">
        <v>97</v>
      </c>
      <c r="AG466" s="4" t="s">
        <v>97</v>
      </c>
      <c r="AH466" s="4" t="s">
        <v>103</v>
      </c>
      <c r="AI466" s="5">
        <v>46028</v>
      </c>
      <c r="AJ466" s="4" t="s">
        <v>97</v>
      </c>
      <c r="AK466" s="4" t="s">
        <v>97</v>
      </c>
      <c r="AL466" s="4" t="s">
        <v>97</v>
      </c>
      <c r="AM466" s="4" t="s">
        <v>97</v>
      </c>
      <c r="AN466" s="4" t="s">
        <v>97</v>
      </c>
      <c r="AO466" s="4" t="s">
        <v>97</v>
      </c>
      <c r="AP466" s="4" t="s">
        <v>97</v>
      </c>
      <c r="AQ466" s="4" t="s">
        <v>97</v>
      </c>
      <c r="AR466" s="4" t="s">
        <v>97</v>
      </c>
      <c r="AS466" s="4" t="s">
        <v>97</v>
      </c>
      <c r="AT466" s="4"/>
      <c r="AU466" s="4"/>
      <c r="AV466" s="4" t="s">
        <v>97</v>
      </c>
      <c r="AW466" s="4" t="s">
        <v>97</v>
      </c>
      <c r="AX466" s="4" t="s">
        <v>97</v>
      </c>
      <c r="AY466" s="4" t="s">
        <v>97</v>
      </c>
      <c r="AZ466" s="4" t="s">
        <v>103</v>
      </c>
      <c r="BA466" s="4" t="s">
        <v>97</v>
      </c>
      <c r="BB466" s="5">
        <v>46029</v>
      </c>
      <c r="BC466" s="5">
        <v>46029</v>
      </c>
      <c r="BD466" s="5">
        <v>46030</v>
      </c>
      <c r="BE466" s="5">
        <v>46030</v>
      </c>
      <c r="BF466" s="4" t="s">
        <v>98</v>
      </c>
      <c r="BG466" s="4" t="s">
        <v>97</v>
      </c>
      <c r="BH466" s="4" t="s">
        <v>97</v>
      </c>
      <c r="BI466" s="4" t="s">
        <v>834</v>
      </c>
    </row>
    <row r="467" spans="1:61" x14ac:dyDescent="0.35">
      <c r="A467" s="4" t="s">
        <v>1216</v>
      </c>
      <c r="B467" s="8" t="str">
        <f t="shared" si="44"/>
        <v>2026</v>
      </c>
      <c r="C467" s="2" t="s">
        <v>75</v>
      </c>
      <c r="D467" s="6" t="str">
        <f t="shared" si="41"/>
        <v>Diourbel</v>
      </c>
      <c r="E467" s="6">
        <f t="shared" si="42"/>
        <v>996481</v>
      </c>
      <c r="F467" s="6">
        <f t="shared" si="43"/>
        <v>1980827</v>
      </c>
      <c r="G467" s="4" t="s">
        <v>1227</v>
      </c>
      <c r="H467" s="4" t="s">
        <v>1228</v>
      </c>
      <c r="I467" s="4">
        <v>12</v>
      </c>
      <c r="J467" s="4" t="s">
        <v>96</v>
      </c>
      <c r="K467" s="4"/>
      <c r="L467" s="4"/>
      <c r="M467" s="4"/>
      <c r="N467" s="4"/>
      <c r="O467" s="4" t="s">
        <v>238</v>
      </c>
      <c r="P467" s="4" t="s">
        <v>97</v>
      </c>
      <c r="Q467" s="4" t="s">
        <v>97</v>
      </c>
      <c r="R467" s="14" t="s">
        <v>100</v>
      </c>
      <c r="S467" s="14" t="s">
        <v>100</v>
      </c>
      <c r="T467" s="14" t="s">
        <v>100</v>
      </c>
      <c r="U467" s="14"/>
      <c r="V467" s="14"/>
      <c r="W467" s="14"/>
      <c r="X467" s="14"/>
      <c r="Y467" s="5">
        <v>46026</v>
      </c>
      <c r="Z467" s="5">
        <v>46029</v>
      </c>
      <c r="AA467" s="4" t="s">
        <v>103</v>
      </c>
      <c r="AB467" s="4" t="s">
        <v>488</v>
      </c>
      <c r="AC467" s="4" t="s">
        <v>97</v>
      </c>
      <c r="AD467" s="4" t="s">
        <v>97</v>
      </c>
      <c r="AE467" s="4" t="s">
        <v>97</v>
      </c>
      <c r="AF467" s="4" t="s">
        <v>97</v>
      </c>
      <c r="AG467" s="4" t="s">
        <v>97</v>
      </c>
      <c r="AH467" s="4" t="s">
        <v>103</v>
      </c>
      <c r="AI467" s="5">
        <v>46026</v>
      </c>
      <c r="AJ467" s="4" t="s">
        <v>97</v>
      </c>
      <c r="AK467" s="4" t="s">
        <v>97</v>
      </c>
      <c r="AL467" s="4" t="s">
        <v>97</v>
      </c>
      <c r="AM467" s="4" t="s">
        <v>97</v>
      </c>
      <c r="AN467" s="4" t="s">
        <v>97</v>
      </c>
      <c r="AO467" s="4" t="s">
        <v>97</v>
      </c>
      <c r="AP467" s="4" t="s">
        <v>103</v>
      </c>
      <c r="AQ467" s="4" t="s">
        <v>103</v>
      </c>
      <c r="AR467" s="4" t="s">
        <v>97</v>
      </c>
      <c r="AS467" s="4" t="s">
        <v>97</v>
      </c>
      <c r="AT467" s="4"/>
      <c r="AU467" s="4"/>
      <c r="AV467" s="4" t="s">
        <v>103</v>
      </c>
      <c r="AW467" s="4" t="s">
        <v>97</v>
      </c>
      <c r="AX467" s="4" t="s">
        <v>97</v>
      </c>
      <c r="AY467" s="4" t="s">
        <v>97</v>
      </c>
      <c r="AZ467" s="4" t="s">
        <v>103</v>
      </c>
      <c r="BA467" s="4" t="s">
        <v>97</v>
      </c>
      <c r="BB467" s="5">
        <v>46029</v>
      </c>
      <c r="BC467" s="5">
        <v>46029</v>
      </c>
      <c r="BD467" s="5">
        <v>46030</v>
      </c>
      <c r="BE467" s="5">
        <v>46030</v>
      </c>
      <c r="BF467" s="4" t="s">
        <v>98</v>
      </c>
      <c r="BG467" s="4" t="s">
        <v>97</v>
      </c>
      <c r="BH467" s="4" t="s">
        <v>97</v>
      </c>
      <c r="BI467" s="4" t="s">
        <v>834</v>
      </c>
    </row>
    <row r="468" spans="1:61" x14ac:dyDescent="0.35">
      <c r="A468" s="4" t="s">
        <v>1216</v>
      </c>
      <c r="B468" s="8" t="str">
        <f t="shared" si="44"/>
        <v>2026</v>
      </c>
      <c r="C468" s="2" t="s">
        <v>33</v>
      </c>
      <c r="D468" s="6" t="str">
        <f t="shared" si="41"/>
        <v>Thies</v>
      </c>
      <c r="E468" s="6">
        <f t="shared" si="42"/>
        <v>102475</v>
      </c>
      <c r="F468" s="6">
        <f t="shared" si="43"/>
        <v>2280463</v>
      </c>
      <c r="G468" s="4" t="s">
        <v>1229</v>
      </c>
      <c r="H468" s="4" t="s">
        <v>1230</v>
      </c>
      <c r="I468" s="4">
        <v>14</v>
      </c>
      <c r="J468" s="4" t="s">
        <v>114</v>
      </c>
      <c r="K468" s="4"/>
      <c r="L468" s="4"/>
      <c r="M468" s="4"/>
      <c r="N468" s="4"/>
      <c r="O468" s="4" t="s">
        <v>238</v>
      </c>
      <c r="P468" s="4" t="s">
        <v>97</v>
      </c>
      <c r="Q468" s="4" t="s">
        <v>97</v>
      </c>
      <c r="R468" s="14" t="s">
        <v>100</v>
      </c>
      <c r="S468" s="14" t="s">
        <v>100</v>
      </c>
      <c r="T468" s="14" t="s">
        <v>100</v>
      </c>
      <c r="U468" s="14"/>
      <c r="V468" s="14"/>
      <c r="W468" s="14"/>
      <c r="X468" s="14"/>
      <c r="Y468" s="5">
        <v>46011</v>
      </c>
      <c r="Z468" s="5">
        <v>46035</v>
      </c>
      <c r="AA468" s="4" t="s">
        <v>97</v>
      </c>
      <c r="AB468" s="4"/>
      <c r="AC468" s="4" t="s">
        <v>97</v>
      </c>
      <c r="AD468" s="4" t="s">
        <v>97</v>
      </c>
      <c r="AE468" s="4" t="s">
        <v>97</v>
      </c>
      <c r="AF468" s="4" t="s">
        <v>97</v>
      </c>
      <c r="AG468" s="4" t="s">
        <v>97</v>
      </c>
      <c r="AH468" s="4" t="s">
        <v>103</v>
      </c>
      <c r="AI468" s="5">
        <v>46035</v>
      </c>
      <c r="AJ468" s="4" t="s">
        <v>103</v>
      </c>
      <c r="AK468" s="4" t="s">
        <v>103</v>
      </c>
      <c r="AL468" s="4" t="s">
        <v>97</v>
      </c>
      <c r="AM468" s="4" t="s">
        <v>97</v>
      </c>
      <c r="AN468" s="4" t="s">
        <v>97</v>
      </c>
      <c r="AO468" s="4" t="s">
        <v>97</v>
      </c>
      <c r="AP468" s="4" t="s">
        <v>103</v>
      </c>
      <c r="AQ468" s="4" t="s">
        <v>97</v>
      </c>
      <c r="AR468" s="4" t="s">
        <v>97</v>
      </c>
      <c r="AS468" s="4" t="s">
        <v>97</v>
      </c>
      <c r="AT468" s="4"/>
      <c r="AU468" s="4"/>
      <c r="AV468" s="4" t="s">
        <v>103</v>
      </c>
      <c r="AW468" s="4" t="s">
        <v>103</v>
      </c>
      <c r="AX468" s="4" t="s">
        <v>97</v>
      </c>
      <c r="AY468" s="4" t="s">
        <v>97</v>
      </c>
      <c r="AZ468" s="4" t="s">
        <v>103</v>
      </c>
      <c r="BA468" s="4" t="s">
        <v>97</v>
      </c>
      <c r="BB468" s="5">
        <v>46035</v>
      </c>
      <c r="BC468" s="5">
        <v>46036</v>
      </c>
      <c r="BD468" s="5">
        <v>46036</v>
      </c>
      <c r="BE468" s="5">
        <v>46036</v>
      </c>
      <c r="BF468" s="4" t="s">
        <v>98</v>
      </c>
      <c r="BG468" s="4" t="s">
        <v>97</v>
      </c>
      <c r="BH468" s="4" t="s">
        <v>97</v>
      </c>
      <c r="BI468" s="4" t="s">
        <v>834</v>
      </c>
    </row>
    <row r="469" spans="1:61" x14ac:dyDescent="0.35">
      <c r="A469" s="4" t="s">
        <v>1216</v>
      </c>
      <c r="B469" s="8" t="str">
        <f t="shared" si="44"/>
        <v>2026</v>
      </c>
      <c r="C469" s="2" t="s">
        <v>33</v>
      </c>
      <c r="D469" s="6" t="str">
        <f t="shared" si="41"/>
        <v>Thies</v>
      </c>
      <c r="E469" s="6">
        <f t="shared" si="42"/>
        <v>102475</v>
      </c>
      <c r="F469" s="6">
        <f t="shared" si="43"/>
        <v>2280463</v>
      </c>
      <c r="G469" s="4" t="s">
        <v>1231</v>
      </c>
      <c r="H469" s="4" t="s">
        <v>1232</v>
      </c>
      <c r="I469" s="4">
        <v>15</v>
      </c>
      <c r="J469" s="4" t="s">
        <v>114</v>
      </c>
      <c r="K469" s="4"/>
      <c r="L469" s="4"/>
      <c r="M469" s="4"/>
      <c r="N469" s="4"/>
      <c r="O469" s="4" t="s">
        <v>238</v>
      </c>
      <c r="P469" s="4" t="s">
        <v>97</v>
      </c>
      <c r="Q469" s="4" t="s">
        <v>97</v>
      </c>
      <c r="R469" s="14" t="s">
        <v>100</v>
      </c>
      <c r="S469" s="14" t="s">
        <v>100</v>
      </c>
      <c r="T469" s="14" t="s">
        <v>100</v>
      </c>
      <c r="U469" s="14"/>
      <c r="V469" s="14"/>
      <c r="W469" s="14"/>
      <c r="X469" s="14"/>
      <c r="Y469" s="5">
        <v>46035</v>
      </c>
      <c r="Z469" s="5">
        <v>46035</v>
      </c>
      <c r="AA469" s="4" t="s">
        <v>97</v>
      </c>
      <c r="AB469" s="4"/>
      <c r="AC469" s="4" t="s">
        <v>97</v>
      </c>
      <c r="AD469" s="4" t="s">
        <v>97</v>
      </c>
      <c r="AE469" s="4" t="s">
        <v>97</v>
      </c>
      <c r="AF469" s="4" t="s">
        <v>97</v>
      </c>
      <c r="AG469" s="4" t="s">
        <v>97</v>
      </c>
      <c r="AH469" s="4" t="s">
        <v>103</v>
      </c>
      <c r="AI469" s="5">
        <v>46003</v>
      </c>
      <c r="AJ469" s="4" t="s">
        <v>103</v>
      </c>
      <c r="AK469" s="4" t="s">
        <v>103</v>
      </c>
      <c r="AL469" s="4" t="s">
        <v>97</v>
      </c>
      <c r="AM469" s="4" t="s">
        <v>97</v>
      </c>
      <c r="AN469" s="4" t="s">
        <v>103</v>
      </c>
      <c r="AO469" s="4" t="s">
        <v>97</v>
      </c>
      <c r="AP469" s="4" t="s">
        <v>97</v>
      </c>
      <c r="AQ469" s="4" t="s">
        <v>97</v>
      </c>
      <c r="AR469" s="4" t="s">
        <v>97</v>
      </c>
      <c r="AS469" s="4" t="s">
        <v>97</v>
      </c>
      <c r="AT469" s="4"/>
      <c r="AU469" s="4"/>
      <c r="AV469" s="4" t="s">
        <v>103</v>
      </c>
      <c r="AW469" s="4" t="s">
        <v>97</v>
      </c>
      <c r="AX469" s="4" t="s">
        <v>97</v>
      </c>
      <c r="AY469" s="4" t="s">
        <v>97</v>
      </c>
      <c r="AZ469" s="4" t="s">
        <v>103</v>
      </c>
      <c r="BA469" s="4" t="s">
        <v>97</v>
      </c>
      <c r="BB469" s="5">
        <v>46035</v>
      </c>
      <c r="BC469" s="5">
        <v>46036</v>
      </c>
      <c r="BD469" s="5">
        <v>46036</v>
      </c>
      <c r="BE469" s="5">
        <v>46036</v>
      </c>
      <c r="BF469" s="4" t="s">
        <v>98</v>
      </c>
      <c r="BG469" s="4" t="s">
        <v>97</v>
      </c>
      <c r="BH469" s="4" t="s">
        <v>97</v>
      </c>
      <c r="BI469" s="4" t="s">
        <v>834</v>
      </c>
    </row>
    <row r="470" spans="1:61" x14ac:dyDescent="0.35">
      <c r="A470" s="4" t="s">
        <v>1233</v>
      </c>
      <c r="B470" s="8" t="str">
        <f t="shared" si="44"/>
        <v>2026</v>
      </c>
      <c r="C470" s="2" t="s">
        <v>76</v>
      </c>
      <c r="D470" s="6" t="str">
        <f t="shared" si="41"/>
        <v>Kolda</v>
      </c>
      <c r="E470" s="6">
        <f t="shared" si="42"/>
        <v>367976</v>
      </c>
      <c r="F470" s="6">
        <f t="shared" si="43"/>
        <v>875661</v>
      </c>
      <c r="G470" s="4" t="s">
        <v>1234</v>
      </c>
      <c r="H470" s="4" t="s">
        <v>1235</v>
      </c>
      <c r="I470" s="4">
        <v>15</v>
      </c>
      <c r="J470" s="4" t="s">
        <v>114</v>
      </c>
      <c r="K470" s="4"/>
      <c r="L470" s="4"/>
      <c r="M470" s="4"/>
      <c r="N470" s="4"/>
      <c r="O470" s="4" t="s">
        <v>238</v>
      </c>
      <c r="P470" s="4" t="s">
        <v>97</v>
      </c>
      <c r="Q470" s="4" t="s">
        <v>97</v>
      </c>
      <c r="R470" s="14" t="s">
        <v>100</v>
      </c>
      <c r="S470" s="14" t="s">
        <v>100</v>
      </c>
      <c r="T470" s="14" t="s">
        <v>100</v>
      </c>
      <c r="U470" s="14"/>
      <c r="V470" s="14"/>
      <c r="W470" s="14"/>
      <c r="X470" s="14"/>
      <c r="Y470" s="5">
        <v>46040</v>
      </c>
      <c r="Z470" s="5">
        <v>46042</v>
      </c>
      <c r="AA470" s="4" t="s">
        <v>97</v>
      </c>
      <c r="AB470" s="4"/>
      <c r="AC470" s="4" t="s">
        <v>97</v>
      </c>
      <c r="AD470" s="4" t="s">
        <v>97</v>
      </c>
      <c r="AE470" s="4" t="s">
        <v>97</v>
      </c>
      <c r="AF470" s="4" t="s">
        <v>103</v>
      </c>
      <c r="AG470" s="4" t="s">
        <v>97</v>
      </c>
      <c r="AH470" s="4" t="s">
        <v>103</v>
      </c>
      <c r="AI470" s="5">
        <v>46040</v>
      </c>
      <c r="AJ470" s="4" t="s">
        <v>97</v>
      </c>
      <c r="AK470" s="4" t="s">
        <v>103</v>
      </c>
      <c r="AL470" s="4" t="s">
        <v>97</v>
      </c>
      <c r="AM470" s="4" t="s">
        <v>103</v>
      </c>
      <c r="AN470" s="4" t="s">
        <v>103</v>
      </c>
      <c r="AO470" s="4" t="s">
        <v>103</v>
      </c>
      <c r="AP470" s="4" t="s">
        <v>103</v>
      </c>
      <c r="AQ470" s="4" t="s">
        <v>97</v>
      </c>
      <c r="AR470" s="4" t="s">
        <v>97</v>
      </c>
      <c r="AS470" s="4" t="s">
        <v>103</v>
      </c>
      <c r="AT470" s="4"/>
      <c r="AU470" s="4"/>
      <c r="AV470" s="4" t="s">
        <v>103</v>
      </c>
      <c r="AW470" s="4" t="s">
        <v>103</v>
      </c>
      <c r="AX470" s="4" t="s">
        <v>97</v>
      </c>
      <c r="AY470" s="4" t="s">
        <v>97</v>
      </c>
      <c r="AZ470" s="4" t="s">
        <v>103</v>
      </c>
      <c r="BA470" s="4" t="s">
        <v>97</v>
      </c>
      <c r="BB470" s="5">
        <v>46041</v>
      </c>
      <c r="BC470" s="5">
        <v>46041</v>
      </c>
      <c r="BD470" s="5">
        <v>46044</v>
      </c>
      <c r="BE470" s="5">
        <v>46044</v>
      </c>
      <c r="BF470" s="4" t="s">
        <v>98</v>
      </c>
      <c r="BG470" s="4" t="s">
        <v>97</v>
      </c>
      <c r="BH470" s="4" t="s">
        <v>103</v>
      </c>
      <c r="BI470" s="4" t="s">
        <v>834</v>
      </c>
    </row>
    <row r="471" spans="1:61" x14ac:dyDescent="0.35">
      <c r="A471" s="4" t="s">
        <v>1233</v>
      </c>
      <c r="B471" s="8" t="str">
        <f t="shared" si="44"/>
        <v>2026</v>
      </c>
      <c r="C471" s="2" t="s">
        <v>64</v>
      </c>
      <c r="D471" s="6" t="str">
        <f t="shared" si="41"/>
        <v>Dakar</v>
      </c>
      <c r="E471" s="6">
        <f t="shared" si="42"/>
        <v>284840</v>
      </c>
      <c r="F471" s="6">
        <f t="shared" si="43"/>
        <v>4042240</v>
      </c>
      <c r="G471" s="4" t="s">
        <v>1236</v>
      </c>
      <c r="H471" s="4" t="s">
        <v>1237</v>
      </c>
      <c r="I471" s="4">
        <v>34</v>
      </c>
      <c r="J471" s="4" t="s">
        <v>114</v>
      </c>
      <c r="K471" s="4"/>
      <c r="L471" s="4"/>
      <c r="M471" s="4"/>
      <c r="N471" s="4"/>
      <c r="O471" s="4" t="s">
        <v>238</v>
      </c>
      <c r="P471" s="4" t="s">
        <v>97</v>
      </c>
      <c r="Q471" s="4" t="s">
        <v>97</v>
      </c>
      <c r="R471" s="14" t="s">
        <v>100</v>
      </c>
      <c r="S471" s="14" t="s">
        <v>100</v>
      </c>
      <c r="T471" s="14" t="s">
        <v>100</v>
      </c>
      <c r="U471" s="14"/>
      <c r="V471" s="14"/>
      <c r="W471" s="14"/>
      <c r="X471" s="14"/>
      <c r="Y471" s="5">
        <v>46038</v>
      </c>
      <c r="Z471" s="5">
        <v>46041</v>
      </c>
      <c r="AA471" s="4" t="s">
        <v>103</v>
      </c>
      <c r="AB471" s="4" t="s">
        <v>488</v>
      </c>
      <c r="AC471" s="4" t="s">
        <v>97</v>
      </c>
      <c r="AD471" s="4" t="s">
        <v>103</v>
      </c>
      <c r="AE471" s="4" t="s">
        <v>97</v>
      </c>
      <c r="AF471" s="4" t="s">
        <v>97</v>
      </c>
      <c r="AG471" s="4" t="s">
        <v>97</v>
      </c>
      <c r="AH471" s="4" t="s">
        <v>103</v>
      </c>
      <c r="AI471" s="5">
        <v>46038</v>
      </c>
      <c r="AJ471" s="4" t="s">
        <v>97</v>
      </c>
      <c r="AK471" s="4" t="s">
        <v>97</v>
      </c>
      <c r="AL471" s="4" t="s">
        <v>97</v>
      </c>
      <c r="AM471" s="4" t="s">
        <v>103</v>
      </c>
      <c r="AN471" s="4" t="s">
        <v>103</v>
      </c>
      <c r="AO471" s="4" t="s">
        <v>97</v>
      </c>
      <c r="AP471" s="4" t="s">
        <v>97</v>
      </c>
      <c r="AQ471" s="4" t="s">
        <v>97</v>
      </c>
      <c r="AR471" s="4" t="s">
        <v>97</v>
      </c>
      <c r="AS471" s="4" t="s">
        <v>97</v>
      </c>
      <c r="AT471" s="4"/>
      <c r="AU471" s="4"/>
      <c r="AV471" s="4" t="s">
        <v>97</v>
      </c>
      <c r="AW471" s="4" t="s">
        <v>97</v>
      </c>
      <c r="AX471" s="4" t="s">
        <v>97</v>
      </c>
      <c r="AY471" s="4" t="s">
        <v>97</v>
      </c>
      <c r="AZ471" s="4" t="s">
        <v>103</v>
      </c>
      <c r="BA471" s="4" t="s">
        <v>103</v>
      </c>
      <c r="BB471" s="5">
        <v>46041</v>
      </c>
      <c r="BC471" s="5">
        <v>46041</v>
      </c>
      <c r="BD471" s="5">
        <v>46044</v>
      </c>
      <c r="BE471" s="5">
        <v>46044</v>
      </c>
      <c r="BF471" s="4" t="s">
        <v>98</v>
      </c>
      <c r="BG471" s="4" t="s">
        <v>97</v>
      </c>
      <c r="BH471" s="4" t="s">
        <v>103</v>
      </c>
      <c r="BI471" s="4" t="s">
        <v>834</v>
      </c>
    </row>
    <row r="472" spans="1:61" x14ac:dyDescent="0.35">
      <c r="A472" s="4" t="s">
        <v>1233</v>
      </c>
      <c r="B472" s="8" t="str">
        <f t="shared" si="44"/>
        <v>2026</v>
      </c>
      <c r="C472" s="2" t="s">
        <v>36</v>
      </c>
      <c r="D472" s="6" t="str">
        <f t="shared" si="41"/>
        <v>Kedougou</v>
      </c>
      <c r="E472" s="6">
        <f t="shared" si="42"/>
        <v>105689</v>
      </c>
      <c r="F472" s="6">
        <f t="shared" si="43"/>
        <v>203720</v>
      </c>
      <c r="G472" s="4" t="s">
        <v>1238</v>
      </c>
      <c r="H472" s="4" t="s">
        <v>1239</v>
      </c>
      <c r="I472" s="4">
        <v>19</v>
      </c>
      <c r="J472" s="4" t="s">
        <v>114</v>
      </c>
      <c r="K472" s="4"/>
      <c r="L472" s="4"/>
      <c r="M472" s="4"/>
      <c r="N472" s="4"/>
      <c r="O472" s="4" t="s">
        <v>238</v>
      </c>
      <c r="P472" s="4" t="s">
        <v>97</v>
      </c>
      <c r="Q472" s="4" t="s">
        <v>97</v>
      </c>
      <c r="R472" s="14" t="s">
        <v>100</v>
      </c>
      <c r="S472" s="14" t="s">
        <v>100</v>
      </c>
      <c r="T472" s="14" t="s">
        <v>100</v>
      </c>
      <c r="U472" s="14"/>
      <c r="V472" s="14"/>
      <c r="W472" s="14"/>
      <c r="X472" s="14"/>
      <c r="Y472" s="5">
        <v>46032</v>
      </c>
      <c r="Z472" s="5">
        <v>46035</v>
      </c>
      <c r="AA472" s="4" t="s">
        <v>103</v>
      </c>
      <c r="AB472" s="25">
        <v>38</v>
      </c>
      <c r="AC472" s="4" t="s">
        <v>103</v>
      </c>
      <c r="AD472" s="4" t="s">
        <v>97</v>
      </c>
      <c r="AE472" s="4" t="s">
        <v>97</v>
      </c>
      <c r="AF472" s="4" t="s">
        <v>97</v>
      </c>
      <c r="AG472" s="4" t="s">
        <v>97</v>
      </c>
      <c r="AH472" s="4" t="s">
        <v>103</v>
      </c>
      <c r="AI472" s="5">
        <v>46035</v>
      </c>
      <c r="AJ472" s="4" t="s">
        <v>97</v>
      </c>
      <c r="AK472" s="4" t="s">
        <v>97</v>
      </c>
      <c r="AL472" s="4" t="s">
        <v>97</v>
      </c>
      <c r="AM472" s="4" t="s">
        <v>97</v>
      </c>
      <c r="AN472" s="4" t="s">
        <v>97</v>
      </c>
      <c r="AO472" s="4" t="s">
        <v>97</v>
      </c>
      <c r="AP472" s="4" t="s">
        <v>97</v>
      </c>
      <c r="AQ472" s="4" t="s">
        <v>97</v>
      </c>
      <c r="AR472" s="4" t="s">
        <v>97</v>
      </c>
      <c r="AS472" s="4" t="s">
        <v>97</v>
      </c>
      <c r="AT472" s="4"/>
      <c r="AU472" s="4"/>
      <c r="AV472" s="4" t="s">
        <v>103</v>
      </c>
      <c r="AW472" s="4" t="s">
        <v>97</v>
      </c>
      <c r="AX472" s="4" t="s">
        <v>97</v>
      </c>
      <c r="AY472" s="4" t="s">
        <v>97</v>
      </c>
      <c r="AZ472" s="4" t="s">
        <v>103</v>
      </c>
      <c r="BA472" s="4" t="s">
        <v>97</v>
      </c>
      <c r="BB472" s="5">
        <v>46035</v>
      </c>
      <c r="BC472" s="5">
        <v>46041</v>
      </c>
      <c r="BD472" s="5">
        <v>46044</v>
      </c>
      <c r="BE472" s="5">
        <v>46044</v>
      </c>
      <c r="BF472" s="4" t="s">
        <v>98</v>
      </c>
      <c r="BG472" s="4" t="s">
        <v>97</v>
      </c>
      <c r="BH472" s="4" t="s">
        <v>103</v>
      </c>
      <c r="BI472" s="4" t="s">
        <v>834</v>
      </c>
    </row>
    <row r="473" spans="1:61" x14ac:dyDescent="0.35">
      <c r="A473" s="4" t="s">
        <v>1233</v>
      </c>
      <c r="B473" s="8" t="str">
        <f t="shared" si="44"/>
        <v>2026</v>
      </c>
      <c r="C473" s="2" t="s">
        <v>75</v>
      </c>
      <c r="D473" s="6" t="str">
        <f t="shared" si="41"/>
        <v>Diourbel</v>
      </c>
      <c r="E473" s="6">
        <f t="shared" si="42"/>
        <v>996481</v>
      </c>
      <c r="F473" s="6">
        <f t="shared" si="43"/>
        <v>1980827</v>
      </c>
      <c r="G473" s="4" t="s">
        <v>1240</v>
      </c>
      <c r="H473" s="4" t="s">
        <v>1241</v>
      </c>
      <c r="I473" s="4">
        <v>23</v>
      </c>
      <c r="J473" s="4" t="s">
        <v>114</v>
      </c>
      <c r="K473" s="4"/>
      <c r="L473" s="4"/>
      <c r="M473" s="4"/>
      <c r="N473" s="4"/>
      <c r="O473" s="4" t="s">
        <v>238</v>
      </c>
      <c r="P473" s="4" t="s">
        <v>97</v>
      </c>
      <c r="Q473" s="4" t="s">
        <v>97</v>
      </c>
      <c r="R473" s="14" t="s">
        <v>100</v>
      </c>
      <c r="S473" s="14" t="s">
        <v>100</v>
      </c>
      <c r="T473" s="14" t="s">
        <v>100</v>
      </c>
      <c r="U473" s="14"/>
      <c r="V473" s="14"/>
      <c r="W473" s="14"/>
      <c r="X473" s="14"/>
      <c r="Y473" s="5">
        <v>46042</v>
      </c>
      <c r="Z473" s="5">
        <v>46043</v>
      </c>
      <c r="AA473" s="4" t="s">
        <v>103</v>
      </c>
      <c r="AB473" s="4" t="s">
        <v>550</v>
      </c>
      <c r="AC473" s="4" t="s">
        <v>103</v>
      </c>
      <c r="AD473" s="4" t="s">
        <v>97</v>
      </c>
      <c r="AE473" s="4" t="s">
        <v>97</v>
      </c>
      <c r="AF473" s="4" t="s">
        <v>97</v>
      </c>
      <c r="AG473" s="4" t="s">
        <v>97</v>
      </c>
      <c r="AH473" s="4" t="s">
        <v>103</v>
      </c>
      <c r="AI473" s="5">
        <v>46042</v>
      </c>
      <c r="AJ473" s="4" t="s">
        <v>97</v>
      </c>
      <c r="AK473" s="4" t="s">
        <v>97</v>
      </c>
      <c r="AL473" s="4" t="s">
        <v>97</v>
      </c>
      <c r="AM473" s="4" t="s">
        <v>103</v>
      </c>
      <c r="AN473" s="4" t="s">
        <v>103</v>
      </c>
      <c r="AO473" s="4" t="s">
        <v>103</v>
      </c>
      <c r="AP473" s="4" t="s">
        <v>103</v>
      </c>
      <c r="AQ473" s="4" t="s">
        <v>103</v>
      </c>
      <c r="AR473" s="4" t="s">
        <v>103</v>
      </c>
      <c r="AS473" s="4" t="s">
        <v>103</v>
      </c>
      <c r="AT473" s="4"/>
      <c r="AU473" s="4"/>
      <c r="AV473" s="4" t="s">
        <v>103</v>
      </c>
      <c r="AW473" s="4" t="s">
        <v>97</v>
      </c>
      <c r="AX473" s="4" t="s">
        <v>97</v>
      </c>
      <c r="AY473" s="4" t="s">
        <v>97</v>
      </c>
      <c r="AZ473" s="4" t="s">
        <v>103</v>
      </c>
      <c r="BA473" s="4" t="s">
        <v>97</v>
      </c>
      <c r="BB473" s="5">
        <v>46043</v>
      </c>
      <c r="BC473" s="5">
        <v>46044</v>
      </c>
      <c r="BD473" s="5">
        <v>46045</v>
      </c>
      <c r="BE473" s="5">
        <v>46045</v>
      </c>
      <c r="BF473" s="4" t="s">
        <v>98</v>
      </c>
      <c r="BG473" s="4" t="s">
        <v>97</v>
      </c>
      <c r="BH473" s="4" t="s">
        <v>97</v>
      </c>
      <c r="BI473" s="4" t="s">
        <v>834</v>
      </c>
    </row>
    <row r="474" spans="1:61" x14ac:dyDescent="0.35">
      <c r="A474" s="4" t="s">
        <v>1233</v>
      </c>
      <c r="B474" s="8" t="str">
        <f t="shared" si="44"/>
        <v>2026</v>
      </c>
      <c r="C474" s="2" t="s">
        <v>75</v>
      </c>
      <c r="D474" s="6" t="str">
        <f t="shared" si="41"/>
        <v>Diourbel</v>
      </c>
      <c r="E474" s="6">
        <f t="shared" si="42"/>
        <v>996481</v>
      </c>
      <c r="F474" s="6">
        <f t="shared" si="43"/>
        <v>1980827</v>
      </c>
      <c r="G474" s="4" t="s">
        <v>1242</v>
      </c>
      <c r="H474" s="4" t="s">
        <v>1243</v>
      </c>
      <c r="I474" s="4">
        <v>16</v>
      </c>
      <c r="J474" s="4" t="s">
        <v>96</v>
      </c>
      <c r="K474" s="4" t="s">
        <v>1244</v>
      </c>
      <c r="L474" s="5">
        <v>46035</v>
      </c>
      <c r="M474" s="4"/>
      <c r="N474" s="4"/>
      <c r="O474" s="4" t="s">
        <v>238</v>
      </c>
      <c r="P474" s="4" t="s">
        <v>97</v>
      </c>
      <c r="Q474" s="4" t="s">
        <v>97</v>
      </c>
      <c r="R474" s="14" t="s">
        <v>100</v>
      </c>
      <c r="S474" s="14" t="s">
        <v>100</v>
      </c>
      <c r="T474" s="14" t="s">
        <v>100</v>
      </c>
      <c r="U474" s="14"/>
      <c r="V474" s="14"/>
      <c r="W474" s="14"/>
      <c r="X474" s="14"/>
      <c r="Y474" s="5">
        <v>46035</v>
      </c>
      <c r="Z474" s="5">
        <v>46041</v>
      </c>
      <c r="AA474" s="4" t="s">
        <v>97</v>
      </c>
      <c r="AB474" s="4"/>
      <c r="AC474" s="4" t="s">
        <v>103</v>
      </c>
      <c r="AD474" s="4" t="s">
        <v>97</v>
      </c>
      <c r="AE474" s="4" t="s">
        <v>97</v>
      </c>
      <c r="AF474" s="4" t="s">
        <v>103</v>
      </c>
      <c r="AG474" s="4" t="s">
        <v>103</v>
      </c>
      <c r="AH474" s="4" t="s">
        <v>103</v>
      </c>
      <c r="AI474" s="5">
        <v>46035</v>
      </c>
      <c r="AJ474" s="4" t="s">
        <v>97</v>
      </c>
      <c r="AK474" s="4" t="s">
        <v>103</v>
      </c>
      <c r="AL474" s="4" t="s">
        <v>97</v>
      </c>
      <c r="AM474" s="4" t="s">
        <v>103</v>
      </c>
      <c r="AN474" s="4" t="s">
        <v>103</v>
      </c>
      <c r="AO474" s="4" t="s">
        <v>97</v>
      </c>
      <c r="AP474" s="4" t="s">
        <v>103</v>
      </c>
      <c r="AQ474" s="4" t="s">
        <v>103</v>
      </c>
      <c r="AR474" s="4" t="s">
        <v>97</v>
      </c>
      <c r="AS474" s="4" t="s">
        <v>97</v>
      </c>
      <c r="AT474" s="4"/>
      <c r="AU474" s="4"/>
      <c r="AV474" s="4" t="s">
        <v>103</v>
      </c>
      <c r="AW474" s="4" t="s">
        <v>97</v>
      </c>
      <c r="AX474" s="4" t="s">
        <v>97</v>
      </c>
      <c r="AY474" s="4" t="s">
        <v>97</v>
      </c>
      <c r="AZ474" s="4" t="s">
        <v>103</v>
      </c>
      <c r="BA474" s="4" t="s">
        <v>97</v>
      </c>
      <c r="BB474" s="5">
        <v>46043</v>
      </c>
      <c r="BC474" s="5">
        <v>46044</v>
      </c>
      <c r="BD474" s="5">
        <v>46045</v>
      </c>
      <c r="BE474" s="5">
        <v>46045</v>
      </c>
      <c r="BF474" s="4" t="s">
        <v>98</v>
      </c>
      <c r="BG474" s="4" t="s">
        <v>103</v>
      </c>
      <c r="BH474" s="4" t="s">
        <v>103</v>
      </c>
      <c r="BI474" s="4" t="s">
        <v>834</v>
      </c>
    </row>
    <row r="475" spans="1:61" x14ac:dyDescent="0.35">
      <c r="A475" s="4" t="s">
        <v>1245</v>
      </c>
      <c r="B475" s="8" t="str">
        <f t="shared" si="44"/>
        <v>2026</v>
      </c>
      <c r="C475" s="2" t="s">
        <v>2</v>
      </c>
      <c r="D475" s="6" t="str">
        <f t="shared" si="41"/>
        <v>Fatick</v>
      </c>
      <c r="E475" s="6">
        <f t="shared" si="42"/>
        <v>151740</v>
      </c>
      <c r="F475" s="6">
        <f t="shared" si="43"/>
        <v>965914</v>
      </c>
      <c r="G475" s="4" t="s">
        <v>1246</v>
      </c>
      <c r="H475" s="4" t="s">
        <v>1247</v>
      </c>
      <c r="I475" s="4">
        <v>9</v>
      </c>
      <c r="J475" s="4" t="s">
        <v>114</v>
      </c>
      <c r="K475" s="4"/>
      <c r="L475" s="4"/>
      <c r="M475" s="4"/>
      <c r="N475" s="4"/>
      <c r="O475" s="4" t="s">
        <v>238</v>
      </c>
      <c r="P475" s="4" t="s">
        <v>97</v>
      </c>
      <c r="Q475" s="4" t="s">
        <v>97</v>
      </c>
      <c r="R475" s="14" t="s">
        <v>100</v>
      </c>
      <c r="S475" s="14" t="s">
        <v>100</v>
      </c>
      <c r="T475" s="14" t="s">
        <v>100</v>
      </c>
      <c r="U475" s="14"/>
      <c r="V475" s="14"/>
      <c r="W475" s="14"/>
      <c r="X475" s="14"/>
      <c r="Y475" s="5">
        <v>46034</v>
      </c>
      <c r="Z475" s="5">
        <v>46037</v>
      </c>
      <c r="AA475" s="4" t="s">
        <v>97</v>
      </c>
      <c r="AB475" s="4"/>
      <c r="AC475" s="4" t="s">
        <v>103</v>
      </c>
      <c r="AD475" s="4" t="s">
        <v>97</v>
      </c>
      <c r="AE475" s="4" t="s">
        <v>97</v>
      </c>
      <c r="AF475" s="4" t="s">
        <v>97</v>
      </c>
      <c r="AG475" s="4" t="s">
        <v>97</v>
      </c>
      <c r="AH475" s="4" t="s">
        <v>103</v>
      </c>
      <c r="AI475" s="5">
        <v>46035</v>
      </c>
      <c r="AJ475" s="4" t="s">
        <v>103</v>
      </c>
      <c r="AK475" s="4" t="s">
        <v>103</v>
      </c>
      <c r="AL475" s="4" t="s">
        <v>97</v>
      </c>
      <c r="AM475" s="4" t="s">
        <v>103</v>
      </c>
      <c r="AN475" s="4" t="s">
        <v>103</v>
      </c>
      <c r="AO475" s="4" t="s">
        <v>97</v>
      </c>
      <c r="AP475" s="4" t="s">
        <v>97</v>
      </c>
      <c r="AQ475" s="4" t="s">
        <v>97</v>
      </c>
      <c r="AR475" s="4" t="s">
        <v>97</v>
      </c>
      <c r="AS475" s="4" t="s">
        <v>97</v>
      </c>
      <c r="AT475" s="4"/>
      <c r="AU475" s="4"/>
      <c r="AV475" s="4" t="s">
        <v>103</v>
      </c>
      <c r="AW475" s="4" t="s">
        <v>97</v>
      </c>
      <c r="AX475" s="4" t="s">
        <v>97</v>
      </c>
      <c r="AY475" s="4" t="s">
        <v>97</v>
      </c>
      <c r="AZ475" s="4" t="s">
        <v>103</v>
      </c>
      <c r="BA475" s="4" t="s">
        <v>97</v>
      </c>
      <c r="BB475" s="5">
        <v>46037</v>
      </c>
      <c r="BC475" s="5">
        <v>46047</v>
      </c>
      <c r="BD475" s="5">
        <v>46048</v>
      </c>
      <c r="BE475" s="5">
        <v>46048</v>
      </c>
      <c r="BF475" s="4" t="s">
        <v>98</v>
      </c>
      <c r="BG475" s="4" t="s">
        <v>97</v>
      </c>
      <c r="BH475" s="4" t="s">
        <v>97</v>
      </c>
      <c r="BI475" s="4" t="s">
        <v>834</v>
      </c>
    </row>
    <row r="476" spans="1:61" x14ac:dyDescent="0.35">
      <c r="A476" s="4"/>
      <c r="B476" s="8" t="str">
        <f t="shared" si="44"/>
        <v/>
      </c>
      <c r="D476" s="6" t="str">
        <f t="shared" si="41"/>
        <v/>
      </c>
      <c r="E476" s="6" t="str">
        <f t="shared" si="42"/>
        <v/>
      </c>
      <c r="F476" s="6" t="str">
        <f t="shared" si="43"/>
        <v/>
      </c>
      <c r="G476" s="4"/>
      <c r="H476" s="4"/>
      <c r="I476" s="4"/>
      <c r="J476" s="4"/>
      <c r="K476" s="4"/>
      <c r="L476" s="4"/>
      <c r="M476" s="4"/>
      <c r="N476" s="4"/>
      <c r="O476" s="4"/>
      <c r="P476" s="4"/>
      <c r="Q476" s="4"/>
      <c r="R476" s="14"/>
      <c r="S476" s="14"/>
      <c r="T476" s="14"/>
      <c r="U476" s="14"/>
      <c r="V476" s="14"/>
      <c r="W476" s="14"/>
      <c r="X476" s="1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G476" s="4"/>
      <c r="BH476" s="4"/>
    </row>
    <row r="477" spans="1:61" x14ac:dyDescent="0.35">
      <c r="A477" s="4"/>
      <c r="B477" s="8" t="str">
        <f t="shared" si="44"/>
        <v/>
      </c>
      <c r="D477" s="6" t="str">
        <f t="shared" si="41"/>
        <v/>
      </c>
      <c r="E477" s="6" t="str">
        <f t="shared" si="42"/>
        <v/>
      </c>
      <c r="F477" s="6" t="str">
        <f t="shared" si="43"/>
        <v/>
      </c>
      <c r="G477" s="4"/>
      <c r="H477" s="4"/>
      <c r="I477" s="4"/>
      <c r="J477" s="4"/>
      <c r="K477" s="4"/>
      <c r="L477" s="4"/>
      <c r="M477" s="4"/>
      <c r="N477" s="4"/>
      <c r="O477" s="4"/>
      <c r="P477" s="4"/>
      <c r="Q477" s="4"/>
      <c r="R477" s="14"/>
      <c r="S477" s="14"/>
      <c r="T477" s="14"/>
      <c r="U477" s="14"/>
      <c r="V477" s="14"/>
      <c r="W477" s="14"/>
      <c r="X477" s="1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G477" s="4"/>
      <c r="BH477" s="4"/>
    </row>
    <row r="478" spans="1:61" x14ac:dyDescent="0.35">
      <c r="A478" s="4"/>
      <c r="B478" s="8" t="str">
        <f t="shared" si="44"/>
        <v/>
      </c>
      <c r="D478" s="6" t="str">
        <f t="shared" si="41"/>
        <v/>
      </c>
      <c r="E478" s="6" t="str">
        <f t="shared" si="42"/>
        <v/>
      </c>
      <c r="F478" s="6" t="str">
        <f t="shared" si="43"/>
        <v/>
      </c>
      <c r="G478" s="4"/>
      <c r="H478" s="4"/>
      <c r="I478" s="4"/>
      <c r="J478" s="4"/>
      <c r="K478" s="4"/>
      <c r="L478" s="4"/>
      <c r="M478" s="4"/>
      <c r="N478" s="4"/>
      <c r="O478" s="4"/>
      <c r="P478" s="4"/>
      <c r="Q478" s="4"/>
      <c r="R478" s="14"/>
      <c r="S478" s="14"/>
      <c r="T478" s="14"/>
      <c r="U478" s="14"/>
      <c r="V478" s="14"/>
      <c r="W478" s="14"/>
      <c r="X478" s="1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G478" s="4"/>
      <c r="BH478" s="4"/>
    </row>
    <row r="479" spans="1:61" x14ac:dyDescent="0.35">
      <c r="A479" s="4"/>
      <c r="B479" s="8" t="str">
        <f t="shared" si="44"/>
        <v/>
      </c>
      <c r="D479" s="6" t="str">
        <f t="shared" si="41"/>
        <v/>
      </c>
      <c r="E479" s="6" t="str">
        <f t="shared" si="42"/>
        <v/>
      </c>
      <c r="F479" s="6" t="str">
        <f t="shared" si="43"/>
        <v/>
      </c>
      <c r="G479" s="4"/>
      <c r="H479" s="4"/>
      <c r="I479" s="4"/>
      <c r="J479" s="4"/>
      <c r="K479" s="4"/>
      <c r="L479" s="4"/>
      <c r="M479" s="4"/>
      <c r="N479" s="4"/>
      <c r="O479" s="4"/>
      <c r="P479" s="4"/>
      <c r="Q479" s="4"/>
      <c r="R479" s="14"/>
      <c r="S479" s="14"/>
      <c r="T479" s="14"/>
      <c r="U479" s="14"/>
      <c r="V479" s="14"/>
      <c r="W479" s="14"/>
      <c r="X479" s="1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G479" s="4"/>
      <c r="BH479" s="4"/>
    </row>
    <row r="480" spans="1:61" x14ac:dyDescent="0.35">
      <c r="A480" s="4"/>
      <c r="B480" s="8" t="str">
        <f t="shared" si="44"/>
        <v/>
      </c>
      <c r="D480" s="6" t="str">
        <f t="shared" si="41"/>
        <v/>
      </c>
      <c r="E480" s="6" t="str">
        <f t="shared" si="42"/>
        <v/>
      </c>
      <c r="F480" s="6" t="str">
        <f t="shared" si="43"/>
        <v/>
      </c>
      <c r="G480" s="4"/>
      <c r="H480" s="4"/>
      <c r="I480" s="4"/>
      <c r="J480" s="4"/>
      <c r="K480" s="4"/>
      <c r="L480" s="4"/>
      <c r="M480" s="4"/>
      <c r="N480" s="4"/>
      <c r="O480" s="4"/>
      <c r="P480" s="4"/>
      <c r="Q480" s="4"/>
      <c r="R480" s="14"/>
      <c r="S480" s="14"/>
      <c r="T480" s="14"/>
      <c r="U480" s="14"/>
      <c r="V480" s="14"/>
      <c r="W480" s="14"/>
      <c r="X480" s="1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G480" s="4"/>
      <c r="BH480" s="4"/>
    </row>
    <row r="481" spans="1:60" x14ac:dyDescent="0.35">
      <c r="A481" s="4"/>
      <c r="B481" s="8" t="str">
        <f t="shared" si="44"/>
        <v/>
      </c>
      <c r="D481" s="6" t="str">
        <f t="shared" si="41"/>
        <v/>
      </c>
      <c r="E481" s="6" t="str">
        <f t="shared" si="42"/>
        <v/>
      </c>
      <c r="F481" s="6" t="str">
        <f t="shared" si="43"/>
        <v/>
      </c>
      <c r="G481" s="4"/>
      <c r="H481" s="4"/>
      <c r="I481" s="4"/>
      <c r="J481" s="4"/>
      <c r="K481" s="4"/>
      <c r="L481" s="4"/>
      <c r="M481" s="4"/>
      <c r="N481" s="4"/>
      <c r="O481" s="4"/>
      <c r="P481" s="4"/>
      <c r="Q481" s="4"/>
      <c r="R481" s="14"/>
      <c r="S481" s="14"/>
      <c r="T481" s="14"/>
      <c r="U481" s="14"/>
      <c r="V481" s="14"/>
      <c r="W481" s="14"/>
      <c r="X481" s="1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G481" s="4"/>
      <c r="BH481" s="4"/>
    </row>
    <row r="482" spans="1:60" x14ac:dyDescent="0.35">
      <c r="A482" s="4"/>
      <c r="B482" s="8" t="str">
        <f t="shared" si="44"/>
        <v/>
      </c>
      <c r="D482" s="6" t="str">
        <f t="shared" si="41"/>
        <v/>
      </c>
      <c r="E482" s="6" t="str">
        <f t="shared" si="42"/>
        <v/>
      </c>
      <c r="F482" s="6" t="str">
        <f t="shared" si="43"/>
        <v/>
      </c>
      <c r="G482" s="4"/>
      <c r="H482" s="4"/>
      <c r="I482" s="4"/>
      <c r="J482" s="4"/>
      <c r="K482" s="4"/>
      <c r="L482" s="4"/>
      <c r="M482" s="4"/>
      <c r="N482" s="4"/>
      <c r="O482" s="4"/>
      <c r="P482" s="4"/>
      <c r="Q482" s="4"/>
      <c r="R482" s="14"/>
      <c r="S482" s="14"/>
      <c r="T482" s="14"/>
      <c r="U482" s="14"/>
      <c r="V482" s="14"/>
      <c r="W482" s="14"/>
      <c r="X482" s="1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G482" s="4"/>
      <c r="BH482" s="4"/>
    </row>
    <row r="483" spans="1:60" x14ac:dyDescent="0.35">
      <c r="A483" s="4"/>
      <c r="B483" s="8" t="str">
        <f t="shared" si="44"/>
        <v/>
      </c>
      <c r="D483" s="6" t="str">
        <f t="shared" si="41"/>
        <v/>
      </c>
      <c r="E483" s="6" t="str">
        <f t="shared" si="42"/>
        <v/>
      </c>
      <c r="F483" s="6" t="str">
        <f t="shared" si="43"/>
        <v/>
      </c>
      <c r="G483" s="4"/>
      <c r="H483" s="4"/>
      <c r="I483" s="4"/>
      <c r="J483" s="4"/>
      <c r="K483" s="4"/>
      <c r="L483" s="4"/>
      <c r="M483" s="4"/>
      <c r="N483" s="4"/>
      <c r="O483" s="4"/>
      <c r="P483" s="4"/>
      <c r="Q483" s="4"/>
      <c r="R483" s="14"/>
      <c r="S483" s="14"/>
      <c r="T483" s="14"/>
      <c r="U483" s="14"/>
      <c r="V483" s="14"/>
      <c r="W483" s="14"/>
      <c r="X483" s="1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G483" s="4"/>
      <c r="BH483" s="4"/>
    </row>
    <row r="484" spans="1:60" x14ac:dyDescent="0.35">
      <c r="A484" s="4"/>
      <c r="B484" s="8" t="str">
        <f t="shared" si="44"/>
        <v/>
      </c>
      <c r="D484" s="6" t="str">
        <f t="shared" si="41"/>
        <v/>
      </c>
      <c r="E484" s="6" t="str">
        <f t="shared" si="42"/>
        <v/>
      </c>
      <c r="F484" s="6" t="str">
        <f t="shared" si="43"/>
        <v/>
      </c>
      <c r="G484" s="4"/>
      <c r="H484" s="4"/>
      <c r="I484" s="4"/>
      <c r="J484" s="4"/>
      <c r="K484" s="4"/>
      <c r="L484" s="4"/>
      <c r="M484" s="4"/>
      <c r="N484" s="4"/>
      <c r="O484" s="4"/>
      <c r="P484" s="4"/>
      <c r="Q484" s="4"/>
      <c r="R484" s="14"/>
      <c r="S484" s="14"/>
      <c r="T484" s="14"/>
      <c r="U484" s="14"/>
      <c r="V484" s="14"/>
      <c r="W484" s="14"/>
      <c r="X484" s="1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G484" s="4"/>
      <c r="BH484" s="4"/>
    </row>
    <row r="485" spans="1:60" x14ac:dyDescent="0.35">
      <c r="A485" s="4"/>
      <c r="B485" s="8" t="str">
        <f t="shared" si="44"/>
        <v/>
      </c>
      <c r="D485" s="6" t="str">
        <f t="shared" si="41"/>
        <v/>
      </c>
      <c r="E485" s="6" t="str">
        <f t="shared" si="42"/>
        <v/>
      </c>
      <c r="F485" s="6" t="str">
        <f t="shared" si="43"/>
        <v/>
      </c>
      <c r="G485" s="4"/>
      <c r="H485" s="4"/>
      <c r="I485" s="4"/>
      <c r="J485" s="4"/>
      <c r="K485" s="4"/>
      <c r="L485" s="4"/>
      <c r="M485" s="4"/>
      <c r="N485" s="4"/>
      <c r="O485" s="4"/>
      <c r="P485" s="4"/>
      <c r="Q485" s="4"/>
      <c r="R485" s="14"/>
      <c r="S485" s="14"/>
      <c r="T485" s="14"/>
      <c r="U485" s="14"/>
      <c r="V485" s="14"/>
      <c r="W485" s="14"/>
      <c r="X485" s="1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G485" s="4"/>
      <c r="BH485" s="4"/>
    </row>
    <row r="486" spans="1:60" x14ac:dyDescent="0.35">
      <c r="A486" s="4"/>
      <c r="B486" s="8" t="str">
        <f t="shared" si="44"/>
        <v/>
      </c>
      <c r="D486" s="6" t="str">
        <f t="shared" si="41"/>
        <v/>
      </c>
      <c r="E486" s="6" t="str">
        <f t="shared" si="42"/>
        <v/>
      </c>
      <c r="F486" s="6" t="str">
        <f t="shared" si="43"/>
        <v/>
      </c>
      <c r="G486" s="4"/>
      <c r="H486" s="4"/>
      <c r="I486" s="4"/>
      <c r="J486" s="4"/>
      <c r="K486" s="4"/>
      <c r="L486" s="4"/>
      <c r="M486" s="4"/>
      <c r="N486" s="4"/>
      <c r="O486" s="4"/>
      <c r="P486" s="4"/>
      <c r="Q486" s="4"/>
      <c r="R486" s="14"/>
      <c r="S486" s="14"/>
      <c r="T486" s="14"/>
      <c r="U486" s="14"/>
      <c r="V486" s="14"/>
      <c r="W486" s="14"/>
      <c r="X486" s="1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G486" s="4"/>
      <c r="BH486" s="4"/>
    </row>
    <row r="487" spans="1:60" x14ac:dyDescent="0.35">
      <c r="A487" s="4"/>
      <c r="B487" s="8" t="str">
        <f t="shared" si="44"/>
        <v/>
      </c>
      <c r="D487" s="6" t="str">
        <f t="shared" si="41"/>
        <v/>
      </c>
      <c r="E487" s="6" t="str">
        <f t="shared" si="42"/>
        <v/>
      </c>
      <c r="F487" s="6" t="str">
        <f t="shared" si="43"/>
        <v/>
      </c>
      <c r="G487" s="4"/>
      <c r="H487" s="4"/>
      <c r="I487" s="4"/>
      <c r="J487" s="4"/>
      <c r="K487" s="4"/>
      <c r="L487" s="4"/>
      <c r="M487" s="4"/>
      <c r="N487" s="4"/>
      <c r="O487" s="4"/>
      <c r="P487" s="4"/>
      <c r="Q487" s="4"/>
      <c r="R487" s="14"/>
      <c r="S487" s="14"/>
      <c r="T487" s="14"/>
      <c r="U487" s="14"/>
      <c r="V487" s="14"/>
      <c r="W487" s="14"/>
      <c r="X487" s="1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G487" s="4"/>
      <c r="BH487" s="4"/>
    </row>
    <row r="488" spans="1:60" x14ac:dyDescent="0.35">
      <c r="A488" s="4"/>
      <c r="B488" s="8" t="str">
        <f t="shared" si="44"/>
        <v/>
      </c>
      <c r="D488" s="6" t="str">
        <f t="shared" si="41"/>
        <v/>
      </c>
      <c r="E488" s="6" t="str">
        <f t="shared" si="42"/>
        <v/>
      </c>
      <c r="F488" s="6" t="str">
        <f t="shared" si="43"/>
        <v/>
      </c>
      <c r="G488" s="4"/>
      <c r="H488" s="4"/>
      <c r="I488" s="4"/>
      <c r="J488" s="4"/>
      <c r="K488" s="4"/>
      <c r="L488" s="4"/>
      <c r="M488" s="4"/>
      <c r="N488" s="4"/>
      <c r="O488" s="4"/>
      <c r="P488" s="4"/>
      <c r="Q488" s="4"/>
      <c r="R488" s="14"/>
      <c r="S488" s="14"/>
      <c r="T488" s="14"/>
      <c r="U488" s="14"/>
      <c r="V488" s="14"/>
      <c r="W488" s="14"/>
      <c r="X488" s="1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G488" s="4"/>
      <c r="BH488" s="4"/>
    </row>
    <row r="489" spans="1:60" x14ac:dyDescent="0.35">
      <c r="A489" s="4"/>
      <c r="B489" s="8" t="str">
        <f t="shared" si="44"/>
        <v/>
      </c>
      <c r="D489" s="6" t="str">
        <f t="shared" si="41"/>
        <v/>
      </c>
      <c r="E489" s="6" t="str">
        <f t="shared" si="42"/>
        <v/>
      </c>
      <c r="F489" s="6" t="str">
        <f t="shared" si="43"/>
        <v/>
      </c>
      <c r="G489" s="4"/>
      <c r="H489" s="4"/>
      <c r="I489" s="4"/>
      <c r="J489" s="4"/>
      <c r="K489" s="4"/>
      <c r="L489" s="4"/>
      <c r="M489" s="4"/>
      <c r="N489" s="4"/>
      <c r="O489" s="4"/>
      <c r="P489" s="4"/>
      <c r="Q489" s="4"/>
      <c r="R489" s="14"/>
      <c r="S489" s="14"/>
      <c r="T489" s="14"/>
      <c r="U489" s="14"/>
      <c r="V489" s="14"/>
      <c r="W489" s="14"/>
      <c r="X489" s="1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G489" s="4"/>
      <c r="BH489" s="4"/>
    </row>
    <row r="490" spans="1:60" x14ac:dyDescent="0.35">
      <c r="A490" s="4"/>
      <c r="B490" s="8" t="str">
        <f t="shared" si="44"/>
        <v/>
      </c>
      <c r="D490" s="6" t="str">
        <f t="shared" si="41"/>
        <v/>
      </c>
      <c r="E490" s="6" t="str">
        <f t="shared" si="42"/>
        <v/>
      </c>
      <c r="F490" s="6" t="str">
        <f t="shared" si="43"/>
        <v/>
      </c>
      <c r="G490" s="4"/>
      <c r="H490" s="4"/>
      <c r="I490" s="4"/>
      <c r="J490" s="4"/>
      <c r="K490" s="4"/>
      <c r="L490" s="4"/>
      <c r="M490" s="4"/>
      <c r="N490" s="4"/>
      <c r="O490" s="4"/>
      <c r="P490" s="4"/>
      <c r="Q490" s="4"/>
      <c r="R490" s="14"/>
      <c r="S490" s="14"/>
      <c r="T490" s="14"/>
      <c r="U490" s="14"/>
      <c r="V490" s="14"/>
      <c r="W490" s="14"/>
      <c r="X490" s="1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G490" s="4"/>
      <c r="BH490" s="4"/>
    </row>
    <row r="491" spans="1:60" x14ac:dyDescent="0.35">
      <c r="A491" s="4"/>
      <c r="B491" s="8" t="str">
        <f t="shared" si="44"/>
        <v/>
      </c>
      <c r="D491" s="6" t="str">
        <f t="shared" si="41"/>
        <v/>
      </c>
      <c r="E491" s="6" t="str">
        <f t="shared" si="42"/>
        <v/>
      </c>
      <c r="F491" s="6" t="str">
        <f t="shared" si="43"/>
        <v/>
      </c>
      <c r="G491" s="4"/>
      <c r="H491" s="4"/>
      <c r="I491" s="4"/>
      <c r="J491" s="4"/>
      <c r="K491" s="4"/>
      <c r="L491" s="4"/>
      <c r="M491" s="4"/>
      <c r="N491" s="4"/>
      <c r="O491" s="4"/>
      <c r="P491" s="4"/>
      <c r="Q491" s="4"/>
      <c r="R491" s="14"/>
      <c r="S491" s="14"/>
      <c r="T491" s="14"/>
      <c r="U491" s="14"/>
      <c r="V491" s="14"/>
      <c r="W491" s="14"/>
      <c r="X491" s="1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G491" s="4"/>
      <c r="BH491" s="4"/>
    </row>
    <row r="492" spans="1:60" x14ac:dyDescent="0.35">
      <c r="A492" s="4"/>
      <c r="B492" s="8" t="str">
        <f t="shared" si="44"/>
        <v/>
      </c>
      <c r="D492" s="6" t="str">
        <f t="shared" si="41"/>
        <v/>
      </c>
      <c r="E492" s="6" t="str">
        <f t="shared" si="42"/>
        <v/>
      </c>
      <c r="F492" s="6" t="str">
        <f t="shared" si="43"/>
        <v/>
      </c>
      <c r="G492" s="4"/>
      <c r="H492" s="4"/>
      <c r="I492" s="4"/>
      <c r="J492" s="4"/>
      <c r="K492" s="4"/>
      <c r="L492" s="4"/>
      <c r="M492" s="4"/>
      <c r="N492" s="4"/>
      <c r="O492" s="4"/>
      <c r="P492" s="4"/>
      <c r="Q492" s="4"/>
      <c r="R492" s="14"/>
      <c r="S492" s="14"/>
      <c r="T492" s="14"/>
      <c r="U492" s="14"/>
      <c r="V492" s="14"/>
      <c r="W492" s="14"/>
      <c r="X492" s="1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G492" s="4"/>
      <c r="BH492" s="4"/>
    </row>
    <row r="493" spans="1:60" x14ac:dyDescent="0.35">
      <c r="A493" s="4"/>
      <c r="B493" s="8" t="str">
        <f t="shared" si="44"/>
        <v/>
      </c>
      <c r="D493" s="6" t="str">
        <f t="shared" si="41"/>
        <v/>
      </c>
      <c r="E493" s="6" t="str">
        <f t="shared" si="42"/>
        <v/>
      </c>
      <c r="F493" s="6" t="str">
        <f t="shared" si="43"/>
        <v/>
      </c>
      <c r="G493" s="4"/>
      <c r="H493" s="4"/>
      <c r="I493" s="4"/>
      <c r="J493" s="4"/>
      <c r="K493" s="4"/>
      <c r="L493" s="4"/>
      <c r="M493" s="4"/>
      <c r="N493" s="4"/>
      <c r="O493" s="4"/>
      <c r="P493" s="4"/>
      <c r="Q493" s="4"/>
      <c r="R493" s="14"/>
      <c r="S493" s="14"/>
      <c r="T493" s="14"/>
      <c r="U493" s="14"/>
      <c r="V493" s="14"/>
      <c r="W493" s="14"/>
      <c r="X493" s="1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G493" s="4"/>
      <c r="BH493" s="4"/>
    </row>
    <row r="494" spans="1:60" x14ac:dyDescent="0.35">
      <c r="A494" s="4"/>
      <c r="B494" s="8" t="str">
        <f t="shared" si="44"/>
        <v/>
      </c>
      <c r="D494" s="6" t="str">
        <f t="shared" si="41"/>
        <v/>
      </c>
      <c r="E494" s="6" t="str">
        <f t="shared" si="42"/>
        <v/>
      </c>
      <c r="F494" s="6" t="str">
        <f t="shared" si="43"/>
        <v/>
      </c>
      <c r="G494" s="4"/>
      <c r="H494" s="4"/>
      <c r="I494" s="4"/>
      <c r="J494" s="4"/>
      <c r="K494" s="4"/>
      <c r="L494" s="4"/>
      <c r="M494" s="4"/>
      <c r="N494" s="4"/>
      <c r="O494" s="4"/>
      <c r="P494" s="4"/>
      <c r="Q494" s="4"/>
      <c r="R494" s="14"/>
      <c r="S494" s="14"/>
      <c r="T494" s="14"/>
      <c r="U494" s="14"/>
      <c r="V494" s="14"/>
      <c r="W494" s="14"/>
      <c r="X494" s="1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G494" s="4"/>
      <c r="BH494" s="4"/>
    </row>
    <row r="495" spans="1:60" x14ac:dyDescent="0.35">
      <c r="A495" s="4"/>
      <c r="B495" s="8" t="str">
        <f t="shared" si="44"/>
        <v/>
      </c>
      <c r="D495" s="6" t="str">
        <f t="shared" si="41"/>
        <v/>
      </c>
      <c r="E495" s="6" t="str">
        <f t="shared" si="42"/>
        <v/>
      </c>
      <c r="F495" s="6" t="str">
        <f t="shared" si="43"/>
        <v/>
      </c>
      <c r="G495" s="4"/>
      <c r="H495" s="4"/>
      <c r="I495" s="4"/>
      <c r="J495" s="4"/>
      <c r="K495" s="4"/>
      <c r="L495" s="4"/>
      <c r="M495" s="4"/>
      <c r="N495" s="4"/>
      <c r="O495" s="4"/>
      <c r="P495" s="4"/>
      <c r="Q495" s="4"/>
      <c r="R495" s="14"/>
      <c r="S495" s="14"/>
      <c r="T495" s="14"/>
      <c r="U495" s="14"/>
      <c r="V495" s="14"/>
      <c r="W495" s="14"/>
      <c r="X495" s="1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G495" s="4"/>
      <c r="BH495" s="4"/>
    </row>
    <row r="496" spans="1:60" x14ac:dyDescent="0.35">
      <c r="A496" s="4"/>
      <c r="B496" s="8" t="str">
        <f t="shared" si="44"/>
        <v/>
      </c>
      <c r="D496" s="6" t="str">
        <f t="shared" si="41"/>
        <v/>
      </c>
      <c r="E496" s="6" t="str">
        <f t="shared" si="42"/>
        <v/>
      </c>
      <c r="F496" s="6" t="str">
        <f t="shared" si="43"/>
        <v/>
      </c>
      <c r="G496" s="4"/>
      <c r="H496" s="4"/>
      <c r="I496" s="4"/>
      <c r="J496" s="4"/>
      <c r="K496" s="4"/>
      <c r="L496" s="4"/>
      <c r="M496" s="4"/>
      <c r="N496" s="4"/>
      <c r="O496" s="4"/>
      <c r="P496" s="4"/>
      <c r="Q496" s="4"/>
      <c r="R496" s="14"/>
      <c r="S496" s="14"/>
      <c r="T496" s="14"/>
      <c r="U496" s="14"/>
      <c r="V496" s="14"/>
      <c r="W496" s="14"/>
      <c r="X496" s="1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G496" s="4"/>
      <c r="BH496" s="4"/>
    </row>
    <row r="497" spans="1:60" x14ac:dyDescent="0.35">
      <c r="A497" s="4"/>
      <c r="B497" s="8" t="str">
        <f t="shared" si="44"/>
        <v/>
      </c>
      <c r="D497" s="6" t="str">
        <f t="shared" si="41"/>
        <v/>
      </c>
      <c r="E497" s="6" t="str">
        <f t="shared" si="42"/>
        <v/>
      </c>
      <c r="F497" s="6" t="str">
        <f t="shared" si="43"/>
        <v/>
      </c>
      <c r="G497" s="4"/>
      <c r="H497" s="4"/>
      <c r="I497" s="4"/>
      <c r="J497" s="4"/>
      <c r="K497" s="4"/>
      <c r="L497" s="4"/>
      <c r="M497" s="4"/>
      <c r="N497" s="4"/>
      <c r="O497" s="4"/>
      <c r="P497" s="4"/>
      <c r="Q497" s="4"/>
      <c r="R497" s="14"/>
      <c r="S497" s="14"/>
      <c r="T497" s="14"/>
      <c r="U497" s="14"/>
      <c r="V497" s="14"/>
      <c r="W497" s="14"/>
      <c r="X497" s="1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G497" s="4"/>
      <c r="BH497" s="4"/>
    </row>
    <row r="498" spans="1:60" x14ac:dyDescent="0.35">
      <c r="A498" s="4"/>
      <c r="B498" s="8" t="str">
        <f t="shared" si="44"/>
        <v/>
      </c>
      <c r="D498" s="6" t="str">
        <f t="shared" si="41"/>
        <v/>
      </c>
      <c r="E498" s="6" t="str">
        <f t="shared" si="42"/>
        <v/>
      </c>
      <c r="F498" s="6" t="str">
        <f t="shared" si="43"/>
        <v/>
      </c>
      <c r="G498" s="4"/>
      <c r="H498" s="4"/>
      <c r="I498" s="4"/>
      <c r="J498" s="4"/>
      <c r="K498" s="4"/>
      <c r="L498" s="4"/>
      <c r="M498" s="4"/>
      <c r="N498" s="4"/>
      <c r="O498" s="4"/>
      <c r="P498" s="4"/>
      <c r="Q498" s="4"/>
      <c r="R498" s="14"/>
      <c r="S498" s="14"/>
      <c r="T498" s="14"/>
      <c r="U498" s="14"/>
      <c r="V498" s="14"/>
      <c r="W498" s="14"/>
      <c r="X498" s="1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G498" s="4"/>
      <c r="BH498" s="4"/>
    </row>
    <row r="499" spans="1:60" x14ac:dyDescent="0.35">
      <c r="A499" s="4"/>
      <c r="B499" s="8" t="str">
        <f t="shared" si="44"/>
        <v/>
      </c>
      <c r="D499" s="6" t="str">
        <f t="shared" si="41"/>
        <v/>
      </c>
      <c r="E499" s="6" t="str">
        <f t="shared" si="42"/>
        <v/>
      </c>
      <c r="F499" s="6" t="str">
        <f t="shared" si="43"/>
        <v/>
      </c>
      <c r="G499" s="4"/>
      <c r="H499" s="4"/>
      <c r="I499" s="4"/>
      <c r="J499" s="4"/>
      <c r="K499" s="4"/>
      <c r="L499" s="4"/>
      <c r="M499" s="4"/>
      <c r="N499" s="4"/>
      <c r="O499" s="4"/>
      <c r="P499" s="4"/>
      <c r="Q499" s="4"/>
      <c r="R499" s="14"/>
      <c r="S499" s="14"/>
      <c r="T499" s="14"/>
      <c r="U499" s="14"/>
      <c r="V499" s="14"/>
      <c r="W499" s="14"/>
      <c r="X499" s="1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G499" s="4"/>
      <c r="BH499" s="4"/>
    </row>
    <row r="500" spans="1:60" x14ac:dyDescent="0.35">
      <c r="A500" s="4"/>
      <c r="B500" s="8" t="str">
        <f t="shared" si="44"/>
        <v/>
      </c>
      <c r="D500" s="6" t="str">
        <f t="shared" si="41"/>
        <v/>
      </c>
      <c r="E500" s="6" t="str">
        <f t="shared" si="42"/>
        <v/>
      </c>
      <c r="F500" s="6" t="str">
        <f t="shared" si="43"/>
        <v/>
      </c>
      <c r="G500" s="4"/>
      <c r="H500" s="4"/>
      <c r="I500" s="4"/>
      <c r="J500" s="4"/>
      <c r="K500" s="4"/>
      <c r="L500" s="4"/>
      <c r="M500" s="4"/>
      <c r="N500" s="4"/>
      <c r="O500" s="4"/>
      <c r="P500" s="4"/>
      <c r="Q500" s="4"/>
      <c r="R500" s="14"/>
      <c r="S500" s="14"/>
      <c r="T500" s="14"/>
      <c r="U500" s="14"/>
      <c r="V500" s="14"/>
      <c r="W500" s="14"/>
      <c r="X500" s="1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G500" s="4"/>
      <c r="BH500" s="4"/>
    </row>
    <row r="501" spans="1:60" x14ac:dyDescent="0.35">
      <c r="A501" s="4"/>
      <c r="B501" s="8" t="str">
        <f t="shared" si="44"/>
        <v/>
      </c>
      <c r="D501" s="6" t="str">
        <f t="shared" si="41"/>
        <v/>
      </c>
      <c r="E501" s="6" t="str">
        <f t="shared" si="42"/>
        <v/>
      </c>
      <c r="F501" s="6" t="str">
        <f t="shared" si="43"/>
        <v/>
      </c>
      <c r="G501" s="4"/>
      <c r="H501" s="4"/>
      <c r="I501" s="4"/>
      <c r="J501" s="4"/>
      <c r="K501" s="4"/>
      <c r="L501" s="4"/>
      <c r="M501" s="4"/>
      <c r="N501" s="4"/>
      <c r="O501" s="4"/>
      <c r="P501" s="4"/>
      <c r="Q501" s="4"/>
      <c r="R501" s="14"/>
      <c r="S501" s="14"/>
      <c r="T501" s="14"/>
      <c r="U501" s="14"/>
      <c r="V501" s="14"/>
      <c r="W501" s="14"/>
      <c r="X501" s="1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G501" s="4"/>
      <c r="BH501" s="4"/>
    </row>
    <row r="502" spans="1:60" x14ac:dyDescent="0.35">
      <c r="A502" s="4"/>
      <c r="B502" s="8" t="str">
        <f t="shared" si="44"/>
        <v/>
      </c>
      <c r="D502" s="6" t="str">
        <f t="shared" si="41"/>
        <v/>
      </c>
      <c r="E502" s="6" t="str">
        <f t="shared" si="42"/>
        <v/>
      </c>
      <c r="F502" s="6" t="str">
        <f t="shared" si="43"/>
        <v/>
      </c>
      <c r="G502" s="4"/>
      <c r="H502" s="4"/>
      <c r="I502" s="4"/>
      <c r="J502" s="4"/>
      <c r="K502" s="4"/>
      <c r="L502" s="4"/>
      <c r="M502" s="4"/>
      <c r="N502" s="4"/>
      <c r="O502" s="4"/>
      <c r="P502" s="4"/>
      <c r="Q502" s="4"/>
      <c r="R502" s="14"/>
      <c r="S502" s="14"/>
      <c r="T502" s="14"/>
      <c r="U502" s="14"/>
      <c r="V502" s="14"/>
      <c r="W502" s="14"/>
      <c r="X502" s="1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G502" s="4"/>
      <c r="BH502" s="4"/>
    </row>
    <row r="503" spans="1:60" x14ac:dyDescent="0.35">
      <c r="A503" s="4"/>
      <c r="B503" s="8" t="str">
        <f t="shared" si="44"/>
        <v/>
      </c>
      <c r="D503" s="6" t="str">
        <f t="shared" si="41"/>
        <v/>
      </c>
      <c r="E503" s="6" t="str">
        <f t="shared" si="42"/>
        <v/>
      </c>
      <c r="F503" s="6" t="str">
        <f t="shared" si="43"/>
        <v/>
      </c>
      <c r="G503" s="4"/>
      <c r="H503" s="4"/>
      <c r="I503" s="4"/>
      <c r="J503" s="4"/>
      <c r="K503" s="4"/>
      <c r="L503" s="4"/>
      <c r="M503" s="4"/>
      <c r="N503" s="4"/>
      <c r="O503" s="4"/>
      <c r="P503" s="4"/>
      <c r="Q503" s="4"/>
      <c r="R503" s="14"/>
      <c r="S503" s="14"/>
      <c r="T503" s="14"/>
      <c r="U503" s="14"/>
      <c r="V503" s="14"/>
      <c r="W503" s="14"/>
      <c r="X503" s="1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G503" s="4"/>
      <c r="BH503" s="4"/>
    </row>
    <row r="504" spans="1:60" x14ac:dyDescent="0.35">
      <c r="A504" s="4"/>
      <c r="B504" s="8" t="str">
        <f t="shared" si="44"/>
        <v/>
      </c>
      <c r="D504" s="6" t="str">
        <f t="shared" si="41"/>
        <v/>
      </c>
      <c r="E504" s="6" t="str">
        <f t="shared" si="42"/>
        <v/>
      </c>
      <c r="F504" s="6" t="str">
        <f t="shared" si="43"/>
        <v/>
      </c>
      <c r="G504" s="4"/>
      <c r="H504" s="4"/>
      <c r="I504" s="4"/>
      <c r="J504" s="4"/>
      <c r="K504" s="4"/>
      <c r="L504" s="4"/>
      <c r="M504" s="4"/>
      <c r="N504" s="4"/>
      <c r="O504" s="4"/>
      <c r="P504" s="4"/>
      <c r="Q504" s="4"/>
      <c r="R504" s="14"/>
      <c r="S504" s="14"/>
      <c r="T504" s="14"/>
      <c r="U504" s="14"/>
      <c r="V504" s="14"/>
      <c r="W504" s="14"/>
      <c r="X504" s="1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G504" s="4"/>
      <c r="BH504" s="4"/>
    </row>
    <row r="505" spans="1:60" x14ac:dyDescent="0.35">
      <c r="A505" s="4"/>
      <c r="B505" s="8" t="str">
        <f t="shared" si="44"/>
        <v/>
      </c>
      <c r="D505" s="6" t="str">
        <f t="shared" si="41"/>
        <v/>
      </c>
      <c r="E505" s="6" t="str">
        <f t="shared" si="42"/>
        <v/>
      </c>
      <c r="F505" s="6" t="str">
        <f t="shared" si="43"/>
        <v/>
      </c>
      <c r="G505" s="4"/>
      <c r="H505" s="4"/>
      <c r="I505" s="4"/>
      <c r="J505" s="4"/>
      <c r="K505" s="4"/>
      <c r="L505" s="4"/>
      <c r="M505" s="4"/>
      <c r="N505" s="4"/>
      <c r="O505" s="4"/>
      <c r="P505" s="4"/>
      <c r="Q505" s="4"/>
      <c r="R505" s="14"/>
      <c r="S505" s="14"/>
      <c r="T505" s="14"/>
      <c r="U505" s="14"/>
      <c r="V505" s="14"/>
      <c r="W505" s="14"/>
      <c r="X505" s="1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G505" s="4"/>
      <c r="BH505" s="4"/>
    </row>
    <row r="506" spans="1:60" x14ac:dyDescent="0.35">
      <c r="A506" s="4"/>
      <c r="B506" s="8" t="str">
        <f t="shared" si="44"/>
        <v/>
      </c>
      <c r="D506" s="6" t="str">
        <f t="shared" si="41"/>
        <v/>
      </c>
      <c r="E506" s="6" t="str">
        <f t="shared" si="42"/>
        <v/>
      </c>
      <c r="F506" s="6" t="str">
        <f t="shared" si="43"/>
        <v/>
      </c>
      <c r="G506" s="4"/>
      <c r="H506" s="4"/>
      <c r="I506" s="4"/>
      <c r="J506" s="4"/>
      <c r="K506" s="4"/>
      <c r="L506" s="4"/>
      <c r="M506" s="4"/>
      <c r="N506" s="4"/>
      <c r="O506" s="4"/>
      <c r="P506" s="4"/>
      <c r="Q506" s="4"/>
      <c r="R506" s="14"/>
      <c r="S506" s="14"/>
      <c r="T506" s="14"/>
      <c r="U506" s="14"/>
      <c r="V506" s="14"/>
      <c r="W506" s="14"/>
      <c r="X506" s="1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G506" s="4"/>
      <c r="BH506" s="4"/>
    </row>
    <row r="507" spans="1:60" x14ac:dyDescent="0.35">
      <c r="A507" s="4"/>
      <c r="B507" s="8" t="str">
        <f t="shared" si="44"/>
        <v/>
      </c>
      <c r="D507" s="6" t="str">
        <f t="shared" si="41"/>
        <v/>
      </c>
      <c r="E507" s="6" t="str">
        <f t="shared" si="42"/>
        <v/>
      </c>
      <c r="F507" s="6" t="str">
        <f t="shared" si="43"/>
        <v/>
      </c>
      <c r="G507" s="4"/>
      <c r="H507" s="4"/>
      <c r="I507" s="4"/>
      <c r="J507" s="4"/>
      <c r="K507" s="4"/>
      <c r="L507" s="4"/>
      <c r="M507" s="4"/>
      <c r="N507" s="4"/>
      <c r="O507" s="4"/>
      <c r="P507" s="4"/>
      <c r="Q507" s="4"/>
      <c r="R507" s="14"/>
      <c r="S507" s="14"/>
      <c r="T507" s="14"/>
      <c r="U507" s="14"/>
      <c r="V507" s="14"/>
      <c r="W507" s="14"/>
      <c r="X507" s="1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G507" s="4"/>
      <c r="BH507" s="4"/>
    </row>
    <row r="508" spans="1:60" x14ac:dyDescent="0.35">
      <c r="A508" s="4"/>
      <c r="B508" s="8" t="str">
        <f t="shared" si="44"/>
        <v/>
      </c>
      <c r="D508" s="6" t="str">
        <f t="shared" si="41"/>
        <v/>
      </c>
      <c r="E508" s="6" t="str">
        <f t="shared" si="42"/>
        <v/>
      </c>
      <c r="F508" s="6" t="str">
        <f t="shared" si="43"/>
        <v/>
      </c>
      <c r="G508" s="4"/>
      <c r="H508" s="4"/>
      <c r="I508" s="4"/>
      <c r="J508" s="4"/>
      <c r="K508" s="4"/>
      <c r="L508" s="4"/>
      <c r="M508" s="4"/>
      <c r="N508" s="4"/>
      <c r="O508" s="4"/>
      <c r="P508" s="4"/>
      <c r="Q508" s="4"/>
      <c r="R508" s="14"/>
      <c r="S508" s="14"/>
      <c r="T508" s="14"/>
      <c r="U508" s="14"/>
      <c r="V508" s="14"/>
      <c r="W508" s="14"/>
      <c r="X508" s="1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G508" s="4"/>
      <c r="BH508" s="4"/>
    </row>
    <row r="509" spans="1:60" x14ac:dyDescent="0.35">
      <c r="A509" s="4"/>
      <c r="B509" s="8" t="str">
        <f t="shared" ref="B509:B572" si="45">RIGHT(A509,4)</f>
        <v/>
      </c>
      <c r="D509" s="6" t="str">
        <f t="shared" ref="D509:D572" si="46">IF(C509="","",VLOOKUP(C509,district_region,2,FALSE))</f>
        <v/>
      </c>
      <c r="E509" s="6" t="str">
        <f t="shared" ref="E509:E572" si="47">IF(C509="","",VLOOKUP(C509,liste_pop,3,FALSE))</f>
        <v/>
      </c>
      <c r="F509" s="6" t="str">
        <f t="shared" ref="F509:F572" si="48">IF(D509="","",IF(D509="Dakar",4042240,VLOOKUP(D509,liste_pop,4,FALSE)))</f>
        <v/>
      </c>
      <c r="G509" s="4"/>
      <c r="H509" s="4"/>
      <c r="I509" s="4"/>
      <c r="J509" s="4"/>
      <c r="K509" s="4"/>
      <c r="L509" s="4"/>
      <c r="M509" s="4"/>
      <c r="N509" s="4"/>
      <c r="O509" s="4"/>
      <c r="P509" s="4"/>
      <c r="Q509" s="4"/>
      <c r="R509" s="14"/>
      <c r="S509" s="14"/>
      <c r="T509" s="14"/>
      <c r="U509" s="14"/>
      <c r="V509" s="14"/>
      <c r="W509" s="14"/>
      <c r="X509" s="1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G509" s="4"/>
      <c r="BH509" s="4"/>
    </row>
    <row r="510" spans="1:60" x14ac:dyDescent="0.35">
      <c r="A510" s="4"/>
      <c r="B510" s="8" t="str">
        <f t="shared" si="45"/>
        <v/>
      </c>
      <c r="D510" s="6" t="str">
        <f t="shared" si="46"/>
        <v/>
      </c>
      <c r="E510" s="6" t="str">
        <f t="shared" si="47"/>
        <v/>
      </c>
      <c r="F510" s="6" t="str">
        <f t="shared" si="48"/>
        <v/>
      </c>
      <c r="G510" s="4"/>
      <c r="H510" s="4"/>
      <c r="I510" s="4"/>
      <c r="J510" s="4"/>
      <c r="K510" s="4"/>
      <c r="L510" s="4"/>
      <c r="M510" s="4"/>
      <c r="N510" s="4"/>
      <c r="O510" s="4"/>
      <c r="P510" s="4"/>
      <c r="Q510" s="4"/>
      <c r="R510" s="14"/>
      <c r="S510" s="14"/>
      <c r="T510" s="14"/>
      <c r="U510" s="14"/>
      <c r="V510" s="14"/>
      <c r="W510" s="14"/>
      <c r="X510" s="1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G510" s="4"/>
      <c r="BH510" s="4"/>
    </row>
    <row r="511" spans="1:60" x14ac:dyDescent="0.35">
      <c r="A511" s="4"/>
      <c r="B511" s="8" t="str">
        <f t="shared" si="45"/>
        <v/>
      </c>
      <c r="D511" s="6" t="str">
        <f t="shared" si="46"/>
        <v/>
      </c>
      <c r="E511" s="6" t="str">
        <f t="shared" si="47"/>
        <v/>
      </c>
      <c r="F511" s="6" t="str">
        <f t="shared" si="48"/>
        <v/>
      </c>
      <c r="G511" s="4"/>
      <c r="H511" s="4"/>
      <c r="I511" s="4"/>
      <c r="J511" s="4"/>
      <c r="K511" s="4"/>
      <c r="L511" s="4"/>
      <c r="M511" s="4"/>
      <c r="N511" s="4"/>
      <c r="O511" s="4"/>
      <c r="P511" s="4"/>
      <c r="Q511" s="4"/>
      <c r="R511" s="14"/>
      <c r="S511" s="14"/>
      <c r="T511" s="14"/>
      <c r="U511" s="14"/>
      <c r="V511" s="14"/>
      <c r="W511" s="14"/>
      <c r="X511" s="1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G511" s="4"/>
      <c r="BH511" s="4"/>
    </row>
    <row r="512" spans="1:60" x14ac:dyDescent="0.35">
      <c r="A512" s="4"/>
      <c r="B512" s="8" t="str">
        <f t="shared" si="45"/>
        <v/>
      </c>
      <c r="D512" s="6" t="str">
        <f t="shared" si="46"/>
        <v/>
      </c>
      <c r="E512" s="6" t="str">
        <f t="shared" si="47"/>
        <v/>
      </c>
      <c r="F512" s="6" t="str">
        <f t="shared" si="48"/>
        <v/>
      </c>
      <c r="G512" s="4"/>
      <c r="H512" s="4"/>
      <c r="I512" s="4"/>
      <c r="J512" s="4"/>
      <c r="K512" s="4"/>
      <c r="L512" s="4"/>
      <c r="M512" s="4"/>
      <c r="N512" s="4"/>
      <c r="O512" s="4"/>
      <c r="P512" s="4"/>
      <c r="Q512" s="4"/>
      <c r="R512" s="14"/>
      <c r="S512" s="14"/>
      <c r="T512" s="14"/>
      <c r="U512" s="14"/>
      <c r="V512" s="14"/>
      <c r="W512" s="14"/>
      <c r="X512" s="1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G512" s="4"/>
      <c r="BH512" s="4"/>
    </row>
    <row r="513" spans="1:60" x14ac:dyDescent="0.35">
      <c r="A513" s="4"/>
      <c r="B513" s="8" t="str">
        <f t="shared" si="45"/>
        <v/>
      </c>
      <c r="D513" s="6" t="str">
        <f t="shared" si="46"/>
        <v/>
      </c>
      <c r="E513" s="6" t="str">
        <f t="shared" si="47"/>
        <v/>
      </c>
      <c r="F513" s="6" t="str">
        <f t="shared" si="48"/>
        <v/>
      </c>
      <c r="G513" s="4"/>
      <c r="H513" s="4"/>
      <c r="I513" s="4"/>
      <c r="J513" s="4"/>
      <c r="K513" s="4"/>
      <c r="L513" s="4"/>
      <c r="M513" s="4"/>
      <c r="N513" s="4"/>
      <c r="O513" s="4"/>
      <c r="P513" s="4"/>
      <c r="Q513" s="4"/>
      <c r="R513" s="14"/>
      <c r="S513" s="14"/>
      <c r="T513" s="14"/>
      <c r="U513" s="14"/>
      <c r="V513" s="14"/>
      <c r="W513" s="14"/>
      <c r="X513" s="1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G513" s="4"/>
      <c r="BH513" s="4"/>
    </row>
    <row r="514" spans="1:60" x14ac:dyDescent="0.35">
      <c r="A514" s="4"/>
      <c r="B514" s="8" t="str">
        <f t="shared" si="45"/>
        <v/>
      </c>
      <c r="D514" s="6" t="str">
        <f t="shared" si="46"/>
        <v/>
      </c>
      <c r="E514" s="6" t="str">
        <f t="shared" si="47"/>
        <v/>
      </c>
      <c r="F514" s="6" t="str">
        <f t="shared" si="48"/>
        <v/>
      </c>
      <c r="G514" s="4"/>
      <c r="H514" s="4"/>
      <c r="I514" s="4"/>
      <c r="J514" s="4"/>
      <c r="K514" s="4"/>
      <c r="L514" s="4"/>
      <c r="M514" s="4"/>
      <c r="N514" s="4"/>
      <c r="O514" s="4"/>
      <c r="P514" s="4"/>
      <c r="Q514" s="4"/>
      <c r="R514" s="14"/>
      <c r="S514" s="14"/>
      <c r="T514" s="14"/>
      <c r="U514" s="14"/>
      <c r="V514" s="14"/>
      <c r="W514" s="14"/>
      <c r="X514" s="1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G514" s="4"/>
      <c r="BH514" s="4"/>
    </row>
    <row r="515" spans="1:60" x14ac:dyDescent="0.35">
      <c r="A515" s="4"/>
      <c r="B515" s="8" t="str">
        <f t="shared" si="45"/>
        <v/>
      </c>
      <c r="D515" s="6" t="str">
        <f t="shared" si="46"/>
        <v/>
      </c>
      <c r="E515" s="6" t="str">
        <f t="shared" si="47"/>
        <v/>
      </c>
      <c r="F515" s="6" t="str">
        <f t="shared" si="48"/>
        <v/>
      </c>
      <c r="G515" s="4"/>
      <c r="H515" s="4"/>
      <c r="I515" s="4"/>
      <c r="J515" s="4"/>
      <c r="K515" s="4"/>
      <c r="L515" s="4"/>
      <c r="M515" s="4"/>
      <c r="N515" s="4"/>
      <c r="O515" s="4"/>
      <c r="P515" s="4"/>
      <c r="Q515" s="4"/>
      <c r="R515" s="14"/>
      <c r="S515" s="14"/>
      <c r="T515" s="14"/>
      <c r="U515" s="14"/>
      <c r="V515" s="14"/>
      <c r="W515" s="14"/>
      <c r="X515" s="1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G515" s="4"/>
      <c r="BH515" s="4"/>
    </row>
    <row r="516" spans="1:60" x14ac:dyDescent="0.35">
      <c r="A516" s="4"/>
      <c r="B516" s="8" t="str">
        <f t="shared" si="45"/>
        <v/>
      </c>
      <c r="D516" s="6" t="str">
        <f t="shared" si="46"/>
        <v/>
      </c>
      <c r="E516" s="6" t="str">
        <f t="shared" si="47"/>
        <v/>
      </c>
      <c r="F516" s="6" t="str">
        <f t="shared" si="48"/>
        <v/>
      </c>
      <c r="G516" s="4"/>
      <c r="H516" s="4"/>
      <c r="I516" s="4"/>
      <c r="J516" s="4"/>
      <c r="K516" s="4"/>
      <c r="L516" s="4"/>
      <c r="M516" s="4"/>
      <c r="N516" s="4"/>
      <c r="O516" s="4"/>
      <c r="P516" s="4"/>
      <c r="Q516" s="4"/>
      <c r="R516" s="14"/>
      <c r="S516" s="14"/>
      <c r="T516" s="14"/>
      <c r="U516" s="14"/>
      <c r="V516" s="14"/>
      <c r="W516" s="14"/>
      <c r="X516" s="1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G516" s="4"/>
      <c r="BH516" s="4"/>
    </row>
    <row r="517" spans="1:60" x14ac:dyDescent="0.35">
      <c r="A517" s="4"/>
      <c r="B517" s="8" t="str">
        <f t="shared" si="45"/>
        <v/>
      </c>
      <c r="D517" s="6" t="str">
        <f t="shared" si="46"/>
        <v/>
      </c>
      <c r="E517" s="6" t="str">
        <f t="shared" si="47"/>
        <v/>
      </c>
      <c r="F517" s="6" t="str">
        <f t="shared" si="48"/>
        <v/>
      </c>
      <c r="G517" s="4"/>
      <c r="H517" s="4"/>
      <c r="I517" s="4"/>
      <c r="J517" s="4"/>
      <c r="K517" s="4"/>
      <c r="L517" s="4"/>
      <c r="M517" s="4"/>
      <c r="N517" s="4"/>
      <c r="O517" s="4"/>
      <c r="P517" s="4"/>
      <c r="Q517" s="4"/>
      <c r="R517" s="14"/>
      <c r="S517" s="14"/>
      <c r="T517" s="14"/>
      <c r="U517" s="14"/>
      <c r="V517" s="14"/>
      <c r="W517" s="14"/>
      <c r="X517" s="1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G517" s="4"/>
      <c r="BH517" s="4"/>
    </row>
    <row r="518" spans="1:60" x14ac:dyDescent="0.35">
      <c r="A518" s="4"/>
      <c r="B518" s="8" t="str">
        <f t="shared" si="45"/>
        <v/>
      </c>
      <c r="D518" s="6" t="str">
        <f t="shared" si="46"/>
        <v/>
      </c>
      <c r="E518" s="6" t="str">
        <f t="shared" si="47"/>
        <v/>
      </c>
      <c r="F518" s="6" t="str">
        <f t="shared" si="48"/>
        <v/>
      </c>
      <c r="G518" s="4"/>
      <c r="H518" s="4"/>
      <c r="I518" s="4"/>
      <c r="J518" s="4"/>
      <c r="K518" s="4"/>
      <c r="L518" s="4"/>
      <c r="M518" s="4"/>
      <c r="N518" s="4"/>
      <c r="O518" s="4"/>
      <c r="P518" s="4"/>
      <c r="Q518" s="4"/>
      <c r="R518" s="14"/>
      <c r="S518" s="14"/>
      <c r="T518" s="14"/>
      <c r="U518" s="14"/>
      <c r="V518" s="14"/>
      <c r="W518" s="14"/>
      <c r="X518" s="1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G518" s="4"/>
      <c r="BH518" s="4"/>
    </row>
    <row r="519" spans="1:60" x14ac:dyDescent="0.35">
      <c r="A519" s="4"/>
      <c r="B519" s="8" t="str">
        <f t="shared" si="45"/>
        <v/>
      </c>
      <c r="D519" s="6" t="str">
        <f t="shared" si="46"/>
        <v/>
      </c>
      <c r="E519" s="6" t="str">
        <f t="shared" si="47"/>
        <v/>
      </c>
      <c r="F519" s="6" t="str">
        <f t="shared" si="48"/>
        <v/>
      </c>
      <c r="G519" s="4"/>
      <c r="H519" s="4"/>
      <c r="I519" s="4"/>
      <c r="J519" s="4"/>
      <c r="K519" s="4"/>
      <c r="L519" s="4"/>
      <c r="M519" s="4"/>
      <c r="N519" s="4"/>
      <c r="O519" s="4"/>
      <c r="P519" s="4"/>
      <c r="Q519" s="4"/>
      <c r="R519" s="14"/>
      <c r="S519" s="14"/>
      <c r="T519" s="14"/>
      <c r="U519" s="14"/>
      <c r="V519" s="14"/>
      <c r="W519" s="14"/>
      <c r="X519" s="1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G519" s="4"/>
      <c r="BH519" s="4"/>
    </row>
    <row r="520" spans="1:60" x14ac:dyDescent="0.35">
      <c r="A520" s="4"/>
      <c r="B520" s="8" t="str">
        <f t="shared" si="45"/>
        <v/>
      </c>
      <c r="D520" s="6" t="str">
        <f t="shared" si="46"/>
        <v/>
      </c>
      <c r="E520" s="6" t="str">
        <f t="shared" si="47"/>
        <v/>
      </c>
      <c r="F520" s="6" t="str">
        <f t="shared" si="48"/>
        <v/>
      </c>
      <c r="G520" s="4"/>
      <c r="H520" s="4"/>
      <c r="I520" s="4"/>
      <c r="J520" s="4"/>
      <c r="K520" s="4"/>
      <c r="L520" s="4"/>
      <c r="M520" s="4"/>
      <c r="N520" s="4"/>
      <c r="O520" s="4"/>
      <c r="P520" s="4"/>
      <c r="Q520" s="4"/>
      <c r="R520" s="14"/>
      <c r="S520" s="14"/>
      <c r="T520" s="14"/>
      <c r="U520" s="14"/>
      <c r="V520" s="14"/>
      <c r="W520" s="14"/>
      <c r="X520" s="1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G520" s="4"/>
      <c r="BH520" s="4"/>
    </row>
    <row r="521" spans="1:60" x14ac:dyDescent="0.35">
      <c r="A521" s="4"/>
      <c r="B521" s="8" t="str">
        <f t="shared" si="45"/>
        <v/>
      </c>
      <c r="D521" s="6" t="str">
        <f t="shared" si="46"/>
        <v/>
      </c>
      <c r="E521" s="6" t="str">
        <f t="shared" si="47"/>
        <v/>
      </c>
      <c r="F521" s="6" t="str">
        <f t="shared" si="48"/>
        <v/>
      </c>
      <c r="G521" s="4"/>
      <c r="H521" s="4"/>
      <c r="I521" s="4"/>
      <c r="J521" s="4"/>
      <c r="K521" s="4"/>
      <c r="L521" s="4"/>
      <c r="M521" s="4"/>
      <c r="N521" s="4"/>
      <c r="O521" s="4"/>
      <c r="P521" s="4"/>
      <c r="Q521" s="4"/>
      <c r="R521" s="14"/>
      <c r="S521" s="14"/>
      <c r="T521" s="14"/>
      <c r="U521" s="14"/>
      <c r="V521" s="14"/>
      <c r="W521" s="14"/>
      <c r="X521" s="1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G521" s="4"/>
      <c r="BH521" s="4"/>
    </row>
    <row r="522" spans="1:60" x14ac:dyDescent="0.35">
      <c r="A522" s="4"/>
      <c r="B522" s="8" t="str">
        <f t="shared" si="45"/>
        <v/>
      </c>
      <c r="D522" s="6" t="str">
        <f t="shared" si="46"/>
        <v/>
      </c>
      <c r="E522" s="6" t="str">
        <f t="shared" si="47"/>
        <v/>
      </c>
      <c r="F522" s="6" t="str">
        <f t="shared" si="48"/>
        <v/>
      </c>
      <c r="G522" s="4"/>
      <c r="H522" s="4"/>
      <c r="I522" s="4"/>
      <c r="J522" s="4"/>
      <c r="K522" s="4"/>
      <c r="L522" s="4"/>
      <c r="M522" s="4"/>
      <c r="N522" s="4"/>
      <c r="O522" s="4"/>
      <c r="P522" s="4"/>
      <c r="Q522" s="4"/>
      <c r="R522" s="14"/>
      <c r="S522" s="14"/>
      <c r="T522" s="14"/>
      <c r="U522" s="14"/>
      <c r="V522" s="14"/>
      <c r="W522" s="14"/>
      <c r="X522" s="1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G522" s="4"/>
      <c r="BH522" s="4"/>
    </row>
    <row r="523" spans="1:60" x14ac:dyDescent="0.35">
      <c r="A523" s="4"/>
      <c r="B523" s="8" t="str">
        <f t="shared" si="45"/>
        <v/>
      </c>
      <c r="D523" s="6" t="str">
        <f t="shared" si="46"/>
        <v/>
      </c>
      <c r="E523" s="6" t="str">
        <f t="shared" si="47"/>
        <v/>
      </c>
      <c r="F523" s="6" t="str">
        <f t="shared" si="48"/>
        <v/>
      </c>
      <c r="G523" s="4"/>
      <c r="H523" s="4"/>
      <c r="I523" s="4"/>
      <c r="J523" s="4"/>
      <c r="K523" s="4"/>
      <c r="L523" s="4"/>
      <c r="M523" s="4"/>
      <c r="N523" s="4"/>
      <c r="O523" s="4"/>
      <c r="P523" s="4"/>
      <c r="Q523" s="4"/>
      <c r="R523" s="14"/>
      <c r="S523" s="14"/>
      <c r="T523" s="14"/>
      <c r="U523" s="14"/>
      <c r="V523" s="14"/>
      <c r="W523" s="14"/>
      <c r="X523" s="1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G523" s="4"/>
      <c r="BH523" s="4"/>
    </row>
    <row r="524" spans="1:60" x14ac:dyDescent="0.35">
      <c r="A524" s="4"/>
      <c r="B524" s="8" t="str">
        <f t="shared" si="45"/>
        <v/>
      </c>
      <c r="D524" s="6" t="str">
        <f t="shared" si="46"/>
        <v/>
      </c>
      <c r="E524" s="6" t="str">
        <f t="shared" si="47"/>
        <v/>
      </c>
      <c r="F524" s="6" t="str">
        <f t="shared" si="48"/>
        <v/>
      </c>
      <c r="G524" s="4"/>
      <c r="H524" s="4"/>
      <c r="I524" s="4"/>
      <c r="J524" s="4"/>
      <c r="K524" s="4"/>
      <c r="L524" s="4"/>
      <c r="M524" s="4"/>
      <c r="N524" s="4"/>
      <c r="O524" s="4"/>
      <c r="P524" s="4"/>
      <c r="Q524" s="4"/>
      <c r="R524" s="14"/>
      <c r="S524" s="14"/>
      <c r="T524" s="14"/>
      <c r="U524" s="14"/>
      <c r="V524" s="14"/>
      <c r="W524" s="14"/>
      <c r="X524" s="1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G524" s="4"/>
      <c r="BH524" s="4"/>
    </row>
    <row r="525" spans="1:60" x14ac:dyDescent="0.35">
      <c r="A525" s="4"/>
      <c r="B525" s="8" t="str">
        <f t="shared" si="45"/>
        <v/>
      </c>
      <c r="D525" s="6" t="str">
        <f t="shared" si="46"/>
        <v/>
      </c>
      <c r="E525" s="6" t="str">
        <f t="shared" si="47"/>
        <v/>
      </c>
      <c r="F525" s="6" t="str">
        <f t="shared" si="48"/>
        <v/>
      </c>
      <c r="G525" s="4"/>
      <c r="H525" s="4"/>
      <c r="I525" s="4"/>
      <c r="J525" s="4"/>
      <c r="K525" s="4"/>
      <c r="L525" s="4"/>
      <c r="M525" s="4"/>
      <c r="N525" s="4"/>
      <c r="O525" s="4"/>
      <c r="P525" s="4"/>
      <c r="Q525" s="4"/>
      <c r="R525" s="14"/>
      <c r="S525" s="14"/>
      <c r="T525" s="14"/>
      <c r="U525" s="14"/>
      <c r="V525" s="14"/>
      <c r="W525" s="14"/>
      <c r="X525" s="1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G525" s="4"/>
      <c r="BH525" s="4"/>
    </row>
    <row r="526" spans="1:60" x14ac:dyDescent="0.35">
      <c r="A526" s="4"/>
      <c r="B526" s="8" t="str">
        <f t="shared" si="45"/>
        <v/>
      </c>
      <c r="D526" s="6" t="str">
        <f t="shared" si="46"/>
        <v/>
      </c>
      <c r="E526" s="6" t="str">
        <f t="shared" si="47"/>
        <v/>
      </c>
      <c r="F526" s="6" t="str">
        <f t="shared" si="48"/>
        <v/>
      </c>
      <c r="G526" s="4"/>
      <c r="H526" s="4"/>
      <c r="I526" s="4"/>
      <c r="J526" s="4"/>
      <c r="K526" s="4"/>
      <c r="L526" s="4"/>
      <c r="M526" s="4"/>
      <c r="N526" s="4"/>
      <c r="O526" s="4"/>
      <c r="P526" s="4"/>
      <c r="Q526" s="4"/>
      <c r="R526" s="14"/>
      <c r="S526" s="14"/>
      <c r="T526" s="14"/>
      <c r="U526" s="14"/>
      <c r="V526" s="14"/>
      <c r="W526" s="14"/>
      <c r="X526" s="1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G526" s="4"/>
      <c r="BH526" s="4"/>
    </row>
    <row r="527" spans="1:60" x14ac:dyDescent="0.35">
      <c r="A527" s="4"/>
      <c r="B527" s="8" t="str">
        <f t="shared" si="45"/>
        <v/>
      </c>
      <c r="D527" s="6" t="str">
        <f t="shared" si="46"/>
        <v/>
      </c>
      <c r="E527" s="6" t="str">
        <f t="shared" si="47"/>
        <v/>
      </c>
      <c r="F527" s="6" t="str">
        <f t="shared" si="48"/>
        <v/>
      </c>
      <c r="G527" s="4"/>
      <c r="H527" s="4"/>
      <c r="I527" s="4"/>
      <c r="J527" s="4"/>
      <c r="K527" s="4"/>
      <c r="L527" s="4"/>
      <c r="M527" s="4"/>
      <c r="N527" s="4"/>
      <c r="O527" s="4"/>
      <c r="P527" s="4"/>
      <c r="Q527" s="4"/>
      <c r="R527" s="14"/>
      <c r="S527" s="14"/>
      <c r="T527" s="14"/>
      <c r="U527" s="14"/>
      <c r="V527" s="14"/>
      <c r="W527" s="14"/>
      <c r="X527" s="1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G527" s="4"/>
      <c r="BH527" s="4"/>
    </row>
    <row r="528" spans="1:60" x14ac:dyDescent="0.35">
      <c r="A528" s="4"/>
      <c r="B528" s="8" t="str">
        <f t="shared" si="45"/>
        <v/>
      </c>
      <c r="D528" s="6" t="str">
        <f t="shared" si="46"/>
        <v/>
      </c>
      <c r="E528" s="6" t="str">
        <f t="shared" si="47"/>
        <v/>
      </c>
      <c r="F528" s="6" t="str">
        <f t="shared" si="48"/>
        <v/>
      </c>
      <c r="G528" s="4"/>
      <c r="H528" s="4"/>
      <c r="I528" s="4"/>
      <c r="J528" s="4"/>
      <c r="K528" s="4"/>
      <c r="L528" s="4"/>
      <c r="M528" s="4"/>
      <c r="N528" s="4"/>
      <c r="O528" s="4"/>
      <c r="P528" s="4"/>
      <c r="Q528" s="4"/>
      <c r="R528" s="14"/>
      <c r="S528" s="14"/>
      <c r="T528" s="14"/>
      <c r="U528" s="14"/>
      <c r="V528" s="14"/>
      <c r="W528" s="14"/>
      <c r="X528" s="1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G528" s="4"/>
      <c r="BH528" s="4"/>
    </row>
    <row r="529" spans="1:60" x14ac:dyDescent="0.35">
      <c r="A529" s="4"/>
      <c r="B529" s="8" t="str">
        <f t="shared" si="45"/>
        <v/>
      </c>
      <c r="D529" s="6" t="str">
        <f t="shared" si="46"/>
        <v/>
      </c>
      <c r="E529" s="6" t="str">
        <f t="shared" si="47"/>
        <v/>
      </c>
      <c r="F529" s="6" t="str">
        <f t="shared" si="48"/>
        <v/>
      </c>
      <c r="G529" s="4"/>
      <c r="H529" s="4"/>
      <c r="I529" s="4"/>
      <c r="J529" s="4"/>
      <c r="K529" s="4"/>
      <c r="L529" s="4"/>
      <c r="M529" s="4"/>
      <c r="N529" s="4"/>
      <c r="O529" s="4"/>
      <c r="P529" s="4"/>
      <c r="Q529" s="4"/>
      <c r="R529" s="14"/>
      <c r="S529" s="14"/>
      <c r="T529" s="14"/>
      <c r="U529" s="14"/>
      <c r="V529" s="14"/>
      <c r="W529" s="14"/>
      <c r="X529" s="1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G529" s="4"/>
      <c r="BH529" s="4"/>
    </row>
    <row r="530" spans="1:60" x14ac:dyDescent="0.35">
      <c r="A530" s="4"/>
      <c r="B530" s="8" t="str">
        <f t="shared" si="45"/>
        <v/>
      </c>
      <c r="D530" s="6" t="str">
        <f t="shared" si="46"/>
        <v/>
      </c>
      <c r="E530" s="6" t="str">
        <f t="shared" si="47"/>
        <v/>
      </c>
      <c r="F530" s="6" t="str">
        <f t="shared" si="48"/>
        <v/>
      </c>
      <c r="G530" s="4"/>
      <c r="H530" s="4"/>
      <c r="I530" s="4"/>
      <c r="J530" s="4"/>
      <c r="K530" s="4"/>
      <c r="L530" s="4"/>
      <c r="M530" s="4"/>
      <c r="N530" s="4"/>
      <c r="O530" s="4"/>
      <c r="P530" s="4"/>
      <c r="Q530" s="4"/>
      <c r="R530" s="14"/>
      <c r="S530" s="14"/>
      <c r="T530" s="14"/>
      <c r="U530" s="14"/>
      <c r="V530" s="14"/>
      <c r="W530" s="14"/>
      <c r="X530" s="1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G530" s="4"/>
      <c r="BH530" s="4"/>
    </row>
    <row r="531" spans="1:60" x14ac:dyDescent="0.35">
      <c r="A531" s="4"/>
      <c r="B531" s="8" t="str">
        <f t="shared" si="45"/>
        <v/>
      </c>
      <c r="D531" s="6" t="str">
        <f t="shared" si="46"/>
        <v/>
      </c>
      <c r="E531" s="6" t="str">
        <f t="shared" si="47"/>
        <v/>
      </c>
      <c r="F531" s="6" t="str">
        <f t="shared" si="48"/>
        <v/>
      </c>
      <c r="G531" s="4"/>
      <c r="H531" s="4"/>
      <c r="I531" s="4"/>
      <c r="J531" s="4"/>
      <c r="K531" s="4"/>
      <c r="L531" s="4"/>
      <c r="M531" s="4"/>
      <c r="N531" s="4"/>
      <c r="O531" s="4"/>
      <c r="P531" s="4"/>
      <c r="Q531" s="4"/>
      <c r="R531" s="14"/>
      <c r="S531" s="14"/>
      <c r="T531" s="14"/>
      <c r="U531" s="14"/>
      <c r="V531" s="14"/>
      <c r="W531" s="14"/>
      <c r="X531" s="1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G531" s="4"/>
      <c r="BH531" s="4"/>
    </row>
    <row r="532" spans="1:60" x14ac:dyDescent="0.35">
      <c r="A532" s="4"/>
      <c r="B532" s="8" t="str">
        <f t="shared" si="45"/>
        <v/>
      </c>
      <c r="D532" s="6" t="str">
        <f t="shared" si="46"/>
        <v/>
      </c>
      <c r="E532" s="6" t="str">
        <f t="shared" si="47"/>
        <v/>
      </c>
      <c r="F532" s="6" t="str">
        <f t="shared" si="48"/>
        <v/>
      </c>
      <c r="G532" s="4"/>
      <c r="H532" s="4"/>
      <c r="I532" s="4"/>
      <c r="J532" s="4"/>
      <c r="K532" s="4"/>
      <c r="L532" s="4"/>
      <c r="M532" s="4"/>
      <c r="N532" s="4"/>
      <c r="O532" s="4"/>
      <c r="P532" s="4"/>
      <c r="Q532" s="4"/>
      <c r="R532" s="14"/>
      <c r="S532" s="14"/>
      <c r="T532" s="14"/>
      <c r="U532" s="14"/>
      <c r="V532" s="14"/>
      <c r="W532" s="14"/>
      <c r="X532" s="1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G532" s="4"/>
      <c r="BH532" s="4"/>
    </row>
    <row r="533" spans="1:60" x14ac:dyDescent="0.35">
      <c r="A533" s="4"/>
      <c r="B533" s="8" t="str">
        <f t="shared" si="45"/>
        <v/>
      </c>
      <c r="D533" s="6" t="str">
        <f t="shared" si="46"/>
        <v/>
      </c>
      <c r="E533" s="6" t="str">
        <f t="shared" si="47"/>
        <v/>
      </c>
      <c r="F533" s="6" t="str">
        <f t="shared" si="48"/>
        <v/>
      </c>
      <c r="G533" s="4"/>
      <c r="H533" s="4"/>
      <c r="I533" s="4"/>
      <c r="J533" s="4"/>
      <c r="K533" s="4"/>
      <c r="L533" s="4"/>
      <c r="M533" s="4"/>
      <c r="N533" s="4"/>
      <c r="O533" s="4"/>
      <c r="P533" s="4"/>
      <c r="Q533" s="4"/>
      <c r="R533" s="14"/>
      <c r="S533" s="14"/>
      <c r="T533" s="14"/>
      <c r="U533" s="14"/>
      <c r="V533" s="14"/>
      <c r="W533" s="14"/>
      <c r="X533" s="1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G533" s="4"/>
      <c r="BH533" s="4"/>
    </row>
    <row r="534" spans="1:60" x14ac:dyDescent="0.35">
      <c r="A534" s="4"/>
      <c r="B534" s="8" t="str">
        <f t="shared" si="45"/>
        <v/>
      </c>
      <c r="D534" s="6" t="str">
        <f t="shared" si="46"/>
        <v/>
      </c>
      <c r="E534" s="6" t="str">
        <f t="shared" si="47"/>
        <v/>
      </c>
      <c r="F534" s="6" t="str">
        <f t="shared" si="48"/>
        <v/>
      </c>
      <c r="G534" s="4"/>
      <c r="H534" s="4"/>
      <c r="I534" s="4"/>
      <c r="J534" s="4"/>
      <c r="K534" s="4"/>
      <c r="L534" s="4"/>
      <c r="M534" s="4"/>
      <c r="N534" s="4"/>
      <c r="O534" s="4"/>
      <c r="P534" s="4"/>
      <c r="Q534" s="4"/>
      <c r="R534" s="14"/>
      <c r="S534" s="14"/>
      <c r="T534" s="14"/>
      <c r="U534" s="14"/>
      <c r="V534" s="14"/>
      <c r="W534" s="14"/>
      <c r="X534" s="1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G534" s="4"/>
      <c r="BH534" s="4"/>
    </row>
    <row r="535" spans="1:60" x14ac:dyDescent="0.35">
      <c r="A535" s="4"/>
      <c r="B535" s="8" t="str">
        <f t="shared" si="45"/>
        <v/>
      </c>
      <c r="D535" s="6" t="str">
        <f t="shared" si="46"/>
        <v/>
      </c>
      <c r="E535" s="6" t="str">
        <f t="shared" si="47"/>
        <v/>
      </c>
      <c r="F535" s="6" t="str">
        <f t="shared" si="48"/>
        <v/>
      </c>
      <c r="G535" s="4"/>
      <c r="H535" s="4"/>
      <c r="I535" s="4"/>
      <c r="J535" s="4"/>
      <c r="K535" s="4"/>
      <c r="L535" s="4"/>
      <c r="M535" s="4"/>
      <c r="N535" s="4"/>
      <c r="O535" s="4"/>
      <c r="P535" s="4"/>
      <c r="Q535" s="4"/>
      <c r="R535" s="14"/>
      <c r="S535" s="14"/>
      <c r="T535" s="14"/>
      <c r="U535" s="14"/>
      <c r="V535" s="14"/>
      <c r="W535" s="14"/>
      <c r="X535" s="1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G535" s="4"/>
      <c r="BH535" s="4"/>
    </row>
    <row r="536" spans="1:60" x14ac:dyDescent="0.35">
      <c r="A536" s="4"/>
      <c r="B536" s="8" t="str">
        <f t="shared" si="45"/>
        <v/>
      </c>
      <c r="D536" s="6" t="str">
        <f t="shared" si="46"/>
        <v/>
      </c>
      <c r="E536" s="6" t="str">
        <f t="shared" si="47"/>
        <v/>
      </c>
      <c r="F536" s="6" t="str">
        <f t="shared" si="48"/>
        <v/>
      </c>
      <c r="G536" s="4"/>
      <c r="H536" s="4"/>
      <c r="I536" s="4"/>
      <c r="J536" s="4"/>
      <c r="K536" s="4"/>
      <c r="L536" s="4"/>
      <c r="M536" s="4"/>
      <c r="N536" s="4"/>
      <c r="O536" s="4"/>
      <c r="P536" s="4"/>
      <c r="Q536" s="4"/>
      <c r="R536" s="14"/>
      <c r="S536" s="14"/>
      <c r="T536" s="14"/>
      <c r="U536" s="14"/>
      <c r="V536" s="14"/>
      <c r="W536" s="14"/>
      <c r="X536" s="1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G536" s="4"/>
      <c r="BH536" s="4"/>
    </row>
    <row r="537" spans="1:60" x14ac:dyDescent="0.35">
      <c r="A537" s="4"/>
      <c r="B537" s="8" t="str">
        <f t="shared" si="45"/>
        <v/>
      </c>
      <c r="D537" s="6" t="str">
        <f t="shared" si="46"/>
        <v/>
      </c>
      <c r="E537" s="6" t="str">
        <f t="shared" si="47"/>
        <v/>
      </c>
      <c r="F537" s="6" t="str">
        <f t="shared" si="48"/>
        <v/>
      </c>
      <c r="G537" s="4"/>
      <c r="H537" s="4"/>
      <c r="I537" s="4"/>
      <c r="J537" s="4"/>
      <c r="K537" s="4"/>
      <c r="L537" s="4"/>
      <c r="M537" s="4"/>
      <c r="N537" s="4"/>
      <c r="O537" s="4"/>
      <c r="P537" s="4"/>
      <c r="Q537" s="4"/>
      <c r="R537" s="14"/>
      <c r="S537" s="14"/>
      <c r="T537" s="14"/>
      <c r="U537" s="14"/>
      <c r="V537" s="14"/>
      <c r="W537" s="14"/>
      <c r="X537" s="1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G537" s="4"/>
      <c r="BH537" s="4"/>
    </row>
    <row r="538" spans="1:60" x14ac:dyDescent="0.35">
      <c r="A538" s="4"/>
      <c r="B538" s="8" t="str">
        <f t="shared" si="45"/>
        <v/>
      </c>
      <c r="D538" s="6" t="str">
        <f t="shared" si="46"/>
        <v/>
      </c>
      <c r="E538" s="6" t="str">
        <f t="shared" si="47"/>
        <v/>
      </c>
      <c r="F538" s="6" t="str">
        <f t="shared" si="48"/>
        <v/>
      </c>
      <c r="G538" s="4"/>
      <c r="H538" s="4"/>
      <c r="I538" s="4"/>
      <c r="J538" s="4"/>
      <c r="K538" s="4"/>
      <c r="L538" s="4"/>
      <c r="M538" s="4"/>
      <c r="N538" s="4"/>
      <c r="O538" s="4"/>
      <c r="P538" s="4"/>
      <c r="Q538" s="4"/>
      <c r="R538" s="14"/>
      <c r="S538" s="14"/>
      <c r="T538" s="14"/>
      <c r="U538" s="14"/>
      <c r="V538" s="14"/>
      <c r="W538" s="14"/>
      <c r="X538" s="1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G538" s="4"/>
      <c r="BH538" s="4"/>
    </row>
    <row r="539" spans="1:60" x14ac:dyDescent="0.35">
      <c r="A539" s="4"/>
      <c r="B539" s="8" t="str">
        <f t="shared" si="45"/>
        <v/>
      </c>
      <c r="D539" s="6" t="str">
        <f t="shared" si="46"/>
        <v/>
      </c>
      <c r="E539" s="6" t="str">
        <f t="shared" si="47"/>
        <v/>
      </c>
      <c r="F539" s="6" t="str">
        <f t="shared" si="48"/>
        <v/>
      </c>
      <c r="G539" s="4"/>
      <c r="H539" s="4"/>
      <c r="I539" s="4"/>
      <c r="J539" s="4"/>
      <c r="K539" s="4"/>
      <c r="L539" s="4"/>
      <c r="M539" s="4"/>
      <c r="N539" s="4"/>
      <c r="O539" s="4"/>
      <c r="P539" s="4"/>
      <c r="Q539" s="4"/>
      <c r="R539" s="14"/>
      <c r="S539" s="14"/>
      <c r="T539" s="14"/>
      <c r="U539" s="14"/>
      <c r="V539" s="14"/>
      <c r="W539" s="14"/>
      <c r="X539" s="1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G539" s="4"/>
      <c r="BH539" s="4"/>
    </row>
    <row r="540" spans="1:60" x14ac:dyDescent="0.35">
      <c r="A540" s="4"/>
      <c r="B540" s="8" t="str">
        <f t="shared" si="45"/>
        <v/>
      </c>
      <c r="D540" s="6" t="str">
        <f t="shared" si="46"/>
        <v/>
      </c>
      <c r="E540" s="6" t="str">
        <f t="shared" si="47"/>
        <v/>
      </c>
      <c r="F540" s="6" t="str">
        <f t="shared" si="48"/>
        <v/>
      </c>
      <c r="G540" s="4"/>
      <c r="H540" s="4"/>
      <c r="I540" s="4"/>
      <c r="J540" s="4"/>
      <c r="K540" s="4"/>
      <c r="L540" s="4"/>
      <c r="M540" s="4"/>
      <c r="N540" s="4"/>
      <c r="O540" s="4"/>
      <c r="P540" s="4"/>
      <c r="Q540" s="4"/>
      <c r="R540" s="14"/>
      <c r="S540" s="14"/>
      <c r="T540" s="14"/>
      <c r="U540" s="14"/>
      <c r="V540" s="14"/>
      <c r="W540" s="14"/>
      <c r="X540" s="1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G540" s="4"/>
      <c r="BH540" s="4"/>
    </row>
    <row r="541" spans="1:60" x14ac:dyDescent="0.35">
      <c r="A541" s="4"/>
      <c r="B541" s="8" t="str">
        <f t="shared" si="45"/>
        <v/>
      </c>
      <c r="D541" s="6" t="str">
        <f t="shared" si="46"/>
        <v/>
      </c>
      <c r="E541" s="6" t="str">
        <f t="shared" si="47"/>
        <v/>
      </c>
      <c r="F541" s="6" t="str">
        <f t="shared" si="48"/>
        <v/>
      </c>
      <c r="G541" s="4"/>
      <c r="H541" s="4"/>
      <c r="I541" s="4"/>
      <c r="J541" s="4"/>
      <c r="K541" s="4"/>
      <c r="L541" s="4"/>
      <c r="M541" s="4"/>
      <c r="N541" s="4"/>
      <c r="O541" s="4"/>
      <c r="P541" s="4"/>
      <c r="Q541" s="4"/>
      <c r="R541" s="14"/>
      <c r="S541" s="14"/>
      <c r="T541" s="14"/>
      <c r="U541" s="14"/>
      <c r="V541" s="14"/>
      <c r="W541" s="14"/>
      <c r="X541" s="1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G541" s="4"/>
      <c r="BH541" s="4"/>
    </row>
    <row r="542" spans="1:60" x14ac:dyDescent="0.35">
      <c r="A542" s="4"/>
      <c r="B542" s="8" t="str">
        <f t="shared" si="45"/>
        <v/>
      </c>
      <c r="D542" s="6" t="str">
        <f t="shared" si="46"/>
        <v/>
      </c>
      <c r="E542" s="6" t="str">
        <f t="shared" si="47"/>
        <v/>
      </c>
      <c r="F542" s="6" t="str">
        <f t="shared" si="48"/>
        <v/>
      </c>
      <c r="G542" s="4"/>
      <c r="H542" s="4"/>
      <c r="I542" s="4"/>
      <c r="J542" s="4"/>
      <c r="K542" s="4"/>
      <c r="L542" s="4"/>
      <c r="M542" s="4"/>
      <c r="N542" s="4"/>
      <c r="O542" s="4"/>
      <c r="P542" s="4"/>
      <c r="Q542" s="4"/>
      <c r="R542" s="14"/>
      <c r="S542" s="14"/>
      <c r="T542" s="14"/>
      <c r="U542" s="14"/>
      <c r="V542" s="14"/>
      <c r="W542" s="14"/>
      <c r="X542" s="1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G542" s="4"/>
      <c r="BH542" s="4"/>
    </row>
    <row r="543" spans="1:60" x14ac:dyDescent="0.35">
      <c r="A543" s="4"/>
      <c r="B543" s="8" t="str">
        <f t="shared" si="45"/>
        <v/>
      </c>
      <c r="D543" s="6" t="str">
        <f t="shared" si="46"/>
        <v/>
      </c>
      <c r="E543" s="6" t="str">
        <f t="shared" si="47"/>
        <v/>
      </c>
      <c r="F543" s="6" t="str">
        <f t="shared" si="48"/>
        <v/>
      </c>
      <c r="G543" s="4"/>
      <c r="H543" s="4"/>
      <c r="I543" s="4"/>
      <c r="J543" s="4"/>
      <c r="K543" s="4"/>
      <c r="L543" s="4"/>
      <c r="M543" s="4"/>
      <c r="N543" s="4"/>
      <c r="O543" s="4"/>
      <c r="P543" s="4"/>
      <c r="Q543" s="4"/>
      <c r="R543" s="14"/>
      <c r="S543" s="14"/>
      <c r="T543" s="14"/>
      <c r="U543" s="14"/>
      <c r="V543" s="14"/>
      <c r="W543" s="14"/>
      <c r="X543" s="1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G543" s="4"/>
      <c r="BH543" s="4"/>
    </row>
    <row r="544" spans="1:60" x14ac:dyDescent="0.35">
      <c r="A544" s="4"/>
      <c r="B544" s="8" t="str">
        <f t="shared" si="45"/>
        <v/>
      </c>
      <c r="D544" s="6" t="str">
        <f t="shared" si="46"/>
        <v/>
      </c>
      <c r="E544" s="6" t="str">
        <f t="shared" si="47"/>
        <v/>
      </c>
      <c r="F544" s="6" t="str">
        <f t="shared" si="48"/>
        <v/>
      </c>
      <c r="G544" s="4"/>
      <c r="H544" s="4"/>
      <c r="I544" s="4"/>
      <c r="J544" s="4"/>
      <c r="K544" s="4"/>
      <c r="L544" s="4"/>
      <c r="M544" s="4"/>
      <c r="N544" s="4"/>
      <c r="O544" s="4"/>
      <c r="P544" s="4"/>
      <c r="Q544" s="4"/>
      <c r="R544" s="14"/>
      <c r="S544" s="14"/>
      <c r="T544" s="14"/>
      <c r="U544" s="14"/>
      <c r="V544" s="14"/>
      <c r="W544" s="14"/>
      <c r="X544" s="1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G544" s="4"/>
      <c r="BH544" s="4"/>
    </row>
    <row r="545" spans="1:60" x14ac:dyDescent="0.35">
      <c r="A545" s="4"/>
      <c r="B545" s="8" t="str">
        <f t="shared" si="45"/>
        <v/>
      </c>
      <c r="D545" s="6" t="str">
        <f t="shared" si="46"/>
        <v/>
      </c>
      <c r="E545" s="6" t="str">
        <f t="shared" si="47"/>
        <v/>
      </c>
      <c r="F545" s="6" t="str">
        <f t="shared" si="48"/>
        <v/>
      </c>
      <c r="G545" s="4"/>
      <c r="H545" s="4"/>
      <c r="I545" s="4"/>
      <c r="J545" s="4"/>
      <c r="K545" s="4"/>
      <c r="L545" s="4"/>
      <c r="M545" s="4"/>
      <c r="N545" s="4"/>
      <c r="O545" s="4"/>
      <c r="P545" s="4"/>
      <c r="Q545" s="4"/>
      <c r="R545" s="14"/>
      <c r="S545" s="14"/>
      <c r="T545" s="14"/>
      <c r="U545" s="14"/>
      <c r="V545" s="14"/>
      <c r="W545" s="14"/>
      <c r="X545" s="1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G545" s="4"/>
      <c r="BH545" s="4"/>
    </row>
    <row r="546" spans="1:60" x14ac:dyDescent="0.35">
      <c r="A546" s="4"/>
      <c r="B546" s="8" t="str">
        <f t="shared" si="45"/>
        <v/>
      </c>
      <c r="D546" s="6" t="str">
        <f t="shared" si="46"/>
        <v/>
      </c>
      <c r="E546" s="6" t="str">
        <f t="shared" si="47"/>
        <v/>
      </c>
      <c r="F546" s="6" t="str">
        <f t="shared" si="48"/>
        <v/>
      </c>
      <c r="G546" s="4"/>
      <c r="H546" s="4"/>
      <c r="I546" s="4"/>
      <c r="J546" s="4"/>
      <c r="K546" s="4"/>
      <c r="L546" s="4"/>
      <c r="M546" s="4"/>
      <c r="N546" s="4"/>
      <c r="O546" s="4"/>
      <c r="P546" s="4"/>
      <c r="Q546" s="4"/>
      <c r="R546" s="14"/>
      <c r="S546" s="14"/>
      <c r="T546" s="14"/>
      <c r="U546" s="14"/>
      <c r="V546" s="14"/>
      <c r="W546" s="14"/>
      <c r="X546" s="1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G546" s="4"/>
      <c r="BH546" s="4"/>
    </row>
    <row r="547" spans="1:60" x14ac:dyDescent="0.35">
      <c r="A547" s="4"/>
      <c r="B547" s="8" t="str">
        <f t="shared" si="45"/>
        <v/>
      </c>
      <c r="D547" s="6" t="str">
        <f t="shared" si="46"/>
        <v/>
      </c>
      <c r="E547" s="6" t="str">
        <f t="shared" si="47"/>
        <v/>
      </c>
      <c r="F547" s="6" t="str">
        <f t="shared" si="48"/>
        <v/>
      </c>
      <c r="G547" s="4"/>
      <c r="H547" s="4"/>
      <c r="I547" s="4"/>
      <c r="J547" s="4"/>
      <c r="K547" s="4"/>
      <c r="L547" s="4"/>
      <c r="M547" s="4"/>
      <c r="N547" s="4"/>
      <c r="O547" s="4"/>
      <c r="P547" s="4"/>
      <c r="Q547" s="4"/>
      <c r="R547" s="14"/>
      <c r="S547" s="14"/>
      <c r="T547" s="14"/>
      <c r="U547" s="14"/>
      <c r="V547" s="14"/>
      <c r="W547" s="14"/>
      <c r="X547" s="1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G547" s="4"/>
      <c r="BH547" s="4"/>
    </row>
    <row r="548" spans="1:60" x14ac:dyDescent="0.35">
      <c r="A548" s="4"/>
      <c r="B548" s="8" t="str">
        <f t="shared" si="45"/>
        <v/>
      </c>
      <c r="D548" s="6" t="str">
        <f t="shared" si="46"/>
        <v/>
      </c>
      <c r="E548" s="6" t="str">
        <f t="shared" si="47"/>
        <v/>
      </c>
      <c r="F548" s="6" t="str">
        <f t="shared" si="48"/>
        <v/>
      </c>
      <c r="G548" s="4"/>
      <c r="H548" s="4"/>
      <c r="I548" s="4"/>
      <c r="J548" s="4"/>
      <c r="K548" s="4"/>
      <c r="L548" s="4"/>
      <c r="M548" s="4"/>
      <c r="N548" s="4"/>
      <c r="O548" s="4"/>
      <c r="P548" s="4"/>
      <c r="Q548" s="4"/>
      <c r="R548" s="14"/>
      <c r="S548" s="14"/>
      <c r="T548" s="14"/>
      <c r="U548" s="14"/>
      <c r="V548" s="14"/>
      <c r="W548" s="14"/>
      <c r="X548" s="1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G548" s="4"/>
      <c r="BH548" s="4"/>
    </row>
    <row r="549" spans="1:60" x14ac:dyDescent="0.35">
      <c r="A549" s="4"/>
      <c r="B549" s="8" t="str">
        <f t="shared" si="45"/>
        <v/>
      </c>
      <c r="D549" s="6" t="str">
        <f t="shared" si="46"/>
        <v/>
      </c>
      <c r="E549" s="6" t="str">
        <f t="shared" si="47"/>
        <v/>
      </c>
      <c r="F549" s="6" t="str">
        <f t="shared" si="48"/>
        <v/>
      </c>
      <c r="G549" s="4"/>
      <c r="H549" s="4"/>
      <c r="I549" s="4"/>
      <c r="J549" s="4"/>
      <c r="K549" s="4"/>
      <c r="L549" s="4"/>
      <c r="M549" s="4"/>
      <c r="N549" s="4"/>
      <c r="O549" s="4"/>
      <c r="P549" s="4"/>
      <c r="Q549" s="4"/>
      <c r="R549" s="14"/>
      <c r="S549" s="14"/>
      <c r="T549" s="14"/>
      <c r="U549" s="14"/>
      <c r="V549" s="14"/>
      <c r="W549" s="14"/>
      <c r="X549" s="1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G549" s="4"/>
      <c r="BH549" s="4"/>
    </row>
    <row r="550" spans="1:60" x14ac:dyDescent="0.35">
      <c r="A550" s="4"/>
      <c r="B550" s="8" t="str">
        <f t="shared" si="45"/>
        <v/>
      </c>
      <c r="D550" s="6" t="str">
        <f t="shared" si="46"/>
        <v/>
      </c>
      <c r="E550" s="6" t="str">
        <f t="shared" si="47"/>
        <v/>
      </c>
      <c r="F550" s="6" t="str">
        <f t="shared" si="48"/>
        <v/>
      </c>
      <c r="G550" s="4"/>
      <c r="H550" s="4"/>
      <c r="I550" s="4"/>
      <c r="J550" s="4"/>
      <c r="K550" s="4"/>
      <c r="L550" s="4"/>
      <c r="M550" s="4"/>
      <c r="N550" s="4"/>
      <c r="O550" s="4"/>
      <c r="P550" s="4"/>
      <c r="Q550" s="4"/>
      <c r="R550" s="14"/>
      <c r="S550" s="14"/>
      <c r="T550" s="14"/>
      <c r="U550" s="14"/>
      <c r="V550" s="14"/>
      <c r="W550" s="14"/>
      <c r="X550" s="1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G550" s="4"/>
      <c r="BH550" s="4"/>
    </row>
    <row r="551" spans="1:60" x14ac:dyDescent="0.35">
      <c r="A551" s="4"/>
      <c r="B551" s="8" t="str">
        <f t="shared" si="45"/>
        <v/>
      </c>
      <c r="D551" s="6" t="str">
        <f t="shared" si="46"/>
        <v/>
      </c>
      <c r="E551" s="6" t="str">
        <f t="shared" si="47"/>
        <v/>
      </c>
      <c r="F551" s="6" t="str">
        <f t="shared" si="48"/>
        <v/>
      </c>
      <c r="G551" s="4"/>
      <c r="H551" s="4"/>
      <c r="I551" s="4"/>
      <c r="J551" s="4"/>
      <c r="K551" s="4"/>
      <c r="L551" s="4"/>
      <c r="M551" s="4"/>
      <c r="N551" s="4"/>
      <c r="O551" s="4"/>
      <c r="P551" s="4"/>
      <c r="Q551" s="4"/>
      <c r="R551" s="14"/>
      <c r="S551" s="14"/>
      <c r="T551" s="14"/>
      <c r="U551" s="14"/>
      <c r="V551" s="14"/>
      <c r="W551" s="14"/>
      <c r="X551" s="1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G551" s="4"/>
      <c r="BH551" s="4"/>
    </row>
    <row r="552" spans="1:60" x14ac:dyDescent="0.35">
      <c r="A552" s="4"/>
      <c r="B552" s="8" t="str">
        <f t="shared" si="45"/>
        <v/>
      </c>
      <c r="D552" s="6" t="str">
        <f t="shared" si="46"/>
        <v/>
      </c>
      <c r="E552" s="6" t="str">
        <f t="shared" si="47"/>
        <v/>
      </c>
      <c r="F552" s="6" t="str">
        <f t="shared" si="48"/>
        <v/>
      </c>
      <c r="G552" s="4"/>
      <c r="H552" s="4"/>
      <c r="I552" s="4"/>
      <c r="J552" s="4"/>
      <c r="K552" s="4"/>
      <c r="L552" s="4"/>
      <c r="M552" s="4"/>
      <c r="N552" s="4"/>
      <c r="O552" s="4"/>
      <c r="P552" s="4"/>
      <c r="Q552" s="4"/>
      <c r="R552" s="14"/>
      <c r="S552" s="14"/>
      <c r="T552" s="14"/>
      <c r="U552" s="14"/>
      <c r="V552" s="14"/>
      <c r="W552" s="14"/>
      <c r="X552" s="1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G552" s="4"/>
      <c r="BH552" s="4"/>
    </row>
    <row r="553" spans="1:60" x14ac:dyDescent="0.35">
      <c r="A553" s="4"/>
      <c r="B553" s="8" t="str">
        <f t="shared" si="45"/>
        <v/>
      </c>
      <c r="D553" s="6" t="str">
        <f t="shared" si="46"/>
        <v/>
      </c>
      <c r="E553" s="6" t="str">
        <f t="shared" si="47"/>
        <v/>
      </c>
      <c r="F553" s="6" t="str">
        <f t="shared" si="48"/>
        <v/>
      </c>
      <c r="G553" s="4"/>
      <c r="H553" s="4"/>
      <c r="I553" s="4"/>
      <c r="J553" s="4"/>
      <c r="K553" s="4"/>
      <c r="L553" s="4"/>
      <c r="M553" s="4"/>
      <c r="N553" s="4"/>
      <c r="O553" s="4"/>
      <c r="P553" s="4"/>
      <c r="Q553" s="4"/>
      <c r="R553" s="14"/>
      <c r="S553" s="14"/>
      <c r="T553" s="14"/>
      <c r="U553" s="14"/>
      <c r="V553" s="14"/>
      <c r="W553" s="14"/>
      <c r="X553" s="1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G553" s="4"/>
      <c r="BH553" s="4"/>
    </row>
    <row r="554" spans="1:60" x14ac:dyDescent="0.35">
      <c r="A554" s="4"/>
      <c r="B554" s="8" t="str">
        <f t="shared" si="45"/>
        <v/>
      </c>
      <c r="D554" s="6" t="str">
        <f t="shared" si="46"/>
        <v/>
      </c>
      <c r="E554" s="6" t="str">
        <f t="shared" si="47"/>
        <v/>
      </c>
      <c r="F554" s="6" t="str">
        <f t="shared" si="48"/>
        <v/>
      </c>
      <c r="G554" s="4"/>
      <c r="H554" s="4"/>
      <c r="I554" s="4"/>
      <c r="J554" s="4"/>
      <c r="K554" s="4"/>
      <c r="L554" s="4"/>
      <c r="M554" s="4"/>
      <c r="N554" s="4"/>
      <c r="O554" s="4"/>
      <c r="P554" s="4"/>
      <c r="Q554" s="4"/>
      <c r="R554" s="14"/>
      <c r="S554" s="14"/>
      <c r="T554" s="14"/>
      <c r="U554" s="14"/>
      <c r="V554" s="14"/>
      <c r="W554" s="14"/>
      <c r="X554" s="1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G554" s="4"/>
      <c r="BH554" s="4"/>
    </row>
    <row r="555" spans="1:60" x14ac:dyDescent="0.35">
      <c r="A555" s="4"/>
      <c r="B555" s="8" t="str">
        <f t="shared" si="45"/>
        <v/>
      </c>
      <c r="D555" s="6" t="str">
        <f t="shared" si="46"/>
        <v/>
      </c>
      <c r="E555" s="6" t="str">
        <f t="shared" si="47"/>
        <v/>
      </c>
      <c r="F555" s="6" t="str">
        <f t="shared" si="48"/>
        <v/>
      </c>
      <c r="G555" s="4"/>
      <c r="H555" s="4"/>
      <c r="I555" s="4"/>
      <c r="J555" s="4"/>
      <c r="K555" s="4"/>
      <c r="L555" s="4"/>
      <c r="M555" s="4"/>
      <c r="N555" s="4"/>
      <c r="O555" s="4"/>
      <c r="P555" s="4"/>
      <c r="Q555" s="4"/>
      <c r="R555" s="14"/>
      <c r="S555" s="14"/>
      <c r="T555" s="14"/>
      <c r="U555" s="14"/>
      <c r="V555" s="14"/>
      <c r="W555" s="14"/>
      <c r="X555" s="1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G555" s="4"/>
      <c r="BH555" s="4"/>
    </row>
    <row r="556" spans="1:60" x14ac:dyDescent="0.35">
      <c r="A556" s="4"/>
      <c r="B556" s="8" t="str">
        <f t="shared" si="45"/>
        <v/>
      </c>
      <c r="D556" s="6" t="str">
        <f t="shared" si="46"/>
        <v/>
      </c>
      <c r="E556" s="6" t="str">
        <f t="shared" si="47"/>
        <v/>
      </c>
      <c r="F556" s="6" t="str">
        <f t="shared" si="48"/>
        <v/>
      </c>
      <c r="G556" s="4"/>
      <c r="H556" s="4"/>
      <c r="I556" s="4"/>
      <c r="J556" s="4"/>
      <c r="K556" s="4"/>
      <c r="L556" s="4"/>
      <c r="M556" s="4"/>
      <c r="N556" s="4"/>
      <c r="O556" s="4"/>
      <c r="P556" s="4"/>
      <c r="Q556" s="4"/>
      <c r="R556" s="14"/>
      <c r="S556" s="14"/>
      <c r="T556" s="14"/>
      <c r="U556" s="14"/>
      <c r="V556" s="14"/>
      <c r="W556" s="14"/>
      <c r="X556" s="1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G556" s="4"/>
      <c r="BH556" s="4"/>
    </row>
    <row r="557" spans="1:60" x14ac:dyDescent="0.35">
      <c r="A557" s="4"/>
      <c r="B557" s="8" t="str">
        <f t="shared" si="45"/>
        <v/>
      </c>
      <c r="D557" s="6" t="str">
        <f t="shared" si="46"/>
        <v/>
      </c>
      <c r="E557" s="6" t="str">
        <f t="shared" si="47"/>
        <v/>
      </c>
      <c r="F557" s="6" t="str">
        <f t="shared" si="48"/>
        <v/>
      </c>
      <c r="G557" s="4"/>
      <c r="H557" s="4"/>
      <c r="I557" s="4"/>
      <c r="J557" s="4"/>
      <c r="K557" s="4"/>
      <c r="L557" s="4"/>
      <c r="M557" s="4"/>
      <c r="N557" s="4"/>
      <c r="O557" s="4"/>
      <c r="P557" s="4"/>
      <c r="Q557" s="4"/>
      <c r="R557" s="14"/>
      <c r="S557" s="14"/>
      <c r="T557" s="14"/>
      <c r="U557" s="14"/>
      <c r="V557" s="14"/>
      <c r="W557" s="14"/>
      <c r="X557" s="1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G557" s="4"/>
      <c r="BH557" s="4"/>
    </row>
    <row r="558" spans="1:60" x14ac:dyDescent="0.35">
      <c r="A558" s="4"/>
      <c r="B558" s="8" t="str">
        <f t="shared" si="45"/>
        <v/>
      </c>
      <c r="D558" s="6" t="str">
        <f t="shared" si="46"/>
        <v/>
      </c>
      <c r="E558" s="6" t="str">
        <f t="shared" si="47"/>
        <v/>
      </c>
      <c r="F558" s="6" t="str">
        <f t="shared" si="48"/>
        <v/>
      </c>
      <c r="G558" s="4"/>
      <c r="H558" s="4"/>
      <c r="I558" s="4"/>
      <c r="J558" s="4"/>
      <c r="K558" s="4"/>
      <c r="L558" s="4"/>
      <c r="M558" s="4"/>
      <c r="N558" s="4"/>
      <c r="O558" s="4"/>
      <c r="P558" s="4"/>
      <c r="Q558" s="4"/>
      <c r="R558" s="14"/>
      <c r="S558" s="14"/>
      <c r="T558" s="14"/>
      <c r="U558" s="14"/>
      <c r="V558" s="14"/>
      <c r="W558" s="14"/>
      <c r="X558" s="1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G558" s="4"/>
      <c r="BH558" s="4"/>
    </row>
    <row r="559" spans="1:60" x14ac:dyDescent="0.35">
      <c r="A559" s="4"/>
      <c r="B559" s="8" t="str">
        <f t="shared" si="45"/>
        <v/>
      </c>
      <c r="D559" s="6" t="str">
        <f t="shared" si="46"/>
        <v/>
      </c>
      <c r="E559" s="6" t="str">
        <f t="shared" si="47"/>
        <v/>
      </c>
      <c r="F559" s="6" t="str">
        <f t="shared" si="48"/>
        <v/>
      </c>
      <c r="G559" s="4"/>
      <c r="H559" s="4"/>
      <c r="I559" s="4"/>
      <c r="J559" s="4"/>
      <c r="K559" s="4"/>
      <c r="L559" s="4"/>
      <c r="M559" s="4"/>
      <c r="N559" s="4"/>
      <c r="O559" s="4"/>
      <c r="P559" s="4"/>
      <c r="Q559" s="4"/>
      <c r="R559" s="14"/>
      <c r="S559" s="14"/>
      <c r="T559" s="14"/>
      <c r="U559" s="14"/>
      <c r="V559" s="14"/>
      <c r="W559" s="14"/>
      <c r="X559" s="1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G559" s="4"/>
      <c r="BH559" s="4"/>
    </row>
    <row r="560" spans="1:60" x14ac:dyDescent="0.35">
      <c r="A560" s="4"/>
      <c r="B560" s="8" t="str">
        <f t="shared" si="45"/>
        <v/>
      </c>
      <c r="D560" s="6" t="str">
        <f t="shared" si="46"/>
        <v/>
      </c>
      <c r="E560" s="6" t="str">
        <f t="shared" si="47"/>
        <v/>
      </c>
      <c r="F560" s="6" t="str">
        <f t="shared" si="48"/>
        <v/>
      </c>
      <c r="G560" s="4"/>
      <c r="H560" s="4"/>
      <c r="I560" s="4"/>
      <c r="J560" s="4"/>
      <c r="K560" s="4"/>
      <c r="L560" s="4"/>
      <c r="M560" s="4"/>
      <c r="N560" s="4"/>
      <c r="O560" s="4"/>
      <c r="P560" s="4"/>
      <c r="Q560" s="4"/>
      <c r="R560" s="14"/>
      <c r="S560" s="14"/>
      <c r="T560" s="14"/>
      <c r="U560" s="14"/>
      <c r="V560" s="14"/>
      <c r="W560" s="14"/>
      <c r="X560" s="1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G560" s="4"/>
      <c r="BH560" s="4"/>
    </row>
    <row r="561" spans="1:60" x14ac:dyDescent="0.35">
      <c r="A561" s="4"/>
      <c r="B561" s="8" t="str">
        <f t="shared" si="45"/>
        <v/>
      </c>
      <c r="D561" s="6" t="str">
        <f t="shared" si="46"/>
        <v/>
      </c>
      <c r="E561" s="6" t="str">
        <f t="shared" si="47"/>
        <v/>
      </c>
      <c r="F561" s="6" t="str">
        <f t="shared" si="48"/>
        <v/>
      </c>
      <c r="G561" s="4"/>
      <c r="H561" s="4"/>
      <c r="I561" s="4"/>
      <c r="J561" s="4"/>
      <c r="K561" s="4"/>
      <c r="L561" s="4"/>
      <c r="M561" s="4"/>
      <c r="N561" s="4"/>
      <c r="O561" s="4"/>
      <c r="P561" s="4"/>
      <c r="Q561" s="4"/>
      <c r="R561" s="14"/>
      <c r="S561" s="14"/>
      <c r="T561" s="14"/>
      <c r="U561" s="14"/>
      <c r="V561" s="14"/>
      <c r="W561" s="14"/>
      <c r="X561" s="1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G561" s="4"/>
      <c r="BH561" s="4"/>
    </row>
    <row r="562" spans="1:60" x14ac:dyDescent="0.35">
      <c r="A562" s="4"/>
      <c r="B562" s="8" t="str">
        <f t="shared" si="45"/>
        <v/>
      </c>
      <c r="D562" s="6" t="str">
        <f t="shared" si="46"/>
        <v/>
      </c>
      <c r="E562" s="6" t="str">
        <f t="shared" si="47"/>
        <v/>
      </c>
      <c r="F562" s="6" t="str">
        <f t="shared" si="48"/>
        <v/>
      </c>
      <c r="G562" s="4"/>
      <c r="H562" s="4"/>
      <c r="I562" s="4"/>
      <c r="J562" s="4"/>
      <c r="K562" s="4"/>
      <c r="L562" s="4"/>
      <c r="M562" s="4"/>
      <c r="N562" s="4"/>
      <c r="O562" s="4"/>
      <c r="P562" s="4"/>
      <c r="Q562" s="4"/>
      <c r="R562" s="14"/>
      <c r="S562" s="14"/>
      <c r="T562" s="14"/>
      <c r="U562" s="14"/>
      <c r="V562" s="14"/>
      <c r="W562" s="14"/>
      <c r="X562" s="1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G562" s="4"/>
      <c r="BH562" s="4"/>
    </row>
    <row r="563" spans="1:60" x14ac:dyDescent="0.35">
      <c r="A563" s="4"/>
      <c r="B563" s="8" t="str">
        <f t="shared" si="45"/>
        <v/>
      </c>
      <c r="D563" s="6" t="str">
        <f t="shared" si="46"/>
        <v/>
      </c>
      <c r="E563" s="6" t="str">
        <f t="shared" si="47"/>
        <v/>
      </c>
      <c r="F563" s="6" t="str">
        <f t="shared" si="48"/>
        <v/>
      </c>
      <c r="G563" s="4"/>
      <c r="H563" s="4"/>
      <c r="I563" s="4"/>
      <c r="J563" s="4"/>
      <c r="K563" s="4"/>
      <c r="L563" s="4"/>
      <c r="M563" s="4"/>
      <c r="N563" s="4"/>
      <c r="O563" s="4"/>
      <c r="P563" s="4"/>
      <c r="Q563" s="4"/>
      <c r="R563" s="14"/>
      <c r="S563" s="14"/>
      <c r="T563" s="14"/>
      <c r="U563" s="14"/>
      <c r="V563" s="14"/>
      <c r="W563" s="14"/>
      <c r="X563" s="1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G563" s="4"/>
      <c r="BH563" s="4"/>
    </row>
    <row r="564" spans="1:60" x14ac:dyDescent="0.35">
      <c r="A564" s="4"/>
      <c r="B564" s="8" t="str">
        <f t="shared" si="45"/>
        <v/>
      </c>
      <c r="D564" s="6" t="str">
        <f t="shared" si="46"/>
        <v/>
      </c>
      <c r="E564" s="6" t="str">
        <f t="shared" si="47"/>
        <v/>
      </c>
      <c r="F564" s="6" t="str">
        <f t="shared" si="48"/>
        <v/>
      </c>
      <c r="G564" s="4"/>
      <c r="H564" s="4"/>
      <c r="I564" s="4"/>
      <c r="J564" s="4"/>
      <c r="K564" s="4"/>
      <c r="L564" s="4"/>
      <c r="M564" s="4"/>
      <c r="N564" s="4"/>
      <c r="O564" s="4"/>
      <c r="P564" s="4"/>
      <c r="Q564" s="4"/>
      <c r="R564" s="14"/>
      <c r="S564" s="14"/>
      <c r="T564" s="14"/>
      <c r="U564" s="14"/>
      <c r="V564" s="14"/>
      <c r="W564" s="14"/>
      <c r="X564" s="1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G564" s="4"/>
      <c r="BH564" s="4"/>
    </row>
    <row r="565" spans="1:60" x14ac:dyDescent="0.35">
      <c r="A565" s="4"/>
      <c r="B565" s="8" t="str">
        <f t="shared" si="45"/>
        <v/>
      </c>
      <c r="D565" s="6" t="str">
        <f t="shared" si="46"/>
        <v/>
      </c>
      <c r="E565" s="6" t="str">
        <f t="shared" si="47"/>
        <v/>
      </c>
      <c r="F565" s="6" t="str">
        <f t="shared" si="48"/>
        <v/>
      </c>
      <c r="G565" s="4"/>
      <c r="H565" s="4"/>
      <c r="I565" s="4"/>
      <c r="J565" s="4"/>
      <c r="K565" s="4"/>
      <c r="L565" s="4"/>
      <c r="M565" s="4"/>
      <c r="N565" s="4"/>
      <c r="O565" s="4"/>
      <c r="P565" s="4"/>
      <c r="Q565" s="4"/>
      <c r="R565" s="14"/>
      <c r="S565" s="14"/>
      <c r="T565" s="14"/>
      <c r="U565" s="14"/>
      <c r="V565" s="14"/>
      <c r="W565" s="14"/>
      <c r="X565" s="1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G565" s="4"/>
      <c r="BH565" s="4"/>
    </row>
    <row r="566" spans="1:60" x14ac:dyDescent="0.35">
      <c r="A566" s="4"/>
      <c r="B566" s="8" t="str">
        <f t="shared" si="45"/>
        <v/>
      </c>
      <c r="D566" s="6" t="str">
        <f t="shared" si="46"/>
        <v/>
      </c>
      <c r="E566" s="6" t="str">
        <f t="shared" si="47"/>
        <v/>
      </c>
      <c r="F566" s="6" t="str">
        <f t="shared" si="48"/>
        <v/>
      </c>
      <c r="G566" s="4"/>
      <c r="H566" s="4"/>
      <c r="I566" s="4"/>
      <c r="J566" s="4"/>
      <c r="K566" s="4"/>
      <c r="L566" s="4"/>
      <c r="M566" s="4"/>
      <c r="N566" s="4"/>
      <c r="O566" s="4"/>
      <c r="P566" s="4"/>
      <c r="Q566" s="4"/>
      <c r="R566" s="14"/>
      <c r="S566" s="14"/>
      <c r="T566" s="14"/>
      <c r="U566" s="14"/>
      <c r="V566" s="14"/>
      <c r="W566" s="14"/>
      <c r="X566" s="1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G566" s="4"/>
      <c r="BH566" s="4"/>
    </row>
    <row r="567" spans="1:60" x14ac:dyDescent="0.35">
      <c r="A567" s="4"/>
      <c r="B567" s="8" t="str">
        <f t="shared" si="45"/>
        <v/>
      </c>
      <c r="D567" s="6" t="str">
        <f t="shared" si="46"/>
        <v/>
      </c>
      <c r="E567" s="6" t="str">
        <f t="shared" si="47"/>
        <v/>
      </c>
      <c r="F567" s="6" t="str">
        <f t="shared" si="48"/>
        <v/>
      </c>
      <c r="G567" s="4"/>
      <c r="H567" s="4"/>
      <c r="I567" s="4"/>
      <c r="J567" s="4"/>
      <c r="K567" s="4"/>
      <c r="L567" s="4"/>
      <c r="M567" s="4"/>
      <c r="N567" s="4"/>
      <c r="O567" s="4"/>
      <c r="P567" s="4"/>
      <c r="Q567" s="4"/>
      <c r="R567" s="14"/>
      <c r="S567" s="14"/>
      <c r="T567" s="14"/>
      <c r="U567" s="14"/>
      <c r="V567" s="14"/>
      <c r="W567" s="14"/>
      <c r="X567" s="1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G567" s="4"/>
      <c r="BH567" s="4"/>
    </row>
    <row r="568" spans="1:60" x14ac:dyDescent="0.35">
      <c r="A568" s="4"/>
      <c r="B568" s="8" t="str">
        <f t="shared" si="45"/>
        <v/>
      </c>
      <c r="D568" s="6" t="str">
        <f t="shared" si="46"/>
        <v/>
      </c>
      <c r="E568" s="6" t="str">
        <f t="shared" si="47"/>
        <v/>
      </c>
      <c r="F568" s="6" t="str">
        <f t="shared" si="48"/>
        <v/>
      </c>
      <c r="G568" s="4"/>
      <c r="H568" s="4"/>
      <c r="I568" s="4"/>
      <c r="J568" s="4"/>
      <c r="K568" s="4"/>
      <c r="L568" s="4"/>
      <c r="M568" s="4"/>
      <c r="N568" s="4"/>
      <c r="O568" s="4"/>
      <c r="P568" s="4"/>
      <c r="Q568" s="4"/>
      <c r="R568" s="14"/>
      <c r="S568" s="14"/>
      <c r="T568" s="14"/>
      <c r="U568" s="14"/>
      <c r="V568" s="14"/>
      <c r="W568" s="14"/>
      <c r="X568" s="1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G568" s="4"/>
      <c r="BH568" s="4"/>
    </row>
    <row r="569" spans="1:60" x14ac:dyDescent="0.35">
      <c r="A569" s="4"/>
      <c r="B569" s="8" t="str">
        <f t="shared" si="45"/>
        <v/>
      </c>
      <c r="D569" s="6" t="str">
        <f t="shared" si="46"/>
        <v/>
      </c>
      <c r="E569" s="6" t="str">
        <f t="shared" si="47"/>
        <v/>
      </c>
      <c r="F569" s="6" t="str">
        <f t="shared" si="48"/>
        <v/>
      </c>
      <c r="G569" s="4"/>
      <c r="H569" s="4"/>
      <c r="I569" s="4"/>
      <c r="J569" s="4"/>
      <c r="K569" s="4"/>
      <c r="L569" s="4"/>
      <c r="M569" s="4"/>
      <c r="N569" s="4"/>
      <c r="O569" s="4"/>
      <c r="P569" s="4"/>
      <c r="Q569" s="4"/>
      <c r="R569" s="14"/>
      <c r="S569" s="14"/>
      <c r="T569" s="14"/>
      <c r="U569" s="14"/>
      <c r="V569" s="14"/>
      <c r="W569" s="14"/>
      <c r="X569" s="1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G569" s="4"/>
      <c r="BH569" s="4"/>
    </row>
    <row r="570" spans="1:60" x14ac:dyDescent="0.35">
      <c r="A570" s="4"/>
      <c r="B570" s="8" t="str">
        <f t="shared" si="45"/>
        <v/>
      </c>
      <c r="D570" s="6" t="str">
        <f t="shared" si="46"/>
        <v/>
      </c>
      <c r="E570" s="6" t="str">
        <f t="shared" si="47"/>
        <v/>
      </c>
      <c r="F570" s="6" t="str">
        <f t="shared" si="48"/>
        <v/>
      </c>
      <c r="G570" s="4"/>
      <c r="H570" s="4"/>
      <c r="I570" s="4"/>
      <c r="J570" s="4"/>
      <c r="K570" s="4"/>
      <c r="L570" s="4"/>
      <c r="M570" s="4"/>
      <c r="N570" s="4"/>
      <c r="O570" s="4"/>
      <c r="P570" s="4"/>
      <c r="Q570" s="4"/>
      <c r="R570" s="14"/>
      <c r="S570" s="14"/>
      <c r="T570" s="14"/>
      <c r="U570" s="14"/>
      <c r="V570" s="14"/>
      <c r="W570" s="14"/>
      <c r="X570" s="1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G570" s="4"/>
      <c r="BH570" s="4"/>
    </row>
    <row r="571" spans="1:60" x14ac:dyDescent="0.35">
      <c r="A571" s="4"/>
      <c r="B571" s="8" t="str">
        <f t="shared" si="45"/>
        <v/>
      </c>
      <c r="D571" s="6" t="str">
        <f t="shared" si="46"/>
        <v/>
      </c>
      <c r="E571" s="6" t="str">
        <f t="shared" si="47"/>
        <v/>
      </c>
      <c r="F571" s="6" t="str">
        <f t="shared" si="48"/>
        <v/>
      </c>
      <c r="G571" s="4"/>
      <c r="H571" s="4"/>
      <c r="I571" s="4"/>
      <c r="J571" s="4"/>
      <c r="K571" s="4"/>
      <c r="L571" s="4"/>
      <c r="M571" s="4"/>
      <c r="N571" s="4"/>
      <c r="O571" s="4"/>
      <c r="P571" s="4"/>
      <c r="Q571" s="4"/>
      <c r="R571" s="14"/>
      <c r="S571" s="14"/>
      <c r="T571" s="14"/>
      <c r="U571" s="14"/>
      <c r="V571" s="14"/>
      <c r="W571" s="14"/>
      <c r="X571" s="1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G571" s="4"/>
      <c r="BH571" s="4"/>
    </row>
    <row r="572" spans="1:60" x14ac:dyDescent="0.35">
      <c r="A572" s="4"/>
      <c r="B572" s="8" t="str">
        <f t="shared" si="45"/>
        <v/>
      </c>
      <c r="D572" s="6" t="str">
        <f t="shared" si="46"/>
        <v/>
      </c>
      <c r="E572" s="6" t="str">
        <f t="shared" si="47"/>
        <v/>
      </c>
      <c r="F572" s="6" t="str">
        <f t="shared" si="48"/>
        <v/>
      </c>
      <c r="G572" s="4"/>
      <c r="H572" s="4"/>
      <c r="I572" s="4"/>
      <c r="J572" s="4"/>
      <c r="K572" s="4"/>
      <c r="L572" s="4"/>
      <c r="M572" s="4"/>
      <c r="N572" s="4"/>
      <c r="O572" s="4"/>
      <c r="P572" s="4"/>
      <c r="Q572" s="4"/>
      <c r="R572" s="14"/>
      <c r="S572" s="14"/>
      <c r="T572" s="14"/>
      <c r="U572" s="14"/>
      <c r="V572" s="14"/>
      <c r="W572" s="14"/>
      <c r="X572" s="1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G572" s="4"/>
      <c r="BH572" s="4"/>
    </row>
    <row r="573" spans="1:60" x14ac:dyDescent="0.35">
      <c r="A573" s="4"/>
      <c r="B573" s="8" t="str">
        <f t="shared" ref="B573:B636" si="49">RIGHT(A573,4)</f>
        <v/>
      </c>
      <c r="D573" s="6" t="str">
        <f t="shared" ref="D573:D636" si="50">IF(C573="","",VLOOKUP(C573,district_region,2,FALSE))</f>
        <v/>
      </c>
      <c r="E573" s="6" t="str">
        <f t="shared" ref="E573:E636" si="51">IF(C573="","",VLOOKUP(C573,liste_pop,3,FALSE))</f>
        <v/>
      </c>
      <c r="F573" s="6" t="str">
        <f t="shared" ref="F573:F636" si="52">IF(D573="","",IF(D573="Dakar",4042240,VLOOKUP(D573,liste_pop,4,FALSE)))</f>
        <v/>
      </c>
      <c r="G573" s="4"/>
      <c r="H573" s="4"/>
      <c r="I573" s="4"/>
      <c r="J573" s="4"/>
      <c r="K573" s="4"/>
      <c r="L573" s="4"/>
      <c r="M573" s="4"/>
      <c r="N573" s="4"/>
      <c r="O573" s="4"/>
      <c r="P573" s="4"/>
      <c r="Q573" s="4"/>
      <c r="R573" s="14"/>
      <c r="S573" s="14"/>
      <c r="T573" s="14"/>
      <c r="U573" s="14"/>
      <c r="V573" s="14"/>
      <c r="W573" s="14"/>
      <c r="X573" s="1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G573" s="4"/>
      <c r="BH573" s="4"/>
    </row>
    <row r="574" spans="1:60" x14ac:dyDescent="0.35">
      <c r="A574" s="4"/>
      <c r="B574" s="8" t="str">
        <f t="shared" si="49"/>
        <v/>
      </c>
      <c r="D574" s="6" t="str">
        <f t="shared" si="50"/>
        <v/>
      </c>
      <c r="E574" s="6" t="str">
        <f t="shared" si="51"/>
        <v/>
      </c>
      <c r="F574" s="6" t="str">
        <f t="shared" si="52"/>
        <v/>
      </c>
      <c r="G574" s="4"/>
      <c r="H574" s="4"/>
      <c r="I574" s="4"/>
      <c r="J574" s="4"/>
      <c r="K574" s="4"/>
      <c r="L574" s="4"/>
      <c r="M574" s="4"/>
      <c r="N574" s="4"/>
      <c r="O574" s="4"/>
      <c r="P574" s="4"/>
      <c r="Q574" s="4"/>
      <c r="R574" s="14"/>
      <c r="S574" s="14"/>
      <c r="T574" s="14"/>
      <c r="U574" s="14"/>
      <c r="V574" s="14"/>
      <c r="W574" s="14"/>
      <c r="X574" s="1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G574" s="4"/>
      <c r="BH574" s="4"/>
    </row>
    <row r="575" spans="1:60" x14ac:dyDescent="0.35">
      <c r="A575" s="4"/>
      <c r="B575" s="8" t="str">
        <f t="shared" si="49"/>
        <v/>
      </c>
      <c r="D575" s="6" t="str">
        <f t="shared" si="50"/>
        <v/>
      </c>
      <c r="E575" s="6" t="str">
        <f t="shared" si="51"/>
        <v/>
      </c>
      <c r="F575" s="6" t="str">
        <f t="shared" si="52"/>
        <v/>
      </c>
      <c r="G575" s="4"/>
      <c r="H575" s="4"/>
      <c r="I575" s="4"/>
      <c r="J575" s="4"/>
      <c r="K575" s="4"/>
      <c r="L575" s="4"/>
      <c r="M575" s="4"/>
      <c r="N575" s="4"/>
      <c r="O575" s="4"/>
      <c r="P575" s="4"/>
      <c r="Q575" s="4"/>
      <c r="R575" s="14"/>
      <c r="S575" s="14"/>
      <c r="T575" s="14"/>
      <c r="U575" s="14"/>
      <c r="V575" s="14"/>
      <c r="W575" s="14"/>
      <c r="X575" s="1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G575" s="4"/>
      <c r="BH575" s="4"/>
    </row>
    <row r="576" spans="1:60" x14ac:dyDescent="0.35">
      <c r="A576" s="4"/>
      <c r="B576" s="8" t="str">
        <f t="shared" si="49"/>
        <v/>
      </c>
      <c r="D576" s="6" t="str">
        <f t="shared" si="50"/>
        <v/>
      </c>
      <c r="E576" s="6" t="str">
        <f t="shared" si="51"/>
        <v/>
      </c>
      <c r="F576" s="6" t="str">
        <f t="shared" si="52"/>
        <v/>
      </c>
      <c r="G576" s="4"/>
      <c r="H576" s="4"/>
      <c r="I576" s="4"/>
      <c r="J576" s="4"/>
      <c r="K576" s="4"/>
      <c r="L576" s="4"/>
      <c r="M576" s="4"/>
      <c r="N576" s="4"/>
      <c r="O576" s="4"/>
      <c r="P576" s="4"/>
      <c r="Q576" s="4"/>
      <c r="R576" s="14"/>
      <c r="S576" s="14"/>
      <c r="T576" s="14"/>
      <c r="U576" s="14"/>
      <c r="V576" s="14"/>
      <c r="W576" s="14"/>
      <c r="X576" s="1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G576" s="4"/>
      <c r="BH576" s="4"/>
    </row>
    <row r="577" spans="1:60" x14ac:dyDescent="0.35">
      <c r="A577" s="4"/>
      <c r="B577" s="8" t="str">
        <f t="shared" si="49"/>
        <v/>
      </c>
      <c r="D577" s="6" t="str">
        <f t="shared" si="50"/>
        <v/>
      </c>
      <c r="E577" s="6" t="str">
        <f t="shared" si="51"/>
        <v/>
      </c>
      <c r="F577" s="6" t="str">
        <f t="shared" si="52"/>
        <v/>
      </c>
      <c r="G577" s="4"/>
      <c r="H577" s="4"/>
      <c r="I577" s="4"/>
      <c r="J577" s="4"/>
      <c r="K577" s="4"/>
      <c r="L577" s="4"/>
      <c r="M577" s="4"/>
      <c r="N577" s="4"/>
      <c r="O577" s="4"/>
      <c r="P577" s="4"/>
      <c r="Q577" s="4"/>
      <c r="R577" s="14"/>
      <c r="S577" s="14"/>
      <c r="T577" s="14"/>
      <c r="U577" s="14"/>
      <c r="V577" s="14"/>
      <c r="W577" s="14"/>
      <c r="X577" s="1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G577" s="4"/>
      <c r="BH577" s="4"/>
    </row>
    <row r="578" spans="1:60" x14ac:dyDescent="0.35">
      <c r="A578" s="4"/>
      <c r="B578" s="8" t="str">
        <f t="shared" si="49"/>
        <v/>
      </c>
      <c r="D578" s="6" t="str">
        <f t="shared" si="50"/>
        <v/>
      </c>
      <c r="E578" s="6" t="str">
        <f t="shared" si="51"/>
        <v/>
      </c>
      <c r="F578" s="6" t="str">
        <f t="shared" si="52"/>
        <v/>
      </c>
      <c r="G578" s="4"/>
      <c r="H578" s="4"/>
      <c r="I578" s="4"/>
      <c r="J578" s="4"/>
      <c r="K578" s="4"/>
      <c r="L578" s="4"/>
      <c r="M578" s="4"/>
      <c r="N578" s="4"/>
      <c r="O578" s="4"/>
      <c r="P578" s="4"/>
      <c r="Q578" s="4"/>
      <c r="R578" s="14"/>
      <c r="S578" s="14"/>
      <c r="T578" s="14"/>
      <c r="U578" s="14"/>
      <c r="V578" s="14"/>
      <c r="W578" s="14"/>
      <c r="X578" s="1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G578" s="4"/>
      <c r="BH578" s="4"/>
    </row>
    <row r="579" spans="1:60" x14ac:dyDescent="0.35">
      <c r="A579" s="4"/>
      <c r="B579" s="8" t="str">
        <f t="shared" si="49"/>
        <v/>
      </c>
      <c r="D579" s="6" t="str">
        <f t="shared" si="50"/>
        <v/>
      </c>
      <c r="E579" s="6" t="str">
        <f t="shared" si="51"/>
        <v/>
      </c>
      <c r="F579" s="6" t="str">
        <f t="shared" si="52"/>
        <v/>
      </c>
      <c r="G579" s="4"/>
      <c r="H579" s="4"/>
      <c r="I579" s="4"/>
      <c r="J579" s="4"/>
      <c r="K579" s="4"/>
      <c r="L579" s="4"/>
      <c r="M579" s="4"/>
      <c r="N579" s="4"/>
      <c r="O579" s="4"/>
      <c r="P579" s="4"/>
      <c r="Q579" s="4"/>
      <c r="R579" s="14"/>
      <c r="S579" s="14"/>
      <c r="T579" s="14"/>
      <c r="U579" s="14"/>
      <c r="V579" s="14"/>
      <c r="W579" s="14"/>
      <c r="X579" s="1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G579" s="4"/>
      <c r="BH579" s="4"/>
    </row>
    <row r="580" spans="1:60" x14ac:dyDescent="0.35">
      <c r="A580" s="4"/>
      <c r="B580" s="8" t="str">
        <f t="shared" si="49"/>
        <v/>
      </c>
      <c r="D580" s="6" t="str">
        <f t="shared" si="50"/>
        <v/>
      </c>
      <c r="E580" s="6" t="str">
        <f t="shared" si="51"/>
        <v/>
      </c>
      <c r="F580" s="6" t="str">
        <f t="shared" si="52"/>
        <v/>
      </c>
      <c r="G580" s="4"/>
      <c r="H580" s="4"/>
      <c r="I580" s="4"/>
      <c r="J580" s="4"/>
      <c r="K580" s="4"/>
      <c r="L580" s="4"/>
      <c r="M580" s="4"/>
      <c r="N580" s="4"/>
      <c r="O580" s="4"/>
      <c r="P580" s="4"/>
      <c r="Q580" s="4"/>
      <c r="R580" s="14"/>
      <c r="S580" s="14"/>
      <c r="T580" s="14"/>
      <c r="U580" s="14"/>
      <c r="V580" s="14"/>
      <c r="W580" s="14"/>
      <c r="X580" s="1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G580" s="4"/>
      <c r="BH580" s="4"/>
    </row>
    <row r="581" spans="1:60" x14ac:dyDescent="0.35">
      <c r="A581" s="4"/>
      <c r="B581" s="8" t="str">
        <f t="shared" si="49"/>
        <v/>
      </c>
      <c r="D581" s="6" t="str">
        <f t="shared" si="50"/>
        <v/>
      </c>
      <c r="E581" s="6" t="str">
        <f t="shared" si="51"/>
        <v/>
      </c>
      <c r="F581" s="6" t="str">
        <f t="shared" si="52"/>
        <v/>
      </c>
      <c r="G581" s="4"/>
      <c r="H581" s="4"/>
      <c r="I581" s="4"/>
      <c r="J581" s="4"/>
      <c r="K581" s="4"/>
      <c r="L581" s="4"/>
      <c r="M581" s="4"/>
      <c r="N581" s="4"/>
      <c r="O581" s="4"/>
      <c r="P581" s="4"/>
      <c r="Q581" s="4"/>
      <c r="R581" s="14"/>
      <c r="S581" s="14"/>
      <c r="T581" s="14"/>
      <c r="U581" s="14"/>
      <c r="V581" s="14"/>
      <c r="W581" s="14"/>
      <c r="X581" s="1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G581" s="4"/>
      <c r="BH581" s="4"/>
    </row>
    <row r="582" spans="1:60" x14ac:dyDescent="0.35">
      <c r="A582" s="4"/>
      <c r="B582" s="8" t="str">
        <f t="shared" si="49"/>
        <v/>
      </c>
      <c r="D582" s="6" t="str">
        <f t="shared" si="50"/>
        <v/>
      </c>
      <c r="E582" s="6" t="str">
        <f t="shared" si="51"/>
        <v/>
      </c>
      <c r="F582" s="6" t="str">
        <f t="shared" si="52"/>
        <v/>
      </c>
      <c r="G582" s="4"/>
      <c r="H582" s="4"/>
      <c r="I582" s="4"/>
      <c r="J582" s="4"/>
      <c r="K582" s="4"/>
      <c r="L582" s="4"/>
      <c r="M582" s="4"/>
      <c r="N582" s="4"/>
      <c r="O582" s="4"/>
      <c r="P582" s="4"/>
      <c r="Q582" s="4"/>
      <c r="R582" s="14"/>
      <c r="S582" s="14"/>
      <c r="T582" s="14"/>
      <c r="U582" s="14"/>
      <c r="V582" s="14"/>
      <c r="W582" s="14"/>
      <c r="X582" s="1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G582" s="4"/>
      <c r="BH582" s="4"/>
    </row>
    <row r="583" spans="1:60" x14ac:dyDescent="0.35">
      <c r="A583" s="4"/>
      <c r="B583" s="8" t="str">
        <f t="shared" si="49"/>
        <v/>
      </c>
      <c r="D583" s="6" t="str">
        <f t="shared" si="50"/>
        <v/>
      </c>
      <c r="E583" s="6" t="str">
        <f t="shared" si="51"/>
        <v/>
      </c>
      <c r="F583" s="6" t="str">
        <f t="shared" si="52"/>
        <v/>
      </c>
      <c r="G583" s="4"/>
      <c r="H583" s="4"/>
      <c r="I583" s="4"/>
      <c r="J583" s="4"/>
      <c r="K583" s="4"/>
      <c r="L583" s="4"/>
      <c r="M583" s="4"/>
      <c r="N583" s="4"/>
      <c r="O583" s="4"/>
      <c r="P583" s="4"/>
      <c r="Q583" s="4"/>
      <c r="R583" s="14"/>
      <c r="S583" s="14"/>
      <c r="T583" s="14"/>
      <c r="U583" s="14"/>
      <c r="V583" s="14"/>
      <c r="W583" s="14"/>
      <c r="X583" s="1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G583" s="4"/>
      <c r="BH583" s="4"/>
    </row>
    <row r="584" spans="1:60" x14ac:dyDescent="0.35">
      <c r="A584" s="4"/>
      <c r="B584" s="8" t="str">
        <f t="shared" si="49"/>
        <v/>
      </c>
      <c r="D584" s="6" t="str">
        <f t="shared" si="50"/>
        <v/>
      </c>
      <c r="E584" s="6" t="str">
        <f t="shared" si="51"/>
        <v/>
      </c>
      <c r="F584" s="6" t="str">
        <f t="shared" si="52"/>
        <v/>
      </c>
      <c r="G584" s="4"/>
      <c r="H584" s="4"/>
      <c r="I584" s="4"/>
      <c r="J584" s="4"/>
      <c r="K584" s="4"/>
      <c r="L584" s="4"/>
      <c r="M584" s="4"/>
      <c r="N584" s="4"/>
      <c r="O584" s="4"/>
      <c r="P584" s="4"/>
      <c r="Q584" s="4"/>
      <c r="R584" s="14"/>
      <c r="S584" s="14"/>
      <c r="T584" s="14"/>
      <c r="U584" s="14"/>
      <c r="V584" s="14"/>
      <c r="W584" s="14"/>
      <c r="X584" s="1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G584" s="4"/>
      <c r="BH584" s="4"/>
    </row>
    <row r="585" spans="1:60" x14ac:dyDescent="0.35">
      <c r="A585" s="4"/>
      <c r="B585" s="8" t="str">
        <f t="shared" si="49"/>
        <v/>
      </c>
      <c r="D585" s="6" t="str">
        <f t="shared" si="50"/>
        <v/>
      </c>
      <c r="E585" s="6" t="str">
        <f t="shared" si="51"/>
        <v/>
      </c>
      <c r="F585" s="6" t="str">
        <f t="shared" si="52"/>
        <v/>
      </c>
      <c r="G585" s="4"/>
      <c r="H585" s="4"/>
      <c r="I585" s="4"/>
      <c r="J585" s="4"/>
      <c r="K585" s="4"/>
      <c r="L585" s="4"/>
      <c r="M585" s="4"/>
      <c r="N585" s="4"/>
      <c r="O585" s="4"/>
      <c r="P585" s="4"/>
      <c r="Q585" s="4"/>
      <c r="R585" s="14"/>
      <c r="S585" s="14"/>
      <c r="T585" s="14"/>
      <c r="U585" s="14"/>
      <c r="V585" s="14"/>
      <c r="W585" s="14"/>
      <c r="X585" s="1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G585" s="4"/>
      <c r="BH585" s="4"/>
    </row>
    <row r="586" spans="1:60" x14ac:dyDescent="0.35">
      <c r="A586" s="4"/>
      <c r="B586" s="8" t="str">
        <f t="shared" si="49"/>
        <v/>
      </c>
      <c r="D586" s="6" t="str">
        <f t="shared" si="50"/>
        <v/>
      </c>
      <c r="E586" s="6" t="str">
        <f t="shared" si="51"/>
        <v/>
      </c>
      <c r="F586" s="6" t="str">
        <f t="shared" si="52"/>
        <v/>
      </c>
      <c r="G586" s="4"/>
      <c r="H586" s="4"/>
      <c r="I586" s="4"/>
      <c r="J586" s="4"/>
      <c r="K586" s="4"/>
      <c r="L586" s="4"/>
      <c r="M586" s="4"/>
      <c r="N586" s="4"/>
      <c r="O586" s="4"/>
      <c r="P586" s="4"/>
      <c r="Q586" s="4"/>
      <c r="R586" s="14"/>
      <c r="S586" s="14"/>
      <c r="T586" s="14"/>
      <c r="U586" s="14"/>
      <c r="V586" s="14"/>
      <c r="W586" s="14"/>
      <c r="X586" s="1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G586" s="4"/>
      <c r="BH586" s="4"/>
    </row>
    <row r="587" spans="1:60" x14ac:dyDescent="0.35">
      <c r="A587" s="4"/>
      <c r="B587" s="8" t="str">
        <f t="shared" si="49"/>
        <v/>
      </c>
      <c r="D587" s="6" t="str">
        <f t="shared" si="50"/>
        <v/>
      </c>
      <c r="E587" s="6" t="str">
        <f t="shared" si="51"/>
        <v/>
      </c>
      <c r="F587" s="6" t="str">
        <f t="shared" si="52"/>
        <v/>
      </c>
      <c r="G587" s="4"/>
      <c r="H587" s="4"/>
      <c r="I587" s="4"/>
      <c r="J587" s="4"/>
      <c r="K587" s="4"/>
      <c r="L587" s="4"/>
      <c r="M587" s="4"/>
      <c r="N587" s="4"/>
      <c r="O587" s="4"/>
      <c r="P587" s="4"/>
      <c r="Q587" s="4"/>
      <c r="R587" s="14"/>
      <c r="S587" s="14"/>
      <c r="T587" s="14"/>
      <c r="U587" s="14"/>
      <c r="V587" s="14"/>
      <c r="W587" s="14"/>
      <c r="X587" s="1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G587" s="4"/>
      <c r="BH587" s="4"/>
    </row>
    <row r="588" spans="1:60" x14ac:dyDescent="0.35">
      <c r="A588" s="4"/>
      <c r="B588" s="8" t="str">
        <f t="shared" si="49"/>
        <v/>
      </c>
      <c r="D588" s="6" t="str">
        <f t="shared" si="50"/>
        <v/>
      </c>
      <c r="E588" s="6" t="str">
        <f t="shared" si="51"/>
        <v/>
      </c>
      <c r="F588" s="6" t="str">
        <f t="shared" si="52"/>
        <v/>
      </c>
      <c r="G588" s="4"/>
      <c r="H588" s="4"/>
      <c r="I588" s="4"/>
      <c r="J588" s="4"/>
      <c r="K588" s="4"/>
      <c r="L588" s="4"/>
      <c r="M588" s="4"/>
      <c r="N588" s="4"/>
      <c r="O588" s="4"/>
      <c r="P588" s="4"/>
      <c r="Q588" s="4"/>
      <c r="R588" s="14"/>
      <c r="S588" s="14"/>
      <c r="T588" s="14"/>
      <c r="U588" s="14"/>
      <c r="V588" s="14"/>
      <c r="W588" s="14"/>
      <c r="X588" s="1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G588" s="4"/>
      <c r="BH588" s="4"/>
    </row>
    <row r="589" spans="1:60" x14ac:dyDescent="0.35">
      <c r="A589" s="4"/>
      <c r="B589" s="8" t="str">
        <f t="shared" si="49"/>
        <v/>
      </c>
      <c r="D589" s="6" t="str">
        <f t="shared" si="50"/>
        <v/>
      </c>
      <c r="E589" s="6" t="str">
        <f t="shared" si="51"/>
        <v/>
      </c>
      <c r="F589" s="6" t="str">
        <f t="shared" si="52"/>
        <v/>
      </c>
      <c r="G589" s="4"/>
      <c r="H589" s="4"/>
      <c r="I589" s="4"/>
      <c r="J589" s="4"/>
      <c r="K589" s="4"/>
      <c r="L589" s="4"/>
      <c r="M589" s="4"/>
      <c r="N589" s="4"/>
      <c r="O589" s="4"/>
      <c r="P589" s="4"/>
      <c r="Q589" s="4"/>
      <c r="R589" s="14"/>
      <c r="S589" s="14"/>
      <c r="T589" s="14"/>
      <c r="U589" s="14"/>
      <c r="V589" s="14"/>
      <c r="W589" s="14"/>
      <c r="X589" s="1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G589" s="4"/>
      <c r="BH589" s="4"/>
    </row>
    <row r="590" spans="1:60" x14ac:dyDescent="0.35">
      <c r="A590" s="4"/>
      <c r="B590" s="8" t="str">
        <f t="shared" si="49"/>
        <v/>
      </c>
      <c r="D590" s="6" t="str">
        <f t="shared" si="50"/>
        <v/>
      </c>
      <c r="E590" s="6" t="str">
        <f t="shared" si="51"/>
        <v/>
      </c>
      <c r="F590" s="6" t="str">
        <f t="shared" si="52"/>
        <v/>
      </c>
      <c r="G590" s="4"/>
      <c r="H590" s="4"/>
      <c r="I590" s="4"/>
      <c r="J590" s="4"/>
      <c r="K590" s="4"/>
      <c r="L590" s="4"/>
      <c r="M590" s="4"/>
      <c r="N590" s="4"/>
      <c r="O590" s="4"/>
      <c r="P590" s="4"/>
      <c r="Q590" s="4"/>
      <c r="R590" s="14"/>
      <c r="S590" s="14"/>
      <c r="T590" s="14"/>
      <c r="U590" s="14"/>
      <c r="V590" s="14"/>
      <c r="W590" s="14"/>
      <c r="X590" s="1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G590" s="4"/>
      <c r="BH590" s="4"/>
    </row>
    <row r="591" spans="1:60" x14ac:dyDescent="0.35">
      <c r="A591" s="4"/>
      <c r="B591" s="8" t="str">
        <f t="shared" si="49"/>
        <v/>
      </c>
      <c r="D591" s="6" t="str">
        <f t="shared" si="50"/>
        <v/>
      </c>
      <c r="E591" s="6" t="str">
        <f t="shared" si="51"/>
        <v/>
      </c>
      <c r="F591" s="6" t="str">
        <f t="shared" si="52"/>
        <v/>
      </c>
      <c r="G591" s="4"/>
      <c r="H591" s="4"/>
      <c r="I591" s="4"/>
      <c r="J591" s="4"/>
      <c r="K591" s="4"/>
      <c r="L591" s="4"/>
      <c r="M591" s="4"/>
      <c r="N591" s="4"/>
      <c r="O591" s="4"/>
      <c r="P591" s="4"/>
      <c r="Q591" s="4"/>
      <c r="R591" s="14"/>
      <c r="S591" s="14"/>
      <c r="T591" s="14"/>
      <c r="U591" s="14"/>
      <c r="V591" s="14"/>
      <c r="W591" s="14"/>
      <c r="X591" s="1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G591" s="4"/>
      <c r="BH591" s="4"/>
    </row>
    <row r="592" spans="1:60" x14ac:dyDescent="0.35">
      <c r="A592" s="4"/>
      <c r="B592" s="8" t="str">
        <f t="shared" si="49"/>
        <v/>
      </c>
      <c r="D592" s="6" t="str">
        <f t="shared" si="50"/>
        <v/>
      </c>
      <c r="E592" s="6" t="str">
        <f t="shared" si="51"/>
        <v/>
      </c>
      <c r="F592" s="6" t="str">
        <f t="shared" si="52"/>
        <v/>
      </c>
      <c r="G592" s="4"/>
      <c r="H592" s="4"/>
      <c r="I592" s="4"/>
      <c r="J592" s="4"/>
      <c r="K592" s="4"/>
      <c r="L592" s="4"/>
      <c r="M592" s="4"/>
      <c r="N592" s="4"/>
      <c r="O592" s="4"/>
      <c r="P592" s="4"/>
      <c r="Q592" s="4"/>
      <c r="R592" s="14"/>
      <c r="S592" s="14"/>
      <c r="T592" s="14"/>
      <c r="U592" s="14"/>
      <c r="V592" s="14"/>
      <c r="W592" s="14"/>
      <c r="X592" s="1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G592" s="4"/>
      <c r="BH592" s="4"/>
    </row>
    <row r="593" spans="1:60" x14ac:dyDescent="0.35">
      <c r="A593" s="4"/>
      <c r="B593" s="8" t="str">
        <f t="shared" si="49"/>
        <v/>
      </c>
      <c r="D593" s="6" t="str">
        <f t="shared" si="50"/>
        <v/>
      </c>
      <c r="E593" s="6" t="str">
        <f t="shared" si="51"/>
        <v/>
      </c>
      <c r="F593" s="6" t="str">
        <f t="shared" si="52"/>
        <v/>
      </c>
      <c r="G593" s="4"/>
      <c r="H593" s="4"/>
      <c r="I593" s="4"/>
      <c r="J593" s="4"/>
      <c r="K593" s="4"/>
      <c r="L593" s="4"/>
      <c r="M593" s="4"/>
      <c r="N593" s="4"/>
      <c r="O593" s="4"/>
      <c r="P593" s="4"/>
      <c r="Q593" s="4"/>
      <c r="R593" s="14"/>
      <c r="S593" s="14"/>
      <c r="T593" s="14"/>
      <c r="U593" s="14"/>
      <c r="V593" s="14"/>
      <c r="W593" s="14"/>
      <c r="X593" s="1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G593" s="4"/>
      <c r="BH593" s="4"/>
    </row>
    <row r="594" spans="1:60" x14ac:dyDescent="0.35">
      <c r="A594" s="4"/>
      <c r="B594" s="8" t="str">
        <f t="shared" si="49"/>
        <v/>
      </c>
      <c r="D594" s="6" t="str">
        <f t="shared" si="50"/>
        <v/>
      </c>
      <c r="E594" s="6" t="str">
        <f t="shared" si="51"/>
        <v/>
      </c>
      <c r="F594" s="6" t="str">
        <f t="shared" si="52"/>
        <v/>
      </c>
      <c r="G594" s="4"/>
      <c r="H594" s="4"/>
      <c r="I594" s="4"/>
      <c r="J594" s="4"/>
      <c r="K594" s="4"/>
      <c r="L594" s="4"/>
      <c r="M594" s="4"/>
      <c r="N594" s="4"/>
      <c r="O594" s="4"/>
      <c r="P594" s="4"/>
      <c r="Q594" s="4"/>
      <c r="R594" s="14"/>
      <c r="S594" s="14"/>
      <c r="T594" s="14"/>
      <c r="U594" s="14"/>
      <c r="V594" s="14"/>
      <c r="W594" s="14"/>
      <c r="X594" s="1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G594" s="4"/>
      <c r="BH594" s="4"/>
    </row>
    <row r="595" spans="1:60" x14ac:dyDescent="0.35">
      <c r="A595" s="4"/>
      <c r="B595" s="8" t="str">
        <f t="shared" si="49"/>
        <v/>
      </c>
      <c r="D595" s="6" t="str">
        <f t="shared" si="50"/>
        <v/>
      </c>
      <c r="E595" s="6" t="str">
        <f t="shared" si="51"/>
        <v/>
      </c>
      <c r="F595" s="6" t="str">
        <f t="shared" si="52"/>
        <v/>
      </c>
      <c r="G595" s="4"/>
      <c r="H595" s="4"/>
      <c r="I595" s="4"/>
      <c r="J595" s="4"/>
      <c r="K595" s="4"/>
      <c r="L595" s="4"/>
      <c r="M595" s="4"/>
      <c r="N595" s="4"/>
      <c r="O595" s="4"/>
      <c r="P595" s="4"/>
      <c r="Q595" s="4"/>
      <c r="R595" s="14"/>
      <c r="S595" s="14"/>
      <c r="T595" s="14"/>
      <c r="U595" s="14"/>
      <c r="V595" s="14"/>
      <c r="W595" s="14"/>
      <c r="X595" s="1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G595" s="4"/>
      <c r="BH595" s="4"/>
    </row>
    <row r="596" spans="1:60" x14ac:dyDescent="0.35">
      <c r="A596" s="4"/>
      <c r="B596" s="8" t="str">
        <f t="shared" si="49"/>
        <v/>
      </c>
      <c r="D596" s="6" t="str">
        <f t="shared" si="50"/>
        <v/>
      </c>
      <c r="E596" s="6" t="str">
        <f t="shared" si="51"/>
        <v/>
      </c>
      <c r="F596" s="6" t="str">
        <f t="shared" si="52"/>
        <v/>
      </c>
      <c r="G596" s="4"/>
      <c r="H596" s="4"/>
      <c r="I596" s="4"/>
      <c r="J596" s="4"/>
      <c r="K596" s="4"/>
      <c r="L596" s="4"/>
      <c r="M596" s="4"/>
      <c r="N596" s="4"/>
      <c r="O596" s="4"/>
      <c r="P596" s="4"/>
      <c r="Q596" s="4"/>
      <c r="R596" s="14"/>
      <c r="S596" s="14"/>
      <c r="T596" s="14"/>
      <c r="U596" s="14"/>
      <c r="V596" s="14"/>
      <c r="W596" s="14"/>
      <c r="X596" s="1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G596" s="4"/>
      <c r="BH596" s="4"/>
    </row>
    <row r="597" spans="1:60" x14ac:dyDescent="0.35">
      <c r="A597" s="4"/>
      <c r="B597" s="8" t="str">
        <f t="shared" si="49"/>
        <v/>
      </c>
      <c r="D597" s="6" t="str">
        <f t="shared" si="50"/>
        <v/>
      </c>
      <c r="E597" s="6" t="str">
        <f t="shared" si="51"/>
        <v/>
      </c>
      <c r="F597" s="6" t="str">
        <f t="shared" si="52"/>
        <v/>
      </c>
      <c r="G597" s="4"/>
      <c r="H597" s="4"/>
      <c r="I597" s="4"/>
      <c r="J597" s="4"/>
      <c r="K597" s="4"/>
      <c r="L597" s="4"/>
      <c r="M597" s="4"/>
      <c r="N597" s="4"/>
      <c r="O597" s="4"/>
      <c r="P597" s="4"/>
      <c r="Q597" s="4"/>
      <c r="R597" s="14"/>
      <c r="S597" s="14"/>
      <c r="T597" s="14"/>
      <c r="U597" s="14"/>
      <c r="V597" s="14"/>
      <c r="W597" s="14"/>
      <c r="X597" s="1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G597" s="4"/>
      <c r="BH597" s="4"/>
    </row>
    <row r="598" spans="1:60" x14ac:dyDescent="0.35">
      <c r="A598" s="4"/>
      <c r="B598" s="8" t="str">
        <f t="shared" si="49"/>
        <v/>
      </c>
      <c r="D598" s="6" t="str">
        <f t="shared" si="50"/>
        <v/>
      </c>
      <c r="E598" s="6" t="str">
        <f t="shared" si="51"/>
        <v/>
      </c>
      <c r="F598" s="6" t="str">
        <f t="shared" si="52"/>
        <v/>
      </c>
      <c r="G598" s="4"/>
      <c r="H598" s="4"/>
      <c r="I598" s="4"/>
      <c r="J598" s="4"/>
      <c r="K598" s="4"/>
      <c r="L598" s="4"/>
      <c r="M598" s="4"/>
      <c r="N598" s="4"/>
      <c r="O598" s="4"/>
      <c r="P598" s="4"/>
      <c r="Q598" s="4"/>
      <c r="R598" s="14"/>
      <c r="S598" s="14"/>
      <c r="T598" s="14"/>
      <c r="U598" s="14"/>
      <c r="V598" s="14"/>
      <c r="W598" s="14"/>
      <c r="X598" s="1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G598" s="4"/>
      <c r="BH598" s="4"/>
    </row>
    <row r="599" spans="1:60" x14ac:dyDescent="0.35">
      <c r="A599" s="4"/>
      <c r="B599" s="8" t="str">
        <f t="shared" si="49"/>
        <v/>
      </c>
      <c r="D599" s="6" t="str">
        <f t="shared" si="50"/>
        <v/>
      </c>
      <c r="E599" s="6" t="str">
        <f t="shared" si="51"/>
        <v/>
      </c>
      <c r="F599" s="6" t="str">
        <f t="shared" si="52"/>
        <v/>
      </c>
      <c r="G599" s="4"/>
      <c r="H599" s="4"/>
      <c r="I599" s="4"/>
      <c r="J599" s="4"/>
      <c r="K599" s="4"/>
      <c r="L599" s="4"/>
      <c r="M599" s="4"/>
      <c r="N599" s="4"/>
      <c r="O599" s="4"/>
      <c r="P599" s="4"/>
      <c r="Q599" s="4"/>
      <c r="R599" s="14"/>
      <c r="S599" s="14"/>
      <c r="T599" s="14"/>
      <c r="U599" s="14"/>
      <c r="V599" s="14"/>
      <c r="W599" s="14"/>
      <c r="X599" s="1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G599" s="4"/>
      <c r="BH599" s="4"/>
    </row>
    <row r="600" spans="1:60" x14ac:dyDescent="0.35">
      <c r="A600" s="4"/>
      <c r="B600" s="8" t="str">
        <f t="shared" si="49"/>
        <v/>
      </c>
      <c r="D600" s="6" t="str">
        <f t="shared" si="50"/>
        <v/>
      </c>
      <c r="E600" s="6" t="str">
        <f t="shared" si="51"/>
        <v/>
      </c>
      <c r="F600" s="6" t="str">
        <f t="shared" si="52"/>
        <v/>
      </c>
      <c r="G600" s="4"/>
      <c r="H600" s="4"/>
      <c r="I600" s="4"/>
      <c r="J600" s="4"/>
      <c r="K600" s="4"/>
      <c r="L600" s="4"/>
      <c r="M600" s="4"/>
      <c r="N600" s="4"/>
      <c r="O600" s="4"/>
      <c r="P600" s="4"/>
      <c r="Q600" s="4"/>
      <c r="R600" s="14"/>
      <c r="S600" s="14"/>
      <c r="T600" s="14"/>
      <c r="U600" s="14"/>
      <c r="V600" s="14"/>
      <c r="W600" s="14"/>
      <c r="X600" s="1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G600" s="4"/>
      <c r="BH600" s="4"/>
    </row>
    <row r="601" spans="1:60" x14ac:dyDescent="0.35">
      <c r="A601" s="4"/>
      <c r="B601" s="8" t="str">
        <f t="shared" si="49"/>
        <v/>
      </c>
      <c r="D601" s="6" t="str">
        <f t="shared" si="50"/>
        <v/>
      </c>
      <c r="E601" s="6" t="str">
        <f t="shared" si="51"/>
        <v/>
      </c>
      <c r="F601" s="6" t="str">
        <f t="shared" si="52"/>
        <v/>
      </c>
      <c r="G601" s="4"/>
      <c r="H601" s="4"/>
      <c r="I601" s="4"/>
      <c r="J601" s="4"/>
      <c r="K601" s="4"/>
      <c r="L601" s="4"/>
      <c r="M601" s="4"/>
      <c r="N601" s="4"/>
      <c r="O601" s="4"/>
      <c r="P601" s="4"/>
      <c r="Q601" s="4"/>
      <c r="R601" s="14"/>
      <c r="S601" s="14"/>
      <c r="T601" s="14"/>
      <c r="U601" s="14"/>
      <c r="V601" s="14"/>
      <c r="W601" s="14"/>
      <c r="X601" s="1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G601" s="4"/>
      <c r="BH601" s="4"/>
    </row>
    <row r="602" spans="1:60" x14ac:dyDescent="0.35">
      <c r="A602" s="4"/>
      <c r="B602" s="8" t="str">
        <f t="shared" si="49"/>
        <v/>
      </c>
      <c r="D602" s="6" t="str">
        <f t="shared" si="50"/>
        <v/>
      </c>
      <c r="E602" s="6" t="str">
        <f t="shared" si="51"/>
        <v/>
      </c>
      <c r="F602" s="6" t="str">
        <f t="shared" si="52"/>
        <v/>
      </c>
      <c r="G602" s="4"/>
      <c r="H602" s="4"/>
      <c r="I602" s="4"/>
      <c r="J602" s="4"/>
      <c r="K602" s="4"/>
      <c r="L602" s="4"/>
      <c r="M602" s="4"/>
      <c r="N602" s="4"/>
      <c r="O602" s="4"/>
      <c r="P602" s="4"/>
      <c r="Q602" s="4"/>
      <c r="R602" s="14"/>
      <c r="S602" s="14"/>
      <c r="T602" s="14"/>
      <c r="U602" s="14"/>
      <c r="V602" s="14"/>
      <c r="W602" s="14"/>
      <c r="X602" s="1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G602" s="4"/>
      <c r="BH602" s="4"/>
    </row>
    <row r="603" spans="1:60" x14ac:dyDescent="0.35">
      <c r="A603" s="4"/>
      <c r="B603" s="8" t="str">
        <f t="shared" si="49"/>
        <v/>
      </c>
      <c r="D603" s="6" t="str">
        <f t="shared" si="50"/>
        <v/>
      </c>
      <c r="E603" s="6" t="str">
        <f t="shared" si="51"/>
        <v/>
      </c>
      <c r="F603" s="6" t="str">
        <f t="shared" si="52"/>
        <v/>
      </c>
      <c r="G603" s="4"/>
      <c r="H603" s="4"/>
      <c r="I603" s="4"/>
      <c r="J603" s="4"/>
      <c r="K603" s="4"/>
      <c r="L603" s="4"/>
      <c r="M603" s="4"/>
      <c r="N603" s="4"/>
      <c r="O603" s="4"/>
      <c r="P603" s="4"/>
      <c r="Q603" s="4"/>
      <c r="R603" s="14"/>
      <c r="S603" s="14"/>
      <c r="T603" s="14"/>
      <c r="U603" s="14"/>
      <c r="V603" s="14"/>
      <c r="W603" s="14"/>
      <c r="X603" s="1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G603" s="4"/>
      <c r="BH603" s="4"/>
    </row>
    <row r="604" spans="1:60" x14ac:dyDescent="0.35">
      <c r="A604" s="4"/>
      <c r="B604" s="8" t="str">
        <f t="shared" si="49"/>
        <v/>
      </c>
      <c r="D604" s="6" t="str">
        <f t="shared" si="50"/>
        <v/>
      </c>
      <c r="E604" s="6" t="str">
        <f t="shared" si="51"/>
        <v/>
      </c>
      <c r="F604" s="6" t="str">
        <f t="shared" si="52"/>
        <v/>
      </c>
      <c r="G604" s="4"/>
      <c r="H604" s="4"/>
      <c r="I604" s="4"/>
      <c r="J604" s="4"/>
      <c r="K604" s="4"/>
      <c r="L604" s="4"/>
      <c r="M604" s="4"/>
      <c r="N604" s="4"/>
      <c r="O604" s="4"/>
      <c r="P604" s="4"/>
      <c r="Q604" s="4"/>
      <c r="R604" s="14"/>
      <c r="S604" s="14"/>
      <c r="T604" s="14"/>
      <c r="U604" s="14"/>
      <c r="V604" s="14"/>
      <c r="W604" s="14"/>
      <c r="X604" s="1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G604" s="4"/>
      <c r="BH604" s="4"/>
    </row>
    <row r="605" spans="1:60" x14ac:dyDescent="0.35">
      <c r="A605" s="4"/>
      <c r="B605" s="8" t="str">
        <f t="shared" si="49"/>
        <v/>
      </c>
      <c r="D605" s="6" t="str">
        <f t="shared" si="50"/>
        <v/>
      </c>
      <c r="E605" s="6" t="str">
        <f t="shared" si="51"/>
        <v/>
      </c>
      <c r="F605" s="6" t="str">
        <f t="shared" si="52"/>
        <v/>
      </c>
      <c r="G605" s="4"/>
      <c r="H605" s="4"/>
      <c r="I605" s="4"/>
      <c r="J605" s="4"/>
      <c r="K605" s="4"/>
      <c r="L605" s="4"/>
      <c r="M605" s="4"/>
      <c r="N605" s="4"/>
      <c r="O605" s="4"/>
      <c r="P605" s="4"/>
      <c r="Q605" s="4"/>
      <c r="R605" s="14"/>
      <c r="S605" s="14"/>
      <c r="T605" s="14"/>
      <c r="U605" s="14"/>
      <c r="V605" s="14"/>
      <c r="W605" s="14"/>
      <c r="X605" s="1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G605" s="4"/>
      <c r="BH605" s="4"/>
    </row>
    <row r="606" spans="1:60" x14ac:dyDescent="0.35">
      <c r="A606" s="4"/>
      <c r="B606" s="8" t="str">
        <f t="shared" si="49"/>
        <v/>
      </c>
      <c r="D606" s="6" t="str">
        <f t="shared" si="50"/>
        <v/>
      </c>
      <c r="E606" s="6" t="str">
        <f t="shared" si="51"/>
        <v/>
      </c>
      <c r="F606" s="6" t="str">
        <f t="shared" si="52"/>
        <v/>
      </c>
      <c r="G606" s="4"/>
      <c r="H606" s="4"/>
      <c r="I606" s="4"/>
      <c r="J606" s="4"/>
      <c r="K606" s="4"/>
      <c r="L606" s="4"/>
      <c r="M606" s="4"/>
      <c r="N606" s="4"/>
      <c r="O606" s="4"/>
      <c r="P606" s="4"/>
      <c r="Q606" s="4"/>
      <c r="R606" s="14"/>
      <c r="S606" s="14"/>
      <c r="T606" s="14"/>
      <c r="U606" s="14"/>
      <c r="V606" s="14"/>
      <c r="W606" s="14"/>
      <c r="X606" s="1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G606" s="4"/>
      <c r="BH606" s="4"/>
    </row>
    <row r="607" spans="1:60" x14ac:dyDescent="0.35">
      <c r="A607" s="4"/>
      <c r="B607" s="8" t="str">
        <f t="shared" si="49"/>
        <v/>
      </c>
      <c r="D607" s="6" t="str">
        <f t="shared" si="50"/>
        <v/>
      </c>
      <c r="E607" s="6" t="str">
        <f t="shared" si="51"/>
        <v/>
      </c>
      <c r="F607" s="6" t="str">
        <f t="shared" si="52"/>
        <v/>
      </c>
      <c r="G607" s="4"/>
      <c r="H607" s="4"/>
      <c r="I607" s="4"/>
      <c r="J607" s="4"/>
      <c r="K607" s="4"/>
      <c r="L607" s="4"/>
      <c r="M607" s="4"/>
      <c r="N607" s="4"/>
      <c r="O607" s="4"/>
      <c r="P607" s="4"/>
      <c r="Q607" s="4"/>
      <c r="R607" s="14"/>
      <c r="S607" s="14"/>
      <c r="T607" s="14"/>
      <c r="U607" s="14"/>
      <c r="V607" s="14"/>
      <c r="W607" s="14"/>
      <c r="X607" s="1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G607" s="4"/>
      <c r="BH607" s="4"/>
    </row>
    <row r="608" spans="1:60" x14ac:dyDescent="0.35">
      <c r="A608" s="4"/>
      <c r="B608" s="8" t="str">
        <f t="shared" si="49"/>
        <v/>
      </c>
      <c r="D608" s="6" t="str">
        <f t="shared" si="50"/>
        <v/>
      </c>
      <c r="E608" s="6" t="str">
        <f t="shared" si="51"/>
        <v/>
      </c>
      <c r="F608" s="6" t="str">
        <f t="shared" si="52"/>
        <v/>
      </c>
      <c r="G608" s="4"/>
      <c r="H608" s="4"/>
      <c r="I608" s="4"/>
      <c r="J608" s="4"/>
      <c r="K608" s="4"/>
      <c r="L608" s="4"/>
      <c r="M608" s="4"/>
      <c r="N608" s="4"/>
      <c r="O608" s="4"/>
      <c r="P608" s="4"/>
      <c r="Q608" s="4"/>
      <c r="R608" s="14"/>
      <c r="S608" s="14"/>
      <c r="T608" s="14"/>
      <c r="U608" s="14"/>
      <c r="V608" s="14"/>
      <c r="W608" s="14"/>
      <c r="X608" s="1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G608" s="4"/>
      <c r="BH608" s="4"/>
    </row>
    <row r="609" spans="1:60" x14ac:dyDescent="0.35">
      <c r="A609" s="4"/>
      <c r="B609" s="8" t="str">
        <f t="shared" si="49"/>
        <v/>
      </c>
      <c r="D609" s="6" t="str">
        <f t="shared" si="50"/>
        <v/>
      </c>
      <c r="E609" s="6" t="str">
        <f t="shared" si="51"/>
        <v/>
      </c>
      <c r="F609" s="6" t="str">
        <f t="shared" si="52"/>
        <v/>
      </c>
      <c r="G609" s="4"/>
      <c r="H609" s="4"/>
      <c r="I609" s="4"/>
      <c r="J609" s="4"/>
      <c r="K609" s="4"/>
      <c r="L609" s="4"/>
      <c r="M609" s="4"/>
      <c r="N609" s="4"/>
      <c r="O609" s="4"/>
      <c r="P609" s="4"/>
      <c r="Q609" s="4"/>
      <c r="R609" s="14"/>
      <c r="S609" s="14"/>
      <c r="T609" s="14"/>
      <c r="U609" s="14"/>
      <c r="V609" s="14"/>
      <c r="W609" s="14"/>
      <c r="X609" s="1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G609" s="4"/>
      <c r="BH609" s="4"/>
    </row>
    <row r="610" spans="1:60" x14ac:dyDescent="0.35">
      <c r="A610" s="4"/>
      <c r="B610" s="8" t="str">
        <f t="shared" si="49"/>
        <v/>
      </c>
      <c r="D610" s="6" t="str">
        <f t="shared" si="50"/>
        <v/>
      </c>
      <c r="E610" s="6" t="str">
        <f t="shared" si="51"/>
        <v/>
      </c>
      <c r="F610" s="6" t="str">
        <f t="shared" si="52"/>
        <v/>
      </c>
      <c r="G610" s="4"/>
      <c r="H610" s="4"/>
      <c r="I610" s="4"/>
      <c r="J610" s="4"/>
      <c r="K610" s="4"/>
      <c r="L610" s="4"/>
      <c r="M610" s="4"/>
      <c r="N610" s="4"/>
      <c r="O610" s="4"/>
      <c r="P610" s="4"/>
      <c r="Q610" s="4"/>
      <c r="R610" s="14"/>
      <c r="S610" s="14"/>
      <c r="T610" s="14"/>
      <c r="U610" s="14"/>
      <c r="V610" s="14"/>
      <c r="W610" s="14"/>
      <c r="X610" s="1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G610" s="4"/>
      <c r="BH610" s="4"/>
    </row>
    <row r="611" spans="1:60" x14ac:dyDescent="0.35">
      <c r="A611" s="4"/>
      <c r="B611" s="8" t="str">
        <f t="shared" si="49"/>
        <v/>
      </c>
      <c r="D611" s="6" t="str">
        <f t="shared" si="50"/>
        <v/>
      </c>
      <c r="E611" s="6" t="str">
        <f t="shared" si="51"/>
        <v/>
      </c>
      <c r="F611" s="6" t="str">
        <f t="shared" si="52"/>
        <v/>
      </c>
      <c r="G611" s="4"/>
      <c r="H611" s="4"/>
      <c r="I611" s="4"/>
      <c r="J611" s="4"/>
      <c r="K611" s="4"/>
      <c r="L611" s="4"/>
      <c r="M611" s="4"/>
      <c r="N611" s="4"/>
      <c r="O611" s="4"/>
      <c r="P611" s="4"/>
      <c r="Q611" s="4"/>
      <c r="R611" s="14"/>
      <c r="S611" s="14"/>
      <c r="T611" s="14"/>
      <c r="U611" s="14"/>
      <c r="V611" s="14"/>
      <c r="W611" s="14"/>
      <c r="X611" s="1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G611" s="4"/>
      <c r="BH611" s="4"/>
    </row>
    <row r="612" spans="1:60" x14ac:dyDescent="0.35">
      <c r="A612" s="4"/>
      <c r="B612" s="8" t="str">
        <f t="shared" si="49"/>
        <v/>
      </c>
      <c r="D612" s="6" t="str">
        <f t="shared" si="50"/>
        <v/>
      </c>
      <c r="E612" s="6" t="str">
        <f t="shared" si="51"/>
        <v/>
      </c>
      <c r="F612" s="6" t="str">
        <f t="shared" si="52"/>
        <v/>
      </c>
      <c r="G612" s="4"/>
      <c r="H612" s="4"/>
      <c r="I612" s="4"/>
      <c r="J612" s="4"/>
      <c r="K612" s="4"/>
      <c r="L612" s="4"/>
      <c r="M612" s="4"/>
      <c r="N612" s="4"/>
      <c r="O612" s="4"/>
      <c r="P612" s="4"/>
      <c r="Q612" s="4"/>
      <c r="R612" s="14"/>
      <c r="S612" s="14"/>
      <c r="T612" s="14"/>
      <c r="U612" s="14"/>
      <c r="V612" s="14"/>
      <c r="W612" s="14"/>
      <c r="X612" s="1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G612" s="4"/>
      <c r="BH612" s="4"/>
    </row>
    <row r="613" spans="1:60" x14ac:dyDescent="0.35">
      <c r="A613" s="4"/>
      <c r="B613" s="8" t="str">
        <f t="shared" si="49"/>
        <v/>
      </c>
      <c r="D613" s="6" t="str">
        <f t="shared" si="50"/>
        <v/>
      </c>
      <c r="E613" s="6" t="str">
        <f t="shared" si="51"/>
        <v/>
      </c>
      <c r="F613" s="6" t="str">
        <f t="shared" si="52"/>
        <v/>
      </c>
      <c r="G613" s="4"/>
      <c r="H613" s="4"/>
      <c r="I613" s="4"/>
      <c r="J613" s="4"/>
      <c r="K613" s="4"/>
      <c r="L613" s="4"/>
      <c r="M613" s="4"/>
      <c r="N613" s="4"/>
      <c r="O613" s="4"/>
      <c r="P613" s="4"/>
      <c r="Q613" s="4"/>
      <c r="R613" s="14"/>
      <c r="S613" s="14"/>
      <c r="T613" s="14"/>
      <c r="U613" s="14"/>
      <c r="V613" s="14"/>
      <c r="W613" s="14"/>
      <c r="X613" s="1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G613" s="4"/>
      <c r="BH613" s="4"/>
    </row>
    <row r="614" spans="1:60" x14ac:dyDescent="0.35">
      <c r="A614" s="4"/>
      <c r="B614" s="8" t="str">
        <f t="shared" si="49"/>
        <v/>
      </c>
      <c r="D614" s="6" t="str">
        <f t="shared" si="50"/>
        <v/>
      </c>
      <c r="E614" s="6" t="str">
        <f t="shared" si="51"/>
        <v/>
      </c>
      <c r="F614" s="6" t="str">
        <f t="shared" si="52"/>
        <v/>
      </c>
      <c r="G614" s="4"/>
      <c r="H614" s="4"/>
      <c r="I614" s="4"/>
      <c r="J614" s="4"/>
      <c r="K614" s="4"/>
      <c r="L614" s="4"/>
      <c r="M614" s="4"/>
      <c r="N614" s="4"/>
      <c r="O614" s="4"/>
      <c r="P614" s="4"/>
      <c r="Q614" s="4"/>
      <c r="R614" s="14"/>
      <c r="S614" s="14"/>
      <c r="T614" s="14"/>
      <c r="U614" s="14"/>
      <c r="V614" s="14"/>
      <c r="W614" s="14"/>
      <c r="X614" s="1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G614" s="4"/>
      <c r="BH614" s="4"/>
    </row>
    <row r="615" spans="1:60" x14ac:dyDescent="0.35">
      <c r="A615" s="4"/>
      <c r="B615" s="8" t="str">
        <f t="shared" si="49"/>
        <v/>
      </c>
      <c r="D615" s="6" t="str">
        <f t="shared" si="50"/>
        <v/>
      </c>
      <c r="E615" s="6" t="str">
        <f t="shared" si="51"/>
        <v/>
      </c>
      <c r="F615" s="6" t="str">
        <f t="shared" si="52"/>
        <v/>
      </c>
      <c r="G615" s="4"/>
      <c r="H615" s="4"/>
      <c r="I615" s="4"/>
      <c r="J615" s="4"/>
      <c r="K615" s="4"/>
      <c r="L615" s="4"/>
      <c r="M615" s="4"/>
      <c r="N615" s="4"/>
      <c r="O615" s="4"/>
      <c r="P615" s="4"/>
      <c r="Q615" s="4"/>
      <c r="R615" s="14"/>
      <c r="S615" s="14"/>
      <c r="T615" s="14"/>
      <c r="U615" s="14"/>
      <c r="V615" s="14"/>
      <c r="W615" s="14"/>
      <c r="X615" s="1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G615" s="4"/>
      <c r="BH615" s="4"/>
    </row>
    <row r="616" spans="1:60" x14ac:dyDescent="0.35">
      <c r="A616" s="4"/>
      <c r="B616" s="8" t="str">
        <f t="shared" si="49"/>
        <v/>
      </c>
      <c r="D616" s="6" t="str">
        <f t="shared" si="50"/>
        <v/>
      </c>
      <c r="E616" s="6" t="str">
        <f t="shared" si="51"/>
        <v/>
      </c>
      <c r="F616" s="6" t="str">
        <f t="shared" si="52"/>
        <v/>
      </c>
      <c r="G616" s="4"/>
      <c r="H616" s="4"/>
      <c r="I616" s="4"/>
      <c r="J616" s="4"/>
      <c r="K616" s="4"/>
      <c r="L616" s="4"/>
      <c r="M616" s="4"/>
      <c r="N616" s="4"/>
      <c r="O616" s="4"/>
      <c r="P616" s="4"/>
      <c r="Q616" s="4"/>
      <c r="R616" s="14"/>
      <c r="S616" s="14"/>
      <c r="T616" s="14"/>
      <c r="U616" s="14"/>
      <c r="V616" s="14"/>
      <c r="W616" s="14"/>
      <c r="X616" s="1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G616" s="4"/>
      <c r="BH616" s="4"/>
    </row>
    <row r="617" spans="1:60" x14ac:dyDescent="0.35">
      <c r="A617" s="4"/>
      <c r="B617" s="8" t="str">
        <f t="shared" si="49"/>
        <v/>
      </c>
      <c r="D617" s="6" t="str">
        <f t="shared" si="50"/>
        <v/>
      </c>
      <c r="E617" s="6" t="str">
        <f t="shared" si="51"/>
        <v/>
      </c>
      <c r="F617" s="6" t="str">
        <f t="shared" si="52"/>
        <v/>
      </c>
      <c r="G617" s="4"/>
      <c r="H617" s="4"/>
      <c r="I617" s="4"/>
      <c r="J617" s="4"/>
      <c r="K617" s="4"/>
      <c r="L617" s="4"/>
      <c r="M617" s="4"/>
      <c r="N617" s="4"/>
      <c r="O617" s="4"/>
      <c r="P617" s="4"/>
      <c r="Q617" s="4"/>
      <c r="R617" s="14"/>
      <c r="S617" s="14"/>
      <c r="T617" s="14"/>
      <c r="U617" s="14"/>
      <c r="V617" s="14"/>
      <c r="W617" s="14"/>
      <c r="X617" s="1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G617" s="4"/>
      <c r="BH617" s="4"/>
    </row>
    <row r="618" spans="1:60" x14ac:dyDescent="0.35">
      <c r="A618" s="4"/>
      <c r="B618" s="8" t="str">
        <f t="shared" si="49"/>
        <v/>
      </c>
      <c r="D618" s="6" t="str">
        <f t="shared" si="50"/>
        <v/>
      </c>
      <c r="E618" s="6" t="str">
        <f t="shared" si="51"/>
        <v/>
      </c>
      <c r="F618" s="6" t="str">
        <f t="shared" si="52"/>
        <v/>
      </c>
      <c r="G618" s="4"/>
      <c r="H618" s="4"/>
      <c r="I618" s="4"/>
      <c r="J618" s="4"/>
      <c r="K618" s="4"/>
      <c r="L618" s="4"/>
      <c r="M618" s="4"/>
      <c r="N618" s="4"/>
      <c r="O618" s="4"/>
      <c r="P618" s="4"/>
      <c r="Q618" s="4"/>
      <c r="R618" s="14"/>
      <c r="S618" s="14"/>
      <c r="T618" s="14"/>
      <c r="U618" s="14"/>
      <c r="V618" s="14"/>
      <c r="W618" s="14"/>
      <c r="X618" s="1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G618" s="4"/>
      <c r="BH618" s="4"/>
    </row>
    <row r="619" spans="1:60" x14ac:dyDescent="0.35">
      <c r="A619" s="4"/>
      <c r="B619" s="8" t="str">
        <f t="shared" si="49"/>
        <v/>
      </c>
      <c r="D619" s="6" t="str">
        <f t="shared" si="50"/>
        <v/>
      </c>
      <c r="E619" s="6" t="str">
        <f t="shared" si="51"/>
        <v/>
      </c>
      <c r="F619" s="6" t="str">
        <f t="shared" si="52"/>
        <v/>
      </c>
      <c r="G619" s="4"/>
      <c r="H619" s="4"/>
      <c r="I619" s="4"/>
      <c r="J619" s="4"/>
      <c r="K619" s="4"/>
      <c r="L619" s="4"/>
      <c r="M619" s="4"/>
      <c r="N619" s="4"/>
      <c r="O619" s="4"/>
      <c r="P619" s="4"/>
      <c r="Q619" s="4"/>
      <c r="R619" s="14"/>
      <c r="S619" s="14"/>
      <c r="T619" s="14"/>
      <c r="U619" s="14"/>
      <c r="V619" s="14"/>
      <c r="W619" s="14"/>
      <c r="X619" s="1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G619" s="4"/>
      <c r="BH619" s="4"/>
    </row>
    <row r="620" spans="1:60" x14ac:dyDescent="0.35">
      <c r="A620" s="4"/>
      <c r="B620" s="8" t="str">
        <f t="shared" si="49"/>
        <v/>
      </c>
      <c r="D620" s="6" t="str">
        <f t="shared" si="50"/>
        <v/>
      </c>
      <c r="E620" s="6" t="str">
        <f t="shared" si="51"/>
        <v/>
      </c>
      <c r="F620" s="6" t="str">
        <f t="shared" si="52"/>
        <v/>
      </c>
      <c r="G620" s="4"/>
      <c r="H620" s="4"/>
      <c r="I620" s="4"/>
      <c r="J620" s="4"/>
      <c r="K620" s="4"/>
      <c r="L620" s="4"/>
      <c r="M620" s="4"/>
      <c r="N620" s="4"/>
      <c r="O620" s="4"/>
      <c r="P620" s="4"/>
      <c r="Q620" s="4"/>
      <c r="R620" s="14"/>
      <c r="S620" s="14"/>
      <c r="T620" s="14"/>
      <c r="U620" s="14"/>
      <c r="V620" s="14"/>
      <c r="W620" s="14"/>
      <c r="X620" s="1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G620" s="4"/>
      <c r="BH620" s="4"/>
    </row>
    <row r="621" spans="1:60" x14ac:dyDescent="0.35">
      <c r="A621" s="4"/>
      <c r="B621" s="8" t="str">
        <f t="shared" si="49"/>
        <v/>
      </c>
      <c r="D621" s="6" t="str">
        <f t="shared" si="50"/>
        <v/>
      </c>
      <c r="E621" s="6" t="str">
        <f t="shared" si="51"/>
        <v/>
      </c>
      <c r="F621" s="6" t="str">
        <f t="shared" si="52"/>
        <v/>
      </c>
      <c r="G621" s="4"/>
      <c r="H621" s="4"/>
      <c r="I621" s="4"/>
      <c r="J621" s="4"/>
      <c r="K621" s="4"/>
      <c r="L621" s="4"/>
      <c r="M621" s="4"/>
      <c r="N621" s="4"/>
      <c r="O621" s="4"/>
      <c r="P621" s="4"/>
      <c r="Q621" s="4"/>
      <c r="R621" s="14"/>
      <c r="S621" s="14"/>
      <c r="T621" s="14"/>
      <c r="U621" s="14"/>
      <c r="V621" s="14"/>
      <c r="W621" s="14"/>
      <c r="X621" s="1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G621" s="4"/>
      <c r="BH621" s="4"/>
    </row>
    <row r="622" spans="1:60" x14ac:dyDescent="0.35">
      <c r="A622" s="4"/>
      <c r="B622" s="8" t="str">
        <f t="shared" si="49"/>
        <v/>
      </c>
      <c r="D622" s="6" t="str">
        <f t="shared" si="50"/>
        <v/>
      </c>
      <c r="E622" s="6" t="str">
        <f t="shared" si="51"/>
        <v/>
      </c>
      <c r="F622" s="6" t="str">
        <f t="shared" si="52"/>
        <v/>
      </c>
      <c r="G622" s="4"/>
      <c r="H622" s="4"/>
      <c r="I622" s="4"/>
      <c r="J622" s="4"/>
      <c r="K622" s="4"/>
      <c r="L622" s="4"/>
      <c r="M622" s="4"/>
      <c r="N622" s="4"/>
      <c r="O622" s="4"/>
      <c r="P622" s="4"/>
      <c r="Q622" s="4"/>
      <c r="R622" s="14"/>
      <c r="S622" s="14"/>
      <c r="T622" s="14"/>
      <c r="U622" s="14"/>
      <c r="V622" s="14"/>
      <c r="W622" s="14"/>
      <c r="X622" s="1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G622" s="4"/>
      <c r="BH622" s="4"/>
    </row>
    <row r="623" spans="1:60" x14ac:dyDescent="0.35">
      <c r="A623" s="4"/>
      <c r="B623" s="8" t="str">
        <f t="shared" si="49"/>
        <v/>
      </c>
      <c r="D623" s="6" t="str">
        <f t="shared" si="50"/>
        <v/>
      </c>
      <c r="E623" s="6" t="str">
        <f t="shared" si="51"/>
        <v/>
      </c>
      <c r="F623" s="6" t="str">
        <f t="shared" si="52"/>
        <v/>
      </c>
      <c r="G623" s="4"/>
      <c r="H623" s="4"/>
      <c r="I623" s="4"/>
      <c r="J623" s="4"/>
      <c r="K623" s="4"/>
      <c r="L623" s="4"/>
      <c r="M623" s="4"/>
      <c r="N623" s="4"/>
      <c r="O623" s="4"/>
      <c r="P623" s="4"/>
      <c r="Q623" s="4"/>
      <c r="R623" s="14"/>
      <c r="S623" s="14"/>
      <c r="T623" s="14"/>
      <c r="U623" s="14"/>
      <c r="V623" s="14"/>
      <c r="W623" s="14"/>
      <c r="X623" s="1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G623" s="4"/>
      <c r="BH623" s="4"/>
    </row>
    <row r="624" spans="1:60" x14ac:dyDescent="0.35">
      <c r="A624" s="4"/>
      <c r="B624" s="8" t="str">
        <f t="shared" si="49"/>
        <v/>
      </c>
      <c r="D624" s="6" t="str">
        <f t="shared" si="50"/>
        <v/>
      </c>
      <c r="E624" s="6" t="str">
        <f t="shared" si="51"/>
        <v/>
      </c>
      <c r="F624" s="6" t="str">
        <f t="shared" si="52"/>
        <v/>
      </c>
      <c r="G624" s="4"/>
      <c r="H624" s="4"/>
      <c r="I624" s="4"/>
      <c r="J624" s="4"/>
      <c r="K624" s="4"/>
      <c r="L624" s="4"/>
      <c r="M624" s="4"/>
      <c r="N624" s="4"/>
      <c r="O624" s="4"/>
      <c r="P624" s="4"/>
      <c r="Q624" s="4"/>
      <c r="R624" s="14"/>
      <c r="S624" s="14"/>
      <c r="T624" s="14"/>
      <c r="U624" s="14"/>
      <c r="V624" s="14"/>
      <c r="W624" s="14"/>
      <c r="X624" s="1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G624" s="4"/>
      <c r="BH624" s="4"/>
    </row>
    <row r="625" spans="1:60" x14ac:dyDescent="0.35">
      <c r="A625" s="4"/>
      <c r="B625" s="8" t="str">
        <f t="shared" si="49"/>
        <v/>
      </c>
      <c r="D625" s="6" t="str">
        <f t="shared" si="50"/>
        <v/>
      </c>
      <c r="E625" s="6" t="str">
        <f t="shared" si="51"/>
        <v/>
      </c>
      <c r="F625" s="6" t="str">
        <f t="shared" si="52"/>
        <v/>
      </c>
      <c r="G625" s="4"/>
      <c r="H625" s="4"/>
      <c r="I625" s="4"/>
      <c r="J625" s="4"/>
      <c r="K625" s="4"/>
      <c r="L625" s="4"/>
      <c r="M625" s="4"/>
      <c r="N625" s="4"/>
      <c r="O625" s="4"/>
      <c r="P625" s="4"/>
      <c r="Q625" s="4"/>
      <c r="R625" s="14"/>
      <c r="S625" s="14"/>
      <c r="T625" s="14"/>
      <c r="U625" s="14"/>
      <c r="V625" s="14"/>
      <c r="W625" s="14"/>
      <c r="X625" s="1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G625" s="4"/>
      <c r="BH625" s="4"/>
    </row>
    <row r="626" spans="1:60" x14ac:dyDescent="0.35">
      <c r="A626" s="4"/>
      <c r="B626" s="8" t="str">
        <f t="shared" si="49"/>
        <v/>
      </c>
      <c r="D626" s="6" t="str">
        <f t="shared" si="50"/>
        <v/>
      </c>
      <c r="E626" s="6" t="str">
        <f t="shared" si="51"/>
        <v/>
      </c>
      <c r="F626" s="6" t="str">
        <f t="shared" si="52"/>
        <v/>
      </c>
      <c r="G626" s="4"/>
      <c r="H626" s="4"/>
      <c r="I626" s="4"/>
      <c r="J626" s="4"/>
      <c r="K626" s="4"/>
      <c r="L626" s="4"/>
      <c r="M626" s="4"/>
      <c r="N626" s="4"/>
      <c r="O626" s="4"/>
      <c r="P626" s="4"/>
      <c r="Q626" s="4"/>
      <c r="R626" s="14"/>
      <c r="S626" s="14"/>
      <c r="T626" s="14"/>
      <c r="U626" s="14"/>
      <c r="V626" s="14"/>
      <c r="W626" s="14"/>
      <c r="X626" s="1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G626" s="4"/>
      <c r="BH626" s="4"/>
    </row>
    <row r="627" spans="1:60" x14ac:dyDescent="0.35">
      <c r="A627" s="4"/>
      <c r="B627" s="8" t="str">
        <f t="shared" si="49"/>
        <v/>
      </c>
      <c r="D627" s="6" t="str">
        <f t="shared" si="50"/>
        <v/>
      </c>
      <c r="E627" s="6" t="str">
        <f t="shared" si="51"/>
        <v/>
      </c>
      <c r="F627" s="6" t="str">
        <f t="shared" si="52"/>
        <v/>
      </c>
      <c r="G627" s="4"/>
      <c r="H627" s="4"/>
      <c r="I627" s="4"/>
      <c r="J627" s="4"/>
      <c r="K627" s="4"/>
      <c r="L627" s="4"/>
      <c r="M627" s="4"/>
      <c r="N627" s="4"/>
      <c r="O627" s="4"/>
      <c r="P627" s="4"/>
      <c r="Q627" s="4"/>
      <c r="R627" s="14"/>
      <c r="S627" s="14"/>
      <c r="T627" s="14"/>
      <c r="U627" s="14"/>
      <c r="V627" s="14"/>
      <c r="W627" s="14"/>
      <c r="X627" s="1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G627" s="4"/>
      <c r="BH627" s="4"/>
    </row>
    <row r="628" spans="1:60" x14ac:dyDescent="0.35">
      <c r="A628" s="4"/>
      <c r="B628" s="8" t="str">
        <f t="shared" si="49"/>
        <v/>
      </c>
      <c r="D628" s="6" t="str">
        <f t="shared" si="50"/>
        <v/>
      </c>
      <c r="E628" s="6" t="str">
        <f t="shared" si="51"/>
        <v/>
      </c>
      <c r="F628" s="6" t="str">
        <f t="shared" si="52"/>
        <v/>
      </c>
      <c r="G628" s="4"/>
      <c r="H628" s="4"/>
      <c r="I628" s="4"/>
      <c r="J628" s="4"/>
      <c r="K628" s="4"/>
      <c r="L628" s="4"/>
      <c r="M628" s="4"/>
      <c r="N628" s="4"/>
      <c r="O628" s="4"/>
      <c r="P628" s="4"/>
      <c r="Q628" s="4"/>
      <c r="R628" s="14"/>
      <c r="S628" s="14"/>
      <c r="T628" s="14"/>
      <c r="U628" s="14"/>
      <c r="V628" s="14"/>
      <c r="W628" s="14"/>
      <c r="X628" s="1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G628" s="4"/>
      <c r="BH628" s="4"/>
    </row>
    <row r="629" spans="1:60" x14ac:dyDescent="0.35">
      <c r="A629" s="4"/>
      <c r="B629" s="8" t="str">
        <f t="shared" si="49"/>
        <v/>
      </c>
      <c r="D629" s="6" t="str">
        <f t="shared" si="50"/>
        <v/>
      </c>
      <c r="E629" s="6" t="str">
        <f t="shared" si="51"/>
        <v/>
      </c>
      <c r="F629" s="6" t="str">
        <f t="shared" si="52"/>
        <v/>
      </c>
      <c r="G629" s="4"/>
      <c r="H629" s="4"/>
      <c r="I629" s="4"/>
      <c r="J629" s="4"/>
      <c r="K629" s="4"/>
      <c r="L629" s="4"/>
      <c r="M629" s="4"/>
      <c r="N629" s="4"/>
      <c r="O629" s="4"/>
      <c r="P629" s="4"/>
      <c r="Q629" s="4"/>
      <c r="R629" s="14"/>
      <c r="S629" s="14"/>
      <c r="T629" s="14"/>
      <c r="U629" s="14"/>
      <c r="V629" s="14"/>
      <c r="W629" s="14"/>
      <c r="X629" s="1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G629" s="4"/>
      <c r="BH629" s="4"/>
    </row>
    <row r="630" spans="1:60" x14ac:dyDescent="0.35">
      <c r="A630" s="4"/>
      <c r="B630" s="8" t="str">
        <f t="shared" si="49"/>
        <v/>
      </c>
      <c r="D630" s="6" t="str">
        <f t="shared" si="50"/>
        <v/>
      </c>
      <c r="E630" s="6" t="str">
        <f t="shared" si="51"/>
        <v/>
      </c>
      <c r="F630" s="6" t="str">
        <f t="shared" si="52"/>
        <v/>
      </c>
      <c r="G630" s="4"/>
      <c r="H630" s="4"/>
      <c r="I630" s="4"/>
      <c r="J630" s="4"/>
      <c r="K630" s="4"/>
      <c r="L630" s="4"/>
      <c r="M630" s="4"/>
      <c r="N630" s="4"/>
      <c r="O630" s="4"/>
      <c r="P630" s="4"/>
      <c r="Q630" s="4"/>
      <c r="R630" s="14"/>
      <c r="S630" s="14"/>
      <c r="T630" s="14"/>
      <c r="U630" s="14"/>
      <c r="V630" s="14"/>
      <c r="W630" s="14"/>
      <c r="X630" s="1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G630" s="4"/>
      <c r="BH630" s="4"/>
    </row>
    <row r="631" spans="1:60" x14ac:dyDescent="0.35">
      <c r="A631" s="4"/>
      <c r="B631" s="8" t="str">
        <f t="shared" si="49"/>
        <v/>
      </c>
      <c r="D631" s="6" t="str">
        <f t="shared" si="50"/>
        <v/>
      </c>
      <c r="E631" s="6" t="str">
        <f t="shared" si="51"/>
        <v/>
      </c>
      <c r="F631" s="6" t="str">
        <f t="shared" si="52"/>
        <v/>
      </c>
      <c r="G631" s="4"/>
      <c r="H631" s="4"/>
      <c r="I631" s="4"/>
      <c r="J631" s="4"/>
      <c r="K631" s="4"/>
      <c r="L631" s="4"/>
      <c r="M631" s="4"/>
      <c r="N631" s="4"/>
      <c r="O631" s="4"/>
      <c r="P631" s="4"/>
      <c r="Q631" s="4"/>
      <c r="R631" s="14"/>
      <c r="S631" s="14"/>
      <c r="T631" s="14"/>
      <c r="U631" s="14"/>
      <c r="V631" s="14"/>
      <c r="W631" s="14"/>
      <c r="X631" s="1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G631" s="4"/>
      <c r="BH631" s="4"/>
    </row>
    <row r="632" spans="1:60" x14ac:dyDescent="0.35">
      <c r="A632" s="4"/>
      <c r="B632" s="8" t="str">
        <f t="shared" si="49"/>
        <v/>
      </c>
      <c r="D632" s="6" t="str">
        <f t="shared" si="50"/>
        <v/>
      </c>
      <c r="E632" s="6" t="str">
        <f t="shared" si="51"/>
        <v/>
      </c>
      <c r="F632" s="6" t="str">
        <f t="shared" si="52"/>
        <v/>
      </c>
      <c r="G632" s="4"/>
      <c r="H632" s="4"/>
      <c r="I632" s="4"/>
      <c r="J632" s="4"/>
      <c r="K632" s="4"/>
      <c r="L632" s="4"/>
      <c r="M632" s="4"/>
      <c r="N632" s="4"/>
      <c r="O632" s="4"/>
      <c r="P632" s="4"/>
      <c r="Q632" s="4"/>
      <c r="R632" s="14"/>
      <c r="S632" s="14"/>
      <c r="T632" s="14"/>
      <c r="U632" s="14"/>
      <c r="V632" s="14"/>
      <c r="W632" s="14"/>
      <c r="X632" s="1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G632" s="4"/>
      <c r="BH632" s="4"/>
    </row>
    <row r="633" spans="1:60" x14ac:dyDescent="0.35">
      <c r="A633" s="4"/>
      <c r="B633" s="8" t="str">
        <f t="shared" si="49"/>
        <v/>
      </c>
      <c r="D633" s="6" t="str">
        <f t="shared" si="50"/>
        <v/>
      </c>
      <c r="E633" s="6" t="str">
        <f t="shared" si="51"/>
        <v/>
      </c>
      <c r="F633" s="6" t="str">
        <f t="shared" si="52"/>
        <v/>
      </c>
      <c r="G633" s="4"/>
      <c r="H633" s="4"/>
      <c r="I633" s="4"/>
      <c r="J633" s="4"/>
      <c r="K633" s="4"/>
      <c r="L633" s="4"/>
      <c r="M633" s="4"/>
      <c r="N633" s="4"/>
      <c r="O633" s="4"/>
      <c r="P633" s="4"/>
      <c r="Q633" s="4"/>
      <c r="R633" s="14"/>
      <c r="S633" s="14"/>
      <c r="T633" s="14"/>
      <c r="U633" s="14"/>
      <c r="V633" s="14"/>
      <c r="W633" s="14"/>
      <c r="X633" s="1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G633" s="4"/>
      <c r="BH633" s="4"/>
    </row>
    <row r="634" spans="1:60" x14ac:dyDescent="0.35">
      <c r="A634" s="4"/>
      <c r="B634" s="8" t="str">
        <f t="shared" si="49"/>
        <v/>
      </c>
      <c r="D634" s="6" t="str">
        <f t="shared" si="50"/>
        <v/>
      </c>
      <c r="E634" s="6" t="str">
        <f t="shared" si="51"/>
        <v/>
      </c>
      <c r="F634" s="6" t="str">
        <f t="shared" si="52"/>
        <v/>
      </c>
      <c r="G634" s="4"/>
      <c r="H634" s="4"/>
      <c r="I634" s="4"/>
      <c r="J634" s="4"/>
      <c r="K634" s="4"/>
      <c r="L634" s="4"/>
      <c r="M634" s="4"/>
      <c r="N634" s="4"/>
      <c r="O634" s="4"/>
      <c r="P634" s="4"/>
      <c r="Q634" s="4"/>
      <c r="R634" s="14"/>
      <c r="S634" s="14"/>
      <c r="T634" s="14"/>
      <c r="U634" s="14"/>
      <c r="V634" s="14"/>
      <c r="W634" s="14"/>
      <c r="X634" s="1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G634" s="4"/>
      <c r="BH634" s="4"/>
    </row>
    <row r="635" spans="1:60" x14ac:dyDescent="0.35">
      <c r="A635" s="4"/>
      <c r="B635" s="8" t="str">
        <f t="shared" si="49"/>
        <v/>
      </c>
      <c r="D635" s="6" t="str">
        <f t="shared" si="50"/>
        <v/>
      </c>
      <c r="E635" s="6" t="str">
        <f t="shared" si="51"/>
        <v/>
      </c>
      <c r="F635" s="6" t="str">
        <f t="shared" si="52"/>
        <v/>
      </c>
      <c r="G635" s="4"/>
      <c r="H635" s="4"/>
      <c r="I635" s="4"/>
      <c r="J635" s="4"/>
      <c r="K635" s="4"/>
      <c r="L635" s="4"/>
      <c r="M635" s="4"/>
      <c r="N635" s="4"/>
      <c r="O635" s="4"/>
      <c r="P635" s="4"/>
      <c r="Q635" s="4"/>
      <c r="R635" s="14"/>
      <c r="S635" s="14"/>
      <c r="T635" s="14"/>
      <c r="U635" s="14"/>
      <c r="V635" s="14"/>
      <c r="W635" s="14"/>
      <c r="X635" s="1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G635" s="4"/>
      <c r="BH635" s="4"/>
    </row>
    <row r="636" spans="1:60" x14ac:dyDescent="0.35">
      <c r="A636" s="4"/>
      <c r="B636" s="8" t="str">
        <f t="shared" si="49"/>
        <v/>
      </c>
      <c r="D636" s="6" t="str">
        <f t="shared" si="50"/>
        <v/>
      </c>
      <c r="E636" s="6" t="str">
        <f t="shared" si="51"/>
        <v/>
      </c>
      <c r="F636" s="6" t="str">
        <f t="shared" si="52"/>
        <v/>
      </c>
      <c r="G636" s="4"/>
      <c r="H636" s="4"/>
      <c r="I636" s="4"/>
      <c r="J636" s="4"/>
      <c r="K636" s="4"/>
      <c r="L636" s="4"/>
      <c r="M636" s="4"/>
      <c r="N636" s="4"/>
      <c r="O636" s="4"/>
      <c r="P636" s="4"/>
      <c r="Q636" s="4"/>
      <c r="R636" s="14"/>
      <c r="S636" s="14"/>
      <c r="T636" s="14"/>
      <c r="U636" s="14"/>
      <c r="V636" s="14"/>
      <c r="W636" s="14"/>
      <c r="X636" s="1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G636" s="4"/>
      <c r="BH636" s="4"/>
    </row>
    <row r="637" spans="1:60" x14ac:dyDescent="0.35">
      <c r="A637" s="4"/>
      <c r="B637" s="8" t="str">
        <f t="shared" ref="B637:B684" si="53">RIGHT(A637,4)</f>
        <v/>
      </c>
      <c r="D637" s="6" t="str">
        <f t="shared" ref="D637:D700" si="54">IF(C637="","",VLOOKUP(C637,district_region,2,FALSE))</f>
        <v/>
      </c>
      <c r="E637" s="6" t="str">
        <f t="shared" ref="E637:E700" si="55">IF(C637="","",VLOOKUP(C637,liste_pop,3,FALSE))</f>
        <v/>
      </c>
      <c r="F637" s="6" t="str">
        <f t="shared" ref="F637:F700" si="56">IF(D637="","",IF(D637="Dakar",4042240,VLOOKUP(D637,liste_pop,4,FALSE)))</f>
        <v/>
      </c>
      <c r="G637" s="4"/>
      <c r="H637" s="4"/>
      <c r="I637" s="4"/>
      <c r="J637" s="4"/>
      <c r="K637" s="4"/>
      <c r="L637" s="4"/>
      <c r="M637" s="4"/>
      <c r="N637" s="4"/>
      <c r="O637" s="4"/>
      <c r="P637" s="4"/>
      <c r="Q637" s="4"/>
      <c r="R637" s="14"/>
      <c r="S637" s="14"/>
      <c r="T637" s="14"/>
      <c r="U637" s="14"/>
      <c r="V637" s="14"/>
      <c r="W637" s="14"/>
      <c r="X637" s="1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G637" s="4"/>
      <c r="BH637" s="4"/>
    </row>
    <row r="638" spans="1:60" x14ac:dyDescent="0.35">
      <c r="A638" s="4"/>
      <c r="B638" s="8" t="str">
        <f t="shared" si="53"/>
        <v/>
      </c>
      <c r="D638" s="6" t="str">
        <f t="shared" si="54"/>
        <v/>
      </c>
      <c r="E638" s="6" t="str">
        <f t="shared" si="55"/>
        <v/>
      </c>
      <c r="F638" s="6" t="str">
        <f t="shared" si="56"/>
        <v/>
      </c>
      <c r="G638" s="4"/>
      <c r="H638" s="4"/>
      <c r="I638" s="4"/>
      <c r="J638" s="4"/>
      <c r="K638" s="4"/>
      <c r="L638" s="4"/>
      <c r="M638" s="4"/>
      <c r="N638" s="4"/>
      <c r="O638" s="4"/>
      <c r="P638" s="4"/>
      <c r="Q638" s="4"/>
      <c r="R638" s="14"/>
      <c r="S638" s="14"/>
      <c r="T638" s="14"/>
      <c r="U638" s="14"/>
      <c r="V638" s="14"/>
      <c r="W638" s="14"/>
      <c r="X638" s="1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G638" s="4"/>
      <c r="BH638" s="4"/>
    </row>
    <row r="639" spans="1:60" x14ac:dyDescent="0.35">
      <c r="A639" s="4"/>
      <c r="B639" s="8" t="str">
        <f t="shared" si="53"/>
        <v/>
      </c>
      <c r="D639" s="6" t="str">
        <f t="shared" si="54"/>
        <v/>
      </c>
      <c r="E639" s="6" t="str">
        <f t="shared" si="55"/>
        <v/>
      </c>
      <c r="F639" s="6" t="str">
        <f t="shared" si="56"/>
        <v/>
      </c>
      <c r="G639" s="4"/>
      <c r="H639" s="4"/>
      <c r="I639" s="4"/>
      <c r="J639" s="4"/>
      <c r="K639" s="4"/>
      <c r="L639" s="4"/>
      <c r="M639" s="4"/>
      <c r="N639" s="4"/>
      <c r="O639" s="4"/>
      <c r="P639" s="4"/>
      <c r="Q639" s="4"/>
      <c r="R639" s="14"/>
      <c r="S639" s="14"/>
      <c r="T639" s="14"/>
      <c r="U639" s="14"/>
      <c r="V639" s="14"/>
      <c r="W639" s="14"/>
      <c r="X639" s="1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G639" s="4"/>
      <c r="BH639" s="4"/>
    </row>
    <row r="640" spans="1:60" x14ac:dyDescent="0.35">
      <c r="A640" s="4"/>
      <c r="B640" s="8" t="str">
        <f t="shared" si="53"/>
        <v/>
      </c>
      <c r="D640" s="6" t="str">
        <f t="shared" si="54"/>
        <v/>
      </c>
      <c r="E640" s="6" t="str">
        <f t="shared" si="55"/>
        <v/>
      </c>
      <c r="F640" s="6" t="str">
        <f t="shared" si="56"/>
        <v/>
      </c>
      <c r="G640" s="4"/>
      <c r="H640" s="4"/>
      <c r="I640" s="4"/>
      <c r="J640" s="4"/>
      <c r="K640" s="4"/>
      <c r="L640" s="4"/>
      <c r="M640" s="4"/>
      <c r="N640" s="4"/>
      <c r="O640" s="4"/>
      <c r="P640" s="4"/>
      <c r="Q640" s="4"/>
      <c r="R640" s="14"/>
      <c r="S640" s="14"/>
      <c r="T640" s="14"/>
      <c r="U640" s="14"/>
      <c r="V640" s="14"/>
      <c r="W640" s="14"/>
      <c r="X640" s="1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G640" s="4"/>
      <c r="BH640" s="4"/>
    </row>
    <row r="641" spans="1:60" x14ac:dyDescent="0.35">
      <c r="A641" s="4"/>
      <c r="B641" s="8" t="str">
        <f t="shared" si="53"/>
        <v/>
      </c>
      <c r="D641" s="6" t="str">
        <f t="shared" si="54"/>
        <v/>
      </c>
      <c r="E641" s="6" t="str">
        <f t="shared" si="55"/>
        <v/>
      </c>
      <c r="F641" s="6" t="str">
        <f t="shared" si="56"/>
        <v/>
      </c>
      <c r="G641" s="4"/>
      <c r="H641" s="4"/>
      <c r="I641" s="4"/>
      <c r="J641" s="4"/>
      <c r="K641" s="4"/>
      <c r="L641" s="4"/>
      <c r="M641" s="4"/>
      <c r="N641" s="4"/>
      <c r="O641" s="4"/>
      <c r="P641" s="4"/>
      <c r="Q641" s="4"/>
      <c r="R641" s="14"/>
      <c r="S641" s="14"/>
      <c r="T641" s="14"/>
      <c r="U641" s="14"/>
      <c r="V641" s="14"/>
      <c r="W641" s="14"/>
      <c r="X641" s="1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G641" s="4"/>
      <c r="BH641" s="4"/>
    </row>
    <row r="642" spans="1:60" x14ac:dyDescent="0.35">
      <c r="A642" s="4"/>
      <c r="B642" s="8" t="str">
        <f t="shared" si="53"/>
        <v/>
      </c>
      <c r="D642" s="6" t="str">
        <f t="shared" si="54"/>
        <v/>
      </c>
      <c r="E642" s="6" t="str">
        <f t="shared" si="55"/>
        <v/>
      </c>
      <c r="F642" s="6" t="str">
        <f t="shared" si="56"/>
        <v/>
      </c>
      <c r="G642" s="4"/>
      <c r="H642" s="4"/>
      <c r="I642" s="4"/>
      <c r="J642" s="4"/>
      <c r="K642" s="4"/>
      <c r="L642" s="4"/>
      <c r="M642" s="4"/>
      <c r="N642" s="4"/>
      <c r="O642" s="4"/>
      <c r="P642" s="4"/>
      <c r="Q642" s="4"/>
      <c r="R642" s="14"/>
      <c r="S642" s="14"/>
      <c r="T642" s="14"/>
      <c r="U642" s="14"/>
      <c r="V642" s="14"/>
      <c r="W642" s="14"/>
      <c r="X642" s="1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G642" s="4"/>
      <c r="BH642" s="4"/>
    </row>
    <row r="643" spans="1:60" x14ac:dyDescent="0.35">
      <c r="A643" s="4"/>
      <c r="B643" s="8" t="str">
        <f t="shared" si="53"/>
        <v/>
      </c>
      <c r="D643" s="6" t="str">
        <f t="shared" si="54"/>
        <v/>
      </c>
      <c r="E643" s="6" t="str">
        <f t="shared" si="55"/>
        <v/>
      </c>
      <c r="F643" s="6" t="str">
        <f t="shared" si="56"/>
        <v/>
      </c>
      <c r="G643" s="4"/>
      <c r="H643" s="4"/>
      <c r="I643" s="4"/>
      <c r="J643" s="4"/>
      <c r="K643" s="4"/>
      <c r="L643" s="4"/>
      <c r="M643" s="4"/>
      <c r="N643" s="4"/>
      <c r="O643" s="4"/>
      <c r="P643" s="4"/>
      <c r="Q643" s="4"/>
      <c r="R643" s="14"/>
      <c r="S643" s="14"/>
      <c r="T643" s="14"/>
      <c r="U643" s="14"/>
      <c r="V643" s="14"/>
      <c r="W643" s="14"/>
      <c r="X643" s="1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G643" s="4"/>
      <c r="BH643" s="4"/>
    </row>
    <row r="644" spans="1:60" x14ac:dyDescent="0.35">
      <c r="A644" s="4"/>
      <c r="B644" s="8" t="str">
        <f t="shared" si="53"/>
        <v/>
      </c>
      <c r="D644" s="6" t="str">
        <f t="shared" si="54"/>
        <v/>
      </c>
      <c r="E644" s="6" t="str">
        <f t="shared" si="55"/>
        <v/>
      </c>
      <c r="F644" s="6" t="str">
        <f t="shared" si="56"/>
        <v/>
      </c>
      <c r="G644" s="4"/>
      <c r="H644" s="4"/>
      <c r="I644" s="4"/>
      <c r="J644" s="4"/>
      <c r="K644" s="4"/>
      <c r="L644" s="4"/>
      <c r="M644" s="4"/>
      <c r="N644" s="4"/>
      <c r="O644" s="4"/>
      <c r="P644" s="4"/>
      <c r="Q644" s="4"/>
      <c r="R644" s="14"/>
      <c r="S644" s="14"/>
      <c r="T644" s="14"/>
      <c r="U644" s="14"/>
      <c r="V644" s="14"/>
      <c r="W644" s="14"/>
      <c r="X644" s="1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G644" s="4"/>
      <c r="BH644" s="4"/>
    </row>
    <row r="645" spans="1:60" x14ac:dyDescent="0.35">
      <c r="A645" s="4"/>
      <c r="B645" s="8" t="str">
        <f t="shared" si="53"/>
        <v/>
      </c>
      <c r="D645" s="6" t="str">
        <f t="shared" si="54"/>
        <v/>
      </c>
      <c r="E645" s="6" t="str">
        <f t="shared" si="55"/>
        <v/>
      </c>
      <c r="F645" s="6" t="str">
        <f t="shared" si="56"/>
        <v/>
      </c>
      <c r="G645" s="4"/>
      <c r="H645" s="4"/>
      <c r="I645" s="4"/>
      <c r="J645" s="4"/>
      <c r="K645" s="4"/>
      <c r="L645" s="4"/>
      <c r="M645" s="4"/>
      <c r="N645" s="4"/>
      <c r="O645" s="4"/>
      <c r="P645" s="4"/>
      <c r="Q645" s="4"/>
      <c r="R645" s="14"/>
      <c r="S645" s="14"/>
      <c r="T645" s="14"/>
      <c r="U645" s="14"/>
      <c r="V645" s="14"/>
      <c r="W645" s="14"/>
      <c r="X645" s="1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G645" s="4"/>
      <c r="BH645" s="4"/>
    </row>
    <row r="646" spans="1:60" x14ac:dyDescent="0.35">
      <c r="A646" s="4"/>
      <c r="B646" s="8" t="str">
        <f t="shared" si="53"/>
        <v/>
      </c>
      <c r="D646" s="6" t="str">
        <f t="shared" si="54"/>
        <v/>
      </c>
      <c r="E646" s="6" t="str">
        <f t="shared" si="55"/>
        <v/>
      </c>
      <c r="F646" s="6" t="str">
        <f t="shared" si="56"/>
        <v/>
      </c>
      <c r="G646" s="4"/>
      <c r="H646" s="4"/>
      <c r="I646" s="4"/>
      <c r="J646" s="4"/>
      <c r="K646" s="4"/>
      <c r="L646" s="4"/>
      <c r="M646" s="4"/>
      <c r="N646" s="4"/>
      <c r="O646" s="4"/>
      <c r="P646" s="4"/>
      <c r="Q646" s="4"/>
      <c r="R646" s="14"/>
      <c r="S646" s="14"/>
      <c r="T646" s="14"/>
      <c r="U646" s="14"/>
      <c r="V646" s="14"/>
      <c r="W646" s="14"/>
      <c r="X646" s="1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G646" s="4"/>
      <c r="BH646" s="4"/>
    </row>
    <row r="647" spans="1:60" x14ac:dyDescent="0.35">
      <c r="A647" s="4"/>
      <c r="B647" s="8" t="str">
        <f t="shared" si="53"/>
        <v/>
      </c>
      <c r="D647" s="6" t="str">
        <f t="shared" si="54"/>
        <v/>
      </c>
      <c r="E647" s="6" t="str">
        <f t="shared" si="55"/>
        <v/>
      </c>
      <c r="F647" s="6" t="str">
        <f t="shared" si="56"/>
        <v/>
      </c>
      <c r="G647" s="4"/>
      <c r="H647" s="4"/>
      <c r="I647" s="4"/>
      <c r="J647" s="4"/>
      <c r="K647" s="4"/>
      <c r="L647" s="4"/>
      <c r="M647" s="4"/>
      <c r="N647" s="4"/>
      <c r="O647" s="4"/>
      <c r="P647" s="4"/>
      <c r="Q647" s="4"/>
      <c r="R647" s="14"/>
      <c r="S647" s="14"/>
      <c r="T647" s="14"/>
      <c r="U647" s="14"/>
      <c r="V647" s="14"/>
      <c r="W647" s="14"/>
      <c r="X647" s="1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G647" s="4"/>
      <c r="BH647" s="4"/>
    </row>
    <row r="648" spans="1:60" x14ac:dyDescent="0.35">
      <c r="A648" s="4"/>
      <c r="B648" s="8" t="str">
        <f t="shared" si="53"/>
        <v/>
      </c>
      <c r="D648" s="6" t="str">
        <f t="shared" si="54"/>
        <v/>
      </c>
      <c r="E648" s="6" t="str">
        <f t="shared" si="55"/>
        <v/>
      </c>
      <c r="F648" s="6" t="str">
        <f t="shared" si="56"/>
        <v/>
      </c>
      <c r="G648" s="4"/>
      <c r="H648" s="4"/>
      <c r="I648" s="4"/>
      <c r="J648" s="4"/>
      <c r="K648" s="4"/>
      <c r="L648" s="4"/>
      <c r="M648" s="4"/>
      <c r="N648" s="4"/>
      <c r="O648" s="4"/>
      <c r="P648" s="4"/>
      <c r="Q648" s="4"/>
      <c r="R648" s="14"/>
      <c r="S648" s="14"/>
      <c r="T648" s="14"/>
      <c r="U648" s="14"/>
      <c r="V648" s="14"/>
      <c r="W648" s="14"/>
      <c r="X648" s="1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G648" s="4"/>
      <c r="BH648" s="4"/>
    </row>
    <row r="649" spans="1:60" x14ac:dyDescent="0.35">
      <c r="A649" s="4"/>
      <c r="B649" s="8" t="str">
        <f t="shared" si="53"/>
        <v/>
      </c>
      <c r="D649" s="6" t="str">
        <f t="shared" si="54"/>
        <v/>
      </c>
      <c r="E649" s="6" t="str">
        <f t="shared" si="55"/>
        <v/>
      </c>
      <c r="F649" s="6" t="str">
        <f t="shared" si="56"/>
        <v/>
      </c>
      <c r="G649" s="4"/>
      <c r="H649" s="4"/>
      <c r="I649" s="4"/>
      <c r="J649" s="4"/>
      <c r="K649" s="4"/>
      <c r="L649" s="4"/>
      <c r="M649" s="4"/>
      <c r="N649" s="4"/>
      <c r="O649" s="4"/>
      <c r="P649" s="4"/>
      <c r="Q649" s="4"/>
      <c r="R649" s="14"/>
      <c r="S649" s="14"/>
      <c r="T649" s="14"/>
      <c r="U649" s="14"/>
      <c r="V649" s="14"/>
      <c r="W649" s="14"/>
      <c r="X649" s="1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G649" s="4"/>
      <c r="BH649" s="4"/>
    </row>
    <row r="650" spans="1:60" x14ac:dyDescent="0.35">
      <c r="A650" s="4"/>
      <c r="B650" s="8" t="str">
        <f t="shared" si="53"/>
        <v/>
      </c>
      <c r="D650" s="6" t="str">
        <f t="shared" si="54"/>
        <v/>
      </c>
      <c r="E650" s="6" t="str">
        <f t="shared" si="55"/>
        <v/>
      </c>
      <c r="F650" s="6" t="str">
        <f t="shared" si="56"/>
        <v/>
      </c>
      <c r="G650" s="4"/>
      <c r="H650" s="4"/>
      <c r="I650" s="4"/>
      <c r="J650" s="4"/>
      <c r="K650" s="4"/>
      <c r="L650" s="4"/>
      <c r="M650" s="4"/>
      <c r="N650" s="4"/>
      <c r="O650" s="4"/>
      <c r="P650" s="4"/>
      <c r="Q650" s="4"/>
      <c r="R650" s="14"/>
      <c r="S650" s="14"/>
      <c r="T650" s="14"/>
      <c r="U650" s="14"/>
      <c r="V650" s="14"/>
      <c r="W650" s="14"/>
      <c r="X650" s="1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G650" s="4"/>
      <c r="BH650" s="4"/>
    </row>
    <row r="651" spans="1:60" x14ac:dyDescent="0.35">
      <c r="A651" s="4"/>
      <c r="B651" s="8" t="str">
        <f t="shared" si="53"/>
        <v/>
      </c>
      <c r="D651" s="6" t="str">
        <f t="shared" si="54"/>
        <v/>
      </c>
      <c r="E651" s="6" t="str">
        <f t="shared" si="55"/>
        <v/>
      </c>
      <c r="F651" s="6" t="str">
        <f t="shared" si="56"/>
        <v/>
      </c>
      <c r="G651" s="4"/>
      <c r="H651" s="4"/>
      <c r="I651" s="4"/>
      <c r="J651" s="4"/>
      <c r="K651" s="4"/>
      <c r="L651" s="4"/>
      <c r="M651" s="4"/>
      <c r="N651" s="4"/>
      <c r="O651" s="4"/>
      <c r="P651" s="4"/>
      <c r="Q651" s="4"/>
      <c r="R651" s="14"/>
      <c r="S651" s="14"/>
      <c r="T651" s="14"/>
      <c r="U651" s="14"/>
      <c r="V651" s="14"/>
      <c r="W651" s="14"/>
      <c r="X651" s="1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G651" s="4"/>
      <c r="BH651" s="4"/>
    </row>
    <row r="652" spans="1:60" x14ac:dyDescent="0.35">
      <c r="A652" s="4"/>
      <c r="B652" s="8" t="str">
        <f t="shared" si="53"/>
        <v/>
      </c>
      <c r="D652" s="6" t="str">
        <f t="shared" si="54"/>
        <v/>
      </c>
      <c r="E652" s="6" t="str">
        <f t="shared" si="55"/>
        <v/>
      </c>
      <c r="F652" s="6" t="str">
        <f t="shared" si="56"/>
        <v/>
      </c>
      <c r="G652" s="4"/>
      <c r="H652" s="4"/>
      <c r="I652" s="4"/>
      <c r="J652" s="4"/>
      <c r="K652" s="4"/>
      <c r="L652" s="4"/>
      <c r="M652" s="4"/>
      <c r="N652" s="4"/>
      <c r="O652" s="4"/>
      <c r="P652" s="4"/>
      <c r="Q652" s="4"/>
      <c r="R652" s="14"/>
      <c r="S652" s="14"/>
      <c r="T652" s="14"/>
      <c r="U652" s="14"/>
      <c r="V652" s="14"/>
      <c r="W652" s="14"/>
      <c r="X652" s="1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G652" s="4"/>
      <c r="BH652" s="4"/>
    </row>
    <row r="653" spans="1:60" x14ac:dyDescent="0.35">
      <c r="A653" s="4"/>
      <c r="B653" s="8" t="str">
        <f t="shared" si="53"/>
        <v/>
      </c>
      <c r="D653" s="6" t="str">
        <f t="shared" si="54"/>
        <v/>
      </c>
      <c r="E653" s="6" t="str">
        <f t="shared" si="55"/>
        <v/>
      </c>
      <c r="F653" s="6" t="str">
        <f t="shared" si="56"/>
        <v/>
      </c>
      <c r="G653" s="4"/>
      <c r="H653" s="4"/>
      <c r="I653" s="4"/>
      <c r="J653" s="4"/>
      <c r="K653" s="4"/>
      <c r="L653" s="4"/>
      <c r="M653" s="4"/>
      <c r="N653" s="4"/>
      <c r="O653" s="4"/>
      <c r="P653" s="4"/>
      <c r="Q653" s="4"/>
      <c r="R653" s="14"/>
      <c r="S653" s="14"/>
      <c r="T653" s="14"/>
      <c r="U653" s="14"/>
      <c r="V653" s="14"/>
      <c r="W653" s="14"/>
      <c r="X653" s="1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G653" s="4"/>
      <c r="BH653" s="4"/>
    </row>
    <row r="654" spans="1:60" x14ac:dyDescent="0.35">
      <c r="A654" s="4"/>
      <c r="B654" s="8" t="str">
        <f t="shared" si="53"/>
        <v/>
      </c>
      <c r="D654" s="6" t="str">
        <f t="shared" si="54"/>
        <v/>
      </c>
      <c r="E654" s="6" t="str">
        <f t="shared" si="55"/>
        <v/>
      </c>
      <c r="F654" s="6" t="str">
        <f t="shared" si="56"/>
        <v/>
      </c>
      <c r="G654" s="4"/>
      <c r="H654" s="4"/>
      <c r="I654" s="4"/>
      <c r="J654" s="4"/>
      <c r="K654" s="4"/>
      <c r="L654" s="4"/>
      <c r="M654" s="4"/>
      <c r="N654" s="4"/>
      <c r="O654" s="4"/>
      <c r="P654" s="4"/>
      <c r="Q654" s="4"/>
      <c r="R654" s="14"/>
      <c r="S654" s="14"/>
      <c r="T654" s="14"/>
      <c r="U654" s="14"/>
      <c r="V654" s="14"/>
      <c r="W654" s="14"/>
      <c r="X654" s="1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G654" s="4"/>
      <c r="BH654" s="4"/>
    </row>
    <row r="655" spans="1:60" x14ac:dyDescent="0.35">
      <c r="A655" s="4"/>
      <c r="B655" s="8" t="str">
        <f t="shared" si="53"/>
        <v/>
      </c>
      <c r="D655" s="6" t="str">
        <f t="shared" si="54"/>
        <v/>
      </c>
      <c r="E655" s="6" t="str">
        <f t="shared" si="55"/>
        <v/>
      </c>
      <c r="F655" s="6" t="str">
        <f t="shared" si="56"/>
        <v/>
      </c>
      <c r="G655" s="4"/>
      <c r="H655" s="4"/>
      <c r="I655" s="4"/>
      <c r="J655" s="4"/>
      <c r="K655" s="4"/>
      <c r="L655" s="4"/>
      <c r="M655" s="4"/>
      <c r="N655" s="4"/>
      <c r="O655" s="4"/>
      <c r="P655" s="4"/>
      <c r="Q655" s="4"/>
      <c r="R655" s="14"/>
      <c r="S655" s="14"/>
      <c r="T655" s="14"/>
      <c r="U655" s="14"/>
      <c r="V655" s="14"/>
      <c r="W655" s="14"/>
      <c r="X655" s="1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G655" s="4"/>
      <c r="BH655" s="4"/>
    </row>
    <row r="656" spans="1:60" x14ac:dyDescent="0.35">
      <c r="A656" s="4"/>
      <c r="B656" s="8" t="str">
        <f t="shared" si="53"/>
        <v/>
      </c>
      <c r="D656" s="6" t="str">
        <f t="shared" si="54"/>
        <v/>
      </c>
      <c r="E656" s="6" t="str">
        <f t="shared" si="55"/>
        <v/>
      </c>
      <c r="F656" s="6" t="str">
        <f t="shared" si="56"/>
        <v/>
      </c>
      <c r="G656" s="4"/>
      <c r="H656" s="4"/>
      <c r="I656" s="4"/>
      <c r="J656" s="4"/>
      <c r="K656" s="4"/>
      <c r="L656" s="4"/>
      <c r="M656" s="4"/>
      <c r="N656" s="4"/>
      <c r="O656" s="4"/>
      <c r="P656" s="4"/>
      <c r="Q656" s="4"/>
      <c r="R656" s="14"/>
      <c r="S656" s="14"/>
      <c r="T656" s="14"/>
      <c r="U656" s="14"/>
      <c r="V656" s="14"/>
      <c r="W656" s="14"/>
      <c r="X656" s="1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G656" s="4"/>
      <c r="BH656" s="4"/>
    </row>
    <row r="657" spans="1:60" x14ac:dyDescent="0.35">
      <c r="A657" s="4"/>
      <c r="B657" s="8" t="str">
        <f t="shared" si="53"/>
        <v/>
      </c>
      <c r="D657" s="6" t="str">
        <f t="shared" si="54"/>
        <v/>
      </c>
      <c r="E657" s="6" t="str">
        <f t="shared" si="55"/>
        <v/>
      </c>
      <c r="F657" s="6" t="str">
        <f t="shared" si="56"/>
        <v/>
      </c>
      <c r="G657" s="4"/>
      <c r="H657" s="4"/>
      <c r="I657" s="4"/>
      <c r="J657" s="4"/>
      <c r="K657" s="4"/>
      <c r="L657" s="4"/>
      <c r="M657" s="4"/>
      <c r="N657" s="4"/>
      <c r="O657" s="4"/>
      <c r="P657" s="4"/>
      <c r="Q657" s="4"/>
      <c r="R657" s="14"/>
      <c r="S657" s="14"/>
      <c r="T657" s="14"/>
      <c r="U657" s="14"/>
      <c r="V657" s="14"/>
      <c r="W657" s="14"/>
      <c r="X657" s="1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G657" s="4"/>
      <c r="BH657" s="4"/>
    </row>
    <row r="658" spans="1:60" x14ac:dyDescent="0.35">
      <c r="A658" s="4"/>
      <c r="B658" s="8" t="str">
        <f t="shared" si="53"/>
        <v/>
      </c>
      <c r="D658" s="6" t="str">
        <f t="shared" si="54"/>
        <v/>
      </c>
      <c r="E658" s="6" t="str">
        <f t="shared" si="55"/>
        <v/>
      </c>
      <c r="F658" s="6" t="str">
        <f t="shared" si="56"/>
        <v/>
      </c>
      <c r="G658" s="4"/>
      <c r="H658" s="4"/>
      <c r="I658" s="4"/>
      <c r="J658" s="4"/>
      <c r="K658" s="4"/>
      <c r="L658" s="4"/>
      <c r="M658" s="4"/>
      <c r="N658" s="4"/>
      <c r="O658" s="4"/>
      <c r="P658" s="4"/>
      <c r="Q658" s="4"/>
      <c r="R658" s="14"/>
      <c r="S658" s="14"/>
      <c r="T658" s="14"/>
      <c r="U658" s="14"/>
      <c r="V658" s="14"/>
      <c r="W658" s="14"/>
      <c r="X658" s="1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G658" s="4"/>
      <c r="BH658" s="4"/>
    </row>
    <row r="659" spans="1:60" x14ac:dyDescent="0.35">
      <c r="A659" s="4"/>
      <c r="B659" s="8" t="str">
        <f t="shared" si="53"/>
        <v/>
      </c>
      <c r="D659" s="6" t="str">
        <f t="shared" si="54"/>
        <v/>
      </c>
      <c r="E659" s="6" t="str">
        <f t="shared" si="55"/>
        <v/>
      </c>
      <c r="F659" s="6" t="str">
        <f t="shared" si="56"/>
        <v/>
      </c>
      <c r="G659" s="4"/>
      <c r="H659" s="4"/>
      <c r="I659" s="4"/>
      <c r="J659" s="4"/>
      <c r="K659" s="4"/>
      <c r="L659" s="4"/>
      <c r="M659" s="4"/>
      <c r="N659" s="4"/>
      <c r="O659" s="4"/>
      <c r="P659" s="4"/>
      <c r="Q659" s="4"/>
      <c r="R659" s="14"/>
      <c r="S659" s="14"/>
      <c r="T659" s="14"/>
      <c r="U659" s="14"/>
      <c r="V659" s="14"/>
      <c r="W659" s="14"/>
      <c r="X659" s="1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G659" s="4"/>
      <c r="BH659" s="4"/>
    </row>
    <row r="660" spans="1:60" x14ac:dyDescent="0.35">
      <c r="A660" s="4"/>
      <c r="B660" s="8" t="str">
        <f t="shared" si="53"/>
        <v/>
      </c>
      <c r="D660" s="6" t="str">
        <f t="shared" si="54"/>
        <v/>
      </c>
      <c r="E660" s="6" t="str">
        <f t="shared" si="55"/>
        <v/>
      </c>
      <c r="F660" s="6" t="str">
        <f t="shared" si="56"/>
        <v/>
      </c>
      <c r="G660" s="4"/>
      <c r="H660" s="4"/>
      <c r="I660" s="4"/>
      <c r="J660" s="4"/>
      <c r="K660" s="4"/>
      <c r="L660" s="4"/>
      <c r="M660" s="4"/>
      <c r="N660" s="4"/>
      <c r="O660" s="4"/>
      <c r="P660" s="4"/>
      <c r="Q660" s="4"/>
      <c r="R660" s="14"/>
      <c r="S660" s="14"/>
      <c r="T660" s="14"/>
      <c r="U660" s="14"/>
      <c r="V660" s="14"/>
      <c r="W660" s="14"/>
      <c r="X660" s="1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G660" s="4"/>
      <c r="BH660" s="4"/>
    </row>
    <row r="661" spans="1:60" x14ac:dyDescent="0.35">
      <c r="A661" s="4"/>
      <c r="B661" s="8" t="str">
        <f t="shared" si="53"/>
        <v/>
      </c>
      <c r="D661" s="6" t="str">
        <f t="shared" si="54"/>
        <v/>
      </c>
      <c r="E661" s="6" t="str">
        <f t="shared" si="55"/>
        <v/>
      </c>
      <c r="F661" s="6" t="str">
        <f t="shared" si="56"/>
        <v/>
      </c>
      <c r="G661" s="4"/>
      <c r="H661" s="4"/>
      <c r="I661" s="4"/>
      <c r="J661" s="4"/>
      <c r="K661" s="4"/>
      <c r="L661" s="4"/>
      <c r="M661" s="4"/>
      <c r="N661" s="4"/>
      <c r="O661" s="4"/>
      <c r="P661" s="4"/>
      <c r="Q661" s="4"/>
      <c r="R661" s="14"/>
      <c r="S661" s="14"/>
      <c r="T661" s="14"/>
      <c r="U661" s="14"/>
      <c r="V661" s="14"/>
      <c r="W661" s="14"/>
      <c r="X661" s="1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G661" s="4"/>
      <c r="BH661" s="4"/>
    </row>
    <row r="662" spans="1:60" x14ac:dyDescent="0.35">
      <c r="A662" s="4"/>
      <c r="B662" s="8" t="str">
        <f t="shared" si="53"/>
        <v/>
      </c>
      <c r="D662" s="6" t="str">
        <f t="shared" si="54"/>
        <v/>
      </c>
      <c r="E662" s="6" t="str">
        <f t="shared" si="55"/>
        <v/>
      </c>
      <c r="F662" s="6" t="str">
        <f t="shared" si="56"/>
        <v/>
      </c>
      <c r="G662" s="4"/>
      <c r="H662" s="4"/>
      <c r="I662" s="4"/>
      <c r="J662" s="4"/>
      <c r="K662" s="4"/>
      <c r="L662" s="4"/>
      <c r="M662" s="4"/>
      <c r="N662" s="4"/>
      <c r="O662" s="4"/>
      <c r="P662" s="4"/>
      <c r="Q662" s="4"/>
      <c r="R662" s="14"/>
      <c r="S662" s="14"/>
      <c r="T662" s="14"/>
      <c r="U662" s="14"/>
      <c r="V662" s="14"/>
      <c r="W662" s="14"/>
      <c r="X662" s="1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G662" s="4"/>
      <c r="BH662" s="4"/>
    </row>
    <row r="663" spans="1:60" x14ac:dyDescent="0.35">
      <c r="A663" s="4"/>
      <c r="B663" s="8" t="str">
        <f t="shared" si="53"/>
        <v/>
      </c>
      <c r="D663" s="6" t="str">
        <f t="shared" si="54"/>
        <v/>
      </c>
      <c r="E663" s="6" t="str">
        <f t="shared" si="55"/>
        <v/>
      </c>
      <c r="F663" s="6" t="str">
        <f t="shared" si="56"/>
        <v/>
      </c>
      <c r="G663" s="4"/>
      <c r="H663" s="4"/>
      <c r="I663" s="4"/>
      <c r="J663" s="4"/>
      <c r="K663" s="4"/>
      <c r="L663" s="4"/>
      <c r="M663" s="4"/>
      <c r="N663" s="4"/>
      <c r="O663" s="4"/>
      <c r="P663" s="4"/>
      <c r="Q663" s="4"/>
      <c r="R663" s="14"/>
      <c r="S663" s="14"/>
      <c r="T663" s="14"/>
      <c r="U663" s="14"/>
      <c r="V663" s="14"/>
      <c r="W663" s="14"/>
      <c r="X663" s="1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G663" s="4"/>
      <c r="BH663" s="4"/>
    </row>
    <row r="664" spans="1:60" x14ac:dyDescent="0.35">
      <c r="A664" s="4"/>
      <c r="B664" s="8" t="str">
        <f t="shared" si="53"/>
        <v/>
      </c>
      <c r="D664" s="6" t="str">
        <f t="shared" si="54"/>
        <v/>
      </c>
      <c r="E664" s="6" t="str">
        <f t="shared" si="55"/>
        <v/>
      </c>
      <c r="F664" s="6" t="str">
        <f t="shared" si="56"/>
        <v/>
      </c>
      <c r="G664" s="4"/>
      <c r="H664" s="4"/>
      <c r="I664" s="4"/>
      <c r="J664" s="4"/>
      <c r="K664" s="4"/>
      <c r="L664" s="4"/>
      <c r="M664" s="4"/>
      <c r="N664" s="4"/>
      <c r="O664" s="4"/>
      <c r="P664" s="4"/>
      <c r="Q664" s="4"/>
      <c r="R664" s="14"/>
      <c r="S664" s="14"/>
      <c r="T664" s="14"/>
      <c r="U664" s="14"/>
      <c r="V664" s="14"/>
      <c r="W664" s="14"/>
      <c r="X664" s="1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G664" s="4"/>
      <c r="BH664" s="4"/>
    </row>
    <row r="665" spans="1:60" x14ac:dyDescent="0.35">
      <c r="A665" s="4"/>
      <c r="B665" s="8" t="str">
        <f t="shared" si="53"/>
        <v/>
      </c>
      <c r="D665" s="6" t="str">
        <f t="shared" si="54"/>
        <v/>
      </c>
      <c r="E665" s="6" t="str">
        <f t="shared" si="55"/>
        <v/>
      </c>
      <c r="F665" s="6" t="str">
        <f t="shared" si="56"/>
        <v/>
      </c>
      <c r="G665" s="4"/>
      <c r="H665" s="4"/>
      <c r="I665" s="4"/>
      <c r="J665" s="4"/>
      <c r="K665" s="4"/>
      <c r="L665" s="4"/>
      <c r="M665" s="4"/>
      <c r="N665" s="4"/>
      <c r="O665" s="4"/>
      <c r="P665" s="4"/>
      <c r="Q665" s="4"/>
      <c r="R665" s="14"/>
      <c r="S665" s="14"/>
      <c r="T665" s="14"/>
      <c r="U665" s="14"/>
      <c r="V665" s="14"/>
      <c r="W665" s="14"/>
      <c r="X665" s="1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G665" s="4"/>
      <c r="BH665" s="4"/>
    </row>
    <row r="666" spans="1:60" x14ac:dyDescent="0.35">
      <c r="A666" s="4"/>
      <c r="B666" s="8" t="str">
        <f t="shared" si="53"/>
        <v/>
      </c>
      <c r="D666" s="6" t="str">
        <f t="shared" si="54"/>
        <v/>
      </c>
      <c r="E666" s="6" t="str">
        <f t="shared" si="55"/>
        <v/>
      </c>
      <c r="F666" s="6" t="str">
        <f t="shared" si="56"/>
        <v/>
      </c>
      <c r="G666" s="4"/>
      <c r="H666" s="4"/>
      <c r="I666" s="4"/>
      <c r="J666" s="4"/>
      <c r="K666" s="4"/>
      <c r="L666" s="4"/>
      <c r="M666" s="4"/>
      <c r="N666" s="4"/>
      <c r="O666" s="4"/>
      <c r="P666" s="4"/>
      <c r="Q666" s="4"/>
      <c r="R666" s="14"/>
      <c r="S666" s="14"/>
      <c r="T666" s="14"/>
      <c r="U666" s="14"/>
      <c r="V666" s="14"/>
      <c r="W666" s="14"/>
      <c r="X666" s="1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G666" s="4"/>
      <c r="BH666" s="4"/>
    </row>
    <row r="667" spans="1:60" x14ac:dyDescent="0.35">
      <c r="A667" s="4"/>
      <c r="B667" s="8" t="str">
        <f t="shared" si="53"/>
        <v/>
      </c>
      <c r="D667" s="6" t="str">
        <f t="shared" si="54"/>
        <v/>
      </c>
      <c r="E667" s="6" t="str">
        <f t="shared" si="55"/>
        <v/>
      </c>
      <c r="F667" s="6" t="str">
        <f t="shared" si="56"/>
        <v/>
      </c>
      <c r="G667" s="4"/>
      <c r="H667" s="4"/>
      <c r="I667" s="4"/>
      <c r="J667" s="4"/>
      <c r="K667" s="4"/>
      <c r="L667" s="4"/>
      <c r="M667" s="4"/>
      <c r="N667" s="4"/>
      <c r="O667" s="4"/>
      <c r="P667" s="4"/>
      <c r="Q667" s="4"/>
      <c r="R667" s="14"/>
      <c r="S667" s="14"/>
      <c r="T667" s="14"/>
      <c r="U667" s="14"/>
      <c r="V667" s="14"/>
      <c r="W667" s="14"/>
      <c r="X667" s="1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G667" s="4"/>
      <c r="BH667" s="4"/>
    </row>
    <row r="668" spans="1:60" x14ac:dyDescent="0.35">
      <c r="A668" s="4"/>
      <c r="B668" s="8" t="str">
        <f t="shared" si="53"/>
        <v/>
      </c>
      <c r="D668" s="6" t="str">
        <f t="shared" si="54"/>
        <v/>
      </c>
      <c r="E668" s="6" t="str">
        <f t="shared" si="55"/>
        <v/>
      </c>
      <c r="F668" s="6" t="str">
        <f t="shared" si="56"/>
        <v/>
      </c>
      <c r="G668" s="4"/>
      <c r="H668" s="4"/>
      <c r="I668" s="4"/>
      <c r="J668" s="4"/>
      <c r="K668" s="4"/>
      <c r="L668" s="4"/>
      <c r="M668" s="4"/>
      <c r="N668" s="4"/>
      <c r="O668" s="4"/>
      <c r="P668" s="4"/>
      <c r="Q668" s="4"/>
      <c r="R668" s="14"/>
      <c r="S668" s="14"/>
      <c r="T668" s="14"/>
      <c r="U668" s="14"/>
      <c r="V668" s="14"/>
      <c r="W668" s="14"/>
      <c r="X668" s="1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G668" s="4"/>
      <c r="BH668" s="4"/>
    </row>
    <row r="669" spans="1:60" x14ac:dyDescent="0.35">
      <c r="A669" s="4"/>
      <c r="B669" s="8" t="str">
        <f t="shared" si="53"/>
        <v/>
      </c>
      <c r="D669" s="6" t="str">
        <f t="shared" si="54"/>
        <v/>
      </c>
      <c r="E669" s="6" t="str">
        <f t="shared" si="55"/>
        <v/>
      </c>
      <c r="F669" s="6" t="str">
        <f t="shared" si="56"/>
        <v/>
      </c>
      <c r="G669" s="4"/>
      <c r="H669" s="4"/>
      <c r="I669" s="4"/>
      <c r="J669" s="4"/>
      <c r="K669" s="4"/>
      <c r="L669" s="4"/>
      <c r="M669" s="4"/>
      <c r="N669" s="4"/>
      <c r="O669" s="4"/>
      <c r="P669" s="4"/>
      <c r="Q669" s="4"/>
      <c r="R669" s="14"/>
      <c r="S669" s="14"/>
      <c r="T669" s="14"/>
      <c r="U669" s="14"/>
      <c r="V669" s="14"/>
      <c r="W669" s="14"/>
      <c r="X669" s="1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G669" s="4"/>
      <c r="BH669" s="4"/>
    </row>
    <row r="670" spans="1:60" x14ac:dyDescent="0.35">
      <c r="A670" s="4"/>
      <c r="B670" s="8" t="str">
        <f t="shared" si="53"/>
        <v/>
      </c>
      <c r="D670" s="6" t="str">
        <f t="shared" si="54"/>
        <v/>
      </c>
      <c r="E670" s="6" t="str">
        <f t="shared" si="55"/>
        <v/>
      </c>
      <c r="F670" s="6" t="str">
        <f t="shared" si="56"/>
        <v/>
      </c>
      <c r="G670" s="4"/>
      <c r="H670" s="4"/>
      <c r="I670" s="4"/>
      <c r="J670" s="4"/>
      <c r="K670" s="4"/>
      <c r="L670" s="4"/>
      <c r="M670" s="4"/>
      <c r="N670" s="4"/>
      <c r="O670" s="4"/>
      <c r="P670" s="4"/>
      <c r="Q670" s="4"/>
      <c r="R670" s="14"/>
      <c r="S670" s="14"/>
      <c r="T670" s="14"/>
      <c r="U670" s="14"/>
      <c r="V670" s="14"/>
      <c r="W670" s="14"/>
      <c r="X670" s="1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G670" s="4"/>
      <c r="BH670" s="4"/>
    </row>
    <row r="671" spans="1:60" x14ac:dyDescent="0.35">
      <c r="A671" s="4"/>
      <c r="B671" s="8" t="str">
        <f t="shared" si="53"/>
        <v/>
      </c>
      <c r="D671" s="6" t="str">
        <f t="shared" si="54"/>
        <v/>
      </c>
      <c r="E671" s="6" t="str">
        <f t="shared" si="55"/>
        <v/>
      </c>
      <c r="F671" s="6" t="str">
        <f t="shared" si="56"/>
        <v/>
      </c>
      <c r="G671" s="4"/>
      <c r="H671" s="4"/>
      <c r="I671" s="4"/>
      <c r="J671" s="4"/>
      <c r="K671" s="4"/>
      <c r="L671" s="4"/>
      <c r="M671" s="4"/>
      <c r="N671" s="4"/>
      <c r="O671" s="4"/>
      <c r="P671" s="4"/>
      <c r="Q671" s="4"/>
      <c r="R671" s="14"/>
      <c r="S671" s="14"/>
      <c r="T671" s="14"/>
      <c r="U671" s="14"/>
      <c r="V671" s="14"/>
      <c r="W671" s="14"/>
      <c r="X671" s="1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G671" s="4"/>
      <c r="BH671" s="4"/>
    </row>
    <row r="672" spans="1:60" x14ac:dyDescent="0.35">
      <c r="A672" s="4"/>
      <c r="B672" s="8" t="str">
        <f t="shared" si="53"/>
        <v/>
      </c>
      <c r="D672" s="6" t="str">
        <f t="shared" si="54"/>
        <v/>
      </c>
      <c r="E672" s="6" t="str">
        <f t="shared" si="55"/>
        <v/>
      </c>
      <c r="F672" s="6" t="str">
        <f t="shared" si="56"/>
        <v/>
      </c>
      <c r="G672" s="4"/>
      <c r="H672" s="4"/>
      <c r="I672" s="4"/>
      <c r="J672" s="4"/>
      <c r="K672" s="4"/>
      <c r="L672" s="4"/>
      <c r="M672" s="4"/>
      <c r="N672" s="4"/>
      <c r="O672" s="4"/>
      <c r="P672" s="4"/>
      <c r="Q672" s="4"/>
      <c r="R672" s="14"/>
      <c r="S672" s="14"/>
      <c r="T672" s="14"/>
      <c r="U672" s="14"/>
      <c r="V672" s="14"/>
      <c r="W672" s="14"/>
      <c r="X672" s="1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G672" s="4"/>
      <c r="BH672" s="4"/>
    </row>
    <row r="673" spans="1:60" x14ac:dyDescent="0.35">
      <c r="A673" s="4"/>
      <c r="B673" s="8" t="str">
        <f t="shared" si="53"/>
        <v/>
      </c>
      <c r="D673" s="6" t="str">
        <f t="shared" si="54"/>
        <v/>
      </c>
      <c r="E673" s="6" t="str">
        <f t="shared" si="55"/>
        <v/>
      </c>
      <c r="F673" s="6" t="str">
        <f t="shared" si="56"/>
        <v/>
      </c>
      <c r="G673" s="4"/>
      <c r="H673" s="4"/>
      <c r="I673" s="4"/>
      <c r="J673" s="4"/>
      <c r="K673" s="4"/>
      <c r="L673" s="4"/>
      <c r="M673" s="4"/>
      <c r="N673" s="4"/>
      <c r="O673" s="4"/>
      <c r="P673" s="4"/>
      <c r="Q673" s="4"/>
      <c r="R673" s="14"/>
      <c r="S673" s="14"/>
      <c r="T673" s="14"/>
      <c r="U673" s="14"/>
      <c r="V673" s="14"/>
      <c r="W673" s="14"/>
      <c r="X673" s="1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G673" s="4"/>
      <c r="BH673" s="4"/>
    </row>
    <row r="674" spans="1:60" x14ac:dyDescent="0.35">
      <c r="A674" s="4"/>
      <c r="B674" s="8" t="str">
        <f t="shared" si="53"/>
        <v/>
      </c>
      <c r="D674" s="6" t="str">
        <f t="shared" si="54"/>
        <v/>
      </c>
      <c r="E674" s="6" t="str">
        <f t="shared" si="55"/>
        <v/>
      </c>
      <c r="F674" s="6" t="str">
        <f t="shared" si="56"/>
        <v/>
      </c>
      <c r="G674" s="4"/>
      <c r="H674" s="4"/>
      <c r="I674" s="4"/>
      <c r="J674" s="4"/>
      <c r="K674" s="4"/>
      <c r="L674" s="4"/>
      <c r="M674" s="4"/>
      <c r="N674" s="4"/>
      <c r="O674" s="4"/>
      <c r="P674" s="4"/>
      <c r="Q674" s="4"/>
      <c r="R674" s="14"/>
      <c r="S674" s="14"/>
      <c r="T674" s="14"/>
      <c r="U674" s="14"/>
      <c r="V674" s="14"/>
      <c r="W674" s="14"/>
      <c r="X674" s="1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G674" s="4"/>
      <c r="BH674" s="4"/>
    </row>
    <row r="675" spans="1:60" x14ac:dyDescent="0.35">
      <c r="A675" s="4"/>
      <c r="B675" s="8" t="str">
        <f t="shared" si="53"/>
        <v/>
      </c>
      <c r="D675" s="6" t="str">
        <f t="shared" si="54"/>
        <v/>
      </c>
      <c r="E675" s="6" t="str">
        <f t="shared" si="55"/>
        <v/>
      </c>
      <c r="F675" s="6" t="str">
        <f t="shared" si="56"/>
        <v/>
      </c>
      <c r="G675" s="4"/>
      <c r="H675" s="4"/>
      <c r="I675" s="4"/>
      <c r="J675" s="4"/>
      <c r="K675" s="4"/>
      <c r="L675" s="4"/>
      <c r="M675" s="4"/>
      <c r="N675" s="4"/>
      <c r="O675" s="4"/>
      <c r="P675" s="4"/>
      <c r="Q675" s="4"/>
      <c r="R675" s="14"/>
      <c r="S675" s="14"/>
      <c r="T675" s="14"/>
      <c r="U675" s="14"/>
      <c r="V675" s="14"/>
      <c r="W675" s="14"/>
      <c r="X675" s="1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G675" s="4"/>
      <c r="BH675" s="4"/>
    </row>
    <row r="676" spans="1:60" x14ac:dyDescent="0.35">
      <c r="A676" s="4"/>
      <c r="B676" s="8" t="str">
        <f t="shared" si="53"/>
        <v/>
      </c>
      <c r="D676" s="6" t="str">
        <f t="shared" si="54"/>
        <v/>
      </c>
      <c r="E676" s="6" t="str">
        <f t="shared" si="55"/>
        <v/>
      </c>
      <c r="F676" s="6" t="str">
        <f t="shared" si="56"/>
        <v/>
      </c>
      <c r="G676" s="4"/>
      <c r="H676" s="4"/>
      <c r="I676" s="4"/>
      <c r="J676" s="4"/>
      <c r="K676" s="4"/>
      <c r="L676" s="4"/>
      <c r="M676" s="4"/>
      <c r="N676" s="4"/>
      <c r="O676" s="4"/>
      <c r="P676" s="4"/>
      <c r="Q676" s="4"/>
      <c r="R676" s="14"/>
      <c r="S676" s="14"/>
      <c r="T676" s="14"/>
      <c r="U676" s="14"/>
      <c r="V676" s="14"/>
      <c r="W676" s="14"/>
      <c r="X676" s="1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G676" s="4"/>
      <c r="BH676" s="4"/>
    </row>
    <row r="677" spans="1:60" x14ac:dyDescent="0.35">
      <c r="A677" s="4"/>
      <c r="B677" s="8" t="str">
        <f t="shared" si="53"/>
        <v/>
      </c>
      <c r="D677" s="6" t="str">
        <f t="shared" si="54"/>
        <v/>
      </c>
      <c r="E677" s="6" t="str">
        <f t="shared" si="55"/>
        <v/>
      </c>
      <c r="F677" s="6" t="str">
        <f t="shared" si="56"/>
        <v/>
      </c>
      <c r="G677" s="4"/>
      <c r="H677" s="4"/>
      <c r="I677" s="4"/>
      <c r="J677" s="4"/>
      <c r="K677" s="4"/>
      <c r="L677" s="4"/>
      <c r="M677" s="4"/>
      <c r="N677" s="4"/>
      <c r="O677" s="4"/>
      <c r="P677" s="4"/>
      <c r="Q677" s="4"/>
      <c r="R677" s="14"/>
      <c r="S677" s="14"/>
      <c r="T677" s="14"/>
      <c r="U677" s="14"/>
      <c r="V677" s="14"/>
      <c r="W677" s="14"/>
      <c r="X677" s="1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G677" s="4"/>
      <c r="BH677" s="4"/>
    </row>
    <row r="678" spans="1:60" x14ac:dyDescent="0.35">
      <c r="A678" s="4"/>
      <c r="B678" s="8" t="str">
        <f t="shared" si="53"/>
        <v/>
      </c>
      <c r="D678" s="6" t="str">
        <f t="shared" si="54"/>
        <v/>
      </c>
      <c r="E678" s="6" t="str">
        <f t="shared" si="55"/>
        <v/>
      </c>
      <c r="F678" s="6" t="str">
        <f t="shared" si="56"/>
        <v/>
      </c>
      <c r="G678" s="4"/>
      <c r="H678" s="4"/>
      <c r="I678" s="4"/>
      <c r="J678" s="4"/>
      <c r="K678" s="4"/>
      <c r="L678" s="4"/>
      <c r="M678" s="4"/>
      <c r="N678" s="4"/>
      <c r="O678" s="4"/>
      <c r="P678" s="4"/>
      <c r="Q678" s="4"/>
      <c r="R678" s="14"/>
      <c r="S678" s="14"/>
      <c r="T678" s="14"/>
      <c r="U678" s="14"/>
      <c r="V678" s="14"/>
      <c r="W678" s="14"/>
      <c r="X678" s="1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G678" s="4"/>
      <c r="BH678" s="4"/>
    </row>
    <row r="679" spans="1:60" x14ac:dyDescent="0.35">
      <c r="A679" s="4"/>
      <c r="B679" s="8" t="str">
        <f t="shared" si="53"/>
        <v/>
      </c>
      <c r="D679" s="6" t="str">
        <f t="shared" si="54"/>
        <v/>
      </c>
      <c r="E679" s="6" t="str">
        <f t="shared" si="55"/>
        <v/>
      </c>
      <c r="F679" s="6" t="str">
        <f t="shared" si="56"/>
        <v/>
      </c>
      <c r="G679" s="4"/>
      <c r="H679" s="4"/>
      <c r="I679" s="4"/>
      <c r="J679" s="4"/>
      <c r="K679" s="4"/>
      <c r="L679" s="4"/>
      <c r="M679" s="4"/>
      <c r="N679" s="4"/>
      <c r="O679" s="4"/>
      <c r="P679" s="4"/>
      <c r="Q679" s="4"/>
      <c r="R679" s="14"/>
      <c r="S679" s="14"/>
      <c r="T679" s="14"/>
      <c r="U679" s="14"/>
      <c r="V679" s="14"/>
      <c r="W679" s="14"/>
      <c r="X679" s="1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G679" s="4"/>
      <c r="BH679" s="4"/>
    </row>
    <row r="680" spans="1:60" x14ac:dyDescent="0.35">
      <c r="A680" s="4"/>
      <c r="B680" s="8" t="str">
        <f t="shared" si="53"/>
        <v/>
      </c>
      <c r="D680" s="6" t="str">
        <f t="shared" si="54"/>
        <v/>
      </c>
      <c r="E680" s="6" t="str">
        <f t="shared" si="55"/>
        <v/>
      </c>
      <c r="F680" s="6" t="str">
        <f t="shared" si="56"/>
        <v/>
      </c>
      <c r="G680" s="4"/>
      <c r="H680" s="4"/>
      <c r="I680" s="4"/>
      <c r="J680" s="4"/>
      <c r="K680" s="4"/>
      <c r="L680" s="4"/>
      <c r="M680" s="4"/>
      <c r="N680" s="4"/>
      <c r="O680" s="4"/>
      <c r="P680" s="4"/>
      <c r="Q680" s="4"/>
      <c r="R680" s="14"/>
      <c r="S680" s="14"/>
      <c r="T680" s="14"/>
      <c r="U680" s="14"/>
      <c r="V680" s="14"/>
      <c r="W680" s="14"/>
      <c r="X680" s="1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G680" s="4"/>
      <c r="BH680" s="4"/>
    </row>
    <row r="681" spans="1:60" x14ac:dyDescent="0.35">
      <c r="A681" s="4"/>
      <c r="B681" s="8" t="str">
        <f t="shared" si="53"/>
        <v/>
      </c>
      <c r="D681" s="6" t="str">
        <f t="shared" si="54"/>
        <v/>
      </c>
      <c r="E681" s="6" t="str">
        <f t="shared" si="55"/>
        <v/>
      </c>
      <c r="F681" s="6" t="str">
        <f t="shared" si="56"/>
        <v/>
      </c>
      <c r="G681" s="4"/>
      <c r="H681" s="4"/>
      <c r="I681" s="4"/>
      <c r="J681" s="4"/>
      <c r="K681" s="4"/>
      <c r="L681" s="4"/>
      <c r="M681" s="4"/>
      <c r="N681" s="4"/>
      <c r="O681" s="4"/>
      <c r="P681" s="4"/>
      <c r="Q681" s="4"/>
      <c r="R681" s="14"/>
      <c r="S681" s="14"/>
      <c r="T681" s="14"/>
      <c r="U681" s="14"/>
      <c r="V681" s="14"/>
      <c r="W681" s="14"/>
      <c r="X681" s="1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G681" s="4"/>
      <c r="BH681" s="4"/>
    </row>
    <row r="682" spans="1:60" x14ac:dyDescent="0.35">
      <c r="A682" s="4"/>
      <c r="B682" s="8" t="str">
        <f t="shared" si="53"/>
        <v/>
      </c>
      <c r="D682" s="6" t="str">
        <f t="shared" si="54"/>
        <v/>
      </c>
      <c r="E682" s="6" t="str">
        <f t="shared" si="55"/>
        <v/>
      </c>
      <c r="F682" s="6" t="str">
        <f t="shared" si="56"/>
        <v/>
      </c>
      <c r="G682" s="4"/>
      <c r="H682" s="4"/>
      <c r="I682" s="4"/>
      <c r="J682" s="4"/>
      <c r="K682" s="4"/>
      <c r="L682" s="4"/>
      <c r="M682" s="4"/>
      <c r="N682" s="4"/>
      <c r="O682" s="4"/>
      <c r="P682" s="4"/>
      <c r="Q682" s="4"/>
      <c r="R682" s="14"/>
      <c r="S682" s="14"/>
      <c r="T682" s="14"/>
      <c r="U682" s="14"/>
      <c r="V682" s="14"/>
      <c r="W682" s="14"/>
      <c r="X682" s="1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G682" s="4"/>
      <c r="BH682" s="4"/>
    </row>
    <row r="683" spans="1:60" x14ac:dyDescent="0.35">
      <c r="A683" s="4"/>
      <c r="B683" s="8" t="str">
        <f t="shared" si="53"/>
        <v/>
      </c>
      <c r="D683" s="6" t="str">
        <f t="shared" si="54"/>
        <v/>
      </c>
      <c r="E683" s="6" t="str">
        <f t="shared" si="55"/>
        <v/>
      </c>
      <c r="F683" s="6" t="str">
        <f t="shared" si="56"/>
        <v/>
      </c>
      <c r="G683" s="4"/>
      <c r="H683" s="4"/>
      <c r="I683" s="4"/>
      <c r="J683" s="4"/>
      <c r="K683" s="4"/>
      <c r="L683" s="4"/>
      <c r="M683" s="4"/>
      <c r="N683" s="4"/>
      <c r="O683" s="4"/>
      <c r="P683" s="4"/>
      <c r="Q683" s="4"/>
      <c r="R683" s="14"/>
      <c r="S683" s="14"/>
      <c r="T683" s="14"/>
      <c r="U683" s="14"/>
      <c r="V683" s="14"/>
      <c r="W683" s="14"/>
      <c r="X683" s="1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G683" s="4"/>
      <c r="BH683" s="4"/>
    </row>
    <row r="684" spans="1:60" x14ac:dyDescent="0.35">
      <c r="A684" s="4"/>
      <c r="B684" s="8" t="str">
        <f t="shared" si="53"/>
        <v/>
      </c>
      <c r="D684" s="6" t="str">
        <f t="shared" si="54"/>
        <v/>
      </c>
      <c r="E684" s="6" t="str">
        <f t="shared" si="55"/>
        <v/>
      </c>
      <c r="F684" s="6" t="str">
        <f t="shared" si="56"/>
        <v/>
      </c>
      <c r="G684" s="4"/>
      <c r="H684" s="4"/>
      <c r="I684" s="4"/>
      <c r="J684" s="4"/>
      <c r="K684" s="4"/>
      <c r="L684" s="4"/>
      <c r="M684" s="4"/>
      <c r="N684" s="4"/>
      <c r="O684" s="4"/>
      <c r="P684" s="4"/>
      <c r="Q684" s="4"/>
      <c r="R684" s="14"/>
      <c r="S684" s="14"/>
      <c r="T684" s="14"/>
      <c r="U684" s="14"/>
      <c r="V684" s="14"/>
      <c r="W684" s="14"/>
      <c r="X684" s="1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G684" s="4"/>
      <c r="BH684" s="4"/>
    </row>
    <row r="685" spans="1:60" x14ac:dyDescent="0.35">
      <c r="A685" s="4"/>
      <c r="B685" s="8" t="str">
        <f t="shared" ref="B685:B700" si="57">RIGHT(A685,4)</f>
        <v/>
      </c>
      <c r="D685" s="6" t="str">
        <f t="shared" si="54"/>
        <v/>
      </c>
      <c r="E685" s="6" t="str">
        <f t="shared" si="55"/>
        <v/>
      </c>
      <c r="F685" s="6" t="str">
        <f t="shared" si="56"/>
        <v/>
      </c>
      <c r="G685" s="4"/>
      <c r="H685" s="4"/>
      <c r="I685" s="4"/>
      <c r="J685" s="4"/>
      <c r="K685" s="4"/>
      <c r="L685" s="4"/>
      <c r="M685" s="4"/>
      <c r="N685" s="4"/>
      <c r="O685" s="4"/>
      <c r="P685" s="4"/>
      <c r="Q685" s="4"/>
      <c r="R685" s="14"/>
      <c r="S685" s="14"/>
      <c r="T685" s="14"/>
      <c r="U685" s="14"/>
      <c r="V685" s="14"/>
      <c r="W685" s="14"/>
      <c r="X685" s="1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G685" s="4"/>
      <c r="BH685" s="4"/>
    </row>
    <row r="686" spans="1:60" x14ac:dyDescent="0.35">
      <c r="A686" s="4"/>
      <c r="B686" s="8" t="str">
        <f t="shared" si="57"/>
        <v/>
      </c>
      <c r="D686" s="6" t="str">
        <f t="shared" si="54"/>
        <v/>
      </c>
      <c r="E686" s="6" t="str">
        <f t="shared" si="55"/>
        <v/>
      </c>
      <c r="F686" s="6" t="str">
        <f t="shared" si="56"/>
        <v/>
      </c>
      <c r="G686" s="4"/>
      <c r="H686" s="4"/>
      <c r="I686" s="4"/>
      <c r="J686" s="4"/>
      <c r="K686" s="4"/>
      <c r="L686" s="4"/>
      <c r="M686" s="4"/>
      <c r="N686" s="4"/>
      <c r="O686" s="4"/>
      <c r="P686" s="4"/>
      <c r="Q686" s="4"/>
      <c r="R686" s="14"/>
      <c r="S686" s="14"/>
      <c r="T686" s="14"/>
      <c r="U686" s="14"/>
      <c r="V686" s="14"/>
      <c r="W686" s="14"/>
      <c r="X686" s="1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G686" s="4"/>
      <c r="BH686" s="4"/>
    </row>
    <row r="687" spans="1:60" x14ac:dyDescent="0.35">
      <c r="A687" s="4"/>
      <c r="B687" s="8" t="str">
        <f t="shared" si="57"/>
        <v/>
      </c>
      <c r="D687" s="6" t="str">
        <f t="shared" si="54"/>
        <v/>
      </c>
      <c r="E687" s="6" t="str">
        <f t="shared" si="55"/>
        <v/>
      </c>
      <c r="F687" s="6" t="str">
        <f t="shared" si="56"/>
        <v/>
      </c>
      <c r="G687" s="4"/>
      <c r="H687" s="4"/>
      <c r="I687" s="4"/>
      <c r="J687" s="4"/>
      <c r="K687" s="4"/>
      <c r="L687" s="4"/>
      <c r="M687" s="4"/>
      <c r="N687" s="4"/>
      <c r="O687" s="4"/>
      <c r="P687" s="4"/>
      <c r="Q687" s="4"/>
      <c r="R687" s="14"/>
      <c r="S687" s="14"/>
      <c r="T687" s="14"/>
      <c r="U687" s="14"/>
      <c r="V687" s="14"/>
      <c r="W687" s="14"/>
      <c r="X687" s="1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G687" s="4"/>
      <c r="BH687" s="4"/>
    </row>
    <row r="688" spans="1:60" x14ac:dyDescent="0.35">
      <c r="A688" s="4"/>
      <c r="B688" s="8" t="str">
        <f t="shared" si="57"/>
        <v/>
      </c>
      <c r="D688" s="6" t="str">
        <f t="shared" si="54"/>
        <v/>
      </c>
      <c r="E688" s="6" t="str">
        <f t="shared" si="55"/>
        <v/>
      </c>
      <c r="F688" s="6" t="str">
        <f t="shared" si="56"/>
        <v/>
      </c>
      <c r="G688" s="4"/>
      <c r="H688" s="4"/>
      <c r="I688" s="4"/>
      <c r="J688" s="4"/>
      <c r="K688" s="4"/>
      <c r="L688" s="4"/>
      <c r="M688" s="4"/>
      <c r="N688" s="4"/>
      <c r="O688" s="4"/>
      <c r="P688" s="4"/>
      <c r="Q688" s="4"/>
      <c r="R688" s="14"/>
      <c r="S688" s="14"/>
      <c r="T688" s="14"/>
      <c r="U688" s="14"/>
      <c r="V688" s="14"/>
      <c r="W688" s="14"/>
      <c r="X688" s="1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G688" s="4"/>
      <c r="BH688" s="4"/>
    </row>
    <row r="689" spans="1:60" x14ac:dyDescent="0.35">
      <c r="A689" s="4"/>
      <c r="B689" s="8" t="str">
        <f t="shared" si="57"/>
        <v/>
      </c>
      <c r="D689" s="6" t="str">
        <f t="shared" si="54"/>
        <v/>
      </c>
      <c r="E689" s="6" t="str">
        <f t="shared" si="55"/>
        <v/>
      </c>
      <c r="F689" s="6" t="str">
        <f t="shared" si="56"/>
        <v/>
      </c>
      <c r="G689" s="4"/>
      <c r="H689" s="4"/>
      <c r="I689" s="4"/>
      <c r="J689" s="4"/>
      <c r="K689" s="4"/>
      <c r="L689" s="4"/>
      <c r="M689" s="4"/>
      <c r="N689" s="4"/>
      <c r="O689" s="4"/>
      <c r="P689" s="4"/>
      <c r="Q689" s="4"/>
      <c r="R689" s="14"/>
      <c r="S689" s="14"/>
      <c r="T689" s="14"/>
      <c r="U689" s="14"/>
      <c r="V689" s="14"/>
      <c r="W689" s="14"/>
      <c r="X689" s="1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G689" s="4"/>
      <c r="BH689" s="4"/>
    </row>
    <row r="690" spans="1:60" x14ac:dyDescent="0.35">
      <c r="A690" s="4"/>
      <c r="B690" s="8" t="str">
        <f t="shared" si="57"/>
        <v/>
      </c>
      <c r="D690" s="6" t="str">
        <f t="shared" si="54"/>
        <v/>
      </c>
      <c r="E690" s="6" t="str">
        <f t="shared" si="55"/>
        <v/>
      </c>
      <c r="F690" s="6" t="str">
        <f t="shared" si="56"/>
        <v/>
      </c>
      <c r="G690" s="4"/>
      <c r="H690" s="4"/>
      <c r="I690" s="4"/>
      <c r="J690" s="4"/>
      <c r="K690" s="4"/>
      <c r="L690" s="4"/>
      <c r="M690" s="4"/>
      <c r="N690" s="4"/>
      <c r="O690" s="4"/>
      <c r="P690" s="4"/>
      <c r="Q690" s="4"/>
      <c r="R690" s="14"/>
      <c r="S690" s="14"/>
      <c r="T690" s="14"/>
      <c r="U690" s="14"/>
      <c r="V690" s="14"/>
      <c r="W690" s="14"/>
      <c r="X690" s="1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G690" s="4"/>
      <c r="BH690" s="4"/>
    </row>
    <row r="691" spans="1:60" x14ac:dyDescent="0.35">
      <c r="A691" s="4"/>
      <c r="B691" s="8" t="str">
        <f t="shared" si="57"/>
        <v/>
      </c>
      <c r="D691" s="6" t="str">
        <f t="shared" si="54"/>
        <v/>
      </c>
      <c r="E691" s="6" t="str">
        <f t="shared" si="55"/>
        <v/>
      </c>
      <c r="F691" s="6" t="str">
        <f t="shared" si="56"/>
        <v/>
      </c>
      <c r="G691" s="4"/>
      <c r="H691" s="4"/>
      <c r="I691" s="4"/>
      <c r="J691" s="4"/>
      <c r="K691" s="4"/>
      <c r="L691" s="4"/>
      <c r="M691" s="4"/>
      <c r="N691" s="4"/>
      <c r="O691" s="4"/>
      <c r="P691" s="4"/>
      <c r="Q691" s="4"/>
      <c r="R691" s="14"/>
      <c r="S691" s="14"/>
      <c r="T691" s="14"/>
      <c r="U691" s="14"/>
      <c r="V691" s="14"/>
      <c r="W691" s="14"/>
      <c r="X691" s="1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G691" s="4"/>
      <c r="BH691" s="4"/>
    </row>
    <row r="692" spans="1:60" x14ac:dyDescent="0.35">
      <c r="A692" s="4"/>
      <c r="B692" s="8" t="str">
        <f t="shared" si="57"/>
        <v/>
      </c>
      <c r="D692" s="6" t="str">
        <f t="shared" si="54"/>
        <v/>
      </c>
      <c r="E692" s="6" t="str">
        <f t="shared" si="55"/>
        <v/>
      </c>
      <c r="F692" s="6" t="str">
        <f t="shared" si="56"/>
        <v/>
      </c>
      <c r="G692" s="4"/>
      <c r="H692" s="4"/>
      <c r="I692" s="4"/>
      <c r="J692" s="4"/>
      <c r="K692" s="4"/>
      <c r="L692" s="4"/>
      <c r="M692" s="4"/>
      <c r="N692" s="4"/>
      <c r="O692" s="4"/>
      <c r="P692" s="4"/>
      <c r="Q692" s="4"/>
      <c r="R692" s="14"/>
      <c r="S692" s="14"/>
      <c r="T692" s="14"/>
      <c r="U692" s="14"/>
      <c r="V692" s="14"/>
      <c r="W692" s="14"/>
      <c r="X692" s="1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G692" s="4"/>
      <c r="BH692" s="4"/>
    </row>
    <row r="693" spans="1:60" x14ac:dyDescent="0.35">
      <c r="A693" s="4"/>
      <c r="B693" s="8" t="str">
        <f t="shared" si="57"/>
        <v/>
      </c>
      <c r="D693" s="6" t="str">
        <f t="shared" si="54"/>
        <v/>
      </c>
      <c r="E693" s="6" t="str">
        <f t="shared" si="55"/>
        <v/>
      </c>
      <c r="F693" s="6" t="str">
        <f t="shared" si="56"/>
        <v/>
      </c>
      <c r="G693" s="4"/>
      <c r="H693" s="4"/>
      <c r="I693" s="4"/>
      <c r="J693" s="4"/>
      <c r="K693" s="4"/>
      <c r="L693" s="4"/>
      <c r="M693" s="4"/>
      <c r="N693" s="4"/>
      <c r="O693" s="4"/>
      <c r="P693" s="4"/>
      <c r="Q693" s="4"/>
      <c r="R693" s="14"/>
      <c r="S693" s="14"/>
      <c r="T693" s="14"/>
      <c r="U693" s="14"/>
      <c r="V693" s="14"/>
      <c r="W693" s="14"/>
      <c r="X693" s="1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G693" s="4"/>
      <c r="BH693" s="4"/>
    </row>
    <row r="694" spans="1:60" x14ac:dyDescent="0.35">
      <c r="A694" s="4"/>
      <c r="B694" s="8" t="str">
        <f t="shared" si="57"/>
        <v/>
      </c>
      <c r="D694" s="6" t="str">
        <f t="shared" si="54"/>
        <v/>
      </c>
      <c r="E694" s="6" t="str">
        <f t="shared" si="55"/>
        <v/>
      </c>
      <c r="F694" s="6" t="str">
        <f t="shared" si="56"/>
        <v/>
      </c>
      <c r="G694" s="4"/>
      <c r="H694" s="4"/>
      <c r="I694" s="4"/>
      <c r="J694" s="4"/>
      <c r="K694" s="4"/>
      <c r="L694" s="4"/>
      <c r="M694" s="4"/>
      <c r="N694" s="4"/>
      <c r="O694" s="4"/>
      <c r="P694" s="4"/>
      <c r="Q694" s="4"/>
      <c r="R694" s="14"/>
      <c r="S694" s="14"/>
      <c r="T694" s="14"/>
      <c r="U694" s="14"/>
      <c r="V694" s="14"/>
      <c r="W694" s="14"/>
      <c r="X694" s="1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G694" s="4"/>
      <c r="BH694" s="4"/>
    </row>
    <row r="695" spans="1:60" x14ac:dyDescent="0.35">
      <c r="A695" s="4"/>
      <c r="B695" s="8" t="str">
        <f t="shared" si="57"/>
        <v/>
      </c>
      <c r="D695" s="6" t="str">
        <f t="shared" si="54"/>
        <v/>
      </c>
      <c r="E695" s="6" t="str">
        <f t="shared" si="55"/>
        <v/>
      </c>
      <c r="F695" s="6" t="str">
        <f t="shared" si="56"/>
        <v/>
      </c>
      <c r="G695" s="4"/>
      <c r="H695" s="4"/>
      <c r="I695" s="4"/>
      <c r="J695" s="4"/>
      <c r="K695" s="4"/>
      <c r="L695" s="4"/>
      <c r="M695" s="4"/>
      <c r="N695" s="4"/>
      <c r="O695" s="4"/>
      <c r="P695" s="4"/>
      <c r="Q695" s="4"/>
      <c r="R695" s="14"/>
      <c r="S695" s="14"/>
      <c r="T695" s="14"/>
      <c r="U695" s="14"/>
      <c r="V695" s="14"/>
      <c r="W695" s="14"/>
      <c r="X695" s="1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G695" s="4"/>
      <c r="BH695" s="4"/>
    </row>
    <row r="696" spans="1:60" x14ac:dyDescent="0.35">
      <c r="A696" s="4"/>
      <c r="B696" s="8" t="str">
        <f t="shared" si="57"/>
        <v/>
      </c>
      <c r="D696" s="6" t="str">
        <f t="shared" si="54"/>
        <v/>
      </c>
      <c r="E696" s="6" t="str">
        <f t="shared" si="55"/>
        <v/>
      </c>
      <c r="F696" s="6" t="str">
        <f t="shared" si="56"/>
        <v/>
      </c>
      <c r="G696" s="4"/>
      <c r="H696" s="4"/>
      <c r="I696" s="4"/>
      <c r="J696" s="4"/>
      <c r="K696" s="4"/>
      <c r="L696" s="4"/>
      <c r="M696" s="4"/>
      <c r="N696" s="4"/>
      <c r="O696" s="4"/>
      <c r="P696" s="4"/>
      <c r="Q696" s="4"/>
      <c r="R696" s="14"/>
      <c r="S696" s="14"/>
      <c r="T696" s="14"/>
      <c r="U696" s="14"/>
      <c r="V696" s="14"/>
      <c r="W696" s="14"/>
      <c r="X696" s="1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G696" s="4"/>
      <c r="BH696" s="4"/>
    </row>
    <row r="697" spans="1:60" x14ac:dyDescent="0.35">
      <c r="A697" s="4"/>
      <c r="B697" s="8" t="str">
        <f t="shared" si="57"/>
        <v/>
      </c>
      <c r="D697" s="6" t="str">
        <f t="shared" si="54"/>
        <v/>
      </c>
      <c r="E697" s="6" t="str">
        <f t="shared" si="55"/>
        <v/>
      </c>
      <c r="F697" s="6" t="str">
        <f t="shared" si="56"/>
        <v/>
      </c>
      <c r="G697" s="4"/>
      <c r="H697" s="4"/>
      <c r="I697" s="4"/>
      <c r="J697" s="4"/>
      <c r="K697" s="4"/>
      <c r="L697" s="4"/>
      <c r="M697" s="4"/>
      <c r="N697" s="4"/>
      <c r="O697" s="4"/>
      <c r="P697" s="4"/>
      <c r="Q697" s="4"/>
      <c r="R697" s="14"/>
      <c r="S697" s="14"/>
      <c r="T697" s="14"/>
      <c r="U697" s="14"/>
      <c r="V697" s="14"/>
      <c r="W697" s="14"/>
      <c r="X697" s="1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G697" s="4"/>
      <c r="BH697" s="4"/>
    </row>
    <row r="698" spans="1:60" x14ac:dyDescent="0.35">
      <c r="A698" s="4"/>
      <c r="B698" s="8" t="str">
        <f t="shared" si="57"/>
        <v/>
      </c>
      <c r="D698" s="6" t="str">
        <f t="shared" si="54"/>
        <v/>
      </c>
      <c r="E698" s="6" t="str">
        <f t="shared" si="55"/>
        <v/>
      </c>
      <c r="F698" s="6" t="str">
        <f t="shared" si="56"/>
        <v/>
      </c>
      <c r="G698" s="4"/>
      <c r="H698" s="4"/>
      <c r="I698" s="4"/>
      <c r="J698" s="4"/>
      <c r="K698" s="4"/>
      <c r="L698" s="4"/>
      <c r="M698" s="4"/>
      <c r="N698" s="4"/>
      <c r="O698" s="4"/>
      <c r="P698" s="4"/>
      <c r="Q698" s="4"/>
      <c r="R698" s="14"/>
      <c r="S698" s="14"/>
      <c r="T698" s="14"/>
      <c r="U698" s="14"/>
      <c r="V698" s="14"/>
      <c r="W698" s="14"/>
      <c r="X698" s="1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G698" s="4"/>
      <c r="BH698" s="4"/>
    </row>
    <row r="699" spans="1:60" x14ac:dyDescent="0.35">
      <c r="A699" s="4"/>
      <c r="B699" s="8" t="str">
        <f t="shared" si="57"/>
        <v/>
      </c>
      <c r="D699" s="6" t="str">
        <f t="shared" si="54"/>
        <v/>
      </c>
      <c r="E699" s="6" t="str">
        <f t="shared" si="55"/>
        <v/>
      </c>
      <c r="F699" s="6" t="str">
        <f t="shared" si="56"/>
        <v/>
      </c>
      <c r="G699" s="4"/>
      <c r="H699" s="4"/>
      <c r="I699" s="4"/>
      <c r="J699" s="4"/>
      <c r="K699" s="4"/>
      <c r="L699" s="4"/>
      <c r="M699" s="4"/>
      <c r="N699" s="4"/>
      <c r="O699" s="4"/>
      <c r="P699" s="4"/>
      <c r="Q699" s="4"/>
      <c r="R699" s="14"/>
      <c r="S699" s="14"/>
      <c r="T699" s="14"/>
      <c r="U699" s="14"/>
      <c r="V699" s="14"/>
      <c r="W699" s="14"/>
      <c r="X699" s="1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G699" s="4"/>
      <c r="BH699" s="4"/>
    </row>
    <row r="700" spans="1:60" x14ac:dyDescent="0.35">
      <c r="A700" s="4"/>
      <c r="B700" s="8" t="str">
        <f t="shared" si="57"/>
        <v/>
      </c>
      <c r="D700" s="6" t="str">
        <f t="shared" si="54"/>
        <v/>
      </c>
      <c r="E700" s="6" t="str">
        <f t="shared" si="55"/>
        <v/>
      </c>
      <c r="F700" s="6" t="str">
        <f t="shared" si="56"/>
        <v/>
      </c>
      <c r="G700" s="4"/>
      <c r="H700" s="4"/>
      <c r="I700" s="4"/>
      <c r="J700" s="4"/>
      <c r="K700" s="4"/>
      <c r="L700" s="4"/>
      <c r="M700" s="4"/>
      <c r="N700" s="4"/>
      <c r="O700" s="4"/>
      <c r="P700" s="4"/>
      <c r="Q700" s="4"/>
      <c r="R700" s="14"/>
      <c r="S700" s="14"/>
      <c r="T700" s="14"/>
      <c r="U700" s="14"/>
      <c r="V700" s="14"/>
      <c r="W700" s="14"/>
      <c r="X700" s="1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G700" s="4"/>
      <c r="BH700" s="4"/>
    </row>
    <row r="701" spans="1:60" x14ac:dyDescent="0.35">
      <c r="A701" s="4"/>
      <c r="B701" s="8" t="str">
        <f t="shared" ref="B701:B764" si="58">RIGHT(A701,4)</f>
        <v/>
      </c>
      <c r="D701" s="6" t="str">
        <f t="shared" ref="D701:D764" si="59">IF(C701="","",VLOOKUP(C701,district_region,2,FALSE))</f>
        <v/>
      </c>
      <c r="E701" s="6" t="str">
        <f t="shared" ref="E701:E764" si="60">IF(C701="","",VLOOKUP(C701,liste_pop,3,FALSE))</f>
        <v/>
      </c>
      <c r="F701" s="6" t="str">
        <f t="shared" ref="F701:F764" si="61">IF(D701="","",IF(D701="Dakar",4042240,VLOOKUP(D701,liste_pop,4,FALSE)))</f>
        <v/>
      </c>
      <c r="G701" s="4"/>
      <c r="H701" s="4"/>
      <c r="I701" s="4"/>
      <c r="J701" s="4"/>
      <c r="K701" s="4"/>
      <c r="L701" s="4"/>
      <c r="M701" s="4"/>
      <c r="N701" s="4"/>
      <c r="O701" s="4"/>
      <c r="P701" s="4"/>
      <c r="Q701" s="4"/>
      <c r="R701" s="14"/>
      <c r="S701" s="14"/>
      <c r="T701" s="14"/>
      <c r="U701" s="14"/>
      <c r="V701" s="14"/>
      <c r="W701" s="14"/>
      <c r="X701" s="1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G701" s="4"/>
      <c r="BH701" s="4"/>
    </row>
    <row r="702" spans="1:60" x14ac:dyDescent="0.35">
      <c r="A702" s="4"/>
      <c r="B702" s="8" t="str">
        <f t="shared" si="58"/>
        <v/>
      </c>
      <c r="D702" s="6" t="str">
        <f t="shared" si="59"/>
        <v/>
      </c>
      <c r="E702" s="6" t="str">
        <f t="shared" si="60"/>
        <v/>
      </c>
      <c r="F702" s="6" t="str">
        <f t="shared" si="61"/>
        <v/>
      </c>
      <c r="G702" s="4"/>
      <c r="H702" s="4"/>
      <c r="I702" s="4"/>
      <c r="J702" s="4"/>
      <c r="K702" s="4"/>
      <c r="L702" s="4"/>
      <c r="M702" s="4"/>
      <c r="N702" s="4"/>
      <c r="O702" s="4"/>
      <c r="P702" s="4"/>
      <c r="Q702" s="4"/>
      <c r="R702" s="14"/>
      <c r="S702" s="14"/>
      <c r="T702" s="14"/>
      <c r="U702" s="14"/>
      <c r="V702" s="14"/>
      <c r="W702" s="14"/>
      <c r="X702" s="1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G702" s="4"/>
      <c r="BH702" s="4"/>
    </row>
    <row r="703" spans="1:60" x14ac:dyDescent="0.35">
      <c r="A703" s="4"/>
      <c r="B703" s="8" t="str">
        <f t="shared" si="58"/>
        <v/>
      </c>
      <c r="D703" s="6" t="str">
        <f t="shared" si="59"/>
        <v/>
      </c>
      <c r="E703" s="6" t="str">
        <f t="shared" si="60"/>
        <v/>
      </c>
      <c r="F703" s="6" t="str">
        <f t="shared" si="61"/>
        <v/>
      </c>
      <c r="G703" s="4"/>
      <c r="H703" s="4"/>
      <c r="I703" s="4"/>
      <c r="J703" s="4"/>
      <c r="K703" s="4"/>
      <c r="L703" s="4"/>
      <c r="M703" s="4"/>
      <c r="N703" s="4"/>
      <c r="O703" s="4"/>
      <c r="P703" s="4"/>
      <c r="Q703" s="4"/>
      <c r="R703" s="14"/>
      <c r="S703" s="14"/>
      <c r="T703" s="14"/>
      <c r="U703" s="14"/>
      <c r="V703" s="14"/>
      <c r="W703" s="14"/>
      <c r="X703" s="1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G703" s="4"/>
      <c r="BH703" s="4"/>
    </row>
    <row r="704" spans="1:60" x14ac:dyDescent="0.35">
      <c r="A704" s="4"/>
      <c r="B704" s="8" t="str">
        <f t="shared" si="58"/>
        <v/>
      </c>
      <c r="D704" s="6" t="str">
        <f t="shared" si="59"/>
        <v/>
      </c>
      <c r="E704" s="6" t="str">
        <f t="shared" si="60"/>
        <v/>
      </c>
      <c r="F704" s="6" t="str">
        <f t="shared" si="61"/>
        <v/>
      </c>
      <c r="G704" s="4"/>
      <c r="H704" s="4"/>
      <c r="I704" s="4"/>
      <c r="J704" s="4"/>
      <c r="K704" s="4"/>
      <c r="L704" s="4"/>
      <c r="M704" s="4"/>
      <c r="N704" s="4"/>
      <c r="O704" s="4"/>
      <c r="P704" s="4"/>
      <c r="Q704" s="4"/>
      <c r="R704" s="14"/>
      <c r="S704" s="14"/>
      <c r="T704" s="14"/>
      <c r="U704" s="14"/>
      <c r="V704" s="14"/>
      <c r="W704" s="14"/>
      <c r="X704" s="1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G704" s="4"/>
      <c r="BH704" s="4"/>
    </row>
    <row r="705" spans="1:60" x14ac:dyDescent="0.35">
      <c r="A705" s="4"/>
      <c r="B705" s="8" t="str">
        <f t="shared" si="58"/>
        <v/>
      </c>
      <c r="D705" s="6" t="str">
        <f t="shared" si="59"/>
        <v/>
      </c>
      <c r="E705" s="6" t="str">
        <f t="shared" si="60"/>
        <v/>
      </c>
      <c r="F705" s="6" t="str">
        <f t="shared" si="61"/>
        <v/>
      </c>
      <c r="G705" s="4"/>
      <c r="H705" s="4"/>
      <c r="I705" s="4"/>
      <c r="J705" s="4"/>
      <c r="K705" s="4"/>
      <c r="L705" s="4"/>
      <c r="M705" s="4"/>
      <c r="N705" s="4"/>
      <c r="O705" s="4"/>
      <c r="P705" s="4"/>
      <c r="Q705" s="4"/>
      <c r="R705" s="14"/>
      <c r="S705" s="14"/>
      <c r="T705" s="14"/>
      <c r="U705" s="14"/>
      <c r="V705" s="14"/>
      <c r="W705" s="14"/>
      <c r="X705" s="1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G705" s="4"/>
      <c r="BH705" s="4"/>
    </row>
    <row r="706" spans="1:60" x14ac:dyDescent="0.35">
      <c r="A706" s="4"/>
      <c r="B706" s="8" t="str">
        <f t="shared" si="58"/>
        <v/>
      </c>
      <c r="D706" s="6" t="str">
        <f t="shared" si="59"/>
        <v/>
      </c>
      <c r="E706" s="6" t="str">
        <f t="shared" si="60"/>
        <v/>
      </c>
      <c r="F706" s="6" t="str">
        <f t="shared" si="61"/>
        <v/>
      </c>
      <c r="G706" s="4"/>
      <c r="H706" s="4"/>
      <c r="I706" s="4"/>
      <c r="J706" s="4"/>
      <c r="K706" s="4"/>
      <c r="L706" s="4"/>
      <c r="M706" s="4"/>
      <c r="N706" s="4"/>
      <c r="O706" s="4"/>
      <c r="P706" s="4"/>
      <c r="Q706" s="4"/>
      <c r="R706" s="14"/>
      <c r="S706" s="14"/>
      <c r="T706" s="14"/>
      <c r="U706" s="14"/>
      <c r="V706" s="14"/>
      <c r="W706" s="14"/>
      <c r="X706" s="1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G706" s="4"/>
      <c r="BH706" s="4"/>
    </row>
    <row r="707" spans="1:60" x14ac:dyDescent="0.35">
      <c r="A707" s="4"/>
      <c r="B707" s="8" t="str">
        <f t="shared" si="58"/>
        <v/>
      </c>
      <c r="D707" s="6" t="str">
        <f t="shared" si="59"/>
        <v/>
      </c>
      <c r="E707" s="6" t="str">
        <f t="shared" si="60"/>
        <v/>
      </c>
      <c r="F707" s="6" t="str">
        <f t="shared" si="61"/>
        <v/>
      </c>
      <c r="G707" s="4"/>
      <c r="H707" s="4"/>
      <c r="I707" s="4"/>
      <c r="J707" s="4"/>
      <c r="K707" s="4"/>
      <c r="L707" s="4"/>
      <c r="M707" s="4"/>
      <c r="N707" s="4"/>
      <c r="O707" s="4"/>
      <c r="P707" s="4"/>
      <c r="Q707" s="4"/>
      <c r="R707" s="14"/>
      <c r="S707" s="14"/>
      <c r="T707" s="14"/>
      <c r="U707" s="14"/>
      <c r="V707" s="14"/>
      <c r="W707" s="14"/>
      <c r="X707" s="1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G707" s="4"/>
      <c r="BH707" s="4"/>
    </row>
    <row r="708" spans="1:60" x14ac:dyDescent="0.35">
      <c r="A708" s="4"/>
      <c r="B708" s="8" t="str">
        <f t="shared" si="58"/>
        <v/>
      </c>
      <c r="D708" s="6" t="str">
        <f t="shared" si="59"/>
        <v/>
      </c>
      <c r="E708" s="6" t="str">
        <f t="shared" si="60"/>
        <v/>
      </c>
      <c r="F708" s="6" t="str">
        <f t="shared" si="61"/>
        <v/>
      </c>
      <c r="G708" s="4"/>
      <c r="H708" s="4"/>
      <c r="I708" s="4"/>
      <c r="J708" s="4"/>
      <c r="K708" s="4"/>
      <c r="L708" s="4"/>
      <c r="M708" s="4"/>
      <c r="N708" s="4"/>
      <c r="O708" s="4"/>
      <c r="P708" s="4"/>
      <c r="Q708" s="4"/>
      <c r="R708" s="14"/>
      <c r="S708" s="14"/>
      <c r="T708" s="14"/>
      <c r="U708" s="14"/>
      <c r="V708" s="14"/>
      <c r="W708" s="14"/>
      <c r="X708" s="1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G708" s="4"/>
      <c r="BH708" s="4"/>
    </row>
    <row r="709" spans="1:60" x14ac:dyDescent="0.35">
      <c r="A709" s="4"/>
      <c r="B709" s="8" t="str">
        <f t="shared" si="58"/>
        <v/>
      </c>
      <c r="D709" s="6" t="str">
        <f t="shared" si="59"/>
        <v/>
      </c>
      <c r="E709" s="6" t="str">
        <f t="shared" si="60"/>
        <v/>
      </c>
      <c r="F709" s="6" t="str">
        <f t="shared" si="61"/>
        <v/>
      </c>
      <c r="G709" s="4"/>
      <c r="H709" s="4"/>
      <c r="I709" s="4"/>
      <c r="J709" s="4"/>
      <c r="K709" s="4"/>
      <c r="L709" s="4"/>
      <c r="M709" s="4"/>
      <c r="N709" s="4"/>
      <c r="O709" s="4"/>
      <c r="P709" s="4"/>
      <c r="Q709" s="4"/>
      <c r="R709" s="14"/>
      <c r="S709" s="14"/>
      <c r="T709" s="14"/>
      <c r="U709" s="14"/>
      <c r="V709" s="14"/>
      <c r="W709" s="14"/>
      <c r="X709" s="1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G709" s="4"/>
      <c r="BH709" s="4"/>
    </row>
    <row r="710" spans="1:60" x14ac:dyDescent="0.35">
      <c r="A710" s="4"/>
      <c r="B710" s="8" t="str">
        <f t="shared" si="58"/>
        <v/>
      </c>
      <c r="D710" s="6" t="str">
        <f t="shared" si="59"/>
        <v/>
      </c>
      <c r="E710" s="6" t="str">
        <f t="shared" si="60"/>
        <v/>
      </c>
      <c r="F710" s="6" t="str">
        <f t="shared" si="61"/>
        <v/>
      </c>
      <c r="G710" s="4"/>
      <c r="H710" s="4"/>
      <c r="I710" s="4"/>
      <c r="J710" s="4"/>
      <c r="K710" s="4"/>
      <c r="L710" s="4"/>
      <c r="M710" s="4"/>
      <c r="N710" s="4"/>
      <c r="O710" s="4"/>
      <c r="P710" s="4"/>
      <c r="Q710" s="4"/>
      <c r="R710" s="14"/>
      <c r="S710" s="14"/>
      <c r="T710" s="14"/>
      <c r="U710" s="14"/>
      <c r="V710" s="14"/>
      <c r="W710" s="14"/>
      <c r="X710" s="1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G710" s="4"/>
      <c r="BH710" s="4"/>
    </row>
    <row r="711" spans="1:60" x14ac:dyDescent="0.35">
      <c r="A711" s="4"/>
      <c r="B711" s="8" t="str">
        <f t="shared" si="58"/>
        <v/>
      </c>
      <c r="D711" s="6" t="str">
        <f t="shared" si="59"/>
        <v/>
      </c>
      <c r="E711" s="6" t="str">
        <f t="shared" si="60"/>
        <v/>
      </c>
      <c r="F711" s="6" t="str">
        <f t="shared" si="61"/>
        <v/>
      </c>
      <c r="G711" s="4"/>
      <c r="H711" s="4"/>
      <c r="I711" s="4"/>
      <c r="J711" s="4"/>
      <c r="K711" s="4"/>
      <c r="L711" s="4"/>
      <c r="M711" s="4"/>
      <c r="N711" s="4"/>
      <c r="O711" s="4"/>
      <c r="P711" s="4"/>
      <c r="Q711" s="4"/>
      <c r="R711" s="14"/>
      <c r="S711" s="14"/>
      <c r="T711" s="14"/>
      <c r="U711" s="14"/>
      <c r="V711" s="14"/>
      <c r="W711" s="14"/>
      <c r="X711" s="1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G711" s="4"/>
      <c r="BH711" s="4"/>
    </row>
    <row r="712" spans="1:60" x14ac:dyDescent="0.35">
      <c r="A712" s="4"/>
      <c r="B712" s="8" t="str">
        <f t="shared" si="58"/>
        <v/>
      </c>
      <c r="D712" s="6" t="str">
        <f t="shared" si="59"/>
        <v/>
      </c>
      <c r="E712" s="6" t="str">
        <f t="shared" si="60"/>
        <v/>
      </c>
      <c r="F712" s="6" t="str">
        <f t="shared" si="61"/>
        <v/>
      </c>
      <c r="G712" s="4"/>
      <c r="H712" s="4"/>
      <c r="I712" s="4"/>
      <c r="J712" s="4"/>
      <c r="K712" s="4"/>
      <c r="L712" s="4"/>
      <c r="M712" s="4"/>
      <c r="N712" s="4"/>
      <c r="O712" s="4"/>
      <c r="P712" s="4"/>
      <c r="Q712" s="4"/>
      <c r="R712" s="14"/>
      <c r="S712" s="14"/>
      <c r="T712" s="14"/>
      <c r="U712" s="14"/>
      <c r="V712" s="14"/>
      <c r="W712" s="14"/>
      <c r="X712" s="1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G712" s="4"/>
      <c r="BH712" s="4"/>
    </row>
    <row r="713" spans="1:60" x14ac:dyDescent="0.35">
      <c r="A713" s="4"/>
      <c r="B713" s="8" t="str">
        <f t="shared" si="58"/>
        <v/>
      </c>
      <c r="D713" s="6" t="str">
        <f t="shared" si="59"/>
        <v/>
      </c>
      <c r="E713" s="6" t="str">
        <f t="shared" si="60"/>
        <v/>
      </c>
      <c r="F713" s="6" t="str">
        <f t="shared" si="61"/>
        <v/>
      </c>
      <c r="G713" s="4"/>
      <c r="H713" s="4"/>
      <c r="I713" s="4"/>
      <c r="J713" s="4"/>
      <c r="K713" s="4"/>
      <c r="L713" s="4"/>
      <c r="M713" s="4"/>
      <c r="N713" s="4"/>
      <c r="O713" s="4"/>
      <c r="P713" s="4"/>
      <c r="Q713" s="4"/>
      <c r="R713" s="14"/>
      <c r="S713" s="14"/>
      <c r="T713" s="14"/>
      <c r="U713" s="14"/>
      <c r="V713" s="14"/>
      <c r="W713" s="14"/>
      <c r="X713" s="1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G713" s="4"/>
      <c r="BH713" s="4"/>
    </row>
    <row r="714" spans="1:60" x14ac:dyDescent="0.35">
      <c r="A714" s="4"/>
      <c r="B714" s="8" t="str">
        <f t="shared" si="58"/>
        <v/>
      </c>
      <c r="D714" s="6" t="str">
        <f t="shared" si="59"/>
        <v/>
      </c>
      <c r="E714" s="6" t="str">
        <f t="shared" si="60"/>
        <v/>
      </c>
      <c r="F714" s="6" t="str">
        <f t="shared" si="61"/>
        <v/>
      </c>
      <c r="G714" s="4"/>
      <c r="H714" s="4"/>
      <c r="I714" s="4"/>
      <c r="J714" s="4"/>
      <c r="K714" s="4"/>
      <c r="L714" s="4"/>
      <c r="M714" s="4"/>
      <c r="N714" s="4"/>
      <c r="O714" s="4"/>
      <c r="P714" s="4"/>
      <c r="Q714" s="4"/>
      <c r="R714" s="14"/>
      <c r="S714" s="14"/>
      <c r="T714" s="14"/>
      <c r="U714" s="14"/>
      <c r="V714" s="14"/>
      <c r="W714" s="14"/>
      <c r="X714" s="1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G714" s="4"/>
      <c r="BH714" s="4"/>
    </row>
    <row r="715" spans="1:60" x14ac:dyDescent="0.35">
      <c r="A715" s="4"/>
      <c r="B715" s="8" t="str">
        <f t="shared" si="58"/>
        <v/>
      </c>
      <c r="D715" s="6" t="str">
        <f t="shared" si="59"/>
        <v/>
      </c>
      <c r="E715" s="6" t="str">
        <f t="shared" si="60"/>
        <v/>
      </c>
      <c r="F715" s="6" t="str">
        <f t="shared" si="61"/>
        <v/>
      </c>
      <c r="G715" s="4"/>
      <c r="H715" s="4"/>
      <c r="I715" s="4"/>
      <c r="J715" s="4"/>
      <c r="K715" s="4"/>
      <c r="L715" s="4"/>
      <c r="M715" s="4"/>
      <c r="N715" s="4"/>
      <c r="O715" s="4"/>
      <c r="P715" s="4"/>
      <c r="Q715" s="4"/>
      <c r="R715" s="14"/>
      <c r="S715" s="14"/>
      <c r="T715" s="14"/>
      <c r="U715" s="14"/>
      <c r="V715" s="14"/>
      <c r="W715" s="14"/>
      <c r="X715" s="1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G715" s="4"/>
      <c r="BH715" s="4"/>
    </row>
    <row r="716" spans="1:60" x14ac:dyDescent="0.35">
      <c r="A716" s="4"/>
      <c r="B716" s="8" t="str">
        <f t="shared" si="58"/>
        <v/>
      </c>
      <c r="D716" s="6" t="str">
        <f t="shared" si="59"/>
        <v/>
      </c>
      <c r="E716" s="6" t="str">
        <f t="shared" si="60"/>
        <v/>
      </c>
      <c r="F716" s="6" t="str">
        <f t="shared" si="61"/>
        <v/>
      </c>
      <c r="G716" s="4"/>
      <c r="H716" s="4"/>
      <c r="I716" s="4"/>
      <c r="J716" s="4"/>
      <c r="K716" s="4"/>
      <c r="L716" s="4"/>
      <c r="M716" s="4"/>
      <c r="N716" s="4"/>
      <c r="O716" s="4"/>
      <c r="P716" s="4"/>
      <c r="Q716" s="4"/>
      <c r="R716" s="14"/>
      <c r="S716" s="14"/>
      <c r="T716" s="14"/>
      <c r="U716" s="14"/>
      <c r="V716" s="14"/>
      <c r="W716" s="14"/>
      <c r="X716" s="1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G716" s="4"/>
      <c r="BH716" s="4"/>
    </row>
    <row r="717" spans="1:60" x14ac:dyDescent="0.35">
      <c r="A717" s="4"/>
      <c r="B717" s="8" t="str">
        <f t="shared" si="58"/>
        <v/>
      </c>
      <c r="D717" s="6" t="str">
        <f t="shared" si="59"/>
        <v/>
      </c>
      <c r="E717" s="6" t="str">
        <f t="shared" si="60"/>
        <v/>
      </c>
      <c r="F717" s="6" t="str">
        <f t="shared" si="61"/>
        <v/>
      </c>
      <c r="G717" s="4"/>
      <c r="H717" s="4"/>
      <c r="I717" s="4"/>
      <c r="J717" s="4"/>
      <c r="K717" s="4"/>
      <c r="L717" s="4"/>
      <c r="M717" s="4"/>
      <c r="N717" s="4"/>
      <c r="O717" s="4"/>
      <c r="P717" s="4"/>
      <c r="Q717" s="4"/>
      <c r="R717" s="14"/>
      <c r="S717" s="14"/>
      <c r="T717" s="14"/>
      <c r="U717" s="14"/>
      <c r="V717" s="14"/>
      <c r="W717" s="14"/>
      <c r="X717" s="1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G717" s="4"/>
      <c r="BH717" s="4"/>
    </row>
    <row r="718" spans="1:60" x14ac:dyDescent="0.35">
      <c r="A718" s="4"/>
      <c r="B718" s="8" t="str">
        <f t="shared" si="58"/>
        <v/>
      </c>
      <c r="D718" s="6" t="str">
        <f t="shared" si="59"/>
        <v/>
      </c>
      <c r="E718" s="6" t="str">
        <f t="shared" si="60"/>
        <v/>
      </c>
      <c r="F718" s="6" t="str">
        <f t="shared" si="61"/>
        <v/>
      </c>
      <c r="G718" s="4"/>
      <c r="H718" s="4"/>
      <c r="I718" s="4"/>
      <c r="J718" s="4"/>
      <c r="K718" s="4"/>
      <c r="L718" s="4"/>
      <c r="M718" s="4"/>
      <c r="N718" s="4"/>
      <c r="O718" s="4"/>
      <c r="P718" s="4"/>
      <c r="Q718" s="4"/>
      <c r="R718" s="14"/>
      <c r="S718" s="14"/>
      <c r="T718" s="14"/>
      <c r="U718" s="14"/>
      <c r="V718" s="14"/>
      <c r="W718" s="14"/>
      <c r="X718" s="1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G718" s="4"/>
      <c r="BH718" s="4"/>
    </row>
    <row r="719" spans="1:60" x14ac:dyDescent="0.35">
      <c r="A719" s="4"/>
      <c r="B719" s="8" t="str">
        <f t="shared" si="58"/>
        <v/>
      </c>
      <c r="D719" s="6" t="str">
        <f t="shared" si="59"/>
        <v/>
      </c>
      <c r="E719" s="6" t="str">
        <f t="shared" si="60"/>
        <v/>
      </c>
      <c r="F719" s="6" t="str">
        <f t="shared" si="61"/>
        <v/>
      </c>
      <c r="G719" s="4"/>
      <c r="H719" s="4"/>
      <c r="I719" s="4"/>
      <c r="J719" s="4"/>
      <c r="K719" s="4"/>
      <c r="L719" s="4"/>
      <c r="M719" s="4"/>
      <c r="N719" s="4"/>
      <c r="O719" s="4"/>
      <c r="P719" s="4"/>
      <c r="Q719" s="4"/>
      <c r="R719" s="14"/>
      <c r="S719" s="14"/>
      <c r="T719" s="14"/>
      <c r="U719" s="14"/>
      <c r="V719" s="14"/>
      <c r="W719" s="14"/>
      <c r="X719" s="1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G719" s="4"/>
      <c r="BH719" s="4"/>
    </row>
    <row r="720" spans="1:60" x14ac:dyDescent="0.35">
      <c r="A720" s="4"/>
      <c r="B720" s="8" t="str">
        <f t="shared" si="58"/>
        <v/>
      </c>
      <c r="D720" s="6" t="str">
        <f t="shared" si="59"/>
        <v/>
      </c>
      <c r="E720" s="6" t="str">
        <f t="shared" si="60"/>
        <v/>
      </c>
      <c r="F720" s="6" t="str">
        <f t="shared" si="61"/>
        <v/>
      </c>
      <c r="G720" s="4"/>
      <c r="H720" s="4"/>
      <c r="I720" s="4"/>
      <c r="J720" s="4"/>
      <c r="K720" s="4"/>
      <c r="L720" s="4"/>
      <c r="M720" s="4"/>
      <c r="N720" s="4"/>
      <c r="O720" s="4"/>
      <c r="P720" s="4"/>
      <c r="Q720" s="4"/>
      <c r="R720" s="14"/>
      <c r="S720" s="14"/>
      <c r="T720" s="14"/>
      <c r="U720" s="14"/>
      <c r="V720" s="14"/>
      <c r="W720" s="14"/>
      <c r="X720" s="1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G720" s="4"/>
      <c r="BH720" s="4"/>
    </row>
    <row r="721" spans="1:60" x14ac:dyDescent="0.35">
      <c r="A721" s="4"/>
      <c r="B721" s="8" t="str">
        <f t="shared" si="58"/>
        <v/>
      </c>
      <c r="D721" s="6" t="str">
        <f t="shared" si="59"/>
        <v/>
      </c>
      <c r="E721" s="6" t="str">
        <f t="shared" si="60"/>
        <v/>
      </c>
      <c r="F721" s="6" t="str">
        <f t="shared" si="61"/>
        <v/>
      </c>
      <c r="G721" s="4"/>
      <c r="H721" s="4"/>
      <c r="I721" s="4"/>
      <c r="J721" s="4"/>
      <c r="K721" s="4"/>
      <c r="L721" s="4"/>
      <c r="M721" s="4"/>
      <c r="N721" s="4"/>
      <c r="O721" s="4"/>
      <c r="P721" s="4"/>
      <c r="Q721" s="4"/>
      <c r="R721" s="14"/>
      <c r="S721" s="14"/>
      <c r="T721" s="14"/>
      <c r="U721" s="14"/>
      <c r="V721" s="14"/>
      <c r="W721" s="14"/>
      <c r="X721" s="1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G721" s="4"/>
      <c r="BH721" s="4"/>
    </row>
    <row r="722" spans="1:60" x14ac:dyDescent="0.35">
      <c r="A722" s="4"/>
      <c r="B722" s="8" t="str">
        <f t="shared" si="58"/>
        <v/>
      </c>
      <c r="D722" s="6" t="str">
        <f t="shared" si="59"/>
        <v/>
      </c>
      <c r="E722" s="6" t="str">
        <f t="shared" si="60"/>
        <v/>
      </c>
      <c r="F722" s="6" t="str">
        <f t="shared" si="61"/>
        <v/>
      </c>
      <c r="G722" s="4"/>
      <c r="H722" s="4"/>
      <c r="I722" s="4"/>
      <c r="J722" s="4"/>
      <c r="K722" s="4"/>
      <c r="L722" s="4"/>
      <c r="M722" s="4"/>
      <c r="N722" s="4"/>
      <c r="O722" s="4"/>
      <c r="P722" s="4"/>
      <c r="Q722" s="4"/>
      <c r="R722" s="14"/>
      <c r="S722" s="14"/>
      <c r="T722" s="14"/>
      <c r="U722" s="14"/>
      <c r="V722" s="14"/>
      <c r="W722" s="14"/>
      <c r="X722" s="1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G722" s="4"/>
      <c r="BH722" s="4"/>
    </row>
    <row r="723" spans="1:60" x14ac:dyDescent="0.35">
      <c r="A723" s="4"/>
      <c r="B723" s="8" t="str">
        <f t="shared" si="58"/>
        <v/>
      </c>
      <c r="D723" s="6" t="str">
        <f t="shared" si="59"/>
        <v/>
      </c>
      <c r="E723" s="6" t="str">
        <f t="shared" si="60"/>
        <v/>
      </c>
      <c r="F723" s="6" t="str">
        <f t="shared" si="61"/>
        <v/>
      </c>
      <c r="G723" s="4"/>
      <c r="H723" s="4"/>
      <c r="I723" s="4"/>
      <c r="J723" s="4"/>
      <c r="K723" s="4"/>
      <c r="L723" s="4"/>
      <c r="M723" s="4"/>
      <c r="N723" s="4"/>
      <c r="O723" s="4"/>
      <c r="P723" s="4"/>
      <c r="Q723" s="4"/>
      <c r="R723" s="14"/>
      <c r="S723" s="14"/>
      <c r="T723" s="14"/>
      <c r="U723" s="14"/>
      <c r="V723" s="14"/>
      <c r="W723" s="14"/>
      <c r="X723" s="1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G723" s="4"/>
      <c r="BH723" s="4"/>
    </row>
    <row r="724" spans="1:60" x14ac:dyDescent="0.35">
      <c r="A724" s="4"/>
      <c r="B724" s="8" t="str">
        <f t="shared" si="58"/>
        <v/>
      </c>
      <c r="D724" s="6" t="str">
        <f t="shared" si="59"/>
        <v/>
      </c>
      <c r="E724" s="6" t="str">
        <f t="shared" si="60"/>
        <v/>
      </c>
      <c r="F724" s="6" t="str">
        <f t="shared" si="61"/>
        <v/>
      </c>
      <c r="G724" s="4"/>
      <c r="H724" s="4"/>
      <c r="I724" s="4"/>
      <c r="J724" s="4"/>
      <c r="K724" s="4"/>
      <c r="L724" s="4"/>
      <c r="M724" s="4"/>
      <c r="N724" s="4"/>
      <c r="O724" s="4"/>
      <c r="P724" s="4"/>
      <c r="Q724" s="4"/>
      <c r="R724" s="14"/>
      <c r="S724" s="14"/>
      <c r="T724" s="14"/>
      <c r="U724" s="14"/>
      <c r="V724" s="14"/>
      <c r="W724" s="14"/>
      <c r="X724" s="1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G724" s="4"/>
      <c r="BH724" s="4"/>
    </row>
    <row r="725" spans="1:60" x14ac:dyDescent="0.35">
      <c r="A725" s="4"/>
      <c r="B725" s="8" t="str">
        <f t="shared" si="58"/>
        <v/>
      </c>
      <c r="D725" s="6" t="str">
        <f t="shared" si="59"/>
        <v/>
      </c>
      <c r="E725" s="6" t="str">
        <f t="shared" si="60"/>
        <v/>
      </c>
      <c r="F725" s="6" t="str">
        <f t="shared" si="61"/>
        <v/>
      </c>
      <c r="G725" s="4"/>
      <c r="H725" s="4"/>
      <c r="I725" s="4"/>
      <c r="J725" s="4"/>
      <c r="K725" s="4"/>
      <c r="L725" s="4"/>
      <c r="M725" s="4"/>
      <c r="N725" s="4"/>
      <c r="O725" s="4"/>
      <c r="P725" s="4"/>
      <c r="Q725" s="4"/>
      <c r="R725" s="14"/>
      <c r="S725" s="14"/>
      <c r="T725" s="14"/>
      <c r="U725" s="14"/>
      <c r="V725" s="14"/>
      <c r="W725" s="14"/>
      <c r="X725" s="1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G725" s="4"/>
      <c r="BH725" s="4"/>
    </row>
    <row r="726" spans="1:60" x14ac:dyDescent="0.35">
      <c r="A726" s="4"/>
      <c r="B726" s="8" t="str">
        <f t="shared" si="58"/>
        <v/>
      </c>
      <c r="D726" s="6" t="str">
        <f t="shared" si="59"/>
        <v/>
      </c>
      <c r="E726" s="6" t="str">
        <f t="shared" si="60"/>
        <v/>
      </c>
      <c r="F726" s="6" t="str">
        <f t="shared" si="61"/>
        <v/>
      </c>
      <c r="G726" s="4"/>
      <c r="H726" s="4"/>
      <c r="I726" s="4"/>
      <c r="J726" s="4"/>
      <c r="K726" s="4"/>
      <c r="L726" s="4"/>
      <c r="M726" s="4"/>
      <c r="N726" s="4"/>
      <c r="O726" s="4"/>
      <c r="P726" s="4"/>
      <c r="Q726" s="4"/>
      <c r="R726" s="14"/>
      <c r="S726" s="14"/>
      <c r="T726" s="14"/>
      <c r="U726" s="14"/>
      <c r="V726" s="14"/>
      <c r="W726" s="14"/>
      <c r="X726" s="1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G726" s="4"/>
      <c r="BH726" s="4"/>
    </row>
    <row r="727" spans="1:60" x14ac:dyDescent="0.35">
      <c r="A727" s="4"/>
      <c r="B727" s="8" t="str">
        <f t="shared" si="58"/>
        <v/>
      </c>
      <c r="D727" s="6" t="str">
        <f t="shared" si="59"/>
        <v/>
      </c>
      <c r="E727" s="6" t="str">
        <f t="shared" si="60"/>
        <v/>
      </c>
      <c r="F727" s="6" t="str">
        <f t="shared" si="61"/>
        <v/>
      </c>
      <c r="G727" s="4"/>
      <c r="H727" s="4"/>
      <c r="I727" s="4"/>
      <c r="J727" s="4"/>
      <c r="K727" s="4"/>
      <c r="L727" s="4"/>
      <c r="M727" s="4"/>
      <c r="N727" s="4"/>
      <c r="O727" s="4"/>
      <c r="P727" s="4"/>
      <c r="Q727" s="4"/>
      <c r="R727" s="14"/>
      <c r="S727" s="14"/>
      <c r="T727" s="14"/>
      <c r="U727" s="14"/>
      <c r="V727" s="14"/>
      <c r="W727" s="14"/>
      <c r="X727" s="1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G727" s="4"/>
      <c r="BH727" s="4"/>
    </row>
    <row r="728" spans="1:60" x14ac:dyDescent="0.35">
      <c r="A728" s="4"/>
      <c r="B728" s="8" t="str">
        <f t="shared" si="58"/>
        <v/>
      </c>
      <c r="D728" s="6" t="str">
        <f t="shared" si="59"/>
        <v/>
      </c>
      <c r="E728" s="6" t="str">
        <f t="shared" si="60"/>
        <v/>
      </c>
      <c r="F728" s="6" t="str">
        <f t="shared" si="61"/>
        <v/>
      </c>
      <c r="G728" s="4"/>
      <c r="H728" s="4"/>
      <c r="I728" s="4"/>
      <c r="J728" s="4"/>
      <c r="K728" s="4"/>
      <c r="L728" s="4"/>
      <c r="M728" s="4"/>
      <c r="N728" s="4"/>
      <c r="O728" s="4"/>
      <c r="P728" s="4"/>
      <c r="Q728" s="4"/>
      <c r="R728" s="14"/>
      <c r="S728" s="14"/>
      <c r="T728" s="14"/>
      <c r="U728" s="14"/>
      <c r="V728" s="14"/>
      <c r="W728" s="14"/>
      <c r="X728" s="1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G728" s="4"/>
      <c r="BH728" s="4"/>
    </row>
    <row r="729" spans="1:60" x14ac:dyDescent="0.35">
      <c r="A729" s="4"/>
      <c r="B729" s="8" t="str">
        <f t="shared" si="58"/>
        <v/>
      </c>
      <c r="D729" s="6" t="str">
        <f t="shared" si="59"/>
        <v/>
      </c>
      <c r="E729" s="6" t="str">
        <f t="shared" si="60"/>
        <v/>
      </c>
      <c r="F729" s="6" t="str">
        <f t="shared" si="61"/>
        <v/>
      </c>
      <c r="G729" s="4"/>
      <c r="H729" s="4"/>
      <c r="I729" s="4"/>
      <c r="J729" s="4"/>
      <c r="K729" s="4"/>
      <c r="L729" s="4"/>
      <c r="M729" s="4"/>
      <c r="N729" s="4"/>
      <c r="O729" s="4"/>
      <c r="P729" s="4"/>
      <c r="Q729" s="4"/>
      <c r="R729" s="14"/>
      <c r="S729" s="14"/>
      <c r="T729" s="14"/>
      <c r="U729" s="14"/>
      <c r="V729" s="14"/>
      <c r="W729" s="14"/>
      <c r="X729" s="1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G729" s="4"/>
      <c r="BH729" s="4"/>
    </row>
    <row r="730" spans="1:60" x14ac:dyDescent="0.35">
      <c r="A730" s="4"/>
      <c r="B730" s="8" t="str">
        <f t="shared" si="58"/>
        <v/>
      </c>
      <c r="D730" s="6" t="str">
        <f t="shared" si="59"/>
        <v/>
      </c>
      <c r="E730" s="6" t="str">
        <f t="shared" si="60"/>
        <v/>
      </c>
      <c r="F730" s="6" t="str">
        <f t="shared" si="61"/>
        <v/>
      </c>
      <c r="G730" s="4"/>
      <c r="H730" s="4"/>
      <c r="I730" s="4"/>
      <c r="J730" s="4"/>
      <c r="K730" s="4"/>
      <c r="L730" s="4"/>
      <c r="M730" s="4"/>
      <c r="N730" s="4"/>
      <c r="O730" s="4"/>
      <c r="P730" s="4"/>
      <c r="Q730" s="4"/>
      <c r="R730" s="14"/>
      <c r="S730" s="14"/>
      <c r="T730" s="14"/>
      <c r="U730" s="14"/>
      <c r="V730" s="14"/>
      <c r="W730" s="14"/>
      <c r="X730" s="1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G730" s="4"/>
      <c r="BH730" s="4"/>
    </row>
    <row r="731" spans="1:60" x14ac:dyDescent="0.35">
      <c r="A731" s="4"/>
      <c r="B731" s="8" t="str">
        <f t="shared" si="58"/>
        <v/>
      </c>
      <c r="D731" s="6" t="str">
        <f t="shared" si="59"/>
        <v/>
      </c>
      <c r="E731" s="6" t="str">
        <f t="shared" si="60"/>
        <v/>
      </c>
      <c r="F731" s="6" t="str">
        <f t="shared" si="61"/>
        <v/>
      </c>
      <c r="G731" s="4"/>
      <c r="H731" s="4"/>
      <c r="I731" s="4"/>
      <c r="J731" s="4"/>
      <c r="K731" s="4"/>
      <c r="L731" s="4"/>
      <c r="M731" s="4"/>
      <c r="N731" s="4"/>
      <c r="O731" s="4"/>
      <c r="P731" s="4"/>
      <c r="Q731" s="4"/>
      <c r="R731" s="14"/>
      <c r="S731" s="14"/>
      <c r="T731" s="14"/>
      <c r="U731" s="14"/>
      <c r="V731" s="14"/>
      <c r="W731" s="14"/>
      <c r="X731" s="1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G731" s="4"/>
      <c r="BH731" s="4"/>
    </row>
    <row r="732" spans="1:60" x14ac:dyDescent="0.35">
      <c r="A732" s="4"/>
      <c r="B732" s="8" t="str">
        <f t="shared" si="58"/>
        <v/>
      </c>
      <c r="D732" s="6" t="str">
        <f t="shared" si="59"/>
        <v/>
      </c>
      <c r="E732" s="6" t="str">
        <f t="shared" si="60"/>
        <v/>
      </c>
      <c r="F732" s="6" t="str">
        <f t="shared" si="61"/>
        <v/>
      </c>
      <c r="G732" s="4"/>
      <c r="H732" s="4"/>
      <c r="I732" s="4"/>
      <c r="J732" s="4"/>
      <c r="K732" s="4"/>
      <c r="L732" s="4"/>
      <c r="M732" s="4"/>
      <c r="N732" s="4"/>
      <c r="O732" s="4"/>
      <c r="P732" s="4"/>
      <c r="Q732" s="4"/>
      <c r="R732" s="14"/>
      <c r="S732" s="14"/>
      <c r="T732" s="14"/>
      <c r="U732" s="14"/>
      <c r="V732" s="14"/>
      <c r="W732" s="14"/>
      <c r="X732" s="1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G732" s="4"/>
      <c r="BH732" s="4"/>
    </row>
    <row r="733" spans="1:60" x14ac:dyDescent="0.35">
      <c r="A733" s="4"/>
      <c r="B733" s="8" t="str">
        <f t="shared" si="58"/>
        <v/>
      </c>
      <c r="D733" s="6" t="str">
        <f t="shared" si="59"/>
        <v/>
      </c>
      <c r="E733" s="6" t="str">
        <f t="shared" si="60"/>
        <v/>
      </c>
      <c r="F733" s="6" t="str">
        <f t="shared" si="61"/>
        <v/>
      </c>
      <c r="G733" s="4"/>
      <c r="H733" s="4"/>
      <c r="I733" s="4"/>
      <c r="J733" s="4"/>
      <c r="K733" s="4"/>
      <c r="L733" s="4"/>
      <c r="M733" s="4"/>
      <c r="N733" s="4"/>
      <c r="O733" s="4"/>
      <c r="P733" s="4"/>
      <c r="Q733" s="4"/>
      <c r="R733" s="14"/>
      <c r="S733" s="14"/>
      <c r="T733" s="14"/>
      <c r="U733" s="14"/>
      <c r="V733" s="14"/>
      <c r="W733" s="14"/>
      <c r="X733" s="1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G733" s="4"/>
      <c r="BH733" s="4"/>
    </row>
    <row r="734" spans="1:60" x14ac:dyDescent="0.35">
      <c r="A734" s="4"/>
      <c r="B734" s="8" t="str">
        <f t="shared" si="58"/>
        <v/>
      </c>
      <c r="D734" s="6" t="str">
        <f t="shared" si="59"/>
        <v/>
      </c>
      <c r="E734" s="6" t="str">
        <f t="shared" si="60"/>
        <v/>
      </c>
      <c r="F734" s="6" t="str">
        <f t="shared" si="61"/>
        <v/>
      </c>
      <c r="G734" s="4"/>
      <c r="H734" s="4"/>
      <c r="I734" s="4"/>
      <c r="J734" s="4"/>
      <c r="K734" s="4"/>
      <c r="L734" s="4"/>
      <c r="M734" s="4"/>
      <c r="N734" s="4"/>
      <c r="O734" s="4"/>
      <c r="P734" s="4"/>
      <c r="Q734" s="4"/>
      <c r="R734" s="14"/>
      <c r="S734" s="14"/>
      <c r="T734" s="14"/>
      <c r="U734" s="14"/>
      <c r="V734" s="14"/>
      <c r="W734" s="14"/>
      <c r="X734" s="1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G734" s="4"/>
      <c r="BH734" s="4"/>
    </row>
    <row r="735" spans="1:60" x14ac:dyDescent="0.35">
      <c r="A735" s="4"/>
      <c r="B735" s="8" t="str">
        <f t="shared" si="58"/>
        <v/>
      </c>
      <c r="D735" s="6" t="str">
        <f t="shared" si="59"/>
        <v/>
      </c>
      <c r="E735" s="6" t="str">
        <f t="shared" si="60"/>
        <v/>
      </c>
      <c r="F735" s="6" t="str">
        <f t="shared" si="61"/>
        <v/>
      </c>
      <c r="G735" s="4"/>
      <c r="H735" s="4"/>
      <c r="I735" s="4"/>
      <c r="J735" s="4"/>
      <c r="K735" s="4"/>
      <c r="L735" s="4"/>
      <c r="M735" s="4"/>
      <c r="N735" s="4"/>
      <c r="O735" s="4"/>
      <c r="P735" s="4"/>
      <c r="Q735" s="4"/>
      <c r="R735" s="14"/>
      <c r="S735" s="14"/>
      <c r="T735" s="14"/>
      <c r="U735" s="14"/>
      <c r="V735" s="14"/>
      <c r="W735" s="14"/>
      <c r="X735" s="1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G735" s="4"/>
      <c r="BH735" s="4"/>
    </row>
    <row r="736" spans="1:60" x14ac:dyDescent="0.35">
      <c r="A736" s="4"/>
      <c r="B736" s="8" t="str">
        <f t="shared" si="58"/>
        <v/>
      </c>
      <c r="D736" s="6" t="str">
        <f t="shared" si="59"/>
        <v/>
      </c>
      <c r="E736" s="6" t="str">
        <f t="shared" si="60"/>
        <v/>
      </c>
      <c r="F736" s="6" t="str">
        <f t="shared" si="61"/>
        <v/>
      </c>
      <c r="G736" s="4"/>
      <c r="H736" s="4"/>
      <c r="I736" s="4"/>
      <c r="J736" s="4"/>
      <c r="K736" s="4"/>
      <c r="L736" s="4"/>
      <c r="M736" s="4"/>
      <c r="N736" s="4"/>
      <c r="O736" s="4"/>
      <c r="P736" s="4"/>
      <c r="Q736" s="4"/>
      <c r="R736" s="14"/>
      <c r="S736" s="14"/>
      <c r="T736" s="14"/>
      <c r="U736" s="14"/>
      <c r="V736" s="14"/>
      <c r="W736" s="14"/>
      <c r="X736" s="1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G736" s="4"/>
      <c r="BH736" s="4"/>
    </row>
    <row r="737" spans="1:60" x14ac:dyDescent="0.35">
      <c r="A737" s="4"/>
      <c r="B737" s="8" t="str">
        <f t="shared" si="58"/>
        <v/>
      </c>
      <c r="D737" s="6" t="str">
        <f t="shared" si="59"/>
        <v/>
      </c>
      <c r="E737" s="6" t="str">
        <f t="shared" si="60"/>
        <v/>
      </c>
      <c r="F737" s="6" t="str">
        <f t="shared" si="61"/>
        <v/>
      </c>
      <c r="G737" s="4"/>
      <c r="H737" s="4"/>
      <c r="I737" s="4"/>
      <c r="J737" s="4"/>
      <c r="K737" s="4"/>
      <c r="L737" s="4"/>
      <c r="M737" s="4"/>
      <c r="N737" s="4"/>
      <c r="O737" s="4"/>
      <c r="P737" s="4"/>
      <c r="Q737" s="4"/>
      <c r="R737" s="14"/>
      <c r="S737" s="14"/>
      <c r="T737" s="14"/>
      <c r="U737" s="14"/>
      <c r="V737" s="14"/>
      <c r="W737" s="14"/>
      <c r="X737" s="1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G737" s="4"/>
      <c r="BH737" s="4"/>
    </row>
    <row r="738" spans="1:60" x14ac:dyDescent="0.35">
      <c r="A738" s="4"/>
      <c r="B738" s="8" t="str">
        <f t="shared" si="58"/>
        <v/>
      </c>
      <c r="D738" s="6" t="str">
        <f t="shared" si="59"/>
        <v/>
      </c>
      <c r="E738" s="6" t="str">
        <f t="shared" si="60"/>
        <v/>
      </c>
      <c r="F738" s="6" t="str">
        <f t="shared" si="61"/>
        <v/>
      </c>
      <c r="G738" s="4"/>
      <c r="H738" s="4"/>
      <c r="I738" s="4"/>
      <c r="J738" s="4"/>
      <c r="K738" s="4"/>
      <c r="L738" s="4"/>
      <c r="M738" s="4"/>
      <c r="N738" s="4"/>
      <c r="O738" s="4"/>
      <c r="P738" s="4"/>
      <c r="Q738" s="4"/>
      <c r="R738" s="14"/>
      <c r="S738" s="14"/>
      <c r="T738" s="14"/>
      <c r="U738" s="14"/>
      <c r="V738" s="14"/>
      <c r="W738" s="14"/>
      <c r="X738" s="1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G738" s="4"/>
      <c r="BH738" s="4"/>
    </row>
    <row r="739" spans="1:60" x14ac:dyDescent="0.35">
      <c r="A739" s="4"/>
      <c r="B739" s="8" t="str">
        <f t="shared" si="58"/>
        <v/>
      </c>
      <c r="D739" s="6" t="str">
        <f t="shared" si="59"/>
        <v/>
      </c>
      <c r="E739" s="6" t="str">
        <f t="shared" si="60"/>
        <v/>
      </c>
      <c r="F739" s="6" t="str">
        <f t="shared" si="61"/>
        <v/>
      </c>
      <c r="G739" s="4"/>
      <c r="H739" s="4"/>
      <c r="I739" s="4"/>
      <c r="J739" s="4"/>
      <c r="K739" s="4"/>
      <c r="L739" s="4"/>
      <c r="M739" s="4"/>
      <c r="N739" s="4"/>
      <c r="O739" s="4"/>
      <c r="P739" s="4"/>
      <c r="Q739" s="4"/>
      <c r="R739" s="14"/>
      <c r="S739" s="14"/>
      <c r="T739" s="14"/>
      <c r="U739" s="14"/>
      <c r="V739" s="14"/>
      <c r="W739" s="14"/>
      <c r="X739" s="1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G739" s="4"/>
      <c r="BH739" s="4"/>
    </row>
    <row r="740" spans="1:60" x14ac:dyDescent="0.35">
      <c r="A740" s="4"/>
      <c r="B740" s="8" t="str">
        <f t="shared" si="58"/>
        <v/>
      </c>
      <c r="D740" s="6" t="str">
        <f t="shared" si="59"/>
        <v/>
      </c>
      <c r="E740" s="6" t="str">
        <f t="shared" si="60"/>
        <v/>
      </c>
      <c r="F740" s="6" t="str">
        <f t="shared" si="61"/>
        <v/>
      </c>
      <c r="G740" s="4"/>
      <c r="H740" s="4"/>
      <c r="I740" s="4"/>
      <c r="J740" s="4"/>
      <c r="K740" s="4"/>
      <c r="L740" s="4"/>
      <c r="M740" s="4"/>
      <c r="N740" s="4"/>
      <c r="O740" s="4"/>
      <c r="P740" s="4"/>
      <c r="Q740" s="4"/>
      <c r="R740" s="14"/>
      <c r="S740" s="14"/>
      <c r="T740" s="14"/>
      <c r="U740" s="14"/>
      <c r="V740" s="14"/>
      <c r="W740" s="14"/>
      <c r="X740" s="1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G740" s="4"/>
      <c r="BH740" s="4"/>
    </row>
    <row r="741" spans="1:60" x14ac:dyDescent="0.35">
      <c r="A741" s="4"/>
      <c r="B741" s="8" t="str">
        <f t="shared" si="58"/>
        <v/>
      </c>
      <c r="D741" s="6" t="str">
        <f t="shared" si="59"/>
        <v/>
      </c>
      <c r="E741" s="6" t="str">
        <f t="shared" si="60"/>
        <v/>
      </c>
      <c r="F741" s="6" t="str">
        <f t="shared" si="61"/>
        <v/>
      </c>
      <c r="G741" s="4"/>
      <c r="H741" s="4"/>
      <c r="I741" s="4"/>
      <c r="J741" s="4"/>
      <c r="K741" s="4"/>
      <c r="L741" s="4"/>
      <c r="M741" s="4"/>
      <c r="N741" s="4"/>
      <c r="O741" s="4"/>
      <c r="P741" s="4"/>
      <c r="Q741" s="4"/>
      <c r="R741" s="14"/>
      <c r="S741" s="14"/>
      <c r="T741" s="14"/>
      <c r="U741" s="14"/>
      <c r="V741" s="14"/>
      <c r="W741" s="14"/>
      <c r="X741" s="1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G741" s="4"/>
      <c r="BH741" s="4"/>
    </row>
    <row r="742" spans="1:60" x14ac:dyDescent="0.35">
      <c r="A742" s="4"/>
      <c r="B742" s="8" t="str">
        <f t="shared" si="58"/>
        <v/>
      </c>
      <c r="D742" s="6" t="str">
        <f t="shared" si="59"/>
        <v/>
      </c>
      <c r="E742" s="6" t="str">
        <f t="shared" si="60"/>
        <v/>
      </c>
      <c r="F742" s="6" t="str">
        <f t="shared" si="61"/>
        <v/>
      </c>
      <c r="G742" s="4"/>
      <c r="H742" s="4"/>
      <c r="I742" s="4"/>
      <c r="J742" s="4"/>
      <c r="K742" s="4"/>
      <c r="L742" s="4"/>
      <c r="M742" s="4"/>
      <c r="N742" s="4"/>
      <c r="O742" s="4"/>
      <c r="P742" s="4"/>
      <c r="Q742" s="4"/>
      <c r="R742" s="14"/>
      <c r="S742" s="14"/>
      <c r="T742" s="14"/>
      <c r="U742" s="14"/>
      <c r="V742" s="14"/>
      <c r="W742" s="14"/>
      <c r="X742" s="1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G742" s="4"/>
      <c r="BH742" s="4"/>
    </row>
    <row r="743" spans="1:60" x14ac:dyDescent="0.35">
      <c r="A743" s="4"/>
      <c r="B743" s="8" t="str">
        <f t="shared" si="58"/>
        <v/>
      </c>
      <c r="D743" s="6" t="str">
        <f t="shared" si="59"/>
        <v/>
      </c>
      <c r="E743" s="6" t="str">
        <f t="shared" si="60"/>
        <v/>
      </c>
      <c r="F743" s="6" t="str">
        <f t="shared" si="61"/>
        <v/>
      </c>
      <c r="G743" s="4"/>
      <c r="H743" s="4"/>
      <c r="I743" s="4"/>
      <c r="J743" s="4"/>
      <c r="K743" s="4"/>
      <c r="L743" s="4"/>
      <c r="M743" s="4"/>
      <c r="N743" s="4"/>
      <c r="O743" s="4"/>
      <c r="P743" s="4"/>
      <c r="Q743" s="4"/>
      <c r="R743" s="14"/>
      <c r="S743" s="14"/>
      <c r="T743" s="14"/>
      <c r="U743" s="14"/>
      <c r="V743" s="14"/>
      <c r="W743" s="14"/>
      <c r="X743" s="1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G743" s="4"/>
      <c r="BH743" s="4"/>
    </row>
    <row r="744" spans="1:60" x14ac:dyDescent="0.35">
      <c r="A744" s="4"/>
      <c r="B744" s="8" t="str">
        <f t="shared" si="58"/>
        <v/>
      </c>
      <c r="D744" s="6" t="str">
        <f t="shared" si="59"/>
        <v/>
      </c>
      <c r="E744" s="6" t="str">
        <f t="shared" si="60"/>
        <v/>
      </c>
      <c r="F744" s="6" t="str">
        <f t="shared" si="61"/>
        <v/>
      </c>
      <c r="G744" s="4"/>
      <c r="H744" s="4"/>
      <c r="I744" s="4"/>
      <c r="J744" s="4"/>
      <c r="K744" s="4"/>
      <c r="L744" s="4"/>
      <c r="M744" s="4"/>
      <c r="N744" s="4"/>
      <c r="O744" s="4"/>
      <c r="P744" s="4"/>
      <c r="Q744" s="4"/>
      <c r="R744" s="14"/>
      <c r="S744" s="14"/>
      <c r="T744" s="14"/>
      <c r="U744" s="14"/>
      <c r="V744" s="14"/>
      <c r="W744" s="14"/>
      <c r="X744" s="1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G744" s="4"/>
      <c r="BH744" s="4"/>
    </row>
    <row r="745" spans="1:60" x14ac:dyDescent="0.35">
      <c r="A745" s="4"/>
      <c r="B745" s="8" t="str">
        <f t="shared" si="58"/>
        <v/>
      </c>
      <c r="D745" s="6" t="str">
        <f t="shared" si="59"/>
        <v/>
      </c>
      <c r="E745" s="6" t="str">
        <f t="shared" si="60"/>
        <v/>
      </c>
      <c r="F745" s="6" t="str">
        <f t="shared" si="61"/>
        <v/>
      </c>
      <c r="G745" s="4"/>
      <c r="H745" s="4"/>
      <c r="I745" s="4"/>
      <c r="J745" s="4"/>
      <c r="K745" s="4"/>
      <c r="L745" s="4"/>
      <c r="M745" s="4"/>
      <c r="N745" s="4"/>
      <c r="O745" s="4"/>
      <c r="P745" s="4"/>
      <c r="Q745" s="4"/>
      <c r="R745" s="14"/>
      <c r="S745" s="14"/>
      <c r="T745" s="14"/>
      <c r="U745" s="14"/>
      <c r="V745" s="14"/>
      <c r="W745" s="14"/>
      <c r="X745" s="1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G745" s="4"/>
      <c r="BH745" s="4"/>
    </row>
    <row r="746" spans="1:60" x14ac:dyDescent="0.35">
      <c r="A746" s="4"/>
      <c r="B746" s="8" t="str">
        <f t="shared" si="58"/>
        <v/>
      </c>
      <c r="D746" s="6" t="str">
        <f t="shared" si="59"/>
        <v/>
      </c>
      <c r="E746" s="6" t="str">
        <f t="shared" si="60"/>
        <v/>
      </c>
      <c r="F746" s="6" t="str">
        <f t="shared" si="61"/>
        <v/>
      </c>
      <c r="G746" s="4"/>
      <c r="H746" s="4"/>
      <c r="I746" s="4"/>
      <c r="J746" s="4"/>
      <c r="K746" s="4"/>
      <c r="L746" s="4"/>
      <c r="M746" s="4"/>
      <c r="N746" s="4"/>
      <c r="O746" s="4"/>
      <c r="P746" s="4"/>
      <c r="Q746" s="4"/>
      <c r="R746" s="14"/>
      <c r="S746" s="14"/>
      <c r="T746" s="14"/>
      <c r="U746" s="14"/>
      <c r="V746" s="14"/>
      <c r="W746" s="14"/>
      <c r="X746" s="1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G746" s="4"/>
      <c r="BH746" s="4"/>
    </row>
    <row r="747" spans="1:60" x14ac:dyDescent="0.35">
      <c r="A747" s="4"/>
      <c r="B747" s="8" t="str">
        <f t="shared" si="58"/>
        <v/>
      </c>
      <c r="D747" s="6" t="str">
        <f t="shared" si="59"/>
        <v/>
      </c>
      <c r="E747" s="6" t="str">
        <f t="shared" si="60"/>
        <v/>
      </c>
      <c r="F747" s="6" t="str">
        <f t="shared" si="61"/>
        <v/>
      </c>
      <c r="G747" s="4"/>
      <c r="H747" s="4"/>
      <c r="I747" s="4"/>
      <c r="J747" s="4"/>
      <c r="K747" s="4"/>
      <c r="L747" s="4"/>
      <c r="M747" s="4"/>
      <c r="N747" s="4"/>
      <c r="O747" s="4"/>
      <c r="P747" s="4"/>
      <c r="Q747" s="4"/>
      <c r="R747" s="14"/>
      <c r="S747" s="14"/>
      <c r="T747" s="14"/>
      <c r="U747" s="14"/>
      <c r="V747" s="14"/>
      <c r="W747" s="14"/>
      <c r="X747" s="1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G747" s="4"/>
      <c r="BH747" s="4"/>
    </row>
    <row r="748" spans="1:60" x14ac:dyDescent="0.35">
      <c r="A748" s="4"/>
      <c r="B748" s="8" t="str">
        <f t="shared" si="58"/>
        <v/>
      </c>
      <c r="D748" s="6" t="str">
        <f t="shared" si="59"/>
        <v/>
      </c>
      <c r="E748" s="6" t="str">
        <f t="shared" si="60"/>
        <v/>
      </c>
      <c r="F748" s="6" t="str">
        <f t="shared" si="61"/>
        <v/>
      </c>
      <c r="G748" s="4"/>
      <c r="H748" s="4"/>
      <c r="I748" s="4"/>
      <c r="J748" s="4"/>
      <c r="K748" s="4"/>
      <c r="L748" s="4"/>
      <c r="M748" s="4"/>
      <c r="N748" s="4"/>
      <c r="O748" s="4"/>
      <c r="P748" s="4"/>
      <c r="Q748" s="4"/>
      <c r="R748" s="14"/>
      <c r="S748" s="14"/>
      <c r="T748" s="14"/>
      <c r="U748" s="14"/>
      <c r="V748" s="14"/>
      <c r="W748" s="14"/>
      <c r="X748" s="1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G748" s="4"/>
      <c r="BH748" s="4"/>
    </row>
    <row r="749" spans="1:60" x14ac:dyDescent="0.35">
      <c r="A749" s="4"/>
      <c r="B749" s="8" t="str">
        <f t="shared" si="58"/>
        <v/>
      </c>
      <c r="D749" s="6" t="str">
        <f t="shared" si="59"/>
        <v/>
      </c>
      <c r="E749" s="6" t="str">
        <f t="shared" si="60"/>
        <v/>
      </c>
      <c r="F749" s="6" t="str">
        <f t="shared" si="61"/>
        <v/>
      </c>
      <c r="G749" s="4"/>
      <c r="H749" s="4"/>
      <c r="I749" s="4"/>
      <c r="J749" s="4"/>
      <c r="K749" s="4"/>
      <c r="L749" s="4"/>
      <c r="M749" s="4"/>
      <c r="N749" s="4"/>
      <c r="O749" s="4"/>
      <c r="P749" s="4"/>
      <c r="Q749" s="4"/>
      <c r="R749" s="14"/>
      <c r="S749" s="14"/>
      <c r="T749" s="14"/>
      <c r="U749" s="14"/>
      <c r="V749" s="14"/>
      <c r="W749" s="14"/>
      <c r="X749" s="1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G749" s="4"/>
      <c r="BH749" s="4"/>
    </row>
    <row r="750" spans="1:60" x14ac:dyDescent="0.35">
      <c r="A750" s="4"/>
      <c r="B750" s="8" t="str">
        <f t="shared" si="58"/>
        <v/>
      </c>
      <c r="D750" s="6" t="str">
        <f t="shared" si="59"/>
        <v/>
      </c>
      <c r="E750" s="6" t="str">
        <f t="shared" si="60"/>
        <v/>
      </c>
      <c r="F750" s="6" t="str">
        <f t="shared" si="61"/>
        <v/>
      </c>
      <c r="G750" s="4"/>
      <c r="H750" s="4"/>
      <c r="I750" s="4"/>
      <c r="J750" s="4"/>
      <c r="K750" s="4"/>
      <c r="L750" s="4"/>
      <c r="M750" s="4"/>
      <c r="N750" s="4"/>
      <c r="O750" s="4"/>
      <c r="P750" s="4"/>
      <c r="Q750" s="4"/>
      <c r="R750" s="14"/>
      <c r="S750" s="14"/>
      <c r="T750" s="14"/>
      <c r="U750" s="14"/>
      <c r="V750" s="14"/>
      <c r="W750" s="14"/>
      <c r="X750" s="1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G750" s="4"/>
      <c r="BH750" s="4"/>
    </row>
    <row r="751" spans="1:60" x14ac:dyDescent="0.35">
      <c r="A751" s="4"/>
      <c r="B751" s="8" t="str">
        <f t="shared" si="58"/>
        <v/>
      </c>
      <c r="D751" s="6" t="str">
        <f t="shared" si="59"/>
        <v/>
      </c>
      <c r="E751" s="6" t="str">
        <f t="shared" si="60"/>
        <v/>
      </c>
      <c r="F751" s="6" t="str">
        <f t="shared" si="61"/>
        <v/>
      </c>
      <c r="G751" s="4"/>
      <c r="H751" s="4"/>
      <c r="I751" s="4"/>
      <c r="J751" s="4"/>
      <c r="K751" s="4"/>
      <c r="L751" s="4"/>
      <c r="M751" s="4"/>
      <c r="N751" s="4"/>
      <c r="O751" s="4"/>
      <c r="P751" s="4"/>
      <c r="Q751" s="4"/>
      <c r="R751" s="14"/>
      <c r="S751" s="14"/>
      <c r="T751" s="14"/>
      <c r="U751" s="14"/>
      <c r="V751" s="14"/>
      <c r="W751" s="14"/>
      <c r="X751" s="1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G751" s="4"/>
      <c r="BH751" s="4"/>
    </row>
    <row r="752" spans="1:60" x14ac:dyDescent="0.35">
      <c r="A752" s="4"/>
      <c r="B752" s="8" t="str">
        <f t="shared" si="58"/>
        <v/>
      </c>
      <c r="D752" s="6" t="str">
        <f t="shared" si="59"/>
        <v/>
      </c>
      <c r="E752" s="6" t="str">
        <f t="shared" si="60"/>
        <v/>
      </c>
      <c r="F752" s="6" t="str">
        <f t="shared" si="61"/>
        <v/>
      </c>
      <c r="G752" s="4"/>
      <c r="H752" s="4"/>
      <c r="I752" s="4"/>
      <c r="J752" s="4"/>
      <c r="K752" s="4"/>
      <c r="L752" s="4"/>
      <c r="M752" s="4"/>
      <c r="N752" s="4"/>
      <c r="O752" s="4"/>
      <c r="P752" s="4"/>
      <c r="Q752" s="4"/>
      <c r="R752" s="14"/>
      <c r="S752" s="14"/>
      <c r="T752" s="14"/>
      <c r="U752" s="14"/>
      <c r="V752" s="14"/>
      <c r="W752" s="14"/>
      <c r="X752" s="1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G752" s="4"/>
      <c r="BH752" s="4"/>
    </row>
    <row r="753" spans="1:60" x14ac:dyDescent="0.35">
      <c r="A753" s="4"/>
      <c r="B753" s="8" t="str">
        <f t="shared" si="58"/>
        <v/>
      </c>
      <c r="D753" s="6" t="str">
        <f t="shared" si="59"/>
        <v/>
      </c>
      <c r="E753" s="6" t="str">
        <f t="shared" si="60"/>
        <v/>
      </c>
      <c r="F753" s="6" t="str">
        <f t="shared" si="61"/>
        <v/>
      </c>
      <c r="G753" s="4"/>
      <c r="H753" s="4"/>
      <c r="I753" s="4"/>
      <c r="J753" s="4"/>
      <c r="K753" s="4"/>
      <c r="L753" s="4"/>
      <c r="M753" s="4"/>
      <c r="N753" s="4"/>
      <c r="O753" s="4"/>
      <c r="P753" s="4"/>
      <c r="Q753" s="4"/>
      <c r="R753" s="14"/>
      <c r="S753" s="14"/>
      <c r="T753" s="14"/>
      <c r="U753" s="14"/>
      <c r="V753" s="14"/>
      <c r="W753" s="14"/>
      <c r="X753" s="1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G753" s="4"/>
      <c r="BH753" s="4"/>
    </row>
    <row r="754" spans="1:60" x14ac:dyDescent="0.35">
      <c r="A754" s="4"/>
      <c r="B754" s="8" t="str">
        <f t="shared" si="58"/>
        <v/>
      </c>
      <c r="D754" s="6" t="str">
        <f t="shared" si="59"/>
        <v/>
      </c>
      <c r="E754" s="6" t="str">
        <f t="shared" si="60"/>
        <v/>
      </c>
      <c r="F754" s="6" t="str">
        <f t="shared" si="61"/>
        <v/>
      </c>
      <c r="G754" s="4"/>
      <c r="H754" s="4"/>
      <c r="I754" s="4"/>
      <c r="J754" s="4"/>
      <c r="K754" s="4"/>
      <c r="L754" s="4"/>
      <c r="M754" s="4"/>
      <c r="N754" s="4"/>
      <c r="O754" s="4"/>
      <c r="P754" s="4"/>
      <c r="Q754" s="4"/>
      <c r="R754" s="14"/>
      <c r="S754" s="14"/>
      <c r="T754" s="14"/>
      <c r="U754" s="14"/>
      <c r="V754" s="14"/>
      <c r="W754" s="14"/>
      <c r="X754" s="1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G754" s="4"/>
      <c r="BH754" s="4"/>
    </row>
    <row r="755" spans="1:60" x14ac:dyDescent="0.35">
      <c r="A755" s="4"/>
      <c r="B755" s="8" t="str">
        <f t="shared" si="58"/>
        <v/>
      </c>
      <c r="D755" s="6" t="str">
        <f t="shared" si="59"/>
        <v/>
      </c>
      <c r="E755" s="6" t="str">
        <f t="shared" si="60"/>
        <v/>
      </c>
      <c r="F755" s="6" t="str">
        <f t="shared" si="61"/>
        <v/>
      </c>
      <c r="G755" s="4"/>
      <c r="H755" s="4"/>
      <c r="I755" s="4"/>
      <c r="J755" s="4"/>
      <c r="K755" s="4"/>
      <c r="L755" s="4"/>
      <c r="M755" s="4"/>
      <c r="N755" s="4"/>
      <c r="O755" s="4"/>
      <c r="P755" s="4"/>
      <c r="Q755" s="4"/>
      <c r="R755" s="14"/>
      <c r="S755" s="14"/>
      <c r="T755" s="14"/>
      <c r="U755" s="14"/>
      <c r="V755" s="14"/>
      <c r="W755" s="14"/>
      <c r="X755" s="1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G755" s="4"/>
      <c r="BH755" s="4"/>
    </row>
    <row r="756" spans="1:60" x14ac:dyDescent="0.35">
      <c r="A756" s="4"/>
      <c r="B756" s="8" t="str">
        <f t="shared" si="58"/>
        <v/>
      </c>
      <c r="D756" s="6" t="str">
        <f t="shared" si="59"/>
        <v/>
      </c>
      <c r="E756" s="6" t="str">
        <f t="shared" si="60"/>
        <v/>
      </c>
      <c r="F756" s="6" t="str">
        <f t="shared" si="61"/>
        <v/>
      </c>
      <c r="G756" s="4"/>
      <c r="H756" s="4"/>
      <c r="I756" s="4"/>
      <c r="J756" s="4"/>
      <c r="K756" s="4"/>
      <c r="L756" s="4"/>
      <c r="M756" s="4"/>
      <c r="N756" s="4"/>
      <c r="O756" s="4"/>
      <c r="P756" s="4"/>
      <c r="Q756" s="4"/>
      <c r="R756" s="14"/>
      <c r="S756" s="14"/>
      <c r="T756" s="14"/>
      <c r="U756" s="14"/>
      <c r="V756" s="14"/>
      <c r="W756" s="14"/>
      <c r="X756" s="1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G756" s="4"/>
      <c r="BH756" s="4"/>
    </row>
    <row r="757" spans="1:60" x14ac:dyDescent="0.35">
      <c r="A757" s="4"/>
      <c r="B757" s="8" t="str">
        <f t="shared" si="58"/>
        <v/>
      </c>
      <c r="D757" s="6" t="str">
        <f t="shared" si="59"/>
        <v/>
      </c>
      <c r="E757" s="6" t="str">
        <f t="shared" si="60"/>
        <v/>
      </c>
      <c r="F757" s="6" t="str">
        <f t="shared" si="61"/>
        <v/>
      </c>
      <c r="G757" s="4"/>
      <c r="H757" s="4"/>
      <c r="I757" s="4"/>
      <c r="J757" s="4"/>
      <c r="K757" s="4"/>
      <c r="L757" s="4"/>
      <c r="M757" s="4"/>
      <c r="N757" s="4"/>
      <c r="O757" s="4"/>
      <c r="P757" s="4"/>
      <c r="Q757" s="4"/>
      <c r="R757" s="14"/>
      <c r="S757" s="14"/>
      <c r="T757" s="14"/>
      <c r="U757" s="14"/>
      <c r="V757" s="14"/>
      <c r="W757" s="14"/>
      <c r="X757" s="1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G757" s="4"/>
      <c r="BH757" s="4"/>
    </row>
    <row r="758" spans="1:60" x14ac:dyDescent="0.35">
      <c r="A758" s="4"/>
      <c r="B758" s="8" t="str">
        <f t="shared" si="58"/>
        <v/>
      </c>
      <c r="D758" s="6" t="str">
        <f t="shared" si="59"/>
        <v/>
      </c>
      <c r="E758" s="6" t="str">
        <f t="shared" si="60"/>
        <v/>
      </c>
      <c r="F758" s="6" t="str">
        <f t="shared" si="61"/>
        <v/>
      </c>
      <c r="G758" s="4"/>
      <c r="H758" s="4"/>
      <c r="I758" s="4"/>
      <c r="J758" s="4"/>
      <c r="K758" s="4"/>
      <c r="L758" s="4"/>
      <c r="M758" s="4"/>
      <c r="N758" s="4"/>
      <c r="O758" s="4"/>
      <c r="P758" s="4"/>
      <c r="Q758" s="4"/>
      <c r="R758" s="14"/>
      <c r="S758" s="14"/>
      <c r="T758" s="14"/>
      <c r="U758" s="14"/>
      <c r="V758" s="14"/>
      <c r="W758" s="14"/>
      <c r="X758" s="1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G758" s="4"/>
      <c r="BH758" s="4"/>
    </row>
    <row r="759" spans="1:60" x14ac:dyDescent="0.35">
      <c r="A759" s="4"/>
      <c r="B759" s="8" t="str">
        <f t="shared" si="58"/>
        <v/>
      </c>
      <c r="D759" s="6" t="str">
        <f t="shared" si="59"/>
        <v/>
      </c>
      <c r="E759" s="6" t="str">
        <f t="shared" si="60"/>
        <v/>
      </c>
      <c r="F759" s="6" t="str">
        <f t="shared" si="61"/>
        <v/>
      </c>
      <c r="G759" s="4"/>
      <c r="H759" s="4"/>
      <c r="I759" s="4"/>
      <c r="J759" s="4"/>
      <c r="K759" s="4"/>
      <c r="L759" s="4"/>
      <c r="M759" s="4"/>
      <c r="N759" s="4"/>
      <c r="O759" s="4"/>
      <c r="P759" s="4"/>
      <c r="Q759" s="4"/>
      <c r="R759" s="14"/>
      <c r="S759" s="14"/>
      <c r="T759" s="14"/>
      <c r="U759" s="14"/>
      <c r="V759" s="14"/>
      <c r="W759" s="14"/>
      <c r="X759" s="1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G759" s="4"/>
      <c r="BH759" s="4"/>
    </row>
    <row r="760" spans="1:60" x14ac:dyDescent="0.35">
      <c r="A760" s="4"/>
      <c r="B760" s="8" t="str">
        <f t="shared" si="58"/>
        <v/>
      </c>
      <c r="D760" s="6" t="str">
        <f t="shared" si="59"/>
        <v/>
      </c>
      <c r="E760" s="6" t="str">
        <f t="shared" si="60"/>
        <v/>
      </c>
      <c r="F760" s="6" t="str">
        <f t="shared" si="61"/>
        <v/>
      </c>
      <c r="G760" s="4"/>
      <c r="H760" s="4"/>
      <c r="I760" s="4"/>
      <c r="J760" s="4"/>
      <c r="K760" s="4"/>
      <c r="L760" s="4"/>
      <c r="M760" s="4"/>
      <c r="N760" s="4"/>
      <c r="O760" s="4"/>
      <c r="P760" s="4"/>
      <c r="Q760" s="4"/>
      <c r="R760" s="14"/>
      <c r="S760" s="14"/>
      <c r="T760" s="14"/>
      <c r="U760" s="14"/>
      <c r="V760" s="14"/>
      <c r="W760" s="14"/>
      <c r="X760" s="1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G760" s="4"/>
      <c r="BH760" s="4"/>
    </row>
    <row r="761" spans="1:60" x14ac:dyDescent="0.35">
      <c r="A761" s="4"/>
      <c r="B761" s="8" t="str">
        <f t="shared" si="58"/>
        <v/>
      </c>
      <c r="D761" s="6" t="str">
        <f t="shared" si="59"/>
        <v/>
      </c>
      <c r="E761" s="6" t="str">
        <f t="shared" si="60"/>
        <v/>
      </c>
      <c r="F761" s="6" t="str">
        <f t="shared" si="61"/>
        <v/>
      </c>
      <c r="G761" s="4"/>
      <c r="H761" s="4"/>
      <c r="I761" s="4"/>
      <c r="J761" s="4"/>
      <c r="K761" s="4"/>
      <c r="L761" s="4"/>
      <c r="M761" s="4"/>
      <c r="N761" s="4"/>
      <c r="O761" s="4"/>
      <c r="P761" s="4"/>
      <c r="Q761" s="4"/>
      <c r="R761" s="14"/>
      <c r="S761" s="14"/>
      <c r="T761" s="14"/>
      <c r="U761" s="14"/>
      <c r="V761" s="14"/>
      <c r="W761" s="14"/>
      <c r="X761" s="1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G761" s="4"/>
      <c r="BH761" s="4"/>
    </row>
    <row r="762" spans="1:60" x14ac:dyDescent="0.35">
      <c r="A762" s="4"/>
      <c r="B762" s="8" t="str">
        <f t="shared" si="58"/>
        <v/>
      </c>
      <c r="D762" s="6" t="str">
        <f t="shared" si="59"/>
        <v/>
      </c>
      <c r="E762" s="6" t="str">
        <f t="shared" si="60"/>
        <v/>
      </c>
      <c r="F762" s="6" t="str">
        <f t="shared" si="61"/>
        <v/>
      </c>
      <c r="G762" s="4"/>
      <c r="H762" s="4"/>
      <c r="I762" s="4"/>
      <c r="J762" s="4"/>
      <c r="K762" s="4"/>
      <c r="L762" s="4"/>
      <c r="M762" s="4"/>
      <c r="N762" s="4"/>
      <c r="O762" s="4"/>
      <c r="P762" s="4"/>
      <c r="Q762" s="4"/>
      <c r="R762" s="14"/>
      <c r="S762" s="14"/>
      <c r="T762" s="14"/>
      <c r="U762" s="14"/>
      <c r="V762" s="14"/>
      <c r="W762" s="14"/>
      <c r="X762" s="1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G762" s="4"/>
      <c r="BH762" s="4"/>
    </row>
    <row r="763" spans="1:60" x14ac:dyDescent="0.35">
      <c r="A763" s="4"/>
      <c r="B763" s="8" t="str">
        <f t="shared" si="58"/>
        <v/>
      </c>
      <c r="D763" s="6" t="str">
        <f t="shared" si="59"/>
        <v/>
      </c>
      <c r="E763" s="6" t="str">
        <f t="shared" si="60"/>
        <v/>
      </c>
      <c r="F763" s="6" t="str">
        <f t="shared" si="61"/>
        <v/>
      </c>
      <c r="G763" s="4"/>
      <c r="H763" s="4"/>
      <c r="I763" s="4"/>
      <c r="J763" s="4"/>
      <c r="K763" s="4"/>
      <c r="L763" s="4"/>
      <c r="M763" s="4"/>
      <c r="N763" s="4"/>
      <c r="O763" s="4"/>
      <c r="P763" s="4"/>
      <c r="Q763" s="4"/>
      <c r="R763" s="14"/>
      <c r="S763" s="14"/>
      <c r="T763" s="14"/>
      <c r="U763" s="14"/>
      <c r="V763" s="14"/>
      <c r="W763" s="14"/>
      <c r="X763" s="1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G763" s="4"/>
      <c r="BH763" s="4"/>
    </row>
    <row r="764" spans="1:60" x14ac:dyDescent="0.35">
      <c r="A764" s="4"/>
      <c r="B764" s="8" t="str">
        <f t="shared" si="58"/>
        <v/>
      </c>
      <c r="D764" s="6" t="str">
        <f t="shared" si="59"/>
        <v/>
      </c>
      <c r="E764" s="6" t="str">
        <f t="shared" si="60"/>
        <v/>
      </c>
      <c r="F764" s="6" t="str">
        <f t="shared" si="61"/>
        <v/>
      </c>
      <c r="G764" s="4"/>
      <c r="H764" s="4"/>
      <c r="I764" s="4"/>
      <c r="J764" s="4"/>
      <c r="K764" s="4"/>
      <c r="L764" s="4"/>
      <c r="M764" s="4"/>
      <c r="N764" s="4"/>
      <c r="O764" s="4"/>
      <c r="P764" s="4"/>
      <c r="Q764" s="4"/>
      <c r="R764" s="14"/>
      <c r="S764" s="14"/>
      <c r="T764" s="14"/>
      <c r="U764" s="14"/>
      <c r="V764" s="14"/>
      <c r="W764" s="14"/>
      <c r="X764" s="1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G764" s="4"/>
      <c r="BH764" s="4"/>
    </row>
    <row r="765" spans="1:60" x14ac:dyDescent="0.35">
      <c r="A765" s="4"/>
      <c r="B765" s="8" t="str">
        <f t="shared" ref="B765:B828" si="62">RIGHT(A765,4)</f>
        <v/>
      </c>
      <c r="D765" s="6" t="str">
        <f t="shared" ref="D765:D828" si="63">IF(C765="","",VLOOKUP(C765,district_region,2,FALSE))</f>
        <v/>
      </c>
      <c r="E765" s="6" t="str">
        <f t="shared" ref="E765:E828" si="64">IF(C765="","",VLOOKUP(C765,liste_pop,3,FALSE))</f>
        <v/>
      </c>
      <c r="F765" s="6" t="str">
        <f t="shared" ref="F765:F828" si="65">IF(D765="","",IF(D765="Dakar",4042240,VLOOKUP(D765,liste_pop,4,FALSE)))</f>
        <v/>
      </c>
      <c r="G765" s="4"/>
      <c r="H765" s="4"/>
      <c r="I765" s="4"/>
      <c r="J765" s="4"/>
      <c r="K765" s="4"/>
      <c r="L765" s="4"/>
      <c r="M765" s="4"/>
      <c r="N765" s="4"/>
      <c r="O765" s="4"/>
      <c r="P765" s="4"/>
      <c r="Q765" s="4"/>
      <c r="R765" s="14"/>
      <c r="S765" s="14"/>
      <c r="T765" s="14"/>
      <c r="U765" s="14"/>
      <c r="V765" s="14"/>
      <c r="W765" s="14"/>
      <c r="X765" s="1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G765" s="4"/>
      <c r="BH765" s="4"/>
    </row>
    <row r="766" spans="1:60" x14ac:dyDescent="0.35">
      <c r="A766" s="4"/>
      <c r="B766" s="8" t="str">
        <f t="shared" si="62"/>
        <v/>
      </c>
      <c r="D766" s="6" t="str">
        <f t="shared" si="63"/>
        <v/>
      </c>
      <c r="E766" s="6" t="str">
        <f t="shared" si="64"/>
        <v/>
      </c>
      <c r="F766" s="6" t="str">
        <f t="shared" si="65"/>
        <v/>
      </c>
      <c r="G766" s="4"/>
      <c r="H766" s="4"/>
      <c r="I766" s="4"/>
      <c r="J766" s="4"/>
      <c r="K766" s="4"/>
      <c r="L766" s="4"/>
      <c r="M766" s="4"/>
      <c r="N766" s="4"/>
      <c r="O766" s="4"/>
      <c r="P766" s="4"/>
      <c r="Q766" s="4"/>
      <c r="R766" s="14"/>
      <c r="S766" s="14"/>
      <c r="T766" s="14"/>
      <c r="U766" s="14"/>
      <c r="V766" s="14"/>
      <c r="W766" s="14"/>
      <c r="X766" s="1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G766" s="4"/>
      <c r="BH766" s="4"/>
    </row>
    <row r="767" spans="1:60" x14ac:dyDescent="0.35">
      <c r="A767" s="4"/>
      <c r="B767" s="8" t="str">
        <f t="shared" si="62"/>
        <v/>
      </c>
      <c r="D767" s="6" t="str">
        <f t="shared" si="63"/>
        <v/>
      </c>
      <c r="E767" s="6" t="str">
        <f t="shared" si="64"/>
        <v/>
      </c>
      <c r="F767" s="6" t="str">
        <f t="shared" si="65"/>
        <v/>
      </c>
      <c r="G767" s="4"/>
      <c r="H767" s="4"/>
      <c r="I767" s="4"/>
      <c r="J767" s="4"/>
      <c r="K767" s="4"/>
      <c r="L767" s="4"/>
      <c r="M767" s="4"/>
      <c r="N767" s="4"/>
      <c r="O767" s="4"/>
      <c r="P767" s="4"/>
      <c r="Q767" s="4"/>
      <c r="R767" s="14"/>
      <c r="S767" s="14"/>
      <c r="T767" s="14"/>
      <c r="U767" s="14"/>
      <c r="V767" s="14"/>
      <c r="W767" s="14"/>
      <c r="X767" s="1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G767" s="4"/>
      <c r="BH767" s="4"/>
    </row>
    <row r="768" spans="1:60" x14ac:dyDescent="0.35">
      <c r="A768" s="4"/>
      <c r="B768" s="8" t="str">
        <f t="shared" si="62"/>
        <v/>
      </c>
      <c r="D768" s="6" t="str">
        <f t="shared" si="63"/>
        <v/>
      </c>
      <c r="E768" s="6" t="str">
        <f t="shared" si="64"/>
        <v/>
      </c>
      <c r="F768" s="6" t="str">
        <f t="shared" si="65"/>
        <v/>
      </c>
      <c r="G768" s="4"/>
      <c r="H768" s="4"/>
      <c r="I768" s="4"/>
      <c r="J768" s="4"/>
      <c r="K768" s="4"/>
      <c r="L768" s="4"/>
      <c r="M768" s="4"/>
      <c r="N768" s="4"/>
      <c r="O768" s="4"/>
      <c r="P768" s="4"/>
      <c r="Q768" s="4"/>
      <c r="R768" s="14"/>
      <c r="S768" s="14"/>
      <c r="T768" s="14"/>
      <c r="U768" s="14"/>
      <c r="V768" s="14"/>
      <c r="W768" s="14"/>
      <c r="X768" s="1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G768" s="4"/>
      <c r="BH768" s="4"/>
    </row>
    <row r="769" spans="1:60" x14ac:dyDescent="0.35">
      <c r="A769" s="4"/>
      <c r="B769" s="8" t="str">
        <f t="shared" si="62"/>
        <v/>
      </c>
      <c r="D769" s="6" t="str">
        <f t="shared" si="63"/>
        <v/>
      </c>
      <c r="E769" s="6" t="str">
        <f t="shared" si="64"/>
        <v/>
      </c>
      <c r="F769" s="6" t="str">
        <f t="shared" si="65"/>
        <v/>
      </c>
      <c r="G769" s="4"/>
      <c r="H769" s="4"/>
      <c r="I769" s="4"/>
      <c r="J769" s="4"/>
      <c r="K769" s="4"/>
      <c r="L769" s="4"/>
      <c r="M769" s="4"/>
      <c r="N769" s="4"/>
      <c r="O769" s="4"/>
      <c r="P769" s="4"/>
      <c r="Q769" s="4"/>
      <c r="R769" s="14"/>
      <c r="S769" s="14"/>
      <c r="T769" s="14"/>
      <c r="U769" s="14"/>
      <c r="V769" s="14"/>
      <c r="W769" s="14"/>
      <c r="X769" s="1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G769" s="4"/>
      <c r="BH769" s="4"/>
    </row>
    <row r="770" spans="1:60" x14ac:dyDescent="0.35">
      <c r="A770" s="4"/>
      <c r="B770" s="8" t="str">
        <f t="shared" si="62"/>
        <v/>
      </c>
      <c r="D770" s="6" t="str">
        <f t="shared" si="63"/>
        <v/>
      </c>
      <c r="E770" s="6" t="str">
        <f t="shared" si="64"/>
        <v/>
      </c>
      <c r="F770" s="6" t="str">
        <f t="shared" si="65"/>
        <v/>
      </c>
      <c r="G770" s="4"/>
      <c r="H770" s="4"/>
      <c r="I770" s="4"/>
      <c r="J770" s="4"/>
      <c r="K770" s="4"/>
      <c r="L770" s="4"/>
      <c r="M770" s="4"/>
      <c r="N770" s="4"/>
      <c r="O770" s="4"/>
      <c r="P770" s="4"/>
      <c r="Q770" s="4"/>
      <c r="R770" s="14"/>
      <c r="S770" s="14"/>
      <c r="T770" s="14"/>
      <c r="U770" s="14"/>
      <c r="V770" s="14"/>
      <c r="W770" s="14"/>
      <c r="X770" s="1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G770" s="4"/>
      <c r="BH770" s="4"/>
    </row>
    <row r="771" spans="1:60" x14ac:dyDescent="0.35">
      <c r="A771" s="4"/>
      <c r="B771" s="8" t="str">
        <f t="shared" si="62"/>
        <v/>
      </c>
      <c r="D771" s="6" t="str">
        <f t="shared" si="63"/>
        <v/>
      </c>
      <c r="E771" s="6" t="str">
        <f t="shared" si="64"/>
        <v/>
      </c>
      <c r="F771" s="6" t="str">
        <f t="shared" si="65"/>
        <v/>
      </c>
      <c r="G771" s="4"/>
      <c r="H771" s="4"/>
      <c r="I771" s="4"/>
      <c r="J771" s="4"/>
      <c r="K771" s="4"/>
      <c r="L771" s="4"/>
      <c r="M771" s="4"/>
      <c r="N771" s="4"/>
      <c r="O771" s="4"/>
      <c r="P771" s="4"/>
      <c r="Q771" s="4"/>
      <c r="R771" s="14"/>
      <c r="S771" s="14"/>
      <c r="T771" s="14"/>
      <c r="U771" s="14"/>
      <c r="V771" s="14"/>
      <c r="W771" s="14"/>
      <c r="X771" s="1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G771" s="4"/>
      <c r="BH771" s="4"/>
    </row>
    <row r="772" spans="1:60" x14ac:dyDescent="0.35">
      <c r="A772" s="4"/>
      <c r="B772" s="8" t="str">
        <f t="shared" si="62"/>
        <v/>
      </c>
      <c r="D772" s="6" t="str">
        <f t="shared" si="63"/>
        <v/>
      </c>
      <c r="E772" s="6" t="str">
        <f t="shared" si="64"/>
        <v/>
      </c>
      <c r="F772" s="6" t="str">
        <f t="shared" si="65"/>
        <v/>
      </c>
      <c r="G772" s="4"/>
      <c r="H772" s="4"/>
      <c r="I772" s="4"/>
      <c r="J772" s="4"/>
      <c r="K772" s="4"/>
      <c r="L772" s="4"/>
      <c r="M772" s="4"/>
      <c r="N772" s="4"/>
      <c r="O772" s="4"/>
      <c r="P772" s="4"/>
      <c r="Q772" s="4"/>
      <c r="R772" s="14"/>
      <c r="S772" s="14"/>
      <c r="T772" s="14"/>
      <c r="U772" s="14"/>
      <c r="V772" s="14"/>
      <c r="W772" s="14"/>
      <c r="X772" s="1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G772" s="4"/>
      <c r="BH772" s="4"/>
    </row>
    <row r="773" spans="1:60" x14ac:dyDescent="0.35">
      <c r="A773" s="4"/>
      <c r="B773" s="8" t="str">
        <f t="shared" si="62"/>
        <v/>
      </c>
      <c r="D773" s="6" t="str">
        <f t="shared" si="63"/>
        <v/>
      </c>
      <c r="E773" s="6" t="str">
        <f t="shared" si="64"/>
        <v/>
      </c>
      <c r="F773" s="6" t="str">
        <f t="shared" si="65"/>
        <v/>
      </c>
      <c r="G773" s="4"/>
      <c r="H773" s="4"/>
      <c r="I773" s="4"/>
      <c r="J773" s="4"/>
      <c r="K773" s="4"/>
      <c r="L773" s="4"/>
      <c r="M773" s="4"/>
      <c r="N773" s="4"/>
      <c r="O773" s="4"/>
      <c r="P773" s="4"/>
      <c r="Q773" s="4"/>
      <c r="R773" s="14"/>
      <c r="S773" s="14"/>
      <c r="T773" s="14"/>
      <c r="U773" s="14"/>
      <c r="V773" s="14"/>
      <c r="W773" s="14"/>
      <c r="X773" s="1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G773" s="4"/>
      <c r="BH773" s="4"/>
    </row>
    <row r="774" spans="1:60" x14ac:dyDescent="0.35">
      <c r="A774" s="4"/>
      <c r="B774" s="8" t="str">
        <f t="shared" si="62"/>
        <v/>
      </c>
      <c r="D774" s="6" t="str">
        <f t="shared" si="63"/>
        <v/>
      </c>
      <c r="E774" s="6" t="str">
        <f t="shared" si="64"/>
        <v/>
      </c>
      <c r="F774" s="6" t="str">
        <f t="shared" si="65"/>
        <v/>
      </c>
      <c r="G774" s="4"/>
      <c r="H774" s="4"/>
      <c r="I774" s="4"/>
      <c r="J774" s="4"/>
      <c r="K774" s="4"/>
      <c r="L774" s="4"/>
      <c r="M774" s="4"/>
      <c r="N774" s="4"/>
      <c r="O774" s="4"/>
      <c r="P774" s="4"/>
      <c r="Q774" s="4"/>
      <c r="R774" s="14"/>
      <c r="S774" s="14"/>
      <c r="T774" s="14"/>
      <c r="U774" s="14"/>
      <c r="V774" s="14"/>
      <c r="W774" s="14"/>
      <c r="X774" s="1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G774" s="4"/>
      <c r="BH774" s="4"/>
    </row>
    <row r="775" spans="1:60" x14ac:dyDescent="0.35">
      <c r="A775" s="4"/>
      <c r="B775" s="8" t="str">
        <f t="shared" si="62"/>
        <v/>
      </c>
      <c r="D775" s="6" t="str">
        <f t="shared" si="63"/>
        <v/>
      </c>
      <c r="E775" s="6" t="str">
        <f t="shared" si="64"/>
        <v/>
      </c>
      <c r="F775" s="6" t="str">
        <f t="shared" si="65"/>
        <v/>
      </c>
      <c r="G775" s="4"/>
      <c r="H775" s="4"/>
      <c r="I775" s="4"/>
      <c r="J775" s="4"/>
      <c r="K775" s="4"/>
      <c r="L775" s="4"/>
      <c r="M775" s="4"/>
      <c r="N775" s="4"/>
      <c r="O775" s="4"/>
      <c r="P775" s="4"/>
      <c r="Q775" s="4"/>
      <c r="R775" s="14"/>
      <c r="S775" s="14"/>
      <c r="T775" s="14"/>
      <c r="U775" s="14"/>
      <c r="V775" s="14"/>
      <c r="W775" s="14"/>
      <c r="X775" s="1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G775" s="4"/>
      <c r="BH775" s="4"/>
    </row>
    <row r="776" spans="1:60" x14ac:dyDescent="0.35">
      <c r="A776" s="4"/>
      <c r="B776" s="8" t="str">
        <f t="shared" si="62"/>
        <v/>
      </c>
      <c r="D776" s="6" t="str">
        <f t="shared" si="63"/>
        <v/>
      </c>
      <c r="E776" s="6" t="str">
        <f t="shared" si="64"/>
        <v/>
      </c>
      <c r="F776" s="6" t="str">
        <f t="shared" si="65"/>
        <v/>
      </c>
      <c r="G776" s="4"/>
      <c r="H776" s="4"/>
      <c r="I776" s="4"/>
      <c r="J776" s="4"/>
      <c r="K776" s="4"/>
      <c r="L776" s="4"/>
      <c r="M776" s="4"/>
      <c r="N776" s="4"/>
      <c r="O776" s="4"/>
      <c r="P776" s="4"/>
      <c r="Q776" s="4"/>
      <c r="R776" s="14"/>
      <c r="S776" s="14"/>
      <c r="T776" s="14"/>
      <c r="U776" s="14"/>
      <c r="V776" s="14"/>
      <c r="W776" s="14"/>
      <c r="X776" s="1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G776" s="4"/>
      <c r="BH776" s="4"/>
    </row>
    <row r="777" spans="1:60" x14ac:dyDescent="0.35">
      <c r="A777" s="4"/>
      <c r="B777" s="8" t="str">
        <f t="shared" si="62"/>
        <v/>
      </c>
      <c r="D777" s="6" t="str">
        <f t="shared" si="63"/>
        <v/>
      </c>
      <c r="E777" s="6" t="str">
        <f t="shared" si="64"/>
        <v/>
      </c>
      <c r="F777" s="6" t="str">
        <f t="shared" si="65"/>
        <v/>
      </c>
      <c r="G777" s="4"/>
      <c r="H777" s="4"/>
      <c r="I777" s="4"/>
      <c r="J777" s="4"/>
      <c r="K777" s="4"/>
      <c r="L777" s="4"/>
      <c r="M777" s="4"/>
      <c r="N777" s="4"/>
      <c r="O777" s="4"/>
      <c r="P777" s="4"/>
      <c r="Q777" s="4"/>
      <c r="R777" s="14"/>
      <c r="S777" s="14"/>
      <c r="T777" s="14"/>
      <c r="U777" s="14"/>
      <c r="V777" s="14"/>
      <c r="W777" s="14"/>
      <c r="X777" s="1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G777" s="4"/>
      <c r="BH777" s="4"/>
    </row>
    <row r="778" spans="1:60" x14ac:dyDescent="0.35">
      <c r="A778" s="4"/>
      <c r="B778" s="8" t="str">
        <f t="shared" si="62"/>
        <v/>
      </c>
      <c r="D778" s="6" t="str">
        <f t="shared" si="63"/>
        <v/>
      </c>
      <c r="E778" s="6" t="str">
        <f t="shared" si="64"/>
        <v/>
      </c>
      <c r="F778" s="6" t="str">
        <f t="shared" si="65"/>
        <v/>
      </c>
      <c r="G778" s="4"/>
      <c r="H778" s="4"/>
      <c r="I778" s="4"/>
      <c r="J778" s="4"/>
      <c r="K778" s="4"/>
      <c r="L778" s="4"/>
      <c r="M778" s="4"/>
      <c r="N778" s="4"/>
      <c r="O778" s="4"/>
      <c r="P778" s="4"/>
      <c r="Q778" s="4"/>
      <c r="R778" s="14"/>
      <c r="S778" s="14"/>
      <c r="T778" s="14"/>
      <c r="U778" s="14"/>
      <c r="V778" s="14"/>
      <c r="W778" s="14"/>
      <c r="X778" s="1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G778" s="4"/>
      <c r="BH778" s="4"/>
    </row>
    <row r="779" spans="1:60" x14ac:dyDescent="0.35">
      <c r="A779" s="4"/>
      <c r="B779" s="8" t="str">
        <f t="shared" si="62"/>
        <v/>
      </c>
      <c r="D779" s="6" t="str">
        <f t="shared" si="63"/>
        <v/>
      </c>
      <c r="E779" s="6" t="str">
        <f t="shared" si="64"/>
        <v/>
      </c>
      <c r="F779" s="6" t="str">
        <f t="shared" si="65"/>
        <v/>
      </c>
      <c r="G779" s="4"/>
      <c r="H779" s="4"/>
      <c r="I779" s="4"/>
      <c r="J779" s="4"/>
      <c r="K779" s="4"/>
      <c r="L779" s="4"/>
      <c r="M779" s="4"/>
      <c r="N779" s="4"/>
      <c r="O779" s="4"/>
      <c r="P779" s="4"/>
      <c r="Q779" s="4"/>
      <c r="R779" s="14"/>
      <c r="S779" s="14"/>
      <c r="T779" s="14"/>
      <c r="U779" s="14"/>
      <c r="V779" s="14"/>
      <c r="W779" s="14"/>
      <c r="X779" s="1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G779" s="4"/>
      <c r="BH779" s="4"/>
    </row>
    <row r="780" spans="1:60" x14ac:dyDescent="0.35">
      <c r="A780" s="4"/>
      <c r="B780" s="8" t="str">
        <f t="shared" si="62"/>
        <v/>
      </c>
      <c r="D780" s="6" t="str">
        <f t="shared" si="63"/>
        <v/>
      </c>
      <c r="E780" s="6" t="str">
        <f t="shared" si="64"/>
        <v/>
      </c>
      <c r="F780" s="6" t="str">
        <f t="shared" si="65"/>
        <v/>
      </c>
      <c r="G780" s="4"/>
      <c r="H780" s="4"/>
      <c r="I780" s="4"/>
      <c r="J780" s="4"/>
      <c r="K780" s="4"/>
      <c r="L780" s="4"/>
      <c r="M780" s="4"/>
      <c r="N780" s="4"/>
      <c r="O780" s="4"/>
      <c r="P780" s="4"/>
      <c r="Q780" s="4"/>
      <c r="R780" s="14"/>
      <c r="S780" s="14"/>
      <c r="T780" s="14"/>
      <c r="U780" s="14"/>
      <c r="V780" s="14"/>
      <c r="W780" s="14"/>
      <c r="X780" s="1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G780" s="4"/>
      <c r="BH780" s="4"/>
    </row>
    <row r="781" spans="1:60" x14ac:dyDescent="0.35">
      <c r="A781" s="4"/>
      <c r="B781" s="8" t="str">
        <f t="shared" si="62"/>
        <v/>
      </c>
      <c r="D781" s="6" t="str">
        <f t="shared" si="63"/>
        <v/>
      </c>
      <c r="E781" s="6" t="str">
        <f t="shared" si="64"/>
        <v/>
      </c>
      <c r="F781" s="6" t="str">
        <f t="shared" si="65"/>
        <v/>
      </c>
      <c r="G781" s="4"/>
      <c r="H781" s="4"/>
      <c r="I781" s="4"/>
      <c r="J781" s="4"/>
      <c r="K781" s="4"/>
      <c r="L781" s="4"/>
      <c r="M781" s="4"/>
      <c r="N781" s="4"/>
      <c r="O781" s="4"/>
      <c r="P781" s="4"/>
      <c r="Q781" s="4"/>
      <c r="R781" s="14"/>
      <c r="S781" s="14"/>
      <c r="T781" s="14"/>
      <c r="U781" s="14"/>
      <c r="V781" s="14"/>
      <c r="W781" s="14"/>
      <c r="X781" s="1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G781" s="4"/>
      <c r="BH781" s="4"/>
    </row>
    <row r="782" spans="1:60" x14ac:dyDescent="0.35">
      <c r="A782" s="4"/>
      <c r="B782" s="8" t="str">
        <f t="shared" si="62"/>
        <v/>
      </c>
      <c r="D782" s="6" t="str">
        <f t="shared" si="63"/>
        <v/>
      </c>
      <c r="E782" s="6" t="str">
        <f t="shared" si="64"/>
        <v/>
      </c>
      <c r="F782" s="6" t="str">
        <f t="shared" si="65"/>
        <v/>
      </c>
      <c r="G782" s="4"/>
      <c r="H782" s="4"/>
      <c r="I782" s="4"/>
      <c r="J782" s="4"/>
      <c r="K782" s="4"/>
      <c r="L782" s="4"/>
      <c r="M782" s="4"/>
      <c r="N782" s="4"/>
      <c r="O782" s="4"/>
      <c r="P782" s="4"/>
      <c r="Q782" s="4"/>
      <c r="R782" s="14"/>
      <c r="S782" s="14"/>
      <c r="T782" s="14"/>
      <c r="U782" s="14"/>
      <c r="V782" s="14"/>
      <c r="W782" s="14"/>
      <c r="X782" s="1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G782" s="4"/>
      <c r="BH782" s="4"/>
    </row>
    <row r="783" spans="1:60" x14ac:dyDescent="0.35">
      <c r="A783" s="4"/>
      <c r="B783" s="8" t="str">
        <f t="shared" si="62"/>
        <v/>
      </c>
      <c r="D783" s="6" t="str">
        <f t="shared" si="63"/>
        <v/>
      </c>
      <c r="E783" s="6" t="str">
        <f t="shared" si="64"/>
        <v/>
      </c>
      <c r="F783" s="6" t="str">
        <f t="shared" si="65"/>
        <v/>
      </c>
      <c r="G783" s="4"/>
      <c r="H783" s="4"/>
      <c r="I783" s="4"/>
      <c r="J783" s="4"/>
      <c r="K783" s="4"/>
      <c r="L783" s="4"/>
      <c r="M783" s="4"/>
      <c r="N783" s="4"/>
      <c r="O783" s="4"/>
      <c r="P783" s="4"/>
      <c r="Q783" s="4"/>
      <c r="R783" s="14"/>
      <c r="S783" s="14"/>
      <c r="T783" s="14"/>
      <c r="U783" s="14"/>
      <c r="V783" s="14"/>
      <c r="W783" s="14"/>
      <c r="X783" s="1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G783" s="4"/>
      <c r="BH783" s="4"/>
    </row>
    <row r="784" spans="1:60" x14ac:dyDescent="0.35">
      <c r="A784" s="4"/>
      <c r="B784" s="8" t="str">
        <f t="shared" si="62"/>
        <v/>
      </c>
      <c r="D784" s="6" t="str">
        <f t="shared" si="63"/>
        <v/>
      </c>
      <c r="E784" s="6" t="str">
        <f t="shared" si="64"/>
        <v/>
      </c>
      <c r="F784" s="6" t="str">
        <f t="shared" si="65"/>
        <v/>
      </c>
      <c r="G784" s="4"/>
      <c r="H784" s="4"/>
      <c r="I784" s="4"/>
      <c r="J784" s="4"/>
      <c r="K784" s="4"/>
      <c r="L784" s="4"/>
      <c r="M784" s="4"/>
      <c r="N784" s="4"/>
      <c r="O784" s="4"/>
      <c r="P784" s="4"/>
      <c r="Q784" s="4"/>
      <c r="R784" s="14"/>
      <c r="S784" s="14"/>
      <c r="T784" s="14"/>
      <c r="U784" s="14"/>
      <c r="V784" s="14"/>
      <c r="W784" s="14"/>
      <c r="X784" s="1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G784" s="4"/>
      <c r="BH784" s="4"/>
    </row>
    <row r="785" spans="1:60" x14ac:dyDescent="0.35">
      <c r="A785" s="4"/>
      <c r="B785" s="8" t="str">
        <f t="shared" si="62"/>
        <v/>
      </c>
      <c r="D785" s="6" t="str">
        <f t="shared" si="63"/>
        <v/>
      </c>
      <c r="E785" s="6" t="str">
        <f t="shared" si="64"/>
        <v/>
      </c>
      <c r="F785" s="6" t="str">
        <f t="shared" si="65"/>
        <v/>
      </c>
      <c r="G785" s="4"/>
      <c r="H785" s="4"/>
      <c r="I785" s="4"/>
      <c r="J785" s="4"/>
      <c r="K785" s="4"/>
      <c r="L785" s="4"/>
      <c r="M785" s="4"/>
      <c r="N785" s="4"/>
      <c r="O785" s="4"/>
      <c r="P785" s="4"/>
      <c r="Q785" s="4"/>
      <c r="R785" s="14"/>
      <c r="S785" s="14"/>
      <c r="T785" s="14"/>
      <c r="U785" s="14"/>
      <c r="V785" s="14"/>
      <c r="W785" s="14"/>
      <c r="X785" s="1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G785" s="4"/>
      <c r="BH785" s="4"/>
    </row>
    <row r="786" spans="1:60" x14ac:dyDescent="0.35">
      <c r="A786" s="4"/>
      <c r="B786" s="8" t="str">
        <f t="shared" si="62"/>
        <v/>
      </c>
      <c r="D786" s="6" t="str">
        <f t="shared" si="63"/>
        <v/>
      </c>
      <c r="E786" s="6" t="str">
        <f t="shared" si="64"/>
        <v/>
      </c>
      <c r="F786" s="6" t="str">
        <f t="shared" si="65"/>
        <v/>
      </c>
      <c r="G786" s="4"/>
      <c r="H786" s="4"/>
      <c r="I786" s="4"/>
      <c r="J786" s="4"/>
      <c r="K786" s="4"/>
      <c r="L786" s="4"/>
      <c r="M786" s="4"/>
      <c r="N786" s="4"/>
      <c r="O786" s="4"/>
      <c r="P786" s="4"/>
      <c r="Q786" s="4"/>
      <c r="R786" s="14"/>
      <c r="S786" s="14"/>
      <c r="T786" s="14"/>
      <c r="U786" s="14"/>
      <c r="V786" s="14"/>
      <c r="W786" s="14"/>
      <c r="X786" s="1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G786" s="4"/>
      <c r="BH786" s="4"/>
    </row>
    <row r="787" spans="1:60" x14ac:dyDescent="0.35">
      <c r="A787" s="4"/>
      <c r="B787" s="8" t="str">
        <f t="shared" si="62"/>
        <v/>
      </c>
      <c r="D787" s="6" t="str">
        <f t="shared" si="63"/>
        <v/>
      </c>
      <c r="E787" s="6" t="str">
        <f t="shared" si="64"/>
        <v/>
      </c>
      <c r="F787" s="6" t="str">
        <f t="shared" si="65"/>
        <v/>
      </c>
      <c r="G787" s="4"/>
      <c r="H787" s="4"/>
      <c r="I787" s="4"/>
      <c r="J787" s="4"/>
      <c r="K787" s="4"/>
      <c r="L787" s="4"/>
      <c r="M787" s="4"/>
      <c r="N787" s="4"/>
      <c r="O787" s="4"/>
      <c r="P787" s="4"/>
      <c r="Q787" s="4"/>
      <c r="R787" s="14"/>
      <c r="S787" s="14"/>
      <c r="T787" s="14"/>
      <c r="U787" s="14"/>
      <c r="V787" s="14"/>
      <c r="W787" s="14"/>
      <c r="X787" s="1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G787" s="4"/>
      <c r="BH787" s="4"/>
    </row>
    <row r="788" spans="1:60" x14ac:dyDescent="0.35">
      <c r="A788" s="4"/>
      <c r="B788" s="8" t="str">
        <f t="shared" si="62"/>
        <v/>
      </c>
      <c r="D788" s="6" t="str">
        <f t="shared" si="63"/>
        <v/>
      </c>
      <c r="E788" s="6" t="str">
        <f t="shared" si="64"/>
        <v/>
      </c>
      <c r="F788" s="6" t="str">
        <f t="shared" si="65"/>
        <v/>
      </c>
      <c r="G788" s="4"/>
      <c r="H788" s="4"/>
      <c r="I788" s="4"/>
      <c r="J788" s="4"/>
      <c r="K788" s="4"/>
      <c r="L788" s="4"/>
      <c r="M788" s="4"/>
      <c r="N788" s="4"/>
      <c r="O788" s="4"/>
      <c r="P788" s="4"/>
      <c r="Q788" s="4"/>
      <c r="R788" s="14"/>
      <c r="S788" s="14"/>
      <c r="T788" s="14"/>
      <c r="U788" s="14"/>
      <c r="V788" s="14"/>
      <c r="W788" s="14"/>
      <c r="X788" s="1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G788" s="4"/>
      <c r="BH788" s="4"/>
    </row>
    <row r="789" spans="1:60" x14ac:dyDescent="0.35">
      <c r="A789" s="4"/>
      <c r="B789" s="8" t="str">
        <f t="shared" si="62"/>
        <v/>
      </c>
      <c r="D789" s="6" t="str">
        <f t="shared" si="63"/>
        <v/>
      </c>
      <c r="E789" s="6" t="str">
        <f t="shared" si="64"/>
        <v/>
      </c>
      <c r="F789" s="6" t="str">
        <f t="shared" si="65"/>
        <v/>
      </c>
      <c r="G789" s="4"/>
      <c r="H789" s="4"/>
      <c r="I789" s="4"/>
      <c r="J789" s="4"/>
      <c r="K789" s="4"/>
      <c r="L789" s="4"/>
      <c r="M789" s="4"/>
      <c r="N789" s="4"/>
      <c r="O789" s="4"/>
      <c r="P789" s="4"/>
      <c r="Q789" s="4"/>
      <c r="R789" s="14"/>
      <c r="S789" s="14"/>
      <c r="T789" s="14"/>
      <c r="U789" s="14"/>
      <c r="V789" s="14"/>
      <c r="W789" s="14"/>
      <c r="X789" s="1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G789" s="4"/>
      <c r="BH789" s="4"/>
    </row>
    <row r="790" spans="1:60" x14ac:dyDescent="0.35">
      <c r="A790" s="4"/>
      <c r="B790" s="8" t="str">
        <f t="shared" si="62"/>
        <v/>
      </c>
      <c r="D790" s="6" t="str">
        <f t="shared" si="63"/>
        <v/>
      </c>
      <c r="E790" s="6" t="str">
        <f t="shared" si="64"/>
        <v/>
      </c>
      <c r="F790" s="6" t="str">
        <f t="shared" si="65"/>
        <v/>
      </c>
      <c r="G790" s="4"/>
      <c r="H790" s="4"/>
      <c r="I790" s="4"/>
      <c r="J790" s="4"/>
      <c r="K790" s="4"/>
      <c r="L790" s="4"/>
      <c r="M790" s="4"/>
      <c r="N790" s="4"/>
      <c r="O790" s="4"/>
      <c r="P790" s="4"/>
      <c r="Q790" s="4"/>
      <c r="R790" s="14"/>
      <c r="S790" s="14"/>
      <c r="T790" s="14"/>
      <c r="U790" s="14"/>
      <c r="V790" s="14"/>
      <c r="W790" s="14"/>
      <c r="X790" s="1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G790" s="4"/>
      <c r="BH790" s="4"/>
    </row>
    <row r="791" spans="1:60" x14ac:dyDescent="0.35">
      <c r="A791" s="4"/>
      <c r="B791" s="8" t="str">
        <f t="shared" si="62"/>
        <v/>
      </c>
      <c r="D791" s="6" t="str">
        <f t="shared" si="63"/>
        <v/>
      </c>
      <c r="E791" s="6" t="str">
        <f t="shared" si="64"/>
        <v/>
      </c>
      <c r="F791" s="6" t="str">
        <f t="shared" si="65"/>
        <v/>
      </c>
      <c r="G791" s="4"/>
      <c r="H791" s="4"/>
      <c r="I791" s="4"/>
      <c r="J791" s="4"/>
      <c r="K791" s="4"/>
      <c r="L791" s="4"/>
      <c r="M791" s="4"/>
      <c r="N791" s="4"/>
      <c r="O791" s="4"/>
      <c r="P791" s="4"/>
      <c r="Q791" s="4"/>
      <c r="R791" s="14"/>
      <c r="S791" s="14"/>
      <c r="T791" s="14"/>
      <c r="U791" s="14"/>
      <c r="V791" s="14"/>
      <c r="W791" s="14"/>
      <c r="X791" s="1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G791" s="4"/>
      <c r="BH791" s="4"/>
    </row>
    <row r="792" spans="1:60" x14ac:dyDescent="0.35">
      <c r="A792" s="4"/>
      <c r="B792" s="8" t="str">
        <f t="shared" si="62"/>
        <v/>
      </c>
      <c r="D792" s="6" t="str">
        <f t="shared" si="63"/>
        <v/>
      </c>
      <c r="E792" s="6" t="str">
        <f t="shared" si="64"/>
        <v/>
      </c>
      <c r="F792" s="6" t="str">
        <f t="shared" si="65"/>
        <v/>
      </c>
      <c r="G792" s="4"/>
      <c r="H792" s="4"/>
      <c r="I792" s="4"/>
      <c r="J792" s="4"/>
      <c r="K792" s="4"/>
      <c r="L792" s="4"/>
      <c r="M792" s="4"/>
      <c r="N792" s="4"/>
      <c r="O792" s="4"/>
      <c r="P792" s="4"/>
      <c r="Q792" s="4"/>
      <c r="R792" s="14"/>
      <c r="S792" s="14"/>
      <c r="T792" s="14"/>
      <c r="U792" s="14"/>
      <c r="V792" s="14"/>
      <c r="W792" s="14"/>
      <c r="X792" s="1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G792" s="4"/>
      <c r="BH792" s="4"/>
    </row>
    <row r="793" spans="1:60" x14ac:dyDescent="0.35">
      <c r="A793" s="4"/>
      <c r="B793" s="8" t="str">
        <f t="shared" si="62"/>
        <v/>
      </c>
      <c r="D793" s="6" t="str">
        <f t="shared" si="63"/>
        <v/>
      </c>
      <c r="E793" s="6" t="str">
        <f t="shared" si="64"/>
        <v/>
      </c>
      <c r="F793" s="6" t="str">
        <f t="shared" si="65"/>
        <v/>
      </c>
      <c r="G793" s="4"/>
      <c r="H793" s="4"/>
      <c r="I793" s="4"/>
      <c r="J793" s="4"/>
      <c r="K793" s="4"/>
      <c r="L793" s="4"/>
      <c r="M793" s="4"/>
      <c r="N793" s="4"/>
      <c r="O793" s="4"/>
      <c r="P793" s="4"/>
      <c r="Q793" s="4"/>
      <c r="R793" s="14"/>
      <c r="S793" s="14"/>
      <c r="T793" s="14"/>
      <c r="U793" s="14"/>
      <c r="V793" s="14"/>
      <c r="W793" s="14"/>
      <c r="X793" s="1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G793" s="4"/>
      <c r="BH793" s="4"/>
    </row>
    <row r="794" spans="1:60" x14ac:dyDescent="0.35">
      <c r="A794" s="4"/>
      <c r="B794" s="8" t="str">
        <f t="shared" si="62"/>
        <v/>
      </c>
      <c r="D794" s="6" t="str">
        <f t="shared" si="63"/>
        <v/>
      </c>
      <c r="E794" s="6" t="str">
        <f t="shared" si="64"/>
        <v/>
      </c>
      <c r="F794" s="6" t="str">
        <f t="shared" si="65"/>
        <v/>
      </c>
      <c r="G794" s="4"/>
      <c r="H794" s="4"/>
      <c r="I794" s="4"/>
      <c r="J794" s="4"/>
      <c r="K794" s="4"/>
      <c r="L794" s="4"/>
      <c r="M794" s="4"/>
      <c r="N794" s="4"/>
      <c r="O794" s="4"/>
      <c r="P794" s="4"/>
      <c r="Q794" s="4"/>
      <c r="R794" s="14"/>
      <c r="S794" s="14"/>
      <c r="T794" s="14"/>
      <c r="U794" s="14"/>
      <c r="V794" s="14"/>
      <c r="W794" s="14"/>
      <c r="X794" s="1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G794" s="4"/>
      <c r="BH794" s="4"/>
    </row>
    <row r="795" spans="1:60" x14ac:dyDescent="0.35">
      <c r="A795" s="4"/>
      <c r="B795" s="8" t="str">
        <f t="shared" si="62"/>
        <v/>
      </c>
      <c r="D795" s="6" t="str">
        <f t="shared" si="63"/>
        <v/>
      </c>
      <c r="E795" s="6" t="str">
        <f t="shared" si="64"/>
        <v/>
      </c>
      <c r="F795" s="6" t="str">
        <f t="shared" si="65"/>
        <v/>
      </c>
      <c r="G795" s="4"/>
      <c r="H795" s="4"/>
      <c r="I795" s="4"/>
      <c r="J795" s="4"/>
      <c r="K795" s="4"/>
      <c r="L795" s="4"/>
      <c r="M795" s="4"/>
      <c r="N795" s="4"/>
      <c r="O795" s="4"/>
      <c r="P795" s="4"/>
      <c r="Q795" s="4"/>
      <c r="R795" s="14"/>
      <c r="S795" s="14"/>
      <c r="T795" s="14"/>
      <c r="U795" s="14"/>
      <c r="V795" s="14"/>
      <c r="W795" s="14"/>
      <c r="X795" s="1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G795" s="4"/>
      <c r="BH795" s="4"/>
    </row>
    <row r="796" spans="1:60" x14ac:dyDescent="0.35">
      <c r="A796" s="4"/>
      <c r="B796" s="8" t="str">
        <f t="shared" si="62"/>
        <v/>
      </c>
      <c r="D796" s="6" t="str">
        <f t="shared" si="63"/>
        <v/>
      </c>
      <c r="E796" s="6" t="str">
        <f t="shared" si="64"/>
        <v/>
      </c>
      <c r="F796" s="6" t="str">
        <f t="shared" si="65"/>
        <v/>
      </c>
      <c r="G796" s="4"/>
      <c r="H796" s="4"/>
      <c r="I796" s="4"/>
      <c r="J796" s="4"/>
      <c r="K796" s="4"/>
      <c r="L796" s="4"/>
      <c r="M796" s="4"/>
      <c r="N796" s="4"/>
      <c r="O796" s="4"/>
      <c r="P796" s="4"/>
      <c r="Q796" s="4"/>
      <c r="R796" s="14"/>
      <c r="S796" s="14"/>
      <c r="T796" s="14"/>
      <c r="U796" s="14"/>
      <c r="V796" s="14"/>
      <c r="W796" s="14"/>
      <c r="X796" s="1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G796" s="4"/>
      <c r="BH796" s="4"/>
    </row>
    <row r="797" spans="1:60" x14ac:dyDescent="0.35">
      <c r="A797" s="4"/>
      <c r="B797" s="8" t="str">
        <f t="shared" si="62"/>
        <v/>
      </c>
      <c r="D797" s="6" t="str">
        <f t="shared" si="63"/>
        <v/>
      </c>
      <c r="E797" s="6" t="str">
        <f t="shared" si="64"/>
        <v/>
      </c>
      <c r="F797" s="6" t="str">
        <f t="shared" si="65"/>
        <v/>
      </c>
      <c r="G797" s="4"/>
      <c r="H797" s="4"/>
      <c r="I797" s="4"/>
      <c r="J797" s="4"/>
      <c r="K797" s="4"/>
      <c r="L797" s="4"/>
      <c r="M797" s="4"/>
      <c r="N797" s="4"/>
      <c r="O797" s="4"/>
      <c r="P797" s="4"/>
      <c r="Q797" s="4"/>
      <c r="R797" s="14"/>
      <c r="S797" s="14"/>
      <c r="T797" s="14"/>
      <c r="U797" s="14"/>
      <c r="V797" s="14"/>
      <c r="W797" s="14"/>
      <c r="X797" s="1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G797" s="4"/>
      <c r="BH797" s="4"/>
    </row>
    <row r="798" spans="1:60" x14ac:dyDescent="0.35">
      <c r="A798" s="4"/>
      <c r="B798" s="8" t="str">
        <f t="shared" si="62"/>
        <v/>
      </c>
      <c r="D798" s="6" t="str">
        <f t="shared" si="63"/>
        <v/>
      </c>
      <c r="E798" s="6" t="str">
        <f t="shared" si="64"/>
        <v/>
      </c>
      <c r="F798" s="6" t="str">
        <f t="shared" si="65"/>
        <v/>
      </c>
      <c r="G798" s="4"/>
      <c r="H798" s="4"/>
      <c r="I798" s="4"/>
      <c r="J798" s="4"/>
      <c r="K798" s="4"/>
      <c r="L798" s="4"/>
      <c r="M798" s="4"/>
      <c r="N798" s="4"/>
      <c r="O798" s="4"/>
      <c r="P798" s="4"/>
      <c r="Q798" s="4"/>
      <c r="R798" s="14"/>
      <c r="S798" s="14"/>
      <c r="T798" s="14"/>
      <c r="U798" s="14"/>
      <c r="V798" s="14"/>
      <c r="W798" s="14"/>
      <c r="X798" s="1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G798" s="4"/>
      <c r="BH798" s="4"/>
    </row>
    <row r="799" spans="1:60" x14ac:dyDescent="0.35">
      <c r="A799" s="4"/>
      <c r="B799" s="8" t="str">
        <f t="shared" si="62"/>
        <v/>
      </c>
      <c r="D799" s="6" t="str">
        <f t="shared" si="63"/>
        <v/>
      </c>
      <c r="E799" s="6" t="str">
        <f t="shared" si="64"/>
        <v/>
      </c>
      <c r="F799" s="6" t="str">
        <f t="shared" si="65"/>
        <v/>
      </c>
      <c r="G799" s="4"/>
      <c r="H799" s="4"/>
      <c r="I799" s="4"/>
      <c r="J799" s="4"/>
      <c r="K799" s="4"/>
      <c r="L799" s="4"/>
      <c r="M799" s="4"/>
      <c r="N799" s="4"/>
      <c r="O799" s="4"/>
      <c r="P799" s="4"/>
      <c r="Q799" s="4"/>
      <c r="R799" s="14"/>
      <c r="S799" s="14"/>
      <c r="T799" s="14"/>
      <c r="U799" s="14"/>
      <c r="V799" s="14"/>
      <c r="W799" s="14"/>
      <c r="X799" s="1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G799" s="4"/>
      <c r="BH799" s="4"/>
    </row>
    <row r="800" spans="1:60" x14ac:dyDescent="0.35">
      <c r="A800" s="4"/>
      <c r="B800" s="8" t="str">
        <f t="shared" si="62"/>
        <v/>
      </c>
      <c r="D800" s="6" t="str">
        <f t="shared" si="63"/>
        <v/>
      </c>
      <c r="E800" s="6" t="str">
        <f t="shared" si="64"/>
        <v/>
      </c>
      <c r="F800" s="6" t="str">
        <f t="shared" si="65"/>
        <v/>
      </c>
      <c r="G800" s="4"/>
      <c r="H800" s="4"/>
      <c r="I800" s="4"/>
      <c r="J800" s="4"/>
      <c r="K800" s="4"/>
      <c r="L800" s="4"/>
      <c r="M800" s="4"/>
      <c r="N800" s="4"/>
      <c r="O800" s="4"/>
      <c r="P800" s="4"/>
      <c r="Q800" s="4"/>
      <c r="R800" s="14"/>
      <c r="S800" s="14"/>
      <c r="T800" s="14"/>
      <c r="U800" s="14"/>
      <c r="V800" s="14"/>
      <c r="W800" s="14"/>
      <c r="X800" s="1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G800" s="4"/>
      <c r="BH800" s="4"/>
    </row>
    <row r="801" spans="1:60" x14ac:dyDescent="0.35">
      <c r="A801" s="4"/>
      <c r="B801" s="8" t="str">
        <f t="shared" si="62"/>
        <v/>
      </c>
      <c r="D801" s="6" t="str">
        <f t="shared" si="63"/>
        <v/>
      </c>
      <c r="E801" s="6" t="str">
        <f t="shared" si="64"/>
        <v/>
      </c>
      <c r="F801" s="6" t="str">
        <f t="shared" si="65"/>
        <v/>
      </c>
      <c r="G801" s="4"/>
      <c r="H801" s="4"/>
      <c r="I801" s="4"/>
      <c r="J801" s="4"/>
      <c r="K801" s="4"/>
      <c r="L801" s="4"/>
      <c r="M801" s="4"/>
      <c r="N801" s="4"/>
      <c r="O801" s="4"/>
      <c r="P801" s="4"/>
      <c r="Q801" s="4"/>
      <c r="R801" s="14"/>
      <c r="S801" s="14"/>
      <c r="T801" s="14"/>
      <c r="U801" s="14"/>
      <c r="V801" s="14"/>
      <c r="W801" s="14"/>
      <c r="X801" s="1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G801" s="4"/>
      <c r="BH801" s="4"/>
    </row>
    <row r="802" spans="1:60" x14ac:dyDescent="0.35">
      <c r="A802" s="4"/>
      <c r="B802" s="8" t="str">
        <f t="shared" si="62"/>
        <v/>
      </c>
      <c r="D802" s="6" t="str">
        <f t="shared" si="63"/>
        <v/>
      </c>
      <c r="E802" s="6" t="str">
        <f t="shared" si="64"/>
        <v/>
      </c>
      <c r="F802" s="6" t="str">
        <f t="shared" si="65"/>
        <v/>
      </c>
      <c r="G802" s="4"/>
      <c r="H802" s="4"/>
      <c r="I802" s="4"/>
      <c r="J802" s="4"/>
      <c r="K802" s="4"/>
      <c r="L802" s="4"/>
      <c r="M802" s="4"/>
      <c r="N802" s="4"/>
      <c r="O802" s="4"/>
      <c r="P802" s="4"/>
      <c r="Q802" s="4"/>
      <c r="R802" s="14"/>
      <c r="S802" s="14"/>
      <c r="T802" s="14"/>
      <c r="U802" s="14"/>
      <c r="V802" s="14"/>
      <c r="W802" s="14"/>
      <c r="X802" s="1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G802" s="4"/>
      <c r="BH802" s="4"/>
    </row>
    <row r="803" spans="1:60" x14ac:dyDescent="0.35">
      <c r="A803" s="4"/>
      <c r="B803" s="8" t="str">
        <f t="shared" si="62"/>
        <v/>
      </c>
      <c r="D803" s="6" t="str">
        <f t="shared" si="63"/>
        <v/>
      </c>
      <c r="E803" s="6" t="str">
        <f t="shared" si="64"/>
        <v/>
      </c>
      <c r="F803" s="6" t="str">
        <f t="shared" si="65"/>
        <v/>
      </c>
      <c r="G803" s="4"/>
      <c r="H803" s="4"/>
      <c r="I803" s="4"/>
      <c r="J803" s="4"/>
      <c r="K803" s="4"/>
      <c r="L803" s="4"/>
      <c r="M803" s="4"/>
      <c r="N803" s="4"/>
      <c r="O803" s="4"/>
      <c r="P803" s="4"/>
      <c r="Q803" s="4"/>
      <c r="R803" s="14"/>
      <c r="S803" s="14"/>
      <c r="T803" s="14"/>
      <c r="U803" s="14"/>
      <c r="V803" s="14"/>
      <c r="W803" s="14"/>
      <c r="X803" s="1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G803" s="4"/>
      <c r="BH803" s="4"/>
    </row>
    <row r="804" spans="1:60" x14ac:dyDescent="0.35">
      <c r="A804" s="4"/>
      <c r="B804" s="8" t="str">
        <f t="shared" si="62"/>
        <v/>
      </c>
      <c r="D804" s="6" t="str">
        <f t="shared" si="63"/>
        <v/>
      </c>
      <c r="E804" s="6" t="str">
        <f t="shared" si="64"/>
        <v/>
      </c>
      <c r="F804" s="6" t="str">
        <f t="shared" si="65"/>
        <v/>
      </c>
      <c r="G804" s="4"/>
      <c r="H804" s="4"/>
      <c r="I804" s="4"/>
      <c r="J804" s="4"/>
      <c r="K804" s="4"/>
      <c r="L804" s="4"/>
      <c r="M804" s="4"/>
      <c r="N804" s="4"/>
      <c r="O804" s="4"/>
      <c r="P804" s="4"/>
      <c r="Q804" s="4"/>
      <c r="R804" s="14"/>
      <c r="S804" s="14"/>
      <c r="T804" s="14"/>
      <c r="U804" s="14"/>
      <c r="V804" s="14"/>
      <c r="W804" s="14"/>
      <c r="X804" s="1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G804" s="4"/>
      <c r="BH804" s="4"/>
    </row>
    <row r="805" spans="1:60" x14ac:dyDescent="0.35">
      <c r="A805" s="4"/>
      <c r="B805" s="8" t="str">
        <f t="shared" si="62"/>
        <v/>
      </c>
      <c r="D805" s="6" t="str">
        <f t="shared" si="63"/>
        <v/>
      </c>
      <c r="E805" s="6" t="str">
        <f t="shared" si="64"/>
        <v/>
      </c>
      <c r="F805" s="6" t="str">
        <f t="shared" si="65"/>
        <v/>
      </c>
      <c r="G805" s="4"/>
      <c r="H805" s="4"/>
      <c r="I805" s="4"/>
      <c r="J805" s="4"/>
      <c r="K805" s="4"/>
      <c r="L805" s="4"/>
      <c r="M805" s="4"/>
      <c r="N805" s="4"/>
      <c r="O805" s="4"/>
      <c r="P805" s="4"/>
      <c r="Q805" s="4"/>
      <c r="R805" s="14"/>
      <c r="S805" s="14"/>
      <c r="T805" s="14"/>
      <c r="U805" s="14"/>
      <c r="V805" s="14"/>
      <c r="W805" s="14"/>
      <c r="X805" s="1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G805" s="4"/>
      <c r="BH805" s="4"/>
    </row>
    <row r="806" spans="1:60" x14ac:dyDescent="0.35">
      <c r="A806" s="4"/>
      <c r="B806" s="8" t="str">
        <f t="shared" si="62"/>
        <v/>
      </c>
      <c r="D806" s="6" t="str">
        <f t="shared" si="63"/>
        <v/>
      </c>
      <c r="E806" s="6" t="str">
        <f t="shared" si="64"/>
        <v/>
      </c>
      <c r="F806" s="6" t="str">
        <f t="shared" si="65"/>
        <v/>
      </c>
      <c r="G806" s="4"/>
      <c r="H806" s="4"/>
      <c r="I806" s="4"/>
      <c r="J806" s="4"/>
      <c r="K806" s="4"/>
      <c r="L806" s="4"/>
      <c r="M806" s="4"/>
      <c r="N806" s="4"/>
      <c r="O806" s="4"/>
      <c r="P806" s="4"/>
      <c r="Q806" s="4"/>
      <c r="R806" s="14"/>
      <c r="S806" s="14"/>
      <c r="T806" s="14"/>
      <c r="U806" s="14"/>
      <c r="V806" s="14"/>
      <c r="W806" s="14"/>
      <c r="X806" s="1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G806" s="4"/>
      <c r="BH806" s="4"/>
    </row>
    <row r="807" spans="1:60" x14ac:dyDescent="0.35">
      <c r="A807" s="4"/>
      <c r="B807" s="8" t="str">
        <f t="shared" si="62"/>
        <v/>
      </c>
      <c r="D807" s="6" t="str">
        <f t="shared" si="63"/>
        <v/>
      </c>
      <c r="E807" s="6" t="str">
        <f t="shared" si="64"/>
        <v/>
      </c>
      <c r="F807" s="6" t="str">
        <f t="shared" si="65"/>
        <v/>
      </c>
      <c r="G807" s="4"/>
      <c r="H807" s="4"/>
      <c r="I807" s="4"/>
      <c r="J807" s="4"/>
      <c r="K807" s="4"/>
      <c r="L807" s="4"/>
      <c r="M807" s="4"/>
      <c r="N807" s="4"/>
      <c r="O807" s="4"/>
      <c r="P807" s="4"/>
      <c r="Q807" s="4"/>
      <c r="R807" s="14"/>
      <c r="S807" s="14"/>
      <c r="T807" s="14"/>
      <c r="U807" s="14"/>
      <c r="V807" s="14"/>
      <c r="W807" s="14"/>
      <c r="X807" s="1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G807" s="4"/>
      <c r="BH807" s="4"/>
    </row>
    <row r="808" spans="1:60" x14ac:dyDescent="0.35">
      <c r="A808" s="4"/>
      <c r="B808" s="8" t="str">
        <f t="shared" si="62"/>
        <v/>
      </c>
      <c r="D808" s="6" t="str">
        <f t="shared" si="63"/>
        <v/>
      </c>
      <c r="E808" s="6" t="str">
        <f t="shared" si="64"/>
        <v/>
      </c>
      <c r="F808" s="6" t="str">
        <f t="shared" si="65"/>
        <v/>
      </c>
      <c r="G808" s="4"/>
      <c r="H808" s="4"/>
      <c r="I808" s="4"/>
      <c r="J808" s="4"/>
      <c r="K808" s="4"/>
      <c r="L808" s="4"/>
      <c r="M808" s="4"/>
      <c r="N808" s="4"/>
      <c r="O808" s="4"/>
      <c r="P808" s="4"/>
      <c r="Q808" s="4"/>
      <c r="R808" s="14"/>
      <c r="S808" s="14"/>
      <c r="T808" s="14"/>
      <c r="U808" s="14"/>
      <c r="V808" s="14"/>
      <c r="W808" s="14"/>
      <c r="X808" s="1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G808" s="4"/>
      <c r="BH808" s="4"/>
    </row>
    <row r="809" spans="1:60" x14ac:dyDescent="0.35">
      <c r="A809" s="4"/>
      <c r="B809" s="8" t="str">
        <f t="shared" si="62"/>
        <v/>
      </c>
      <c r="D809" s="6" t="str">
        <f t="shared" si="63"/>
        <v/>
      </c>
      <c r="E809" s="6" t="str">
        <f t="shared" si="64"/>
        <v/>
      </c>
      <c r="F809" s="6" t="str">
        <f t="shared" si="65"/>
        <v/>
      </c>
      <c r="G809" s="4"/>
      <c r="H809" s="4"/>
      <c r="I809" s="4"/>
      <c r="J809" s="4"/>
      <c r="K809" s="4"/>
      <c r="L809" s="4"/>
      <c r="M809" s="4"/>
      <c r="N809" s="4"/>
      <c r="O809" s="4"/>
      <c r="P809" s="4"/>
      <c r="Q809" s="4"/>
      <c r="R809" s="14"/>
      <c r="S809" s="14"/>
      <c r="T809" s="14"/>
      <c r="U809" s="14"/>
      <c r="V809" s="14"/>
      <c r="W809" s="14"/>
      <c r="X809" s="1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G809" s="4"/>
      <c r="BH809" s="4"/>
    </row>
    <row r="810" spans="1:60" x14ac:dyDescent="0.35">
      <c r="A810" s="4"/>
      <c r="B810" s="8" t="str">
        <f t="shared" si="62"/>
        <v/>
      </c>
      <c r="D810" s="6" t="str">
        <f t="shared" si="63"/>
        <v/>
      </c>
      <c r="E810" s="6" t="str">
        <f t="shared" si="64"/>
        <v/>
      </c>
      <c r="F810" s="6" t="str">
        <f t="shared" si="65"/>
        <v/>
      </c>
      <c r="G810" s="4"/>
      <c r="H810" s="4"/>
      <c r="I810" s="4"/>
      <c r="J810" s="4"/>
      <c r="K810" s="4"/>
      <c r="L810" s="4"/>
      <c r="M810" s="4"/>
      <c r="N810" s="4"/>
      <c r="O810" s="4"/>
      <c r="P810" s="4"/>
      <c r="Q810" s="4"/>
      <c r="R810" s="14"/>
      <c r="S810" s="14"/>
      <c r="T810" s="14"/>
      <c r="U810" s="14"/>
      <c r="V810" s="14"/>
      <c r="W810" s="14"/>
      <c r="X810" s="1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G810" s="4"/>
      <c r="BH810" s="4"/>
    </row>
    <row r="811" spans="1:60" x14ac:dyDescent="0.35">
      <c r="A811" s="4"/>
      <c r="B811" s="8" t="str">
        <f t="shared" si="62"/>
        <v/>
      </c>
      <c r="D811" s="6" t="str">
        <f t="shared" si="63"/>
        <v/>
      </c>
      <c r="E811" s="6" t="str">
        <f t="shared" si="64"/>
        <v/>
      </c>
      <c r="F811" s="6" t="str">
        <f t="shared" si="65"/>
        <v/>
      </c>
      <c r="G811" s="4"/>
      <c r="H811" s="4"/>
      <c r="I811" s="4"/>
      <c r="J811" s="4"/>
      <c r="K811" s="4"/>
      <c r="L811" s="4"/>
      <c r="M811" s="4"/>
      <c r="N811" s="4"/>
      <c r="O811" s="4"/>
      <c r="P811" s="4"/>
      <c r="Q811" s="4"/>
      <c r="R811" s="14"/>
      <c r="S811" s="14"/>
      <c r="T811" s="14"/>
      <c r="U811" s="14"/>
      <c r="V811" s="14"/>
      <c r="W811" s="14"/>
      <c r="X811" s="1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G811" s="4"/>
      <c r="BH811" s="4"/>
    </row>
    <row r="812" spans="1:60" x14ac:dyDescent="0.35">
      <c r="A812" s="4"/>
      <c r="B812" s="8" t="str">
        <f t="shared" si="62"/>
        <v/>
      </c>
      <c r="D812" s="6" t="str">
        <f t="shared" si="63"/>
        <v/>
      </c>
      <c r="E812" s="6" t="str">
        <f t="shared" si="64"/>
        <v/>
      </c>
      <c r="F812" s="6" t="str">
        <f t="shared" si="65"/>
        <v/>
      </c>
      <c r="G812" s="4"/>
      <c r="H812" s="4"/>
      <c r="I812" s="4"/>
      <c r="J812" s="4"/>
      <c r="K812" s="4"/>
      <c r="L812" s="4"/>
      <c r="M812" s="4"/>
      <c r="N812" s="4"/>
      <c r="O812" s="4"/>
      <c r="P812" s="4"/>
      <c r="Q812" s="4"/>
      <c r="R812" s="14"/>
      <c r="S812" s="14"/>
      <c r="T812" s="14"/>
      <c r="U812" s="14"/>
      <c r="V812" s="14"/>
      <c r="W812" s="14"/>
      <c r="X812" s="1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G812" s="4"/>
      <c r="BH812" s="4"/>
    </row>
    <row r="813" spans="1:60" x14ac:dyDescent="0.35">
      <c r="A813" s="4"/>
      <c r="B813" s="8" t="str">
        <f t="shared" si="62"/>
        <v/>
      </c>
      <c r="D813" s="6" t="str">
        <f t="shared" si="63"/>
        <v/>
      </c>
      <c r="E813" s="6" t="str">
        <f t="shared" si="64"/>
        <v/>
      </c>
      <c r="F813" s="6" t="str">
        <f t="shared" si="65"/>
        <v/>
      </c>
      <c r="G813" s="4"/>
      <c r="H813" s="4"/>
      <c r="I813" s="4"/>
      <c r="J813" s="4"/>
      <c r="K813" s="4"/>
      <c r="L813" s="4"/>
      <c r="M813" s="4"/>
      <c r="N813" s="4"/>
      <c r="O813" s="4"/>
      <c r="P813" s="4"/>
      <c r="Q813" s="4"/>
      <c r="R813" s="14"/>
      <c r="S813" s="14"/>
      <c r="T813" s="14"/>
      <c r="U813" s="14"/>
      <c r="V813" s="14"/>
      <c r="W813" s="14"/>
      <c r="X813" s="1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G813" s="4"/>
      <c r="BH813" s="4"/>
    </row>
    <row r="814" spans="1:60" x14ac:dyDescent="0.35">
      <c r="A814" s="4"/>
      <c r="B814" s="8" t="str">
        <f t="shared" si="62"/>
        <v/>
      </c>
      <c r="D814" s="6" t="str">
        <f t="shared" si="63"/>
        <v/>
      </c>
      <c r="E814" s="6" t="str">
        <f t="shared" si="64"/>
        <v/>
      </c>
      <c r="F814" s="6" t="str">
        <f t="shared" si="65"/>
        <v/>
      </c>
      <c r="G814" s="4"/>
      <c r="H814" s="4"/>
      <c r="I814" s="4"/>
      <c r="J814" s="4"/>
      <c r="K814" s="4"/>
      <c r="L814" s="4"/>
      <c r="M814" s="4"/>
      <c r="N814" s="4"/>
      <c r="O814" s="4"/>
      <c r="P814" s="4"/>
      <c r="Q814" s="4"/>
      <c r="R814" s="14"/>
      <c r="S814" s="14"/>
      <c r="T814" s="14"/>
      <c r="U814" s="14"/>
      <c r="V814" s="14"/>
      <c r="W814" s="14"/>
      <c r="X814" s="1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G814" s="4"/>
      <c r="BH814" s="4"/>
    </row>
    <row r="815" spans="1:60" x14ac:dyDescent="0.35">
      <c r="A815" s="4"/>
      <c r="B815" s="8" t="str">
        <f t="shared" si="62"/>
        <v/>
      </c>
      <c r="D815" s="6" t="str">
        <f t="shared" si="63"/>
        <v/>
      </c>
      <c r="E815" s="6" t="str">
        <f t="shared" si="64"/>
        <v/>
      </c>
      <c r="F815" s="6" t="str">
        <f t="shared" si="65"/>
        <v/>
      </c>
      <c r="G815" s="4"/>
      <c r="H815" s="4"/>
      <c r="I815" s="4"/>
      <c r="J815" s="4"/>
      <c r="K815" s="4"/>
      <c r="L815" s="4"/>
      <c r="M815" s="4"/>
      <c r="N815" s="4"/>
      <c r="O815" s="4"/>
      <c r="P815" s="4"/>
      <c r="Q815" s="4"/>
      <c r="R815" s="14"/>
      <c r="S815" s="14"/>
      <c r="T815" s="14"/>
      <c r="U815" s="14"/>
      <c r="V815" s="14"/>
      <c r="W815" s="14"/>
      <c r="X815" s="1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G815" s="4"/>
      <c r="BH815" s="4"/>
    </row>
    <row r="816" spans="1:60" x14ac:dyDescent="0.35">
      <c r="A816" s="4"/>
      <c r="B816" s="8" t="str">
        <f t="shared" si="62"/>
        <v/>
      </c>
      <c r="D816" s="6" t="str">
        <f t="shared" si="63"/>
        <v/>
      </c>
      <c r="E816" s="6" t="str">
        <f t="shared" si="64"/>
        <v/>
      </c>
      <c r="F816" s="6" t="str">
        <f t="shared" si="65"/>
        <v/>
      </c>
      <c r="G816" s="4"/>
      <c r="H816" s="4"/>
      <c r="I816" s="4"/>
      <c r="J816" s="4"/>
      <c r="K816" s="4"/>
      <c r="L816" s="4"/>
      <c r="M816" s="4"/>
      <c r="N816" s="4"/>
      <c r="O816" s="4"/>
      <c r="P816" s="4"/>
      <c r="Q816" s="4"/>
      <c r="R816" s="14"/>
      <c r="S816" s="14"/>
      <c r="T816" s="14"/>
      <c r="U816" s="14"/>
      <c r="V816" s="14"/>
      <c r="W816" s="14"/>
      <c r="X816" s="1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G816" s="4"/>
      <c r="BH816" s="4"/>
    </row>
    <row r="817" spans="1:60" x14ac:dyDescent="0.35">
      <c r="A817" s="4"/>
      <c r="B817" s="8" t="str">
        <f t="shared" si="62"/>
        <v/>
      </c>
      <c r="D817" s="6" t="str">
        <f t="shared" si="63"/>
        <v/>
      </c>
      <c r="E817" s="6" t="str">
        <f t="shared" si="64"/>
        <v/>
      </c>
      <c r="F817" s="6" t="str">
        <f t="shared" si="65"/>
        <v/>
      </c>
      <c r="G817" s="4"/>
      <c r="H817" s="4"/>
      <c r="I817" s="4"/>
      <c r="J817" s="4"/>
      <c r="K817" s="4"/>
      <c r="L817" s="4"/>
      <c r="M817" s="4"/>
      <c r="N817" s="4"/>
      <c r="O817" s="4"/>
      <c r="P817" s="4"/>
      <c r="Q817" s="4"/>
      <c r="R817" s="14"/>
      <c r="S817" s="14"/>
      <c r="T817" s="14"/>
      <c r="U817" s="14"/>
      <c r="V817" s="14"/>
      <c r="W817" s="14"/>
      <c r="X817" s="1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G817" s="4"/>
      <c r="BH817" s="4"/>
    </row>
    <row r="818" spans="1:60" x14ac:dyDescent="0.35">
      <c r="A818" s="4"/>
      <c r="B818" s="8" t="str">
        <f t="shared" si="62"/>
        <v/>
      </c>
      <c r="D818" s="6" t="str">
        <f t="shared" si="63"/>
        <v/>
      </c>
      <c r="E818" s="6" t="str">
        <f t="shared" si="64"/>
        <v/>
      </c>
      <c r="F818" s="6" t="str">
        <f t="shared" si="65"/>
        <v/>
      </c>
      <c r="G818" s="4"/>
      <c r="H818" s="4"/>
      <c r="I818" s="4"/>
      <c r="J818" s="4"/>
      <c r="K818" s="4"/>
      <c r="L818" s="4"/>
      <c r="M818" s="4"/>
      <c r="N818" s="4"/>
      <c r="O818" s="4"/>
      <c r="P818" s="4"/>
      <c r="Q818" s="4"/>
      <c r="R818" s="14"/>
      <c r="S818" s="14"/>
      <c r="T818" s="14"/>
      <c r="U818" s="14"/>
      <c r="V818" s="14"/>
      <c r="W818" s="14"/>
      <c r="X818" s="1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G818" s="4"/>
      <c r="BH818" s="4"/>
    </row>
    <row r="819" spans="1:60" x14ac:dyDescent="0.35">
      <c r="A819" s="4"/>
      <c r="B819" s="8" t="str">
        <f t="shared" si="62"/>
        <v/>
      </c>
      <c r="D819" s="6" t="str">
        <f t="shared" si="63"/>
        <v/>
      </c>
      <c r="E819" s="6" t="str">
        <f t="shared" si="64"/>
        <v/>
      </c>
      <c r="F819" s="6" t="str">
        <f t="shared" si="65"/>
        <v/>
      </c>
      <c r="G819" s="4"/>
      <c r="H819" s="4"/>
      <c r="I819" s="4"/>
      <c r="J819" s="4"/>
      <c r="K819" s="4"/>
      <c r="L819" s="4"/>
      <c r="M819" s="4"/>
      <c r="N819" s="4"/>
      <c r="O819" s="4"/>
      <c r="P819" s="4"/>
      <c r="Q819" s="4"/>
      <c r="R819" s="14"/>
      <c r="S819" s="14"/>
      <c r="T819" s="14"/>
      <c r="U819" s="14"/>
      <c r="V819" s="14"/>
      <c r="W819" s="14"/>
      <c r="X819" s="1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G819" s="4"/>
      <c r="BH819" s="4"/>
    </row>
    <row r="820" spans="1:60" x14ac:dyDescent="0.35">
      <c r="A820" s="4"/>
      <c r="B820" s="8" t="str">
        <f t="shared" si="62"/>
        <v/>
      </c>
      <c r="D820" s="6" t="str">
        <f t="shared" si="63"/>
        <v/>
      </c>
      <c r="E820" s="6" t="str">
        <f t="shared" si="64"/>
        <v/>
      </c>
      <c r="F820" s="6" t="str">
        <f t="shared" si="65"/>
        <v/>
      </c>
      <c r="G820" s="4"/>
      <c r="H820" s="4"/>
      <c r="I820" s="4"/>
      <c r="J820" s="4"/>
      <c r="K820" s="4"/>
      <c r="L820" s="4"/>
      <c r="M820" s="4"/>
      <c r="N820" s="4"/>
      <c r="O820" s="4"/>
      <c r="P820" s="4"/>
      <c r="Q820" s="4"/>
      <c r="R820" s="14"/>
      <c r="S820" s="14"/>
      <c r="T820" s="14"/>
      <c r="U820" s="14"/>
      <c r="V820" s="14"/>
      <c r="W820" s="14"/>
      <c r="X820" s="1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G820" s="4"/>
      <c r="BH820" s="4"/>
    </row>
    <row r="821" spans="1:60" x14ac:dyDescent="0.35">
      <c r="A821" s="4"/>
      <c r="B821" s="8" t="str">
        <f t="shared" si="62"/>
        <v/>
      </c>
      <c r="D821" s="6" t="str">
        <f t="shared" si="63"/>
        <v/>
      </c>
      <c r="E821" s="6" t="str">
        <f t="shared" si="64"/>
        <v/>
      </c>
      <c r="F821" s="6" t="str">
        <f t="shared" si="65"/>
        <v/>
      </c>
      <c r="G821" s="4"/>
      <c r="H821" s="4"/>
      <c r="I821" s="4"/>
      <c r="J821" s="4"/>
      <c r="K821" s="4"/>
      <c r="L821" s="4"/>
      <c r="M821" s="4"/>
      <c r="N821" s="4"/>
      <c r="O821" s="4"/>
      <c r="P821" s="4"/>
      <c r="Q821" s="4"/>
      <c r="R821" s="14"/>
      <c r="S821" s="14"/>
      <c r="T821" s="14"/>
      <c r="U821" s="14"/>
      <c r="V821" s="14"/>
      <c r="W821" s="14"/>
      <c r="X821" s="1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G821" s="4"/>
      <c r="BH821" s="4"/>
    </row>
    <row r="822" spans="1:60" x14ac:dyDescent="0.35">
      <c r="A822" s="4"/>
      <c r="B822" s="8" t="str">
        <f t="shared" si="62"/>
        <v/>
      </c>
      <c r="D822" s="6" t="str">
        <f t="shared" si="63"/>
        <v/>
      </c>
      <c r="E822" s="6" t="str">
        <f t="shared" si="64"/>
        <v/>
      </c>
      <c r="F822" s="6" t="str">
        <f t="shared" si="65"/>
        <v/>
      </c>
      <c r="G822" s="4"/>
      <c r="H822" s="4"/>
      <c r="I822" s="4"/>
      <c r="J822" s="4"/>
      <c r="K822" s="4"/>
      <c r="L822" s="4"/>
      <c r="M822" s="4"/>
      <c r="N822" s="4"/>
      <c r="O822" s="4"/>
      <c r="P822" s="4"/>
      <c r="Q822" s="4"/>
      <c r="R822" s="14"/>
      <c r="S822" s="14"/>
      <c r="T822" s="14"/>
      <c r="U822" s="14"/>
      <c r="V822" s="14"/>
      <c r="W822" s="14"/>
      <c r="X822" s="1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G822" s="4"/>
      <c r="BH822" s="4"/>
    </row>
    <row r="823" spans="1:60" x14ac:dyDescent="0.35">
      <c r="A823" s="4"/>
      <c r="B823" s="8" t="str">
        <f t="shared" si="62"/>
        <v/>
      </c>
      <c r="D823" s="6" t="str">
        <f t="shared" si="63"/>
        <v/>
      </c>
      <c r="E823" s="6" t="str">
        <f t="shared" si="64"/>
        <v/>
      </c>
      <c r="F823" s="6" t="str">
        <f t="shared" si="65"/>
        <v/>
      </c>
      <c r="G823" s="4"/>
      <c r="H823" s="4"/>
      <c r="I823" s="4"/>
      <c r="J823" s="4"/>
      <c r="K823" s="4"/>
      <c r="L823" s="4"/>
      <c r="M823" s="4"/>
      <c r="N823" s="4"/>
      <c r="O823" s="4"/>
      <c r="P823" s="4"/>
      <c r="Q823" s="4"/>
      <c r="R823" s="14"/>
      <c r="S823" s="14"/>
      <c r="T823" s="14"/>
      <c r="U823" s="14"/>
      <c r="V823" s="14"/>
      <c r="W823" s="14"/>
      <c r="X823" s="1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G823" s="4"/>
      <c r="BH823" s="4"/>
    </row>
    <row r="824" spans="1:60" x14ac:dyDescent="0.35">
      <c r="A824" s="4"/>
      <c r="B824" s="8" t="str">
        <f t="shared" si="62"/>
        <v/>
      </c>
      <c r="D824" s="6" t="str">
        <f t="shared" si="63"/>
        <v/>
      </c>
      <c r="E824" s="6" t="str">
        <f t="shared" si="64"/>
        <v/>
      </c>
      <c r="F824" s="6" t="str">
        <f t="shared" si="65"/>
        <v/>
      </c>
      <c r="G824" s="4"/>
      <c r="H824" s="4"/>
      <c r="I824" s="4"/>
      <c r="J824" s="4"/>
      <c r="K824" s="4"/>
      <c r="L824" s="4"/>
      <c r="M824" s="4"/>
      <c r="N824" s="4"/>
      <c r="O824" s="4"/>
      <c r="P824" s="4"/>
      <c r="Q824" s="4"/>
      <c r="R824" s="14"/>
      <c r="S824" s="14"/>
      <c r="T824" s="14"/>
      <c r="U824" s="14"/>
      <c r="V824" s="14"/>
      <c r="W824" s="14"/>
      <c r="X824" s="1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G824" s="4"/>
      <c r="BH824" s="4"/>
    </row>
    <row r="825" spans="1:60" x14ac:dyDescent="0.35">
      <c r="A825" s="4"/>
      <c r="B825" s="8" t="str">
        <f t="shared" si="62"/>
        <v/>
      </c>
      <c r="D825" s="6" t="str">
        <f t="shared" si="63"/>
        <v/>
      </c>
      <c r="E825" s="6" t="str">
        <f t="shared" si="64"/>
        <v/>
      </c>
      <c r="F825" s="6" t="str">
        <f t="shared" si="65"/>
        <v/>
      </c>
      <c r="G825" s="4"/>
      <c r="H825" s="4"/>
      <c r="I825" s="4"/>
      <c r="J825" s="4"/>
      <c r="K825" s="4"/>
      <c r="L825" s="4"/>
      <c r="M825" s="4"/>
      <c r="N825" s="4"/>
      <c r="O825" s="4"/>
      <c r="P825" s="4"/>
      <c r="Q825" s="4"/>
      <c r="R825" s="14"/>
      <c r="S825" s="14"/>
      <c r="T825" s="14"/>
      <c r="U825" s="14"/>
      <c r="V825" s="14"/>
      <c r="W825" s="14"/>
      <c r="X825" s="1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G825" s="4"/>
      <c r="BH825" s="4"/>
    </row>
    <row r="826" spans="1:60" x14ac:dyDescent="0.35">
      <c r="A826" s="4"/>
      <c r="B826" s="8" t="str">
        <f t="shared" si="62"/>
        <v/>
      </c>
      <c r="D826" s="6" t="str">
        <f t="shared" si="63"/>
        <v/>
      </c>
      <c r="E826" s="6" t="str">
        <f t="shared" si="64"/>
        <v/>
      </c>
      <c r="F826" s="6" t="str">
        <f t="shared" si="65"/>
        <v/>
      </c>
      <c r="G826" s="4"/>
      <c r="H826" s="4"/>
      <c r="I826" s="4"/>
      <c r="J826" s="4"/>
      <c r="K826" s="4"/>
      <c r="L826" s="4"/>
      <c r="M826" s="4"/>
      <c r="N826" s="4"/>
      <c r="O826" s="4"/>
      <c r="P826" s="4"/>
      <c r="Q826" s="4"/>
      <c r="R826" s="14"/>
      <c r="S826" s="14"/>
      <c r="T826" s="14"/>
      <c r="U826" s="14"/>
      <c r="V826" s="14"/>
      <c r="W826" s="14"/>
      <c r="X826" s="1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G826" s="4"/>
      <c r="BH826" s="4"/>
    </row>
    <row r="827" spans="1:60" x14ac:dyDescent="0.35">
      <c r="A827" s="4"/>
      <c r="B827" s="8" t="str">
        <f t="shared" si="62"/>
        <v/>
      </c>
      <c r="D827" s="6" t="str">
        <f t="shared" si="63"/>
        <v/>
      </c>
      <c r="E827" s="6" t="str">
        <f t="shared" si="64"/>
        <v/>
      </c>
      <c r="F827" s="6" t="str">
        <f t="shared" si="65"/>
        <v/>
      </c>
      <c r="G827" s="4"/>
      <c r="H827" s="4"/>
      <c r="I827" s="4"/>
      <c r="J827" s="4"/>
      <c r="K827" s="4"/>
      <c r="L827" s="4"/>
      <c r="M827" s="4"/>
      <c r="N827" s="4"/>
      <c r="O827" s="4"/>
      <c r="P827" s="4"/>
      <c r="Q827" s="4"/>
      <c r="R827" s="14"/>
      <c r="S827" s="14"/>
      <c r="T827" s="14"/>
      <c r="U827" s="14"/>
      <c r="V827" s="14"/>
      <c r="W827" s="14"/>
      <c r="X827" s="1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G827" s="4"/>
      <c r="BH827" s="4"/>
    </row>
    <row r="828" spans="1:60" x14ac:dyDescent="0.35">
      <c r="A828" s="4"/>
      <c r="B828" s="8" t="str">
        <f t="shared" si="62"/>
        <v/>
      </c>
      <c r="D828" s="6" t="str">
        <f t="shared" si="63"/>
        <v/>
      </c>
      <c r="E828" s="6" t="str">
        <f t="shared" si="64"/>
        <v/>
      </c>
      <c r="F828" s="6" t="str">
        <f t="shared" si="65"/>
        <v/>
      </c>
      <c r="G828" s="4"/>
      <c r="H828" s="4"/>
      <c r="I828" s="4"/>
      <c r="J828" s="4"/>
      <c r="K828" s="4"/>
      <c r="L828" s="4"/>
      <c r="M828" s="4"/>
      <c r="N828" s="4"/>
      <c r="O828" s="4"/>
      <c r="P828" s="4"/>
      <c r="Q828" s="4"/>
      <c r="R828" s="14"/>
      <c r="S828" s="14"/>
      <c r="T828" s="14"/>
      <c r="U828" s="14"/>
      <c r="V828" s="14"/>
      <c r="W828" s="14"/>
      <c r="X828" s="1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G828" s="4"/>
      <c r="BH828" s="4"/>
    </row>
    <row r="829" spans="1:60" x14ac:dyDescent="0.35">
      <c r="A829" s="4"/>
      <c r="B829" s="8" t="str">
        <f t="shared" ref="B829:B892" si="66">RIGHT(A829,4)</f>
        <v/>
      </c>
      <c r="D829" s="6" t="str">
        <f t="shared" ref="D829:D892" si="67">IF(C829="","",VLOOKUP(C829,district_region,2,FALSE))</f>
        <v/>
      </c>
      <c r="E829" s="6" t="str">
        <f t="shared" ref="E829:E892" si="68">IF(C829="","",VLOOKUP(C829,liste_pop,3,FALSE))</f>
        <v/>
      </c>
      <c r="F829" s="6" t="str">
        <f t="shared" ref="F829:F892" si="69">IF(D829="","",IF(D829="Dakar",4042240,VLOOKUP(D829,liste_pop,4,FALSE)))</f>
        <v/>
      </c>
      <c r="G829" s="4"/>
      <c r="H829" s="4"/>
      <c r="I829" s="4"/>
      <c r="J829" s="4"/>
      <c r="K829" s="4"/>
      <c r="L829" s="4"/>
      <c r="M829" s="4"/>
      <c r="N829" s="4"/>
      <c r="O829" s="4"/>
      <c r="P829" s="4"/>
      <c r="Q829" s="4"/>
      <c r="R829" s="14"/>
      <c r="S829" s="14"/>
      <c r="T829" s="14"/>
      <c r="U829" s="14"/>
      <c r="V829" s="14"/>
      <c r="W829" s="14"/>
      <c r="X829" s="1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G829" s="4"/>
      <c r="BH829" s="4"/>
    </row>
    <row r="830" spans="1:60" x14ac:dyDescent="0.35">
      <c r="A830" s="4"/>
      <c r="B830" s="8" t="str">
        <f t="shared" si="66"/>
        <v/>
      </c>
      <c r="D830" s="6" t="str">
        <f t="shared" si="67"/>
        <v/>
      </c>
      <c r="E830" s="6" t="str">
        <f t="shared" si="68"/>
        <v/>
      </c>
      <c r="F830" s="6" t="str">
        <f t="shared" si="69"/>
        <v/>
      </c>
      <c r="G830" s="4"/>
      <c r="H830" s="4"/>
      <c r="I830" s="4"/>
      <c r="J830" s="4"/>
      <c r="K830" s="4"/>
      <c r="L830" s="4"/>
      <c r="M830" s="4"/>
      <c r="N830" s="4"/>
      <c r="O830" s="4"/>
      <c r="P830" s="4"/>
      <c r="Q830" s="4"/>
      <c r="R830" s="14"/>
      <c r="S830" s="14"/>
      <c r="T830" s="14"/>
      <c r="U830" s="14"/>
      <c r="V830" s="14"/>
      <c r="W830" s="14"/>
      <c r="X830" s="1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G830" s="4"/>
      <c r="BH830" s="4"/>
    </row>
    <row r="831" spans="1:60" x14ac:dyDescent="0.35">
      <c r="A831" s="4"/>
      <c r="B831" s="8" t="str">
        <f t="shared" si="66"/>
        <v/>
      </c>
      <c r="D831" s="6" t="str">
        <f t="shared" si="67"/>
        <v/>
      </c>
      <c r="E831" s="6" t="str">
        <f t="shared" si="68"/>
        <v/>
      </c>
      <c r="F831" s="6" t="str">
        <f t="shared" si="69"/>
        <v/>
      </c>
      <c r="G831" s="4"/>
      <c r="H831" s="4"/>
      <c r="I831" s="4"/>
      <c r="J831" s="4"/>
      <c r="K831" s="4"/>
      <c r="L831" s="4"/>
      <c r="M831" s="4"/>
      <c r="N831" s="4"/>
      <c r="O831" s="4"/>
      <c r="P831" s="4"/>
      <c r="Q831" s="4"/>
      <c r="R831" s="14"/>
      <c r="S831" s="14"/>
      <c r="T831" s="14"/>
      <c r="U831" s="14"/>
      <c r="V831" s="14"/>
      <c r="W831" s="14"/>
      <c r="X831" s="1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G831" s="4"/>
      <c r="BH831" s="4"/>
    </row>
    <row r="832" spans="1:60" x14ac:dyDescent="0.35">
      <c r="A832" s="4"/>
      <c r="B832" s="8" t="str">
        <f t="shared" si="66"/>
        <v/>
      </c>
      <c r="D832" s="6" t="str">
        <f t="shared" si="67"/>
        <v/>
      </c>
      <c r="E832" s="6" t="str">
        <f t="shared" si="68"/>
        <v/>
      </c>
      <c r="F832" s="6" t="str">
        <f t="shared" si="69"/>
        <v/>
      </c>
      <c r="G832" s="4"/>
      <c r="H832" s="4"/>
      <c r="I832" s="4"/>
      <c r="J832" s="4"/>
      <c r="K832" s="4"/>
      <c r="L832" s="4"/>
      <c r="M832" s="4"/>
      <c r="N832" s="4"/>
      <c r="O832" s="4"/>
      <c r="P832" s="4"/>
      <c r="Q832" s="4"/>
      <c r="R832" s="14"/>
      <c r="S832" s="14"/>
      <c r="T832" s="14"/>
      <c r="U832" s="14"/>
      <c r="V832" s="14"/>
      <c r="W832" s="14"/>
      <c r="X832" s="1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G832" s="4"/>
      <c r="BH832" s="4"/>
    </row>
    <row r="833" spans="1:60" x14ac:dyDescent="0.35">
      <c r="A833" s="4"/>
      <c r="B833" s="8" t="str">
        <f t="shared" si="66"/>
        <v/>
      </c>
      <c r="D833" s="6" t="str">
        <f t="shared" si="67"/>
        <v/>
      </c>
      <c r="E833" s="6" t="str">
        <f t="shared" si="68"/>
        <v/>
      </c>
      <c r="F833" s="6" t="str">
        <f t="shared" si="69"/>
        <v/>
      </c>
      <c r="G833" s="4"/>
      <c r="H833" s="4"/>
      <c r="I833" s="4"/>
      <c r="J833" s="4"/>
      <c r="K833" s="4"/>
      <c r="L833" s="4"/>
      <c r="M833" s="4"/>
      <c r="N833" s="4"/>
      <c r="O833" s="4"/>
      <c r="P833" s="4"/>
      <c r="Q833" s="4"/>
      <c r="R833" s="14"/>
      <c r="S833" s="14"/>
      <c r="T833" s="14"/>
      <c r="U833" s="14"/>
      <c r="V833" s="14"/>
      <c r="W833" s="14"/>
      <c r="X833" s="1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G833" s="4"/>
      <c r="BH833" s="4"/>
    </row>
    <row r="834" spans="1:60" x14ac:dyDescent="0.35">
      <c r="A834" s="4"/>
      <c r="B834" s="8" t="str">
        <f t="shared" si="66"/>
        <v/>
      </c>
      <c r="D834" s="6" t="str">
        <f t="shared" si="67"/>
        <v/>
      </c>
      <c r="E834" s="6" t="str">
        <f t="shared" si="68"/>
        <v/>
      </c>
      <c r="F834" s="6" t="str">
        <f t="shared" si="69"/>
        <v/>
      </c>
      <c r="G834" s="4"/>
      <c r="H834" s="4"/>
      <c r="I834" s="4"/>
      <c r="J834" s="4"/>
      <c r="K834" s="4"/>
      <c r="L834" s="4"/>
      <c r="M834" s="4"/>
      <c r="N834" s="4"/>
      <c r="O834" s="4"/>
      <c r="P834" s="4"/>
      <c r="Q834" s="4"/>
      <c r="R834" s="14"/>
      <c r="S834" s="14"/>
      <c r="T834" s="14"/>
      <c r="U834" s="14"/>
      <c r="V834" s="14"/>
      <c r="W834" s="14"/>
      <c r="X834" s="1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G834" s="4"/>
      <c r="BH834" s="4"/>
    </row>
    <row r="835" spans="1:60" x14ac:dyDescent="0.35">
      <c r="A835" s="4"/>
      <c r="B835" s="8" t="str">
        <f t="shared" si="66"/>
        <v/>
      </c>
      <c r="D835" s="6" t="str">
        <f t="shared" si="67"/>
        <v/>
      </c>
      <c r="E835" s="6" t="str">
        <f t="shared" si="68"/>
        <v/>
      </c>
      <c r="F835" s="6" t="str">
        <f t="shared" si="69"/>
        <v/>
      </c>
      <c r="G835" s="4"/>
      <c r="H835" s="4"/>
      <c r="I835" s="4"/>
      <c r="J835" s="4"/>
      <c r="K835" s="4"/>
      <c r="L835" s="4"/>
      <c r="M835" s="4"/>
      <c r="N835" s="4"/>
      <c r="O835" s="4"/>
      <c r="P835" s="4"/>
      <c r="Q835" s="4"/>
      <c r="R835" s="14"/>
      <c r="S835" s="14"/>
      <c r="T835" s="14"/>
      <c r="U835" s="14"/>
      <c r="V835" s="14"/>
      <c r="W835" s="14"/>
      <c r="X835" s="1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G835" s="4"/>
      <c r="BH835" s="4"/>
    </row>
    <row r="836" spans="1:60" x14ac:dyDescent="0.35">
      <c r="A836" s="4"/>
      <c r="B836" s="8" t="str">
        <f t="shared" si="66"/>
        <v/>
      </c>
      <c r="D836" s="6" t="str">
        <f t="shared" si="67"/>
        <v/>
      </c>
      <c r="E836" s="6" t="str">
        <f t="shared" si="68"/>
        <v/>
      </c>
      <c r="F836" s="6" t="str">
        <f t="shared" si="69"/>
        <v/>
      </c>
      <c r="G836" s="4"/>
      <c r="H836" s="4"/>
      <c r="I836" s="4"/>
      <c r="J836" s="4"/>
      <c r="K836" s="4"/>
      <c r="L836" s="4"/>
      <c r="M836" s="4"/>
      <c r="N836" s="4"/>
      <c r="O836" s="4"/>
      <c r="P836" s="4"/>
      <c r="Q836" s="4"/>
      <c r="R836" s="14"/>
      <c r="S836" s="14"/>
      <c r="T836" s="14"/>
      <c r="U836" s="14"/>
      <c r="V836" s="14"/>
      <c r="W836" s="14"/>
      <c r="X836" s="1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G836" s="4"/>
      <c r="BH836" s="4"/>
    </row>
    <row r="837" spans="1:60" x14ac:dyDescent="0.35">
      <c r="A837" s="4"/>
      <c r="B837" s="8" t="str">
        <f t="shared" si="66"/>
        <v/>
      </c>
      <c r="D837" s="6" t="str">
        <f t="shared" si="67"/>
        <v/>
      </c>
      <c r="E837" s="6" t="str">
        <f t="shared" si="68"/>
        <v/>
      </c>
      <c r="F837" s="6" t="str">
        <f t="shared" si="69"/>
        <v/>
      </c>
      <c r="G837" s="4"/>
      <c r="H837" s="4"/>
      <c r="I837" s="4"/>
      <c r="J837" s="4"/>
      <c r="K837" s="4"/>
      <c r="L837" s="4"/>
      <c r="M837" s="4"/>
      <c r="N837" s="4"/>
      <c r="O837" s="4"/>
      <c r="P837" s="4"/>
      <c r="Q837" s="4"/>
      <c r="R837" s="14"/>
      <c r="S837" s="14"/>
      <c r="T837" s="14"/>
      <c r="U837" s="14"/>
      <c r="V837" s="14"/>
      <c r="W837" s="14"/>
      <c r="X837" s="1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G837" s="4"/>
      <c r="BH837" s="4"/>
    </row>
    <row r="838" spans="1:60" x14ac:dyDescent="0.35">
      <c r="A838" s="4"/>
      <c r="B838" s="8" t="str">
        <f t="shared" si="66"/>
        <v/>
      </c>
      <c r="D838" s="6" t="str">
        <f t="shared" si="67"/>
        <v/>
      </c>
      <c r="E838" s="6" t="str">
        <f t="shared" si="68"/>
        <v/>
      </c>
      <c r="F838" s="6" t="str">
        <f t="shared" si="69"/>
        <v/>
      </c>
      <c r="G838" s="4"/>
      <c r="H838" s="4"/>
      <c r="I838" s="4"/>
      <c r="J838" s="4"/>
      <c r="K838" s="4"/>
      <c r="L838" s="4"/>
      <c r="M838" s="4"/>
      <c r="N838" s="4"/>
      <c r="O838" s="4"/>
      <c r="P838" s="4"/>
      <c r="Q838" s="4"/>
      <c r="R838" s="14"/>
      <c r="S838" s="14"/>
      <c r="T838" s="14"/>
      <c r="U838" s="14"/>
      <c r="V838" s="14"/>
      <c r="W838" s="14"/>
      <c r="X838" s="1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G838" s="4"/>
      <c r="BH838" s="4"/>
    </row>
    <row r="839" spans="1:60" x14ac:dyDescent="0.35">
      <c r="A839" s="4"/>
      <c r="B839" s="8" t="str">
        <f t="shared" si="66"/>
        <v/>
      </c>
      <c r="D839" s="6" t="str">
        <f t="shared" si="67"/>
        <v/>
      </c>
      <c r="E839" s="6" t="str">
        <f t="shared" si="68"/>
        <v/>
      </c>
      <c r="F839" s="6" t="str">
        <f t="shared" si="69"/>
        <v/>
      </c>
      <c r="G839" s="4"/>
      <c r="H839" s="4"/>
      <c r="I839" s="4"/>
      <c r="J839" s="4"/>
      <c r="K839" s="4"/>
      <c r="L839" s="4"/>
      <c r="M839" s="4"/>
      <c r="N839" s="4"/>
      <c r="O839" s="4"/>
      <c r="P839" s="4"/>
      <c r="Q839" s="4"/>
      <c r="R839" s="14"/>
      <c r="S839" s="14"/>
      <c r="T839" s="14"/>
      <c r="U839" s="14"/>
      <c r="V839" s="14"/>
      <c r="W839" s="14"/>
      <c r="X839" s="1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G839" s="4"/>
      <c r="BH839" s="4"/>
    </row>
    <row r="840" spans="1:60" x14ac:dyDescent="0.35">
      <c r="A840" s="4"/>
      <c r="B840" s="8" t="str">
        <f t="shared" si="66"/>
        <v/>
      </c>
      <c r="D840" s="6" t="str">
        <f t="shared" si="67"/>
        <v/>
      </c>
      <c r="E840" s="6" t="str">
        <f t="shared" si="68"/>
        <v/>
      </c>
      <c r="F840" s="6" t="str">
        <f t="shared" si="69"/>
        <v/>
      </c>
      <c r="G840" s="4"/>
      <c r="H840" s="4"/>
      <c r="I840" s="4"/>
      <c r="J840" s="4"/>
      <c r="K840" s="4"/>
      <c r="L840" s="4"/>
      <c r="M840" s="4"/>
      <c r="N840" s="4"/>
      <c r="O840" s="4"/>
      <c r="P840" s="4"/>
      <c r="Q840" s="4"/>
      <c r="R840" s="14"/>
      <c r="S840" s="14"/>
      <c r="T840" s="14"/>
      <c r="U840" s="14"/>
      <c r="V840" s="14"/>
      <c r="W840" s="14"/>
      <c r="X840" s="1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G840" s="4"/>
      <c r="BH840" s="4"/>
    </row>
    <row r="841" spans="1:60" x14ac:dyDescent="0.35">
      <c r="A841" s="4"/>
      <c r="B841" s="8" t="str">
        <f t="shared" si="66"/>
        <v/>
      </c>
      <c r="D841" s="6" t="str">
        <f t="shared" si="67"/>
        <v/>
      </c>
      <c r="E841" s="6" t="str">
        <f t="shared" si="68"/>
        <v/>
      </c>
      <c r="F841" s="6" t="str">
        <f t="shared" si="69"/>
        <v/>
      </c>
      <c r="G841" s="4"/>
      <c r="H841" s="4"/>
      <c r="I841" s="4"/>
      <c r="J841" s="4"/>
      <c r="K841" s="4"/>
      <c r="L841" s="4"/>
      <c r="M841" s="4"/>
      <c r="N841" s="4"/>
      <c r="O841" s="4"/>
      <c r="P841" s="4"/>
      <c r="Q841" s="4"/>
      <c r="R841" s="14"/>
      <c r="S841" s="14"/>
      <c r="T841" s="14"/>
      <c r="U841" s="14"/>
      <c r="V841" s="14"/>
      <c r="W841" s="14"/>
      <c r="X841" s="1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G841" s="4"/>
      <c r="BH841" s="4"/>
    </row>
    <row r="842" spans="1:60" x14ac:dyDescent="0.35">
      <c r="A842" s="4"/>
      <c r="B842" s="8" t="str">
        <f t="shared" si="66"/>
        <v/>
      </c>
      <c r="D842" s="6" t="str">
        <f t="shared" si="67"/>
        <v/>
      </c>
      <c r="E842" s="6" t="str">
        <f t="shared" si="68"/>
        <v/>
      </c>
      <c r="F842" s="6" t="str">
        <f t="shared" si="69"/>
        <v/>
      </c>
      <c r="G842" s="4"/>
      <c r="H842" s="4"/>
      <c r="I842" s="4"/>
      <c r="J842" s="4"/>
      <c r="K842" s="4"/>
      <c r="L842" s="4"/>
      <c r="M842" s="4"/>
      <c r="N842" s="4"/>
      <c r="O842" s="4"/>
      <c r="P842" s="4"/>
      <c r="Q842" s="4"/>
      <c r="R842" s="14"/>
      <c r="S842" s="14"/>
      <c r="T842" s="14"/>
      <c r="U842" s="14"/>
      <c r="V842" s="14"/>
      <c r="W842" s="14"/>
      <c r="X842" s="1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G842" s="4"/>
      <c r="BH842" s="4"/>
    </row>
    <row r="843" spans="1:60" x14ac:dyDescent="0.35">
      <c r="A843" s="4"/>
      <c r="B843" s="8" t="str">
        <f t="shared" si="66"/>
        <v/>
      </c>
      <c r="D843" s="6" t="str">
        <f t="shared" si="67"/>
        <v/>
      </c>
      <c r="E843" s="6" t="str">
        <f t="shared" si="68"/>
        <v/>
      </c>
      <c r="F843" s="6" t="str">
        <f t="shared" si="69"/>
        <v/>
      </c>
      <c r="G843" s="4"/>
      <c r="H843" s="4"/>
      <c r="I843" s="4"/>
      <c r="J843" s="4"/>
      <c r="K843" s="4"/>
      <c r="L843" s="4"/>
      <c r="M843" s="4"/>
      <c r="N843" s="4"/>
      <c r="O843" s="4"/>
      <c r="P843" s="4"/>
      <c r="Q843" s="4"/>
      <c r="R843" s="14"/>
      <c r="S843" s="14"/>
      <c r="T843" s="14"/>
      <c r="U843" s="14"/>
      <c r="V843" s="14"/>
      <c r="W843" s="14"/>
      <c r="X843" s="1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G843" s="4"/>
      <c r="BH843" s="4"/>
    </row>
    <row r="844" spans="1:60" x14ac:dyDescent="0.35">
      <c r="A844" s="4"/>
      <c r="B844" s="8" t="str">
        <f t="shared" si="66"/>
        <v/>
      </c>
      <c r="D844" s="6" t="str">
        <f t="shared" si="67"/>
        <v/>
      </c>
      <c r="E844" s="6" t="str">
        <f t="shared" si="68"/>
        <v/>
      </c>
      <c r="F844" s="6" t="str">
        <f t="shared" si="69"/>
        <v/>
      </c>
      <c r="G844" s="4"/>
      <c r="H844" s="4"/>
      <c r="I844" s="4"/>
      <c r="J844" s="4"/>
      <c r="K844" s="4"/>
      <c r="L844" s="4"/>
      <c r="M844" s="4"/>
      <c r="N844" s="4"/>
      <c r="O844" s="4"/>
      <c r="P844" s="4"/>
      <c r="Q844" s="4"/>
      <c r="R844" s="14"/>
      <c r="S844" s="14"/>
      <c r="T844" s="14"/>
      <c r="U844" s="14"/>
      <c r="V844" s="14"/>
      <c r="W844" s="14"/>
      <c r="X844" s="1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G844" s="4"/>
      <c r="BH844" s="4"/>
    </row>
    <row r="845" spans="1:60" x14ac:dyDescent="0.35">
      <c r="A845" s="4"/>
      <c r="B845" s="8" t="str">
        <f t="shared" si="66"/>
        <v/>
      </c>
      <c r="D845" s="6" t="str">
        <f t="shared" si="67"/>
        <v/>
      </c>
      <c r="E845" s="6" t="str">
        <f t="shared" si="68"/>
        <v/>
      </c>
      <c r="F845" s="6" t="str">
        <f t="shared" si="69"/>
        <v/>
      </c>
      <c r="G845" s="4"/>
      <c r="H845" s="4"/>
      <c r="I845" s="4"/>
      <c r="J845" s="4"/>
      <c r="K845" s="4"/>
      <c r="L845" s="4"/>
      <c r="M845" s="4"/>
      <c r="N845" s="4"/>
      <c r="O845" s="4"/>
      <c r="P845" s="4"/>
      <c r="Q845" s="4"/>
      <c r="R845" s="14"/>
      <c r="S845" s="14"/>
      <c r="T845" s="14"/>
      <c r="U845" s="14"/>
      <c r="V845" s="14"/>
      <c r="W845" s="14"/>
      <c r="X845" s="1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G845" s="4"/>
      <c r="BH845" s="4"/>
    </row>
    <row r="846" spans="1:60" x14ac:dyDescent="0.35">
      <c r="A846" s="4"/>
      <c r="B846" s="8" t="str">
        <f t="shared" si="66"/>
        <v/>
      </c>
      <c r="D846" s="6" t="str">
        <f t="shared" si="67"/>
        <v/>
      </c>
      <c r="E846" s="6" t="str">
        <f t="shared" si="68"/>
        <v/>
      </c>
      <c r="F846" s="6" t="str">
        <f t="shared" si="69"/>
        <v/>
      </c>
      <c r="G846" s="4"/>
      <c r="H846" s="4"/>
      <c r="I846" s="4"/>
      <c r="J846" s="4"/>
      <c r="K846" s="4"/>
      <c r="L846" s="4"/>
      <c r="M846" s="4"/>
      <c r="N846" s="4"/>
      <c r="O846" s="4"/>
      <c r="P846" s="4"/>
      <c r="Q846" s="4"/>
      <c r="R846" s="14"/>
      <c r="S846" s="14"/>
      <c r="T846" s="14"/>
      <c r="U846" s="14"/>
      <c r="V846" s="14"/>
      <c r="W846" s="14"/>
      <c r="X846" s="1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G846" s="4"/>
      <c r="BH846" s="4"/>
    </row>
    <row r="847" spans="1:60" x14ac:dyDescent="0.35">
      <c r="A847" s="4"/>
      <c r="B847" s="8" t="str">
        <f t="shared" si="66"/>
        <v/>
      </c>
      <c r="D847" s="6" t="str">
        <f t="shared" si="67"/>
        <v/>
      </c>
      <c r="E847" s="6" t="str">
        <f t="shared" si="68"/>
        <v/>
      </c>
      <c r="F847" s="6" t="str">
        <f t="shared" si="69"/>
        <v/>
      </c>
      <c r="G847" s="4"/>
      <c r="H847" s="4"/>
      <c r="I847" s="4"/>
      <c r="J847" s="4"/>
      <c r="K847" s="4"/>
      <c r="L847" s="4"/>
      <c r="M847" s="4"/>
      <c r="N847" s="4"/>
      <c r="O847" s="4"/>
      <c r="P847" s="4"/>
      <c r="Q847" s="4"/>
      <c r="R847" s="14"/>
      <c r="S847" s="14"/>
      <c r="T847" s="14"/>
      <c r="U847" s="14"/>
      <c r="V847" s="14"/>
      <c r="W847" s="14"/>
      <c r="X847" s="1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G847" s="4"/>
      <c r="BH847" s="4"/>
    </row>
    <row r="848" spans="1:60" x14ac:dyDescent="0.35">
      <c r="A848" s="4"/>
      <c r="B848" s="8" t="str">
        <f t="shared" si="66"/>
        <v/>
      </c>
      <c r="D848" s="6" t="str">
        <f t="shared" si="67"/>
        <v/>
      </c>
      <c r="E848" s="6" t="str">
        <f t="shared" si="68"/>
        <v/>
      </c>
      <c r="F848" s="6" t="str">
        <f t="shared" si="69"/>
        <v/>
      </c>
      <c r="G848" s="4"/>
      <c r="H848" s="4"/>
      <c r="I848" s="4"/>
      <c r="J848" s="4"/>
      <c r="K848" s="4"/>
      <c r="L848" s="4"/>
      <c r="M848" s="4"/>
      <c r="N848" s="4"/>
      <c r="O848" s="4"/>
      <c r="P848" s="4"/>
      <c r="Q848" s="4"/>
      <c r="R848" s="14"/>
      <c r="S848" s="14"/>
      <c r="T848" s="14"/>
      <c r="U848" s="14"/>
      <c r="V848" s="14"/>
      <c r="W848" s="14"/>
      <c r="X848" s="1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G848" s="4"/>
      <c r="BH848" s="4"/>
    </row>
    <row r="849" spans="1:60" x14ac:dyDescent="0.35">
      <c r="A849" s="4"/>
      <c r="B849" s="8" t="str">
        <f t="shared" si="66"/>
        <v/>
      </c>
      <c r="D849" s="6" t="str">
        <f t="shared" si="67"/>
        <v/>
      </c>
      <c r="E849" s="6" t="str">
        <f t="shared" si="68"/>
        <v/>
      </c>
      <c r="F849" s="6" t="str">
        <f t="shared" si="69"/>
        <v/>
      </c>
      <c r="G849" s="4"/>
      <c r="H849" s="4"/>
      <c r="I849" s="4"/>
      <c r="J849" s="4"/>
      <c r="K849" s="4"/>
      <c r="L849" s="4"/>
      <c r="M849" s="4"/>
      <c r="N849" s="4"/>
      <c r="O849" s="4"/>
      <c r="P849" s="4"/>
      <c r="Q849" s="4"/>
      <c r="R849" s="14"/>
      <c r="S849" s="14"/>
      <c r="T849" s="14"/>
      <c r="U849" s="14"/>
      <c r="V849" s="14"/>
      <c r="W849" s="14"/>
      <c r="X849" s="1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G849" s="4"/>
      <c r="BH849" s="4"/>
    </row>
    <row r="850" spans="1:60" x14ac:dyDescent="0.35">
      <c r="A850" s="4"/>
      <c r="B850" s="8" t="str">
        <f t="shared" si="66"/>
        <v/>
      </c>
      <c r="D850" s="6" t="str">
        <f t="shared" si="67"/>
        <v/>
      </c>
      <c r="E850" s="6" t="str">
        <f t="shared" si="68"/>
        <v/>
      </c>
      <c r="F850" s="6" t="str">
        <f t="shared" si="69"/>
        <v/>
      </c>
      <c r="G850" s="4"/>
      <c r="H850" s="4"/>
      <c r="I850" s="4"/>
      <c r="J850" s="4"/>
      <c r="K850" s="4"/>
      <c r="L850" s="4"/>
      <c r="M850" s="4"/>
      <c r="N850" s="4"/>
      <c r="O850" s="4"/>
      <c r="P850" s="4"/>
      <c r="Q850" s="4"/>
      <c r="R850" s="14"/>
      <c r="S850" s="14"/>
      <c r="T850" s="14"/>
      <c r="U850" s="14"/>
      <c r="V850" s="14"/>
      <c r="W850" s="14"/>
      <c r="X850" s="1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G850" s="4"/>
      <c r="BH850" s="4"/>
    </row>
    <row r="851" spans="1:60" x14ac:dyDescent="0.35">
      <c r="A851" s="4"/>
      <c r="B851" s="8" t="str">
        <f t="shared" si="66"/>
        <v/>
      </c>
      <c r="D851" s="6" t="str">
        <f t="shared" si="67"/>
        <v/>
      </c>
      <c r="E851" s="6" t="str">
        <f t="shared" si="68"/>
        <v/>
      </c>
      <c r="F851" s="6" t="str">
        <f t="shared" si="69"/>
        <v/>
      </c>
      <c r="G851" s="4"/>
      <c r="H851" s="4"/>
      <c r="I851" s="4"/>
      <c r="J851" s="4"/>
      <c r="K851" s="4"/>
      <c r="L851" s="4"/>
      <c r="M851" s="4"/>
      <c r="N851" s="4"/>
      <c r="O851" s="4"/>
      <c r="P851" s="4"/>
      <c r="Q851" s="4"/>
      <c r="R851" s="14"/>
      <c r="S851" s="14"/>
      <c r="T851" s="14"/>
      <c r="U851" s="14"/>
      <c r="V851" s="14"/>
      <c r="W851" s="14"/>
      <c r="X851" s="1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G851" s="4"/>
      <c r="BH851" s="4"/>
    </row>
    <row r="852" spans="1:60" x14ac:dyDescent="0.35">
      <c r="A852" s="4"/>
      <c r="B852" s="8" t="str">
        <f t="shared" si="66"/>
        <v/>
      </c>
      <c r="D852" s="6" t="str">
        <f t="shared" si="67"/>
        <v/>
      </c>
      <c r="E852" s="6" t="str">
        <f t="shared" si="68"/>
        <v/>
      </c>
      <c r="F852" s="6" t="str">
        <f t="shared" si="69"/>
        <v/>
      </c>
      <c r="G852" s="4"/>
      <c r="H852" s="4"/>
      <c r="I852" s="4"/>
      <c r="J852" s="4"/>
      <c r="K852" s="4"/>
      <c r="L852" s="4"/>
      <c r="M852" s="4"/>
      <c r="N852" s="4"/>
      <c r="O852" s="4"/>
      <c r="P852" s="4"/>
      <c r="Q852" s="4"/>
      <c r="R852" s="14"/>
      <c r="S852" s="14"/>
      <c r="T852" s="14"/>
      <c r="U852" s="14"/>
      <c r="V852" s="14"/>
      <c r="W852" s="14"/>
      <c r="X852" s="1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G852" s="4"/>
      <c r="BH852" s="4"/>
    </row>
    <row r="853" spans="1:60" x14ac:dyDescent="0.35">
      <c r="A853" s="4"/>
      <c r="B853" s="8" t="str">
        <f t="shared" si="66"/>
        <v/>
      </c>
      <c r="D853" s="6" t="str">
        <f t="shared" si="67"/>
        <v/>
      </c>
      <c r="E853" s="6" t="str">
        <f t="shared" si="68"/>
        <v/>
      </c>
      <c r="F853" s="6" t="str">
        <f t="shared" si="69"/>
        <v/>
      </c>
      <c r="G853" s="4"/>
      <c r="H853" s="4"/>
      <c r="I853" s="4"/>
      <c r="J853" s="4"/>
      <c r="K853" s="4"/>
      <c r="L853" s="4"/>
      <c r="M853" s="4"/>
      <c r="N853" s="4"/>
      <c r="O853" s="4"/>
      <c r="P853" s="4"/>
      <c r="Q853" s="4"/>
      <c r="R853" s="14"/>
      <c r="S853" s="14"/>
      <c r="T853" s="14"/>
      <c r="U853" s="14"/>
      <c r="V853" s="14"/>
      <c r="W853" s="14"/>
      <c r="X853" s="1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G853" s="4"/>
      <c r="BH853" s="4"/>
    </row>
    <row r="854" spans="1:60" x14ac:dyDescent="0.35">
      <c r="A854" s="4"/>
      <c r="B854" s="8" t="str">
        <f t="shared" si="66"/>
        <v/>
      </c>
      <c r="D854" s="6" t="str">
        <f t="shared" si="67"/>
        <v/>
      </c>
      <c r="E854" s="6" t="str">
        <f t="shared" si="68"/>
        <v/>
      </c>
      <c r="F854" s="6" t="str">
        <f t="shared" si="69"/>
        <v/>
      </c>
      <c r="G854" s="4"/>
      <c r="H854" s="4"/>
      <c r="I854" s="4"/>
      <c r="J854" s="4"/>
      <c r="K854" s="4"/>
      <c r="L854" s="4"/>
      <c r="M854" s="4"/>
      <c r="N854" s="4"/>
      <c r="O854" s="4"/>
      <c r="P854" s="4"/>
      <c r="Q854" s="4"/>
      <c r="R854" s="14"/>
      <c r="S854" s="14"/>
      <c r="T854" s="14"/>
      <c r="U854" s="14"/>
      <c r="V854" s="14"/>
      <c r="W854" s="14"/>
      <c r="X854" s="1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G854" s="4"/>
      <c r="BH854" s="4"/>
    </row>
    <row r="855" spans="1:60" x14ac:dyDescent="0.35">
      <c r="A855" s="4"/>
      <c r="B855" s="8" t="str">
        <f t="shared" si="66"/>
        <v/>
      </c>
      <c r="D855" s="6" t="str">
        <f t="shared" si="67"/>
        <v/>
      </c>
      <c r="E855" s="6" t="str">
        <f t="shared" si="68"/>
        <v/>
      </c>
      <c r="F855" s="6" t="str">
        <f t="shared" si="69"/>
        <v/>
      </c>
      <c r="G855" s="4"/>
      <c r="H855" s="4"/>
      <c r="I855" s="4"/>
      <c r="J855" s="4"/>
      <c r="K855" s="4"/>
      <c r="L855" s="4"/>
      <c r="M855" s="4"/>
      <c r="N855" s="4"/>
      <c r="O855" s="4"/>
      <c r="P855" s="4"/>
      <c r="Q855" s="4"/>
      <c r="R855" s="14"/>
      <c r="S855" s="14"/>
      <c r="T855" s="14"/>
      <c r="U855" s="14"/>
      <c r="V855" s="14"/>
      <c r="W855" s="14"/>
      <c r="X855" s="1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G855" s="4"/>
      <c r="BH855" s="4"/>
    </row>
    <row r="856" spans="1:60" x14ac:dyDescent="0.35">
      <c r="A856" s="4"/>
      <c r="B856" s="8" t="str">
        <f t="shared" si="66"/>
        <v/>
      </c>
      <c r="D856" s="6" t="str">
        <f t="shared" si="67"/>
        <v/>
      </c>
      <c r="E856" s="6" t="str">
        <f t="shared" si="68"/>
        <v/>
      </c>
      <c r="F856" s="6" t="str">
        <f t="shared" si="69"/>
        <v/>
      </c>
      <c r="G856" s="4"/>
      <c r="H856" s="4"/>
      <c r="I856" s="4"/>
      <c r="J856" s="4"/>
      <c r="K856" s="4"/>
      <c r="L856" s="4"/>
      <c r="M856" s="4"/>
      <c r="N856" s="4"/>
      <c r="O856" s="4"/>
      <c r="P856" s="4"/>
      <c r="Q856" s="4"/>
      <c r="R856" s="14"/>
      <c r="S856" s="14"/>
      <c r="T856" s="14"/>
      <c r="U856" s="14"/>
      <c r="V856" s="14"/>
      <c r="W856" s="14"/>
      <c r="X856" s="1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G856" s="4"/>
      <c r="BH856" s="4"/>
    </row>
    <row r="857" spans="1:60" x14ac:dyDescent="0.35">
      <c r="A857" s="4"/>
      <c r="B857" s="8" t="str">
        <f t="shared" si="66"/>
        <v/>
      </c>
      <c r="D857" s="6" t="str">
        <f t="shared" si="67"/>
        <v/>
      </c>
      <c r="E857" s="6" t="str">
        <f t="shared" si="68"/>
        <v/>
      </c>
      <c r="F857" s="6" t="str">
        <f t="shared" si="69"/>
        <v/>
      </c>
      <c r="G857" s="4"/>
      <c r="H857" s="4"/>
      <c r="I857" s="4"/>
      <c r="J857" s="4"/>
      <c r="K857" s="4"/>
      <c r="L857" s="4"/>
      <c r="M857" s="4"/>
      <c r="N857" s="4"/>
      <c r="O857" s="4"/>
      <c r="P857" s="4"/>
      <c r="Q857" s="4"/>
      <c r="R857" s="14"/>
      <c r="S857" s="14"/>
      <c r="T857" s="14"/>
      <c r="U857" s="14"/>
      <c r="V857" s="14"/>
      <c r="W857" s="14"/>
      <c r="X857" s="1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G857" s="4"/>
      <c r="BH857" s="4"/>
    </row>
    <row r="858" spans="1:60" x14ac:dyDescent="0.35">
      <c r="A858" s="4"/>
      <c r="B858" s="8" t="str">
        <f t="shared" si="66"/>
        <v/>
      </c>
      <c r="D858" s="6" t="str">
        <f t="shared" si="67"/>
        <v/>
      </c>
      <c r="E858" s="6" t="str">
        <f t="shared" si="68"/>
        <v/>
      </c>
      <c r="F858" s="6" t="str">
        <f t="shared" si="69"/>
        <v/>
      </c>
      <c r="G858" s="4"/>
      <c r="H858" s="4"/>
      <c r="I858" s="4"/>
      <c r="J858" s="4"/>
      <c r="K858" s="4"/>
      <c r="L858" s="4"/>
      <c r="M858" s="4"/>
      <c r="N858" s="4"/>
      <c r="O858" s="4"/>
      <c r="P858" s="4"/>
      <c r="Q858" s="4"/>
      <c r="R858" s="14"/>
      <c r="S858" s="14"/>
      <c r="T858" s="14"/>
      <c r="U858" s="14"/>
      <c r="V858" s="14"/>
      <c r="W858" s="14"/>
      <c r="X858" s="1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G858" s="4"/>
      <c r="BH858" s="4"/>
    </row>
    <row r="859" spans="1:60" x14ac:dyDescent="0.35">
      <c r="A859" s="4"/>
      <c r="B859" s="8" t="str">
        <f t="shared" si="66"/>
        <v/>
      </c>
      <c r="D859" s="6" t="str">
        <f t="shared" si="67"/>
        <v/>
      </c>
      <c r="E859" s="6" t="str">
        <f t="shared" si="68"/>
        <v/>
      </c>
      <c r="F859" s="6" t="str">
        <f t="shared" si="69"/>
        <v/>
      </c>
      <c r="G859" s="4"/>
      <c r="H859" s="4"/>
      <c r="I859" s="4"/>
      <c r="J859" s="4"/>
      <c r="K859" s="4"/>
      <c r="L859" s="4"/>
      <c r="M859" s="4"/>
      <c r="N859" s="4"/>
      <c r="O859" s="4"/>
      <c r="P859" s="4"/>
      <c r="Q859" s="4"/>
      <c r="R859" s="14"/>
      <c r="S859" s="14"/>
      <c r="T859" s="14"/>
      <c r="U859" s="14"/>
      <c r="V859" s="14"/>
      <c r="W859" s="14"/>
      <c r="X859" s="1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G859" s="4"/>
      <c r="BH859" s="4"/>
    </row>
    <row r="860" spans="1:60" x14ac:dyDescent="0.35">
      <c r="A860" s="4"/>
      <c r="B860" s="8" t="str">
        <f t="shared" si="66"/>
        <v/>
      </c>
      <c r="D860" s="6" t="str">
        <f t="shared" si="67"/>
        <v/>
      </c>
      <c r="E860" s="6" t="str">
        <f t="shared" si="68"/>
        <v/>
      </c>
      <c r="F860" s="6" t="str">
        <f t="shared" si="69"/>
        <v/>
      </c>
      <c r="G860" s="4"/>
      <c r="H860" s="4"/>
      <c r="I860" s="4"/>
      <c r="J860" s="4"/>
      <c r="K860" s="4"/>
      <c r="L860" s="4"/>
      <c r="M860" s="4"/>
      <c r="N860" s="4"/>
      <c r="O860" s="4"/>
      <c r="P860" s="4"/>
      <c r="Q860" s="4"/>
      <c r="R860" s="14"/>
      <c r="S860" s="14"/>
      <c r="T860" s="14"/>
      <c r="U860" s="14"/>
      <c r="V860" s="14"/>
      <c r="W860" s="14"/>
      <c r="X860" s="1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G860" s="4"/>
      <c r="BH860" s="4"/>
    </row>
    <row r="861" spans="1:60" x14ac:dyDescent="0.35">
      <c r="A861" s="4"/>
      <c r="B861" s="8" t="str">
        <f t="shared" si="66"/>
        <v/>
      </c>
      <c r="D861" s="6" t="str">
        <f t="shared" si="67"/>
        <v/>
      </c>
      <c r="E861" s="6" t="str">
        <f t="shared" si="68"/>
        <v/>
      </c>
      <c r="F861" s="6" t="str">
        <f t="shared" si="69"/>
        <v/>
      </c>
      <c r="G861" s="4"/>
      <c r="H861" s="4"/>
      <c r="I861" s="4"/>
      <c r="J861" s="4"/>
      <c r="K861" s="4"/>
      <c r="L861" s="4"/>
      <c r="M861" s="4"/>
      <c r="N861" s="4"/>
      <c r="O861" s="4"/>
      <c r="P861" s="4"/>
      <c r="Q861" s="4"/>
      <c r="R861" s="14"/>
      <c r="S861" s="14"/>
      <c r="T861" s="14"/>
      <c r="U861" s="14"/>
      <c r="V861" s="14"/>
      <c r="W861" s="14"/>
      <c r="X861" s="1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G861" s="4"/>
      <c r="BH861" s="4"/>
    </row>
    <row r="862" spans="1:60" x14ac:dyDescent="0.35">
      <c r="A862" s="4"/>
      <c r="B862" s="8" t="str">
        <f t="shared" si="66"/>
        <v/>
      </c>
      <c r="D862" s="6" t="str">
        <f t="shared" si="67"/>
        <v/>
      </c>
      <c r="E862" s="6" t="str">
        <f t="shared" si="68"/>
        <v/>
      </c>
      <c r="F862" s="6" t="str">
        <f t="shared" si="69"/>
        <v/>
      </c>
      <c r="G862" s="4"/>
      <c r="H862" s="4"/>
      <c r="I862" s="4"/>
      <c r="J862" s="4"/>
      <c r="K862" s="4"/>
      <c r="L862" s="4"/>
      <c r="M862" s="4"/>
      <c r="N862" s="4"/>
      <c r="O862" s="4"/>
      <c r="P862" s="4"/>
      <c r="Q862" s="4"/>
      <c r="R862" s="14"/>
      <c r="S862" s="14"/>
      <c r="T862" s="14"/>
      <c r="U862" s="14"/>
      <c r="V862" s="14"/>
      <c r="W862" s="14"/>
      <c r="X862" s="1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G862" s="4"/>
      <c r="BH862" s="4"/>
    </row>
    <row r="863" spans="1:60" x14ac:dyDescent="0.35">
      <c r="A863" s="4"/>
      <c r="B863" s="8" t="str">
        <f t="shared" si="66"/>
        <v/>
      </c>
      <c r="D863" s="6" t="str">
        <f t="shared" si="67"/>
        <v/>
      </c>
      <c r="E863" s="6" t="str">
        <f t="shared" si="68"/>
        <v/>
      </c>
      <c r="F863" s="6" t="str">
        <f t="shared" si="69"/>
        <v/>
      </c>
      <c r="G863" s="4"/>
      <c r="H863" s="4"/>
      <c r="I863" s="4"/>
      <c r="J863" s="4"/>
      <c r="K863" s="4"/>
      <c r="L863" s="4"/>
      <c r="M863" s="4"/>
      <c r="N863" s="4"/>
      <c r="O863" s="4"/>
      <c r="P863" s="4"/>
      <c r="Q863" s="4"/>
      <c r="R863" s="14"/>
      <c r="S863" s="14"/>
      <c r="T863" s="14"/>
      <c r="U863" s="14"/>
      <c r="V863" s="14"/>
      <c r="W863" s="14"/>
      <c r="X863" s="1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G863" s="4"/>
      <c r="BH863" s="4"/>
    </row>
    <row r="864" spans="1:60" x14ac:dyDescent="0.35">
      <c r="A864" s="4"/>
      <c r="B864" s="8" t="str">
        <f t="shared" si="66"/>
        <v/>
      </c>
      <c r="D864" s="6" t="str">
        <f t="shared" si="67"/>
        <v/>
      </c>
      <c r="E864" s="6" t="str">
        <f t="shared" si="68"/>
        <v/>
      </c>
      <c r="F864" s="6" t="str">
        <f t="shared" si="69"/>
        <v/>
      </c>
      <c r="G864" s="4"/>
      <c r="H864" s="4"/>
      <c r="I864" s="4"/>
      <c r="J864" s="4"/>
      <c r="K864" s="4"/>
      <c r="L864" s="4"/>
      <c r="M864" s="4"/>
      <c r="N864" s="4"/>
      <c r="O864" s="4"/>
      <c r="P864" s="4"/>
      <c r="Q864" s="4"/>
      <c r="R864" s="14"/>
      <c r="S864" s="14"/>
      <c r="T864" s="14"/>
      <c r="U864" s="14"/>
      <c r="V864" s="14"/>
      <c r="W864" s="14"/>
      <c r="X864" s="1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G864" s="4"/>
      <c r="BH864" s="4"/>
    </row>
    <row r="865" spans="1:60" x14ac:dyDescent="0.35">
      <c r="A865" s="4"/>
      <c r="B865" s="8" t="str">
        <f t="shared" si="66"/>
        <v/>
      </c>
      <c r="D865" s="6" t="str">
        <f t="shared" si="67"/>
        <v/>
      </c>
      <c r="E865" s="6" t="str">
        <f t="shared" si="68"/>
        <v/>
      </c>
      <c r="F865" s="6" t="str">
        <f t="shared" si="69"/>
        <v/>
      </c>
      <c r="G865" s="4"/>
      <c r="H865" s="4"/>
      <c r="I865" s="4"/>
      <c r="J865" s="4"/>
      <c r="K865" s="4"/>
      <c r="L865" s="4"/>
      <c r="M865" s="4"/>
      <c r="N865" s="4"/>
      <c r="O865" s="4"/>
      <c r="P865" s="4"/>
      <c r="Q865" s="4"/>
      <c r="R865" s="14"/>
      <c r="S865" s="14"/>
      <c r="T865" s="14"/>
      <c r="U865" s="14"/>
      <c r="V865" s="14"/>
      <c r="W865" s="14"/>
      <c r="X865" s="1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G865" s="4"/>
      <c r="BH865" s="4"/>
    </row>
    <row r="866" spans="1:60" x14ac:dyDescent="0.35">
      <c r="A866" s="4"/>
      <c r="B866" s="8" t="str">
        <f t="shared" si="66"/>
        <v/>
      </c>
      <c r="D866" s="6" t="str">
        <f t="shared" si="67"/>
        <v/>
      </c>
      <c r="E866" s="6" t="str">
        <f t="shared" si="68"/>
        <v/>
      </c>
      <c r="F866" s="6" t="str">
        <f t="shared" si="69"/>
        <v/>
      </c>
      <c r="G866" s="4"/>
      <c r="H866" s="4"/>
      <c r="I866" s="4"/>
      <c r="J866" s="4"/>
      <c r="K866" s="4"/>
      <c r="L866" s="4"/>
      <c r="M866" s="4"/>
      <c r="N866" s="4"/>
      <c r="O866" s="4"/>
      <c r="P866" s="4"/>
      <c r="Q866" s="4"/>
      <c r="R866" s="14"/>
      <c r="S866" s="14"/>
      <c r="T866" s="14"/>
      <c r="U866" s="14"/>
      <c r="V866" s="14"/>
      <c r="W866" s="14"/>
      <c r="X866" s="1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G866" s="4"/>
      <c r="BH866" s="4"/>
    </row>
    <row r="867" spans="1:60" x14ac:dyDescent="0.35">
      <c r="A867" s="4"/>
      <c r="B867" s="8" t="str">
        <f t="shared" si="66"/>
        <v/>
      </c>
      <c r="D867" s="6" t="str">
        <f t="shared" si="67"/>
        <v/>
      </c>
      <c r="E867" s="6" t="str">
        <f t="shared" si="68"/>
        <v/>
      </c>
      <c r="F867" s="6" t="str">
        <f t="shared" si="69"/>
        <v/>
      </c>
      <c r="G867" s="4"/>
      <c r="H867" s="4"/>
      <c r="I867" s="4"/>
      <c r="J867" s="4"/>
      <c r="K867" s="4"/>
      <c r="L867" s="4"/>
      <c r="M867" s="4"/>
      <c r="N867" s="4"/>
      <c r="O867" s="4"/>
      <c r="P867" s="4"/>
      <c r="Q867" s="4"/>
      <c r="R867" s="14"/>
      <c r="S867" s="14"/>
      <c r="T867" s="14"/>
      <c r="U867" s="14"/>
      <c r="V867" s="14"/>
      <c r="W867" s="14"/>
      <c r="X867" s="1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G867" s="4"/>
      <c r="BH867" s="4"/>
    </row>
    <row r="868" spans="1:60" x14ac:dyDescent="0.35">
      <c r="A868" s="4"/>
      <c r="B868" s="8" t="str">
        <f t="shared" si="66"/>
        <v/>
      </c>
      <c r="D868" s="6" t="str">
        <f t="shared" si="67"/>
        <v/>
      </c>
      <c r="E868" s="6" t="str">
        <f t="shared" si="68"/>
        <v/>
      </c>
      <c r="F868" s="6" t="str">
        <f t="shared" si="69"/>
        <v/>
      </c>
      <c r="G868" s="4"/>
      <c r="H868" s="4"/>
      <c r="I868" s="4"/>
      <c r="J868" s="4"/>
      <c r="K868" s="4"/>
      <c r="L868" s="4"/>
      <c r="M868" s="4"/>
      <c r="N868" s="4"/>
      <c r="O868" s="4"/>
      <c r="P868" s="4"/>
      <c r="Q868" s="4"/>
      <c r="R868" s="14"/>
      <c r="S868" s="14"/>
      <c r="T868" s="14"/>
      <c r="U868" s="14"/>
      <c r="V868" s="14"/>
      <c r="W868" s="14"/>
      <c r="X868" s="1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G868" s="4"/>
      <c r="BH868" s="4"/>
    </row>
    <row r="869" spans="1:60" x14ac:dyDescent="0.35">
      <c r="A869" s="4"/>
      <c r="B869" s="8" t="str">
        <f t="shared" si="66"/>
        <v/>
      </c>
      <c r="D869" s="6" t="str">
        <f t="shared" si="67"/>
        <v/>
      </c>
      <c r="E869" s="6" t="str">
        <f t="shared" si="68"/>
        <v/>
      </c>
      <c r="F869" s="6" t="str">
        <f t="shared" si="69"/>
        <v/>
      </c>
      <c r="G869" s="4"/>
      <c r="H869" s="4"/>
      <c r="I869" s="4"/>
      <c r="J869" s="4"/>
      <c r="K869" s="4"/>
      <c r="L869" s="4"/>
      <c r="M869" s="4"/>
      <c r="N869" s="4"/>
      <c r="O869" s="4"/>
      <c r="P869" s="4"/>
      <c r="Q869" s="4"/>
      <c r="R869" s="14"/>
      <c r="S869" s="14"/>
      <c r="T869" s="14"/>
      <c r="U869" s="14"/>
      <c r="V869" s="14"/>
      <c r="W869" s="14"/>
      <c r="X869" s="1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G869" s="4"/>
      <c r="BH869" s="4"/>
    </row>
    <row r="870" spans="1:60" x14ac:dyDescent="0.35">
      <c r="A870" s="4"/>
      <c r="B870" s="8" t="str">
        <f t="shared" si="66"/>
        <v/>
      </c>
      <c r="D870" s="6" t="str">
        <f t="shared" si="67"/>
        <v/>
      </c>
      <c r="E870" s="6" t="str">
        <f t="shared" si="68"/>
        <v/>
      </c>
      <c r="F870" s="6" t="str">
        <f t="shared" si="69"/>
        <v/>
      </c>
      <c r="G870" s="4"/>
      <c r="H870" s="4"/>
      <c r="I870" s="4"/>
      <c r="J870" s="4"/>
      <c r="K870" s="4"/>
      <c r="L870" s="4"/>
      <c r="M870" s="4"/>
      <c r="N870" s="4"/>
      <c r="O870" s="4"/>
      <c r="P870" s="4"/>
      <c r="Q870" s="4"/>
      <c r="R870" s="14"/>
      <c r="S870" s="14"/>
      <c r="T870" s="14"/>
      <c r="U870" s="14"/>
      <c r="V870" s="14"/>
      <c r="W870" s="14"/>
      <c r="X870" s="1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G870" s="4"/>
      <c r="BH870" s="4"/>
    </row>
    <row r="871" spans="1:60" x14ac:dyDescent="0.35">
      <c r="A871" s="4"/>
      <c r="B871" s="8" t="str">
        <f t="shared" si="66"/>
        <v/>
      </c>
      <c r="D871" s="6" t="str">
        <f t="shared" si="67"/>
        <v/>
      </c>
      <c r="E871" s="6" t="str">
        <f t="shared" si="68"/>
        <v/>
      </c>
      <c r="F871" s="6" t="str">
        <f t="shared" si="69"/>
        <v/>
      </c>
      <c r="G871" s="4"/>
      <c r="H871" s="4"/>
      <c r="I871" s="4"/>
      <c r="J871" s="4"/>
      <c r="K871" s="4"/>
      <c r="L871" s="4"/>
      <c r="M871" s="4"/>
      <c r="N871" s="4"/>
      <c r="O871" s="4"/>
      <c r="P871" s="4"/>
      <c r="Q871" s="4"/>
      <c r="R871" s="14"/>
      <c r="S871" s="14"/>
      <c r="T871" s="14"/>
      <c r="U871" s="14"/>
      <c r="V871" s="14"/>
      <c r="W871" s="14"/>
      <c r="X871" s="1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G871" s="4"/>
      <c r="BH871" s="4"/>
    </row>
    <row r="872" spans="1:60" x14ac:dyDescent="0.35">
      <c r="A872" s="4"/>
      <c r="B872" s="8" t="str">
        <f t="shared" si="66"/>
        <v/>
      </c>
      <c r="D872" s="6" t="str">
        <f t="shared" si="67"/>
        <v/>
      </c>
      <c r="E872" s="6" t="str">
        <f t="shared" si="68"/>
        <v/>
      </c>
      <c r="F872" s="6" t="str">
        <f t="shared" si="69"/>
        <v/>
      </c>
      <c r="G872" s="4"/>
      <c r="H872" s="4"/>
      <c r="I872" s="4"/>
      <c r="J872" s="4"/>
      <c r="K872" s="4"/>
      <c r="L872" s="4"/>
      <c r="M872" s="4"/>
      <c r="N872" s="4"/>
      <c r="O872" s="4"/>
      <c r="P872" s="4"/>
      <c r="Q872" s="4"/>
      <c r="R872" s="14"/>
      <c r="S872" s="14"/>
      <c r="T872" s="14"/>
      <c r="U872" s="14"/>
      <c r="V872" s="14"/>
      <c r="W872" s="14"/>
      <c r="X872" s="1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G872" s="4"/>
      <c r="BH872" s="4"/>
    </row>
    <row r="873" spans="1:60" x14ac:dyDescent="0.35">
      <c r="A873" s="4"/>
      <c r="B873" s="8" t="str">
        <f t="shared" si="66"/>
        <v/>
      </c>
      <c r="D873" s="6" t="str">
        <f t="shared" si="67"/>
        <v/>
      </c>
      <c r="E873" s="6" t="str">
        <f t="shared" si="68"/>
        <v/>
      </c>
      <c r="F873" s="6" t="str">
        <f t="shared" si="69"/>
        <v/>
      </c>
      <c r="G873" s="4"/>
      <c r="H873" s="4"/>
      <c r="I873" s="4"/>
      <c r="J873" s="4"/>
      <c r="K873" s="4"/>
      <c r="L873" s="4"/>
      <c r="M873" s="4"/>
      <c r="N873" s="4"/>
      <c r="O873" s="4"/>
      <c r="P873" s="4"/>
      <c r="Q873" s="4"/>
      <c r="R873" s="14"/>
      <c r="S873" s="14"/>
      <c r="T873" s="14"/>
      <c r="U873" s="14"/>
      <c r="V873" s="14"/>
      <c r="W873" s="14"/>
      <c r="X873" s="1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G873" s="4"/>
      <c r="BH873" s="4"/>
    </row>
    <row r="874" spans="1:60" x14ac:dyDescent="0.35">
      <c r="A874" s="4"/>
      <c r="B874" s="8" t="str">
        <f t="shared" si="66"/>
        <v/>
      </c>
      <c r="D874" s="6" t="str">
        <f t="shared" si="67"/>
        <v/>
      </c>
      <c r="E874" s="6" t="str">
        <f t="shared" si="68"/>
        <v/>
      </c>
      <c r="F874" s="6" t="str">
        <f t="shared" si="69"/>
        <v/>
      </c>
      <c r="G874" s="4"/>
      <c r="H874" s="4"/>
      <c r="I874" s="4"/>
      <c r="J874" s="4"/>
      <c r="K874" s="4"/>
      <c r="L874" s="4"/>
      <c r="M874" s="4"/>
      <c r="N874" s="4"/>
      <c r="O874" s="4"/>
      <c r="P874" s="4"/>
      <c r="Q874" s="4"/>
      <c r="R874" s="14"/>
      <c r="S874" s="14"/>
      <c r="T874" s="14"/>
      <c r="U874" s="14"/>
      <c r="V874" s="14"/>
      <c r="W874" s="14"/>
      <c r="X874" s="1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G874" s="4"/>
      <c r="BH874" s="4"/>
    </row>
    <row r="875" spans="1:60" x14ac:dyDescent="0.35">
      <c r="A875" s="4"/>
      <c r="B875" s="8" t="str">
        <f t="shared" si="66"/>
        <v/>
      </c>
      <c r="D875" s="6" t="str">
        <f t="shared" si="67"/>
        <v/>
      </c>
      <c r="E875" s="6" t="str">
        <f t="shared" si="68"/>
        <v/>
      </c>
      <c r="F875" s="6" t="str">
        <f t="shared" si="69"/>
        <v/>
      </c>
      <c r="G875" s="4"/>
      <c r="H875" s="4"/>
      <c r="I875" s="4"/>
      <c r="J875" s="4"/>
      <c r="K875" s="4"/>
      <c r="L875" s="4"/>
      <c r="M875" s="4"/>
      <c r="N875" s="4"/>
      <c r="O875" s="4"/>
      <c r="P875" s="4"/>
      <c r="Q875" s="4"/>
      <c r="R875" s="14"/>
      <c r="S875" s="14"/>
      <c r="T875" s="14"/>
      <c r="U875" s="14"/>
      <c r="V875" s="14"/>
      <c r="W875" s="14"/>
      <c r="X875" s="1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G875" s="4"/>
      <c r="BH875" s="4"/>
    </row>
    <row r="876" spans="1:60" x14ac:dyDescent="0.35">
      <c r="A876" s="4"/>
      <c r="B876" s="8" t="str">
        <f t="shared" si="66"/>
        <v/>
      </c>
      <c r="D876" s="6" t="str">
        <f t="shared" si="67"/>
        <v/>
      </c>
      <c r="E876" s="6" t="str">
        <f t="shared" si="68"/>
        <v/>
      </c>
      <c r="F876" s="6" t="str">
        <f t="shared" si="69"/>
        <v/>
      </c>
      <c r="G876" s="4"/>
      <c r="H876" s="4"/>
      <c r="I876" s="4"/>
      <c r="J876" s="4"/>
      <c r="K876" s="4"/>
      <c r="L876" s="4"/>
      <c r="M876" s="4"/>
      <c r="N876" s="4"/>
      <c r="O876" s="4"/>
      <c r="P876" s="4"/>
      <c r="Q876" s="4"/>
      <c r="R876" s="14"/>
      <c r="S876" s="14"/>
      <c r="T876" s="14"/>
      <c r="U876" s="14"/>
      <c r="V876" s="14"/>
      <c r="W876" s="14"/>
      <c r="X876" s="1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G876" s="4"/>
      <c r="BH876" s="4"/>
    </row>
    <row r="877" spans="1:60" x14ac:dyDescent="0.35">
      <c r="A877" s="4"/>
      <c r="B877" s="8" t="str">
        <f t="shared" si="66"/>
        <v/>
      </c>
      <c r="D877" s="6" t="str">
        <f t="shared" si="67"/>
        <v/>
      </c>
      <c r="E877" s="6" t="str">
        <f t="shared" si="68"/>
        <v/>
      </c>
      <c r="F877" s="6" t="str">
        <f t="shared" si="69"/>
        <v/>
      </c>
      <c r="G877" s="4"/>
      <c r="H877" s="4"/>
      <c r="I877" s="4"/>
      <c r="J877" s="4"/>
      <c r="K877" s="4"/>
      <c r="L877" s="4"/>
      <c r="M877" s="4"/>
      <c r="N877" s="4"/>
      <c r="O877" s="4"/>
      <c r="P877" s="4"/>
      <c r="Q877" s="4"/>
      <c r="R877" s="14"/>
      <c r="S877" s="14"/>
      <c r="T877" s="14"/>
      <c r="U877" s="14"/>
      <c r="V877" s="14"/>
      <c r="W877" s="14"/>
      <c r="X877" s="1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G877" s="4"/>
      <c r="BH877" s="4"/>
    </row>
    <row r="878" spans="1:60" x14ac:dyDescent="0.35">
      <c r="A878" s="4"/>
      <c r="B878" s="8" t="str">
        <f t="shared" si="66"/>
        <v/>
      </c>
      <c r="D878" s="6" t="str">
        <f t="shared" si="67"/>
        <v/>
      </c>
      <c r="E878" s="6" t="str">
        <f t="shared" si="68"/>
        <v/>
      </c>
      <c r="F878" s="6" t="str">
        <f t="shared" si="69"/>
        <v/>
      </c>
      <c r="G878" s="4"/>
      <c r="H878" s="4"/>
      <c r="I878" s="4"/>
      <c r="J878" s="4"/>
      <c r="K878" s="4"/>
      <c r="L878" s="4"/>
      <c r="M878" s="4"/>
      <c r="N878" s="4"/>
      <c r="O878" s="4"/>
      <c r="P878" s="4"/>
      <c r="Q878" s="4"/>
      <c r="R878" s="14"/>
      <c r="S878" s="14"/>
      <c r="T878" s="14"/>
      <c r="U878" s="14"/>
      <c r="V878" s="14"/>
      <c r="W878" s="14"/>
      <c r="X878" s="1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G878" s="4"/>
      <c r="BH878" s="4"/>
    </row>
    <row r="879" spans="1:60" x14ac:dyDescent="0.35">
      <c r="A879" s="4"/>
      <c r="B879" s="8" t="str">
        <f t="shared" si="66"/>
        <v/>
      </c>
      <c r="D879" s="6" t="str">
        <f t="shared" si="67"/>
        <v/>
      </c>
      <c r="E879" s="6" t="str">
        <f t="shared" si="68"/>
        <v/>
      </c>
      <c r="F879" s="6" t="str">
        <f t="shared" si="69"/>
        <v/>
      </c>
      <c r="G879" s="4"/>
      <c r="H879" s="4"/>
      <c r="I879" s="4"/>
      <c r="J879" s="4"/>
      <c r="K879" s="4"/>
      <c r="L879" s="4"/>
      <c r="M879" s="4"/>
      <c r="N879" s="4"/>
      <c r="O879" s="4"/>
      <c r="P879" s="4"/>
      <c r="Q879" s="4"/>
      <c r="R879" s="14"/>
      <c r="S879" s="14"/>
      <c r="T879" s="14"/>
      <c r="U879" s="14"/>
      <c r="V879" s="14"/>
      <c r="W879" s="14"/>
      <c r="X879" s="1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G879" s="4"/>
      <c r="BH879" s="4"/>
    </row>
    <row r="880" spans="1:60" x14ac:dyDescent="0.35">
      <c r="A880" s="4"/>
      <c r="B880" s="8" t="str">
        <f t="shared" si="66"/>
        <v/>
      </c>
      <c r="D880" s="6" t="str">
        <f t="shared" si="67"/>
        <v/>
      </c>
      <c r="E880" s="6" t="str">
        <f t="shared" si="68"/>
        <v/>
      </c>
      <c r="F880" s="6" t="str">
        <f t="shared" si="69"/>
        <v/>
      </c>
      <c r="G880" s="4"/>
      <c r="H880" s="4"/>
      <c r="I880" s="4"/>
      <c r="J880" s="4"/>
      <c r="K880" s="4"/>
      <c r="L880" s="4"/>
      <c r="M880" s="4"/>
      <c r="N880" s="4"/>
      <c r="O880" s="4"/>
      <c r="P880" s="4"/>
      <c r="Q880" s="4"/>
      <c r="R880" s="14"/>
      <c r="S880" s="14"/>
      <c r="T880" s="14"/>
      <c r="U880" s="14"/>
      <c r="V880" s="14"/>
      <c r="W880" s="14"/>
      <c r="X880" s="1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G880" s="4"/>
      <c r="BH880" s="4"/>
    </row>
    <row r="881" spans="1:60" x14ac:dyDescent="0.35">
      <c r="A881" s="4"/>
      <c r="B881" s="8" t="str">
        <f t="shared" si="66"/>
        <v/>
      </c>
      <c r="D881" s="6" t="str">
        <f t="shared" si="67"/>
        <v/>
      </c>
      <c r="E881" s="6" t="str">
        <f t="shared" si="68"/>
        <v/>
      </c>
      <c r="F881" s="6" t="str">
        <f t="shared" si="69"/>
        <v/>
      </c>
      <c r="G881" s="4"/>
      <c r="H881" s="4"/>
      <c r="I881" s="4"/>
      <c r="J881" s="4"/>
      <c r="K881" s="4"/>
      <c r="L881" s="4"/>
      <c r="M881" s="4"/>
      <c r="N881" s="4"/>
      <c r="O881" s="4"/>
      <c r="P881" s="4"/>
      <c r="Q881" s="4"/>
      <c r="R881" s="14"/>
      <c r="S881" s="14"/>
      <c r="T881" s="14"/>
      <c r="U881" s="14"/>
      <c r="V881" s="14"/>
      <c r="W881" s="14"/>
      <c r="X881" s="1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G881" s="4"/>
      <c r="BH881" s="4"/>
    </row>
    <row r="882" spans="1:60" x14ac:dyDescent="0.35">
      <c r="A882" s="4"/>
      <c r="B882" s="8" t="str">
        <f t="shared" si="66"/>
        <v/>
      </c>
      <c r="D882" s="6" t="str">
        <f t="shared" si="67"/>
        <v/>
      </c>
      <c r="E882" s="6" t="str">
        <f t="shared" si="68"/>
        <v/>
      </c>
      <c r="F882" s="6" t="str">
        <f t="shared" si="69"/>
        <v/>
      </c>
      <c r="G882" s="4"/>
      <c r="H882" s="4"/>
      <c r="I882" s="4"/>
      <c r="J882" s="4"/>
      <c r="K882" s="4"/>
      <c r="L882" s="4"/>
      <c r="M882" s="4"/>
      <c r="N882" s="4"/>
      <c r="O882" s="4"/>
      <c r="P882" s="4"/>
      <c r="Q882" s="4"/>
      <c r="R882" s="14"/>
      <c r="S882" s="14"/>
      <c r="T882" s="14"/>
      <c r="U882" s="14"/>
      <c r="V882" s="14"/>
      <c r="W882" s="14"/>
      <c r="X882" s="1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G882" s="4"/>
      <c r="BH882" s="4"/>
    </row>
    <row r="883" spans="1:60" x14ac:dyDescent="0.35">
      <c r="A883" s="4"/>
      <c r="B883" s="8" t="str">
        <f t="shared" si="66"/>
        <v/>
      </c>
      <c r="D883" s="6" t="str">
        <f t="shared" si="67"/>
        <v/>
      </c>
      <c r="E883" s="6" t="str">
        <f t="shared" si="68"/>
        <v/>
      </c>
      <c r="F883" s="6" t="str">
        <f t="shared" si="69"/>
        <v/>
      </c>
      <c r="G883" s="4"/>
      <c r="H883" s="4"/>
      <c r="I883" s="4"/>
      <c r="J883" s="4"/>
      <c r="K883" s="4"/>
      <c r="L883" s="4"/>
      <c r="M883" s="4"/>
      <c r="N883" s="4"/>
      <c r="O883" s="4"/>
      <c r="P883" s="4"/>
      <c r="Q883" s="4"/>
      <c r="R883" s="14"/>
      <c r="S883" s="14"/>
      <c r="T883" s="14"/>
      <c r="U883" s="14"/>
      <c r="V883" s="14"/>
      <c r="W883" s="14"/>
      <c r="X883" s="1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G883" s="4"/>
      <c r="BH883" s="4"/>
    </row>
    <row r="884" spans="1:60" x14ac:dyDescent="0.35">
      <c r="A884" s="4"/>
      <c r="B884" s="8" t="str">
        <f t="shared" si="66"/>
        <v/>
      </c>
      <c r="D884" s="6" t="str">
        <f t="shared" si="67"/>
        <v/>
      </c>
      <c r="E884" s="6" t="str">
        <f t="shared" si="68"/>
        <v/>
      </c>
      <c r="F884" s="6" t="str">
        <f t="shared" si="69"/>
        <v/>
      </c>
      <c r="G884" s="4"/>
      <c r="H884" s="4"/>
      <c r="I884" s="4"/>
      <c r="J884" s="4"/>
      <c r="K884" s="4"/>
      <c r="L884" s="4"/>
      <c r="M884" s="4"/>
      <c r="N884" s="4"/>
      <c r="O884" s="4"/>
      <c r="P884" s="4"/>
      <c r="Q884" s="4"/>
      <c r="R884" s="14"/>
      <c r="S884" s="14"/>
      <c r="T884" s="14"/>
      <c r="U884" s="14"/>
      <c r="V884" s="14"/>
      <c r="W884" s="14"/>
      <c r="X884" s="1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G884" s="4"/>
      <c r="BH884" s="4"/>
    </row>
    <row r="885" spans="1:60" x14ac:dyDescent="0.35">
      <c r="A885" s="4"/>
      <c r="B885" s="8" t="str">
        <f t="shared" si="66"/>
        <v/>
      </c>
      <c r="D885" s="6" t="str">
        <f t="shared" si="67"/>
        <v/>
      </c>
      <c r="E885" s="6" t="str">
        <f t="shared" si="68"/>
        <v/>
      </c>
      <c r="F885" s="6" t="str">
        <f t="shared" si="69"/>
        <v/>
      </c>
      <c r="G885" s="4"/>
      <c r="H885" s="4"/>
      <c r="I885" s="4"/>
      <c r="J885" s="4"/>
      <c r="K885" s="4"/>
      <c r="L885" s="4"/>
      <c r="M885" s="4"/>
      <c r="N885" s="4"/>
      <c r="O885" s="4"/>
      <c r="P885" s="4"/>
      <c r="Q885" s="4"/>
      <c r="R885" s="14"/>
      <c r="S885" s="14"/>
      <c r="T885" s="14"/>
      <c r="U885" s="14"/>
      <c r="V885" s="14"/>
      <c r="W885" s="14"/>
      <c r="X885" s="1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G885" s="4"/>
      <c r="BH885" s="4"/>
    </row>
    <row r="886" spans="1:60" x14ac:dyDescent="0.35">
      <c r="A886" s="4"/>
      <c r="B886" s="8" t="str">
        <f t="shared" si="66"/>
        <v/>
      </c>
      <c r="D886" s="6" t="str">
        <f t="shared" si="67"/>
        <v/>
      </c>
      <c r="E886" s="6" t="str">
        <f t="shared" si="68"/>
        <v/>
      </c>
      <c r="F886" s="6" t="str">
        <f t="shared" si="69"/>
        <v/>
      </c>
      <c r="G886" s="4"/>
      <c r="H886" s="4"/>
      <c r="I886" s="4"/>
      <c r="J886" s="4"/>
      <c r="K886" s="4"/>
      <c r="L886" s="4"/>
      <c r="M886" s="4"/>
      <c r="N886" s="4"/>
      <c r="O886" s="4"/>
      <c r="P886" s="4"/>
      <c r="Q886" s="4"/>
      <c r="R886" s="14"/>
      <c r="S886" s="14"/>
      <c r="T886" s="14"/>
      <c r="U886" s="14"/>
      <c r="V886" s="14"/>
      <c r="W886" s="14"/>
      <c r="X886" s="1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G886" s="4"/>
      <c r="BH886" s="4"/>
    </row>
    <row r="887" spans="1:60" x14ac:dyDescent="0.35">
      <c r="A887" s="4"/>
      <c r="B887" s="8" t="str">
        <f t="shared" si="66"/>
        <v/>
      </c>
      <c r="D887" s="6" t="str">
        <f t="shared" si="67"/>
        <v/>
      </c>
      <c r="E887" s="6" t="str">
        <f t="shared" si="68"/>
        <v/>
      </c>
      <c r="F887" s="6" t="str">
        <f t="shared" si="69"/>
        <v/>
      </c>
      <c r="G887" s="4"/>
      <c r="H887" s="4"/>
      <c r="I887" s="4"/>
      <c r="J887" s="4"/>
      <c r="K887" s="4"/>
      <c r="L887" s="4"/>
      <c r="M887" s="4"/>
      <c r="N887" s="4"/>
      <c r="O887" s="4"/>
      <c r="P887" s="4"/>
      <c r="Q887" s="4"/>
      <c r="R887" s="14"/>
      <c r="S887" s="14"/>
      <c r="T887" s="14"/>
      <c r="U887" s="14"/>
      <c r="V887" s="14"/>
      <c r="W887" s="14"/>
      <c r="X887" s="1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G887" s="4"/>
      <c r="BH887" s="4"/>
    </row>
    <row r="888" spans="1:60" x14ac:dyDescent="0.35">
      <c r="A888" s="4"/>
      <c r="B888" s="8" t="str">
        <f t="shared" si="66"/>
        <v/>
      </c>
      <c r="D888" s="6" t="str">
        <f t="shared" si="67"/>
        <v/>
      </c>
      <c r="E888" s="6" t="str">
        <f t="shared" si="68"/>
        <v/>
      </c>
      <c r="F888" s="6" t="str">
        <f t="shared" si="69"/>
        <v/>
      </c>
      <c r="G888" s="4"/>
      <c r="H888" s="4"/>
      <c r="I888" s="4"/>
      <c r="J888" s="4"/>
      <c r="K888" s="4"/>
      <c r="L888" s="4"/>
      <c r="M888" s="4"/>
      <c r="N888" s="4"/>
      <c r="O888" s="4"/>
      <c r="P888" s="4"/>
      <c r="Q888" s="4"/>
      <c r="R888" s="14"/>
      <c r="S888" s="14"/>
      <c r="T888" s="14"/>
      <c r="U888" s="14"/>
      <c r="V888" s="14"/>
      <c r="W888" s="14"/>
      <c r="X888" s="1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G888" s="4"/>
      <c r="BH888" s="4"/>
    </row>
    <row r="889" spans="1:60" x14ac:dyDescent="0.35">
      <c r="A889" s="4"/>
      <c r="B889" s="8" t="str">
        <f t="shared" si="66"/>
        <v/>
      </c>
      <c r="D889" s="6" t="str">
        <f t="shared" si="67"/>
        <v/>
      </c>
      <c r="E889" s="6" t="str">
        <f t="shared" si="68"/>
        <v/>
      </c>
      <c r="F889" s="6" t="str">
        <f t="shared" si="69"/>
        <v/>
      </c>
      <c r="G889" s="4"/>
      <c r="H889" s="4"/>
      <c r="I889" s="4"/>
      <c r="J889" s="4"/>
      <c r="K889" s="4"/>
      <c r="L889" s="4"/>
      <c r="M889" s="4"/>
      <c r="N889" s="4"/>
      <c r="O889" s="4"/>
      <c r="P889" s="4"/>
      <c r="Q889" s="4"/>
      <c r="R889" s="14"/>
      <c r="S889" s="14"/>
      <c r="T889" s="14"/>
      <c r="U889" s="14"/>
      <c r="V889" s="14"/>
      <c r="W889" s="14"/>
      <c r="X889" s="1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G889" s="4"/>
      <c r="BH889" s="4"/>
    </row>
    <row r="890" spans="1:60" x14ac:dyDescent="0.35">
      <c r="A890" s="4"/>
      <c r="B890" s="8" t="str">
        <f t="shared" si="66"/>
        <v/>
      </c>
      <c r="D890" s="6" t="str">
        <f t="shared" si="67"/>
        <v/>
      </c>
      <c r="E890" s="6" t="str">
        <f t="shared" si="68"/>
        <v/>
      </c>
      <c r="F890" s="6" t="str">
        <f t="shared" si="69"/>
        <v/>
      </c>
      <c r="G890" s="4"/>
      <c r="H890" s="4"/>
      <c r="I890" s="4"/>
      <c r="J890" s="4"/>
      <c r="K890" s="4"/>
      <c r="L890" s="4"/>
      <c r="M890" s="4"/>
      <c r="N890" s="4"/>
      <c r="O890" s="4"/>
      <c r="P890" s="4"/>
      <c r="Q890" s="4"/>
      <c r="R890" s="14"/>
      <c r="S890" s="14"/>
      <c r="T890" s="14"/>
      <c r="U890" s="14"/>
      <c r="V890" s="14"/>
      <c r="W890" s="14"/>
      <c r="X890" s="1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G890" s="4"/>
      <c r="BH890" s="4"/>
    </row>
    <row r="891" spans="1:60" x14ac:dyDescent="0.35">
      <c r="A891" s="4"/>
      <c r="B891" s="8" t="str">
        <f t="shared" si="66"/>
        <v/>
      </c>
      <c r="D891" s="6" t="str">
        <f t="shared" si="67"/>
        <v/>
      </c>
      <c r="E891" s="6" t="str">
        <f t="shared" si="68"/>
        <v/>
      </c>
      <c r="F891" s="6" t="str">
        <f t="shared" si="69"/>
        <v/>
      </c>
      <c r="G891" s="4"/>
      <c r="H891" s="4"/>
      <c r="I891" s="4"/>
      <c r="J891" s="4"/>
      <c r="K891" s="4"/>
      <c r="L891" s="4"/>
      <c r="M891" s="4"/>
      <c r="N891" s="4"/>
      <c r="O891" s="4"/>
      <c r="P891" s="4"/>
      <c r="Q891" s="4"/>
      <c r="R891" s="14"/>
      <c r="S891" s="14"/>
      <c r="T891" s="14"/>
      <c r="U891" s="14"/>
      <c r="V891" s="14"/>
      <c r="W891" s="14"/>
      <c r="X891" s="1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G891" s="4"/>
      <c r="BH891" s="4"/>
    </row>
    <row r="892" spans="1:60" x14ac:dyDescent="0.35">
      <c r="A892" s="4"/>
      <c r="B892" s="8" t="str">
        <f t="shared" si="66"/>
        <v/>
      </c>
      <c r="D892" s="6" t="str">
        <f t="shared" si="67"/>
        <v/>
      </c>
      <c r="E892" s="6" t="str">
        <f t="shared" si="68"/>
        <v/>
      </c>
      <c r="F892" s="6" t="str">
        <f t="shared" si="69"/>
        <v/>
      </c>
      <c r="G892" s="4"/>
      <c r="H892" s="4"/>
      <c r="I892" s="4"/>
      <c r="J892" s="4"/>
      <c r="K892" s="4"/>
      <c r="L892" s="4"/>
      <c r="M892" s="4"/>
      <c r="N892" s="4"/>
      <c r="O892" s="4"/>
      <c r="P892" s="4"/>
      <c r="Q892" s="4"/>
      <c r="R892" s="14"/>
      <c r="S892" s="14"/>
      <c r="T892" s="14"/>
      <c r="U892" s="14"/>
      <c r="V892" s="14"/>
      <c r="W892" s="14"/>
      <c r="X892" s="1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G892" s="4"/>
      <c r="BH892" s="4"/>
    </row>
    <row r="893" spans="1:60" x14ac:dyDescent="0.35">
      <c r="A893" s="4"/>
      <c r="B893" s="8" t="str">
        <f t="shared" ref="B893:B956" si="70">RIGHT(A893,4)</f>
        <v/>
      </c>
      <c r="D893" s="6" t="str">
        <f t="shared" ref="D893:D956" si="71">IF(C893="","",VLOOKUP(C893,district_region,2,FALSE))</f>
        <v/>
      </c>
      <c r="E893" s="6" t="str">
        <f t="shared" ref="E893:E956" si="72">IF(C893="","",VLOOKUP(C893,liste_pop,3,FALSE))</f>
        <v/>
      </c>
      <c r="F893" s="6" t="str">
        <f t="shared" ref="F893:F956" si="73">IF(D893="","",IF(D893="Dakar",4042240,VLOOKUP(D893,liste_pop,4,FALSE)))</f>
        <v/>
      </c>
      <c r="G893" s="4"/>
      <c r="H893" s="4"/>
      <c r="I893" s="4"/>
      <c r="J893" s="4"/>
      <c r="K893" s="4"/>
      <c r="L893" s="4"/>
      <c r="M893" s="4"/>
      <c r="N893" s="4"/>
      <c r="O893" s="4"/>
      <c r="P893" s="4"/>
      <c r="Q893" s="4"/>
      <c r="R893" s="14"/>
      <c r="S893" s="14"/>
      <c r="T893" s="14"/>
      <c r="U893" s="14"/>
      <c r="V893" s="14"/>
      <c r="W893" s="14"/>
      <c r="X893" s="1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G893" s="4"/>
      <c r="BH893" s="4"/>
    </row>
    <row r="894" spans="1:60" x14ac:dyDescent="0.35">
      <c r="A894" s="4"/>
      <c r="B894" s="8" t="str">
        <f t="shared" si="70"/>
        <v/>
      </c>
      <c r="D894" s="6" t="str">
        <f t="shared" si="71"/>
        <v/>
      </c>
      <c r="E894" s="6" t="str">
        <f t="shared" si="72"/>
        <v/>
      </c>
      <c r="F894" s="6" t="str">
        <f t="shared" si="73"/>
        <v/>
      </c>
      <c r="G894" s="4"/>
      <c r="H894" s="4"/>
      <c r="I894" s="4"/>
      <c r="J894" s="4"/>
      <c r="K894" s="4"/>
      <c r="L894" s="4"/>
      <c r="M894" s="4"/>
      <c r="N894" s="4"/>
      <c r="O894" s="4"/>
      <c r="P894" s="4"/>
      <c r="Q894" s="4"/>
      <c r="R894" s="14"/>
      <c r="S894" s="14"/>
      <c r="T894" s="14"/>
      <c r="U894" s="14"/>
      <c r="V894" s="14"/>
      <c r="W894" s="14"/>
      <c r="X894" s="1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G894" s="4"/>
      <c r="BH894" s="4"/>
    </row>
    <row r="895" spans="1:60" x14ac:dyDescent="0.35">
      <c r="A895" s="4"/>
      <c r="B895" s="8" t="str">
        <f t="shared" si="70"/>
        <v/>
      </c>
      <c r="D895" s="6" t="str">
        <f t="shared" si="71"/>
        <v/>
      </c>
      <c r="E895" s="6" t="str">
        <f t="shared" si="72"/>
        <v/>
      </c>
      <c r="F895" s="6" t="str">
        <f t="shared" si="73"/>
        <v/>
      </c>
      <c r="G895" s="4"/>
      <c r="H895" s="4"/>
      <c r="I895" s="4"/>
      <c r="J895" s="4"/>
      <c r="K895" s="4"/>
      <c r="L895" s="4"/>
      <c r="M895" s="4"/>
      <c r="N895" s="4"/>
      <c r="O895" s="4"/>
      <c r="P895" s="4"/>
      <c r="Q895" s="4"/>
      <c r="R895" s="14"/>
      <c r="S895" s="14"/>
      <c r="T895" s="14"/>
      <c r="U895" s="14"/>
      <c r="V895" s="14"/>
      <c r="W895" s="14"/>
      <c r="X895" s="1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G895" s="4"/>
      <c r="BH895" s="4"/>
    </row>
    <row r="896" spans="1:60" x14ac:dyDescent="0.35">
      <c r="A896" s="4"/>
      <c r="B896" s="8" t="str">
        <f t="shared" si="70"/>
        <v/>
      </c>
      <c r="D896" s="6" t="str">
        <f t="shared" si="71"/>
        <v/>
      </c>
      <c r="E896" s="6" t="str">
        <f t="shared" si="72"/>
        <v/>
      </c>
      <c r="F896" s="6" t="str">
        <f t="shared" si="73"/>
        <v/>
      </c>
      <c r="G896" s="4"/>
      <c r="H896" s="4"/>
      <c r="I896" s="4"/>
      <c r="J896" s="4"/>
      <c r="K896" s="4"/>
      <c r="L896" s="4"/>
      <c r="M896" s="4"/>
      <c r="N896" s="4"/>
      <c r="O896" s="4"/>
      <c r="P896" s="4"/>
      <c r="Q896" s="4"/>
      <c r="R896" s="14"/>
      <c r="S896" s="14"/>
      <c r="T896" s="14"/>
      <c r="U896" s="14"/>
      <c r="V896" s="14"/>
      <c r="W896" s="14"/>
      <c r="X896" s="1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G896" s="4"/>
      <c r="BH896" s="4"/>
    </row>
    <row r="897" spans="1:60" x14ac:dyDescent="0.35">
      <c r="A897" s="4"/>
      <c r="B897" s="8" t="str">
        <f t="shared" si="70"/>
        <v/>
      </c>
      <c r="D897" s="6" t="str">
        <f t="shared" si="71"/>
        <v/>
      </c>
      <c r="E897" s="6" t="str">
        <f t="shared" si="72"/>
        <v/>
      </c>
      <c r="F897" s="6" t="str">
        <f t="shared" si="73"/>
        <v/>
      </c>
      <c r="G897" s="4"/>
      <c r="H897" s="4"/>
      <c r="I897" s="4"/>
      <c r="J897" s="4"/>
      <c r="K897" s="4"/>
      <c r="L897" s="4"/>
      <c r="M897" s="4"/>
      <c r="N897" s="4"/>
      <c r="O897" s="4"/>
      <c r="P897" s="4"/>
      <c r="Q897" s="4"/>
      <c r="R897" s="14"/>
      <c r="S897" s="14"/>
      <c r="T897" s="14"/>
      <c r="U897" s="14"/>
      <c r="V897" s="14"/>
      <c r="W897" s="14"/>
      <c r="X897" s="1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G897" s="4"/>
      <c r="BH897" s="4"/>
    </row>
    <row r="898" spans="1:60" x14ac:dyDescent="0.35">
      <c r="A898" s="4"/>
      <c r="B898" s="8" t="str">
        <f t="shared" si="70"/>
        <v/>
      </c>
      <c r="D898" s="6" t="str">
        <f t="shared" si="71"/>
        <v/>
      </c>
      <c r="E898" s="6" t="str">
        <f t="shared" si="72"/>
        <v/>
      </c>
      <c r="F898" s="6" t="str">
        <f t="shared" si="73"/>
        <v/>
      </c>
      <c r="G898" s="4"/>
      <c r="H898" s="4"/>
      <c r="I898" s="4"/>
      <c r="J898" s="4"/>
      <c r="K898" s="4"/>
      <c r="L898" s="4"/>
      <c r="M898" s="4"/>
      <c r="N898" s="4"/>
      <c r="O898" s="4"/>
      <c r="P898" s="4"/>
      <c r="Q898" s="4"/>
      <c r="R898" s="14"/>
      <c r="S898" s="14"/>
      <c r="T898" s="14"/>
      <c r="U898" s="14"/>
      <c r="V898" s="14"/>
      <c r="W898" s="14"/>
      <c r="X898" s="1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G898" s="4"/>
      <c r="BH898" s="4"/>
    </row>
    <row r="899" spans="1:60" x14ac:dyDescent="0.35">
      <c r="A899" s="4"/>
      <c r="B899" s="8" t="str">
        <f t="shared" si="70"/>
        <v/>
      </c>
      <c r="D899" s="6" t="str">
        <f t="shared" si="71"/>
        <v/>
      </c>
      <c r="E899" s="6" t="str">
        <f t="shared" si="72"/>
        <v/>
      </c>
      <c r="F899" s="6" t="str">
        <f t="shared" si="73"/>
        <v/>
      </c>
      <c r="G899" s="4"/>
      <c r="H899" s="4"/>
      <c r="I899" s="4"/>
      <c r="J899" s="4"/>
      <c r="K899" s="4"/>
      <c r="L899" s="4"/>
      <c r="M899" s="4"/>
      <c r="N899" s="4"/>
      <c r="O899" s="4"/>
      <c r="P899" s="4"/>
      <c r="Q899" s="4"/>
      <c r="R899" s="14"/>
      <c r="S899" s="14"/>
      <c r="T899" s="14"/>
      <c r="U899" s="14"/>
      <c r="V899" s="14"/>
      <c r="W899" s="14"/>
      <c r="X899" s="1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G899" s="4"/>
      <c r="BH899" s="4"/>
    </row>
    <row r="900" spans="1:60" x14ac:dyDescent="0.35">
      <c r="A900" s="4"/>
      <c r="B900" s="8" t="str">
        <f t="shared" si="70"/>
        <v/>
      </c>
      <c r="D900" s="6" t="str">
        <f t="shared" si="71"/>
        <v/>
      </c>
      <c r="E900" s="6" t="str">
        <f t="shared" si="72"/>
        <v/>
      </c>
      <c r="F900" s="6" t="str">
        <f t="shared" si="73"/>
        <v/>
      </c>
      <c r="G900" s="4"/>
      <c r="H900" s="4"/>
      <c r="I900" s="4"/>
      <c r="J900" s="4"/>
      <c r="K900" s="4"/>
      <c r="L900" s="4"/>
      <c r="M900" s="4"/>
      <c r="N900" s="4"/>
      <c r="O900" s="4"/>
      <c r="P900" s="4"/>
      <c r="Q900" s="4"/>
      <c r="R900" s="14"/>
      <c r="S900" s="14"/>
      <c r="T900" s="14"/>
      <c r="U900" s="14"/>
      <c r="V900" s="14"/>
      <c r="W900" s="14"/>
      <c r="X900" s="1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G900" s="4"/>
      <c r="BH900" s="4"/>
    </row>
    <row r="901" spans="1:60" x14ac:dyDescent="0.35">
      <c r="A901" s="4"/>
      <c r="B901" s="8" t="str">
        <f t="shared" si="70"/>
        <v/>
      </c>
      <c r="D901" s="6" t="str">
        <f t="shared" si="71"/>
        <v/>
      </c>
      <c r="E901" s="6" t="str">
        <f t="shared" si="72"/>
        <v/>
      </c>
      <c r="F901" s="6" t="str">
        <f t="shared" si="73"/>
        <v/>
      </c>
      <c r="G901" s="4"/>
      <c r="H901" s="4"/>
      <c r="I901" s="4"/>
      <c r="J901" s="4"/>
      <c r="K901" s="4"/>
      <c r="L901" s="4"/>
      <c r="M901" s="4"/>
      <c r="N901" s="4"/>
      <c r="O901" s="4"/>
      <c r="P901" s="4"/>
      <c r="Q901" s="4"/>
      <c r="R901" s="14"/>
      <c r="S901" s="14"/>
      <c r="T901" s="14"/>
      <c r="U901" s="14"/>
      <c r="V901" s="14"/>
      <c r="W901" s="14"/>
      <c r="X901" s="1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G901" s="4"/>
      <c r="BH901" s="4"/>
    </row>
    <row r="902" spans="1:60" x14ac:dyDescent="0.35">
      <c r="A902" s="4"/>
      <c r="B902" s="8" t="str">
        <f t="shared" si="70"/>
        <v/>
      </c>
      <c r="D902" s="6" t="str">
        <f t="shared" si="71"/>
        <v/>
      </c>
      <c r="E902" s="6" t="str">
        <f t="shared" si="72"/>
        <v/>
      </c>
      <c r="F902" s="6" t="str">
        <f t="shared" si="73"/>
        <v/>
      </c>
      <c r="G902" s="4"/>
      <c r="H902" s="4"/>
      <c r="I902" s="4"/>
      <c r="J902" s="4"/>
      <c r="K902" s="4"/>
      <c r="L902" s="4"/>
      <c r="M902" s="4"/>
      <c r="N902" s="4"/>
      <c r="O902" s="4"/>
      <c r="P902" s="4"/>
      <c r="Q902" s="4"/>
      <c r="R902" s="14"/>
      <c r="S902" s="14"/>
      <c r="T902" s="14"/>
      <c r="U902" s="14"/>
      <c r="V902" s="14"/>
      <c r="W902" s="14"/>
      <c r="X902" s="1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G902" s="4"/>
      <c r="BH902" s="4"/>
    </row>
    <row r="903" spans="1:60" x14ac:dyDescent="0.35">
      <c r="A903" s="4"/>
      <c r="B903" s="8" t="str">
        <f t="shared" si="70"/>
        <v/>
      </c>
      <c r="D903" s="6" t="str">
        <f t="shared" si="71"/>
        <v/>
      </c>
      <c r="E903" s="6" t="str">
        <f t="shared" si="72"/>
        <v/>
      </c>
      <c r="F903" s="6" t="str">
        <f t="shared" si="73"/>
        <v/>
      </c>
      <c r="G903" s="4"/>
      <c r="H903" s="4"/>
      <c r="I903" s="4"/>
      <c r="J903" s="4"/>
      <c r="K903" s="4"/>
      <c r="L903" s="4"/>
      <c r="M903" s="4"/>
      <c r="N903" s="4"/>
      <c r="O903" s="4"/>
      <c r="P903" s="4"/>
      <c r="Q903" s="4"/>
      <c r="R903" s="14"/>
      <c r="S903" s="14"/>
      <c r="T903" s="14"/>
      <c r="U903" s="14"/>
      <c r="V903" s="14"/>
      <c r="W903" s="14"/>
      <c r="X903" s="1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G903" s="4"/>
      <c r="BH903" s="4"/>
    </row>
    <row r="904" spans="1:60" x14ac:dyDescent="0.35">
      <c r="A904" s="4"/>
      <c r="B904" s="8" t="str">
        <f t="shared" si="70"/>
        <v/>
      </c>
      <c r="D904" s="6" t="str">
        <f t="shared" si="71"/>
        <v/>
      </c>
      <c r="E904" s="6" t="str">
        <f t="shared" si="72"/>
        <v/>
      </c>
      <c r="F904" s="6" t="str">
        <f t="shared" si="73"/>
        <v/>
      </c>
      <c r="G904" s="4"/>
      <c r="H904" s="4"/>
      <c r="I904" s="4"/>
      <c r="J904" s="4"/>
      <c r="K904" s="4"/>
      <c r="L904" s="4"/>
      <c r="M904" s="4"/>
      <c r="N904" s="4"/>
      <c r="O904" s="4"/>
      <c r="P904" s="4"/>
      <c r="Q904" s="4"/>
      <c r="R904" s="14"/>
      <c r="S904" s="14"/>
      <c r="T904" s="14"/>
      <c r="U904" s="14"/>
      <c r="V904" s="14"/>
      <c r="W904" s="14"/>
      <c r="X904" s="1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G904" s="4"/>
      <c r="BH904" s="4"/>
    </row>
    <row r="905" spans="1:60" x14ac:dyDescent="0.35">
      <c r="A905" s="4"/>
      <c r="B905" s="8" t="str">
        <f t="shared" si="70"/>
        <v/>
      </c>
      <c r="D905" s="6" t="str">
        <f t="shared" si="71"/>
        <v/>
      </c>
      <c r="E905" s="6" t="str">
        <f t="shared" si="72"/>
        <v/>
      </c>
      <c r="F905" s="6" t="str">
        <f t="shared" si="73"/>
        <v/>
      </c>
      <c r="G905" s="4"/>
      <c r="H905" s="4"/>
      <c r="I905" s="4"/>
      <c r="J905" s="4"/>
      <c r="K905" s="4"/>
      <c r="L905" s="4"/>
      <c r="M905" s="4"/>
      <c r="N905" s="4"/>
      <c r="O905" s="4"/>
      <c r="P905" s="4"/>
      <c r="Q905" s="4"/>
      <c r="R905" s="14"/>
      <c r="S905" s="14"/>
      <c r="T905" s="14"/>
      <c r="U905" s="14"/>
      <c r="V905" s="14"/>
      <c r="W905" s="14"/>
      <c r="X905" s="1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G905" s="4"/>
      <c r="BH905" s="4"/>
    </row>
    <row r="906" spans="1:60" x14ac:dyDescent="0.35">
      <c r="A906" s="4"/>
      <c r="B906" s="8" t="str">
        <f t="shared" si="70"/>
        <v/>
      </c>
      <c r="D906" s="6" t="str">
        <f t="shared" si="71"/>
        <v/>
      </c>
      <c r="E906" s="6" t="str">
        <f t="shared" si="72"/>
        <v/>
      </c>
      <c r="F906" s="6" t="str">
        <f t="shared" si="73"/>
        <v/>
      </c>
      <c r="G906" s="4"/>
      <c r="H906" s="4"/>
      <c r="I906" s="4"/>
      <c r="J906" s="4"/>
      <c r="K906" s="4"/>
      <c r="L906" s="4"/>
      <c r="M906" s="4"/>
      <c r="N906" s="4"/>
      <c r="O906" s="4"/>
      <c r="P906" s="4"/>
      <c r="Q906" s="4"/>
      <c r="R906" s="14"/>
      <c r="S906" s="14"/>
      <c r="T906" s="14"/>
      <c r="U906" s="14"/>
      <c r="V906" s="14"/>
      <c r="W906" s="14"/>
      <c r="X906" s="1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G906" s="4"/>
      <c r="BH906" s="4"/>
    </row>
    <row r="907" spans="1:60" x14ac:dyDescent="0.35">
      <c r="A907" s="4"/>
      <c r="B907" s="8" t="str">
        <f t="shared" si="70"/>
        <v/>
      </c>
      <c r="D907" s="6" t="str">
        <f t="shared" si="71"/>
        <v/>
      </c>
      <c r="E907" s="6" t="str">
        <f t="shared" si="72"/>
        <v/>
      </c>
      <c r="F907" s="6" t="str">
        <f t="shared" si="73"/>
        <v/>
      </c>
      <c r="G907" s="4"/>
      <c r="H907" s="4"/>
      <c r="I907" s="4"/>
      <c r="J907" s="4"/>
      <c r="K907" s="4"/>
      <c r="L907" s="4"/>
      <c r="M907" s="4"/>
      <c r="N907" s="4"/>
      <c r="O907" s="4"/>
      <c r="P907" s="4"/>
      <c r="Q907" s="4"/>
      <c r="R907" s="14"/>
      <c r="S907" s="14"/>
      <c r="T907" s="14"/>
      <c r="U907" s="14"/>
      <c r="V907" s="14"/>
      <c r="W907" s="14"/>
      <c r="X907" s="1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G907" s="4"/>
      <c r="BH907" s="4"/>
    </row>
    <row r="908" spans="1:60" x14ac:dyDescent="0.35">
      <c r="A908" s="4"/>
      <c r="B908" s="8" t="str">
        <f t="shared" si="70"/>
        <v/>
      </c>
      <c r="D908" s="6" t="str">
        <f t="shared" si="71"/>
        <v/>
      </c>
      <c r="E908" s="6" t="str">
        <f t="shared" si="72"/>
        <v/>
      </c>
      <c r="F908" s="6" t="str">
        <f t="shared" si="73"/>
        <v/>
      </c>
      <c r="G908" s="4"/>
      <c r="H908" s="4"/>
      <c r="I908" s="4"/>
      <c r="J908" s="4"/>
      <c r="K908" s="4"/>
      <c r="L908" s="4"/>
      <c r="M908" s="4"/>
      <c r="N908" s="4"/>
      <c r="O908" s="4"/>
      <c r="P908" s="4"/>
      <c r="Q908" s="4"/>
      <c r="R908" s="14"/>
      <c r="S908" s="14"/>
      <c r="T908" s="14"/>
      <c r="U908" s="14"/>
      <c r="V908" s="14"/>
      <c r="W908" s="14"/>
      <c r="X908" s="1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G908" s="4"/>
      <c r="BH908" s="4"/>
    </row>
    <row r="909" spans="1:60" x14ac:dyDescent="0.35">
      <c r="A909" s="4"/>
      <c r="B909" s="8" t="str">
        <f t="shared" si="70"/>
        <v/>
      </c>
      <c r="D909" s="6" t="str">
        <f t="shared" si="71"/>
        <v/>
      </c>
      <c r="E909" s="6" t="str">
        <f t="shared" si="72"/>
        <v/>
      </c>
      <c r="F909" s="6" t="str">
        <f t="shared" si="73"/>
        <v/>
      </c>
      <c r="G909" s="4"/>
      <c r="H909" s="4"/>
      <c r="I909" s="4"/>
      <c r="J909" s="4"/>
      <c r="K909" s="4"/>
      <c r="L909" s="4"/>
      <c r="M909" s="4"/>
      <c r="N909" s="4"/>
      <c r="O909" s="4"/>
      <c r="P909" s="4"/>
      <c r="Q909" s="4"/>
      <c r="R909" s="14"/>
      <c r="S909" s="14"/>
      <c r="T909" s="14"/>
      <c r="U909" s="14"/>
      <c r="V909" s="14"/>
      <c r="W909" s="14"/>
      <c r="X909" s="1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G909" s="4"/>
      <c r="BH909" s="4"/>
    </row>
    <row r="910" spans="1:60" x14ac:dyDescent="0.35">
      <c r="A910" s="4"/>
      <c r="B910" s="8" t="str">
        <f t="shared" si="70"/>
        <v/>
      </c>
      <c r="D910" s="6" t="str">
        <f t="shared" si="71"/>
        <v/>
      </c>
      <c r="E910" s="6" t="str">
        <f t="shared" si="72"/>
        <v/>
      </c>
      <c r="F910" s="6" t="str">
        <f t="shared" si="73"/>
        <v/>
      </c>
      <c r="G910" s="4"/>
      <c r="H910" s="4"/>
      <c r="I910" s="4"/>
      <c r="J910" s="4"/>
      <c r="K910" s="4"/>
      <c r="L910" s="4"/>
      <c r="M910" s="4"/>
      <c r="N910" s="4"/>
      <c r="O910" s="4"/>
      <c r="P910" s="4"/>
      <c r="Q910" s="4"/>
      <c r="R910" s="14"/>
      <c r="S910" s="14"/>
      <c r="T910" s="14"/>
      <c r="U910" s="14"/>
      <c r="V910" s="14"/>
      <c r="W910" s="14"/>
      <c r="X910" s="1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G910" s="4"/>
      <c r="BH910" s="4"/>
    </row>
    <row r="911" spans="1:60" x14ac:dyDescent="0.35">
      <c r="A911" s="4"/>
      <c r="B911" s="8" t="str">
        <f t="shared" si="70"/>
        <v/>
      </c>
      <c r="D911" s="6" t="str">
        <f t="shared" si="71"/>
        <v/>
      </c>
      <c r="E911" s="6" t="str">
        <f t="shared" si="72"/>
        <v/>
      </c>
      <c r="F911" s="6" t="str">
        <f t="shared" si="73"/>
        <v/>
      </c>
      <c r="G911" s="4"/>
      <c r="H911" s="4"/>
      <c r="I911" s="4"/>
      <c r="J911" s="4"/>
      <c r="K911" s="4"/>
      <c r="L911" s="4"/>
      <c r="M911" s="4"/>
      <c r="N911" s="4"/>
      <c r="O911" s="4"/>
      <c r="P911" s="4"/>
      <c r="Q911" s="4"/>
      <c r="R911" s="14"/>
      <c r="S911" s="14"/>
      <c r="T911" s="14"/>
      <c r="U911" s="14"/>
      <c r="V911" s="14"/>
      <c r="W911" s="14"/>
      <c r="X911" s="1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G911" s="4"/>
      <c r="BH911" s="4"/>
    </row>
    <row r="912" spans="1:60" x14ac:dyDescent="0.35">
      <c r="A912" s="4"/>
      <c r="B912" s="8" t="str">
        <f t="shared" si="70"/>
        <v/>
      </c>
      <c r="D912" s="6" t="str">
        <f t="shared" si="71"/>
        <v/>
      </c>
      <c r="E912" s="6" t="str">
        <f t="shared" si="72"/>
        <v/>
      </c>
      <c r="F912" s="6" t="str">
        <f t="shared" si="73"/>
        <v/>
      </c>
      <c r="G912" s="4"/>
      <c r="H912" s="4"/>
      <c r="I912" s="4"/>
      <c r="J912" s="4"/>
      <c r="K912" s="4"/>
      <c r="L912" s="4"/>
      <c r="M912" s="4"/>
      <c r="N912" s="4"/>
      <c r="O912" s="4"/>
      <c r="P912" s="4"/>
      <c r="Q912" s="4"/>
      <c r="R912" s="14"/>
      <c r="S912" s="14"/>
      <c r="T912" s="14"/>
      <c r="U912" s="14"/>
      <c r="V912" s="14"/>
      <c r="W912" s="14"/>
      <c r="X912" s="1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G912" s="4"/>
      <c r="BH912" s="4"/>
    </row>
    <row r="913" spans="1:60" x14ac:dyDescent="0.35">
      <c r="A913" s="4"/>
      <c r="B913" s="8" t="str">
        <f t="shared" si="70"/>
        <v/>
      </c>
      <c r="D913" s="6" t="str">
        <f t="shared" si="71"/>
        <v/>
      </c>
      <c r="E913" s="6" t="str">
        <f t="shared" si="72"/>
        <v/>
      </c>
      <c r="F913" s="6" t="str">
        <f t="shared" si="73"/>
        <v/>
      </c>
      <c r="G913" s="4"/>
      <c r="H913" s="4"/>
      <c r="I913" s="4"/>
      <c r="J913" s="4"/>
      <c r="K913" s="4"/>
      <c r="L913" s="4"/>
      <c r="M913" s="4"/>
      <c r="N913" s="4"/>
      <c r="O913" s="4"/>
      <c r="P913" s="4"/>
      <c r="Q913" s="4"/>
      <c r="R913" s="14"/>
      <c r="S913" s="14"/>
      <c r="T913" s="14"/>
      <c r="U913" s="14"/>
      <c r="V913" s="14"/>
      <c r="W913" s="14"/>
      <c r="X913" s="1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G913" s="4"/>
      <c r="BH913" s="4"/>
    </row>
    <row r="914" spans="1:60" x14ac:dyDescent="0.35">
      <c r="A914" s="4"/>
      <c r="B914" s="8" t="str">
        <f t="shared" si="70"/>
        <v/>
      </c>
      <c r="D914" s="6" t="str">
        <f t="shared" si="71"/>
        <v/>
      </c>
      <c r="E914" s="6" t="str">
        <f t="shared" si="72"/>
        <v/>
      </c>
      <c r="F914" s="6" t="str">
        <f t="shared" si="73"/>
        <v/>
      </c>
      <c r="G914" s="4"/>
      <c r="H914" s="4"/>
      <c r="I914" s="4"/>
      <c r="J914" s="4"/>
      <c r="K914" s="4"/>
      <c r="L914" s="4"/>
      <c r="M914" s="4"/>
      <c r="N914" s="4"/>
      <c r="O914" s="4"/>
      <c r="P914" s="4"/>
      <c r="Q914" s="4"/>
      <c r="R914" s="14"/>
      <c r="S914" s="14"/>
      <c r="T914" s="14"/>
      <c r="U914" s="14"/>
      <c r="V914" s="14"/>
      <c r="W914" s="14"/>
      <c r="X914" s="1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G914" s="4"/>
      <c r="BH914" s="4"/>
    </row>
    <row r="915" spans="1:60" x14ac:dyDescent="0.35">
      <c r="A915" s="4"/>
      <c r="B915" s="8" t="str">
        <f t="shared" si="70"/>
        <v/>
      </c>
      <c r="D915" s="6" t="str">
        <f t="shared" si="71"/>
        <v/>
      </c>
      <c r="E915" s="6" t="str">
        <f t="shared" si="72"/>
        <v/>
      </c>
      <c r="F915" s="6" t="str">
        <f t="shared" si="73"/>
        <v/>
      </c>
      <c r="G915" s="4"/>
      <c r="H915" s="4"/>
      <c r="I915" s="4"/>
      <c r="J915" s="4"/>
      <c r="K915" s="4"/>
      <c r="L915" s="4"/>
      <c r="M915" s="4"/>
      <c r="N915" s="4"/>
      <c r="O915" s="4"/>
      <c r="P915" s="4"/>
      <c r="Q915" s="4"/>
      <c r="R915" s="14"/>
      <c r="S915" s="14"/>
      <c r="T915" s="14"/>
      <c r="U915" s="14"/>
      <c r="V915" s="14"/>
      <c r="W915" s="14"/>
      <c r="X915" s="1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G915" s="4"/>
      <c r="BH915" s="4"/>
    </row>
    <row r="916" spans="1:60" x14ac:dyDescent="0.35">
      <c r="A916" s="4"/>
      <c r="B916" s="8" t="str">
        <f t="shared" si="70"/>
        <v/>
      </c>
      <c r="D916" s="6" t="str">
        <f t="shared" si="71"/>
        <v/>
      </c>
      <c r="E916" s="6" t="str">
        <f t="shared" si="72"/>
        <v/>
      </c>
      <c r="F916" s="6" t="str">
        <f t="shared" si="73"/>
        <v/>
      </c>
      <c r="G916" s="4"/>
      <c r="H916" s="4"/>
      <c r="I916" s="4"/>
      <c r="J916" s="4"/>
      <c r="K916" s="4"/>
      <c r="L916" s="4"/>
      <c r="M916" s="4"/>
      <c r="N916" s="4"/>
      <c r="O916" s="4"/>
      <c r="P916" s="4"/>
      <c r="Q916" s="4"/>
      <c r="R916" s="14"/>
      <c r="S916" s="14"/>
      <c r="T916" s="14"/>
      <c r="U916" s="14"/>
      <c r="V916" s="14"/>
      <c r="W916" s="14"/>
      <c r="X916" s="1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G916" s="4"/>
      <c r="BH916" s="4"/>
    </row>
    <row r="917" spans="1:60" x14ac:dyDescent="0.35">
      <c r="A917" s="4"/>
      <c r="B917" s="8" t="str">
        <f t="shared" si="70"/>
        <v/>
      </c>
      <c r="D917" s="6" t="str">
        <f t="shared" si="71"/>
        <v/>
      </c>
      <c r="E917" s="6" t="str">
        <f t="shared" si="72"/>
        <v/>
      </c>
      <c r="F917" s="6" t="str">
        <f t="shared" si="73"/>
        <v/>
      </c>
      <c r="G917" s="4"/>
      <c r="H917" s="4"/>
      <c r="I917" s="4"/>
      <c r="J917" s="4"/>
      <c r="K917" s="4"/>
      <c r="L917" s="4"/>
      <c r="M917" s="4"/>
      <c r="N917" s="4"/>
      <c r="O917" s="4"/>
      <c r="P917" s="4"/>
      <c r="Q917" s="4"/>
      <c r="R917" s="14"/>
      <c r="S917" s="14"/>
      <c r="T917" s="14"/>
      <c r="U917" s="14"/>
      <c r="V917" s="14"/>
      <c r="W917" s="14"/>
      <c r="X917" s="1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G917" s="4"/>
      <c r="BH917" s="4"/>
    </row>
    <row r="918" spans="1:60" x14ac:dyDescent="0.35">
      <c r="A918" s="4"/>
      <c r="B918" s="8" t="str">
        <f t="shared" si="70"/>
        <v/>
      </c>
      <c r="D918" s="6" t="str">
        <f t="shared" si="71"/>
        <v/>
      </c>
      <c r="E918" s="6" t="str">
        <f t="shared" si="72"/>
        <v/>
      </c>
      <c r="F918" s="6" t="str">
        <f t="shared" si="73"/>
        <v/>
      </c>
      <c r="G918" s="4"/>
      <c r="H918" s="4"/>
      <c r="I918" s="4"/>
      <c r="J918" s="4"/>
      <c r="K918" s="4"/>
      <c r="L918" s="4"/>
      <c r="M918" s="4"/>
      <c r="N918" s="4"/>
      <c r="O918" s="4"/>
      <c r="P918" s="4"/>
      <c r="Q918" s="4"/>
      <c r="R918" s="14"/>
      <c r="S918" s="14"/>
      <c r="T918" s="14"/>
      <c r="U918" s="14"/>
      <c r="V918" s="14"/>
      <c r="W918" s="14"/>
      <c r="X918" s="1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G918" s="4"/>
      <c r="BH918" s="4"/>
    </row>
    <row r="919" spans="1:60" x14ac:dyDescent="0.35">
      <c r="A919" s="4"/>
      <c r="B919" s="8" t="str">
        <f t="shared" si="70"/>
        <v/>
      </c>
      <c r="D919" s="6" t="str">
        <f t="shared" si="71"/>
        <v/>
      </c>
      <c r="E919" s="6" t="str">
        <f t="shared" si="72"/>
        <v/>
      </c>
      <c r="F919" s="6" t="str">
        <f t="shared" si="73"/>
        <v/>
      </c>
      <c r="G919" s="4"/>
      <c r="H919" s="4"/>
      <c r="I919" s="4"/>
      <c r="J919" s="4"/>
      <c r="K919" s="4"/>
      <c r="L919" s="4"/>
      <c r="M919" s="4"/>
      <c r="N919" s="4"/>
      <c r="O919" s="4"/>
      <c r="P919" s="4"/>
      <c r="Q919" s="4"/>
      <c r="R919" s="14"/>
      <c r="S919" s="14"/>
      <c r="T919" s="14"/>
      <c r="U919" s="14"/>
      <c r="V919" s="14"/>
      <c r="W919" s="14"/>
      <c r="X919" s="1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G919" s="4"/>
      <c r="BH919" s="4"/>
    </row>
    <row r="920" spans="1:60" x14ac:dyDescent="0.35">
      <c r="A920" s="4"/>
      <c r="B920" s="8" t="str">
        <f t="shared" si="70"/>
        <v/>
      </c>
      <c r="D920" s="6" t="str">
        <f t="shared" si="71"/>
        <v/>
      </c>
      <c r="E920" s="6" t="str">
        <f t="shared" si="72"/>
        <v/>
      </c>
      <c r="F920" s="6" t="str">
        <f t="shared" si="73"/>
        <v/>
      </c>
      <c r="G920" s="4"/>
      <c r="H920" s="4"/>
      <c r="I920" s="4"/>
      <c r="J920" s="4"/>
      <c r="K920" s="4"/>
      <c r="L920" s="4"/>
      <c r="M920" s="4"/>
      <c r="N920" s="4"/>
      <c r="O920" s="4"/>
      <c r="P920" s="4"/>
      <c r="Q920" s="4"/>
      <c r="R920" s="14"/>
      <c r="S920" s="14"/>
      <c r="T920" s="14"/>
      <c r="U920" s="14"/>
      <c r="V920" s="14"/>
      <c r="W920" s="14"/>
      <c r="X920" s="1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G920" s="4"/>
      <c r="BH920" s="4"/>
    </row>
    <row r="921" spans="1:60" x14ac:dyDescent="0.35">
      <c r="A921" s="4"/>
      <c r="B921" s="8" t="str">
        <f t="shared" si="70"/>
        <v/>
      </c>
      <c r="D921" s="6" t="str">
        <f t="shared" si="71"/>
        <v/>
      </c>
      <c r="E921" s="6" t="str">
        <f t="shared" si="72"/>
        <v/>
      </c>
      <c r="F921" s="6" t="str">
        <f t="shared" si="73"/>
        <v/>
      </c>
      <c r="G921" s="4"/>
      <c r="H921" s="4"/>
      <c r="I921" s="4"/>
      <c r="J921" s="4"/>
      <c r="K921" s="4"/>
      <c r="L921" s="4"/>
      <c r="M921" s="4"/>
      <c r="N921" s="4"/>
      <c r="O921" s="4"/>
      <c r="P921" s="4"/>
      <c r="Q921" s="4"/>
      <c r="R921" s="14"/>
      <c r="S921" s="14"/>
      <c r="T921" s="14"/>
      <c r="U921" s="14"/>
      <c r="V921" s="14"/>
      <c r="W921" s="14"/>
      <c r="X921" s="1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G921" s="4"/>
      <c r="BH921" s="4"/>
    </row>
    <row r="922" spans="1:60" x14ac:dyDescent="0.35">
      <c r="A922" s="4"/>
      <c r="B922" s="8" t="str">
        <f t="shared" si="70"/>
        <v/>
      </c>
      <c r="D922" s="6" t="str">
        <f t="shared" si="71"/>
        <v/>
      </c>
      <c r="E922" s="6" t="str">
        <f t="shared" si="72"/>
        <v/>
      </c>
      <c r="F922" s="6" t="str">
        <f t="shared" si="73"/>
        <v/>
      </c>
      <c r="G922" s="4"/>
      <c r="H922" s="4"/>
      <c r="I922" s="4"/>
      <c r="J922" s="4"/>
      <c r="K922" s="4"/>
      <c r="L922" s="4"/>
      <c r="M922" s="4"/>
      <c r="N922" s="4"/>
      <c r="O922" s="4"/>
      <c r="P922" s="4"/>
      <c r="Q922" s="4"/>
      <c r="R922" s="14"/>
      <c r="S922" s="14"/>
      <c r="T922" s="14"/>
      <c r="U922" s="14"/>
      <c r="V922" s="14"/>
      <c r="W922" s="14"/>
      <c r="X922" s="1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G922" s="4"/>
      <c r="BH922" s="4"/>
    </row>
    <row r="923" spans="1:60" x14ac:dyDescent="0.35">
      <c r="A923" s="4"/>
      <c r="B923" s="8" t="str">
        <f t="shared" si="70"/>
        <v/>
      </c>
      <c r="D923" s="6" t="str">
        <f t="shared" si="71"/>
        <v/>
      </c>
      <c r="E923" s="6" t="str">
        <f t="shared" si="72"/>
        <v/>
      </c>
      <c r="F923" s="6" t="str">
        <f t="shared" si="73"/>
        <v/>
      </c>
      <c r="G923" s="4"/>
      <c r="H923" s="4"/>
      <c r="I923" s="4"/>
      <c r="J923" s="4"/>
      <c r="K923" s="4"/>
      <c r="L923" s="4"/>
      <c r="M923" s="4"/>
      <c r="N923" s="4"/>
      <c r="O923" s="4"/>
      <c r="P923" s="4"/>
      <c r="Q923" s="4"/>
      <c r="R923" s="14"/>
      <c r="S923" s="14"/>
      <c r="T923" s="14"/>
      <c r="U923" s="14"/>
      <c r="V923" s="14"/>
      <c r="W923" s="14"/>
      <c r="X923" s="1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G923" s="4"/>
      <c r="BH923" s="4"/>
    </row>
    <row r="924" spans="1:60" x14ac:dyDescent="0.35">
      <c r="A924" s="4"/>
      <c r="B924" s="8" t="str">
        <f t="shared" si="70"/>
        <v/>
      </c>
      <c r="D924" s="6" t="str">
        <f t="shared" si="71"/>
        <v/>
      </c>
      <c r="E924" s="6" t="str">
        <f t="shared" si="72"/>
        <v/>
      </c>
      <c r="F924" s="6" t="str">
        <f t="shared" si="73"/>
        <v/>
      </c>
      <c r="G924" s="4"/>
      <c r="H924" s="4"/>
      <c r="I924" s="4"/>
      <c r="J924" s="4"/>
      <c r="K924" s="4"/>
      <c r="L924" s="4"/>
      <c r="M924" s="4"/>
      <c r="N924" s="4"/>
      <c r="O924" s="4"/>
      <c r="P924" s="4"/>
      <c r="Q924" s="4"/>
      <c r="R924" s="14"/>
      <c r="S924" s="14"/>
      <c r="T924" s="14"/>
      <c r="U924" s="14"/>
      <c r="V924" s="14"/>
      <c r="W924" s="14"/>
      <c r="X924" s="1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G924" s="4"/>
      <c r="BH924" s="4"/>
    </row>
    <row r="925" spans="1:60" x14ac:dyDescent="0.35">
      <c r="A925" s="4"/>
      <c r="B925" s="8" t="str">
        <f t="shared" si="70"/>
        <v/>
      </c>
      <c r="D925" s="6" t="str">
        <f t="shared" si="71"/>
        <v/>
      </c>
      <c r="E925" s="6" t="str">
        <f t="shared" si="72"/>
        <v/>
      </c>
      <c r="F925" s="6" t="str">
        <f t="shared" si="73"/>
        <v/>
      </c>
      <c r="G925" s="4"/>
      <c r="H925" s="4"/>
      <c r="I925" s="4"/>
      <c r="J925" s="4"/>
      <c r="K925" s="4"/>
      <c r="L925" s="4"/>
      <c r="M925" s="4"/>
      <c r="N925" s="4"/>
      <c r="O925" s="4"/>
      <c r="P925" s="4"/>
      <c r="Q925" s="4"/>
      <c r="R925" s="14"/>
      <c r="S925" s="14"/>
      <c r="T925" s="14"/>
      <c r="U925" s="14"/>
      <c r="V925" s="14"/>
      <c r="W925" s="14"/>
      <c r="X925" s="1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G925" s="4"/>
      <c r="BH925" s="4"/>
    </row>
    <row r="926" spans="1:60" x14ac:dyDescent="0.35">
      <c r="A926" s="4"/>
      <c r="B926" s="8" t="str">
        <f t="shared" si="70"/>
        <v/>
      </c>
      <c r="D926" s="6" t="str">
        <f t="shared" si="71"/>
        <v/>
      </c>
      <c r="E926" s="6" t="str">
        <f t="shared" si="72"/>
        <v/>
      </c>
      <c r="F926" s="6" t="str">
        <f t="shared" si="73"/>
        <v/>
      </c>
      <c r="G926" s="4"/>
      <c r="H926" s="4"/>
      <c r="I926" s="4"/>
      <c r="J926" s="4"/>
      <c r="K926" s="4"/>
      <c r="L926" s="4"/>
      <c r="M926" s="4"/>
      <c r="N926" s="4"/>
      <c r="O926" s="4"/>
      <c r="P926" s="4"/>
      <c r="Q926" s="4"/>
      <c r="R926" s="14"/>
      <c r="S926" s="14"/>
      <c r="T926" s="14"/>
      <c r="U926" s="14"/>
      <c r="V926" s="14"/>
      <c r="W926" s="14"/>
      <c r="X926" s="1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G926" s="4"/>
      <c r="BH926" s="4"/>
    </row>
    <row r="927" spans="1:60" x14ac:dyDescent="0.35">
      <c r="A927" s="4"/>
      <c r="B927" s="8" t="str">
        <f t="shared" si="70"/>
        <v/>
      </c>
      <c r="D927" s="6" t="str">
        <f t="shared" si="71"/>
        <v/>
      </c>
      <c r="E927" s="6" t="str">
        <f t="shared" si="72"/>
        <v/>
      </c>
      <c r="F927" s="6" t="str">
        <f t="shared" si="73"/>
        <v/>
      </c>
      <c r="G927" s="4"/>
      <c r="H927" s="4"/>
      <c r="I927" s="4"/>
      <c r="J927" s="4"/>
      <c r="K927" s="4"/>
      <c r="L927" s="4"/>
      <c r="M927" s="4"/>
      <c r="N927" s="4"/>
      <c r="O927" s="4"/>
      <c r="P927" s="4"/>
      <c r="Q927" s="4"/>
      <c r="R927" s="14"/>
      <c r="S927" s="14"/>
      <c r="T927" s="14"/>
      <c r="U927" s="14"/>
      <c r="V927" s="14"/>
      <c r="W927" s="14"/>
      <c r="X927" s="1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G927" s="4"/>
      <c r="BH927" s="4"/>
    </row>
    <row r="928" spans="1:60" x14ac:dyDescent="0.35">
      <c r="A928" s="4"/>
      <c r="B928" s="8" t="str">
        <f t="shared" si="70"/>
        <v/>
      </c>
      <c r="D928" s="6" t="str">
        <f t="shared" si="71"/>
        <v/>
      </c>
      <c r="E928" s="6" t="str">
        <f t="shared" si="72"/>
        <v/>
      </c>
      <c r="F928" s="6" t="str">
        <f t="shared" si="73"/>
        <v/>
      </c>
      <c r="G928" s="4"/>
      <c r="H928" s="4"/>
      <c r="I928" s="4"/>
      <c r="J928" s="4"/>
      <c r="K928" s="4"/>
      <c r="L928" s="4"/>
      <c r="M928" s="4"/>
      <c r="N928" s="4"/>
      <c r="O928" s="4"/>
      <c r="P928" s="4"/>
      <c r="Q928" s="4"/>
      <c r="R928" s="14"/>
      <c r="S928" s="14"/>
      <c r="T928" s="14"/>
      <c r="U928" s="14"/>
      <c r="V928" s="14"/>
      <c r="W928" s="14"/>
      <c r="X928" s="1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G928" s="4"/>
      <c r="BH928" s="4"/>
    </row>
    <row r="929" spans="1:60" x14ac:dyDescent="0.35">
      <c r="A929" s="4"/>
      <c r="B929" s="8" t="str">
        <f t="shared" si="70"/>
        <v/>
      </c>
      <c r="D929" s="6" t="str">
        <f t="shared" si="71"/>
        <v/>
      </c>
      <c r="E929" s="6" t="str">
        <f t="shared" si="72"/>
        <v/>
      </c>
      <c r="F929" s="6" t="str">
        <f t="shared" si="73"/>
        <v/>
      </c>
      <c r="G929" s="4"/>
      <c r="H929" s="4"/>
      <c r="I929" s="4"/>
      <c r="J929" s="4"/>
      <c r="K929" s="4"/>
      <c r="L929" s="4"/>
      <c r="M929" s="4"/>
      <c r="N929" s="4"/>
      <c r="O929" s="4"/>
      <c r="P929" s="4"/>
      <c r="Q929" s="4"/>
      <c r="R929" s="14"/>
      <c r="S929" s="14"/>
      <c r="T929" s="14"/>
      <c r="U929" s="14"/>
      <c r="V929" s="14"/>
      <c r="W929" s="14"/>
      <c r="X929" s="1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G929" s="4"/>
      <c r="BH929" s="4"/>
    </row>
    <row r="930" spans="1:60" x14ac:dyDescent="0.35">
      <c r="A930" s="4"/>
      <c r="B930" s="8" t="str">
        <f t="shared" si="70"/>
        <v/>
      </c>
      <c r="D930" s="6" t="str">
        <f t="shared" si="71"/>
        <v/>
      </c>
      <c r="E930" s="6" t="str">
        <f t="shared" si="72"/>
        <v/>
      </c>
      <c r="F930" s="6" t="str">
        <f t="shared" si="73"/>
        <v/>
      </c>
      <c r="G930" s="4"/>
      <c r="H930" s="4"/>
      <c r="I930" s="4"/>
      <c r="J930" s="4"/>
      <c r="K930" s="4"/>
      <c r="L930" s="4"/>
      <c r="M930" s="4"/>
      <c r="N930" s="4"/>
      <c r="O930" s="4"/>
      <c r="P930" s="4"/>
      <c r="Q930" s="4"/>
      <c r="R930" s="14"/>
      <c r="S930" s="14"/>
      <c r="T930" s="14"/>
      <c r="U930" s="14"/>
      <c r="V930" s="14"/>
      <c r="W930" s="14"/>
      <c r="X930" s="1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G930" s="4"/>
      <c r="BH930" s="4"/>
    </row>
    <row r="931" spans="1:60" x14ac:dyDescent="0.35">
      <c r="A931" s="4"/>
      <c r="B931" s="8" t="str">
        <f t="shared" si="70"/>
        <v/>
      </c>
      <c r="D931" s="6" t="str">
        <f t="shared" si="71"/>
        <v/>
      </c>
      <c r="E931" s="6" t="str">
        <f t="shared" si="72"/>
        <v/>
      </c>
      <c r="F931" s="6" t="str">
        <f t="shared" si="73"/>
        <v/>
      </c>
      <c r="G931" s="4"/>
      <c r="H931" s="4"/>
      <c r="I931" s="4"/>
      <c r="J931" s="4"/>
      <c r="K931" s="4"/>
      <c r="L931" s="4"/>
      <c r="M931" s="4"/>
      <c r="N931" s="4"/>
      <c r="O931" s="4"/>
      <c r="P931" s="4"/>
      <c r="Q931" s="4"/>
      <c r="R931" s="14"/>
      <c r="S931" s="14"/>
      <c r="T931" s="14"/>
      <c r="U931" s="14"/>
      <c r="V931" s="14"/>
      <c r="W931" s="14"/>
      <c r="X931" s="1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G931" s="4"/>
      <c r="BH931" s="4"/>
    </row>
    <row r="932" spans="1:60" x14ac:dyDescent="0.35">
      <c r="A932" s="4"/>
      <c r="B932" s="8" t="str">
        <f t="shared" si="70"/>
        <v/>
      </c>
      <c r="D932" s="6" t="str">
        <f t="shared" si="71"/>
        <v/>
      </c>
      <c r="E932" s="6" t="str">
        <f t="shared" si="72"/>
        <v/>
      </c>
      <c r="F932" s="6" t="str">
        <f t="shared" si="73"/>
        <v/>
      </c>
      <c r="G932" s="4"/>
      <c r="H932" s="4"/>
      <c r="I932" s="4"/>
      <c r="J932" s="4"/>
      <c r="K932" s="4"/>
      <c r="L932" s="4"/>
      <c r="M932" s="4"/>
      <c r="N932" s="4"/>
      <c r="O932" s="4"/>
      <c r="P932" s="4"/>
      <c r="Q932" s="4"/>
      <c r="R932" s="14"/>
      <c r="S932" s="14"/>
      <c r="T932" s="14"/>
      <c r="U932" s="14"/>
      <c r="V932" s="14"/>
      <c r="W932" s="14"/>
      <c r="X932" s="1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G932" s="4"/>
      <c r="BH932" s="4"/>
    </row>
    <row r="933" spans="1:60" x14ac:dyDescent="0.35">
      <c r="A933" s="4"/>
      <c r="B933" s="8" t="str">
        <f t="shared" si="70"/>
        <v/>
      </c>
      <c r="D933" s="6" t="str">
        <f t="shared" si="71"/>
        <v/>
      </c>
      <c r="E933" s="6" t="str">
        <f t="shared" si="72"/>
        <v/>
      </c>
      <c r="F933" s="6" t="str">
        <f t="shared" si="73"/>
        <v/>
      </c>
      <c r="G933" s="4"/>
      <c r="H933" s="4"/>
      <c r="I933" s="4"/>
      <c r="J933" s="4"/>
      <c r="K933" s="4"/>
      <c r="L933" s="4"/>
      <c r="M933" s="4"/>
      <c r="N933" s="4"/>
      <c r="O933" s="4"/>
      <c r="P933" s="4"/>
      <c r="Q933" s="4"/>
      <c r="R933" s="14"/>
      <c r="S933" s="14"/>
      <c r="T933" s="14"/>
      <c r="U933" s="14"/>
      <c r="V933" s="14"/>
      <c r="W933" s="14"/>
      <c r="X933" s="1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G933" s="4"/>
      <c r="BH933" s="4"/>
    </row>
    <row r="934" spans="1:60" x14ac:dyDescent="0.35">
      <c r="A934" s="4"/>
      <c r="B934" s="8" t="str">
        <f t="shared" si="70"/>
        <v/>
      </c>
      <c r="D934" s="6" t="str">
        <f t="shared" si="71"/>
        <v/>
      </c>
      <c r="E934" s="6" t="str">
        <f t="shared" si="72"/>
        <v/>
      </c>
      <c r="F934" s="6" t="str">
        <f t="shared" si="73"/>
        <v/>
      </c>
      <c r="G934" s="4"/>
      <c r="H934" s="4"/>
      <c r="I934" s="4"/>
      <c r="J934" s="4"/>
      <c r="K934" s="4"/>
      <c r="L934" s="4"/>
      <c r="M934" s="4"/>
      <c r="N934" s="4"/>
      <c r="O934" s="4"/>
      <c r="P934" s="4"/>
      <c r="Q934" s="4"/>
      <c r="R934" s="14"/>
      <c r="S934" s="14"/>
      <c r="T934" s="14"/>
      <c r="U934" s="14"/>
      <c r="V934" s="14"/>
      <c r="W934" s="14"/>
      <c r="X934" s="1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G934" s="4"/>
      <c r="BH934" s="4"/>
    </row>
    <row r="935" spans="1:60" x14ac:dyDescent="0.35">
      <c r="A935" s="4"/>
      <c r="B935" s="8" t="str">
        <f t="shared" si="70"/>
        <v/>
      </c>
      <c r="D935" s="6" t="str">
        <f t="shared" si="71"/>
        <v/>
      </c>
      <c r="E935" s="6" t="str">
        <f t="shared" si="72"/>
        <v/>
      </c>
      <c r="F935" s="6" t="str">
        <f t="shared" si="73"/>
        <v/>
      </c>
      <c r="G935" s="4"/>
      <c r="H935" s="4"/>
      <c r="I935" s="4"/>
      <c r="J935" s="4"/>
      <c r="K935" s="4"/>
      <c r="L935" s="4"/>
      <c r="M935" s="4"/>
      <c r="N935" s="4"/>
      <c r="O935" s="4"/>
      <c r="P935" s="4"/>
      <c r="Q935" s="4"/>
      <c r="R935" s="14"/>
      <c r="S935" s="14"/>
      <c r="T935" s="14"/>
      <c r="U935" s="14"/>
      <c r="V935" s="14"/>
      <c r="W935" s="14"/>
      <c r="X935" s="1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G935" s="4"/>
      <c r="BH935" s="4"/>
    </row>
    <row r="936" spans="1:60" x14ac:dyDescent="0.35">
      <c r="A936" s="4"/>
      <c r="B936" s="8" t="str">
        <f t="shared" si="70"/>
        <v/>
      </c>
      <c r="D936" s="6" t="str">
        <f t="shared" si="71"/>
        <v/>
      </c>
      <c r="E936" s="6" t="str">
        <f t="shared" si="72"/>
        <v/>
      </c>
      <c r="F936" s="6" t="str">
        <f t="shared" si="73"/>
        <v/>
      </c>
      <c r="G936" s="4"/>
      <c r="H936" s="4"/>
      <c r="I936" s="4"/>
      <c r="J936" s="4"/>
      <c r="K936" s="4"/>
      <c r="L936" s="4"/>
      <c r="M936" s="4"/>
      <c r="N936" s="4"/>
      <c r="O936" s="4"/>
      <c r="P936" s="4"/>
      <c r="Q936" s="4"/>
      <c r="R936" s="14"/>
      <c r="S936" s="14"/>
      <c r="T936" s="14"/>
      <c r="U936" s="14"/>
      <c r="V936" s="14"/>
      <c r="W936" s="14"/>
      <c r="X936" s="1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G936" s="4"/>
      <c r="BH936" s="4"/>
    </row>
    <row r="937" spans="1:60" x14ac:dyDescent="0.35">
      <c r="A937" s="4"/>
      <c r="B937" s="8" t="str">
        <f t="shared" si="70"/>
        <v/>
      </c>
      <c r="D937" s="6" t="str">
        <f t="shared" si="71"/>
        <v/>
      </c>
      <c r="E937" s="6" t="str">
        <f t="shared" si="72"/>
        <v/>
      </c>
      <c r="F937" s="6" t="str">
        <f t="shared" si="73"/>
        <v/>
      </c>
      <c r="G937" s="4"/>
      <c r="H937" s="4"/>
      <c r="I937" s="4"/>
      <c r="J937" s="4"/>
      <c r="K937" s="4"/>
      <c r="L937" s="4"/>
      <c r="M937" s="4"/>
      <c r="N937" s="4"/>
      <c r="O937" s="4"/>
      <c r="P937" s="4"/>
      <c r="Q937" s="4"/>
      <c r="R937" s="14"/>
      <c r="S937" s="14"/>
      <c r="T937" s="14"/>
      <c r="U937" s="14"/>
      <c r="V937" s="14"/>
      <c r="W937" s="14"/>
      <c r="X937" s="1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G937" s="4"/>
      <c r="BH937" s="4"/>
    </row>
    <row r="938" spans="1:60" x14ac:dyDescent="0.35">
      <c r="A938" s="4"/>
      <c r="B938" s="8" t="str">
        <f t="shared" si="70"/>
        <v/>
      </c>
      <c r="D938" s="6" t="str">
        <f t="shared" si="71"/>
        <v/>
      </c>
      <c r="E938" s="6" t="str">
        <f t="shared" si="72"/>
        <v/>
      </c>
      <c r="F938" s="6" t="str">
        <f t="shared" si="73"/>
        <v/>
      </c>
      <c r="G938" s="4"/>
      <c r="H938" s="4"/>
      <c r="I938" s="4"/>
      <c r="J938" s="4"/>
      <c r="K938" s="4"/>
      <c r="L938" s="4"/>
      <c r="M938" s="4"/>
      <c r="N938" s="4"/>
      <c r="O938" s="4"/>
      <c r="P938" s="4"/>
      <c r="Q938" s="4"/>
      <c r="R938" s="14"/>
      <c r="S938" s="14"/>
      <c r="T938" s="14"/>
      <c r="U938" s="14"/>
      <c r="V938" s="14"/>
      <c r="W938" s="14"/>
      <c r="X938" s="1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G938" s="4"/>
      <c r="BH938" s="4"/>
    </row>
    <row r="939" spans="1:60" x14ac:dyDescent="0.35">
      <c r="A939" s="4"/>
      <c r="B939" s="8" t="str">
        <f t="shared" si="70"/>
        <v/>
      </c>
      <c r="D939" s="6" t="str">
        <f t="shared" si="71"/>
        <v/>
      </c>
      <c r="E939" s="6" t="str">
        <f t="shared" si="72"/>
        <v/>
      </c>
      <c r="F939" s="6" t="str">
        <f t="shared" si="73"/>
        <v/>
      </c>
      <c r="G939" s="4"/>
      <c r="H939" s="4"/>
      <c r="I939" s="4"/>
      <c r="J939" s="4"/>
      <c r="K939" s="4"/>
      <c r="L939" s="4"/>
      <c r="M939" s="4"/>
      <c r="N939" s="4"/>
      <c r="O939" s="4"/>
      <c r="P939" s="4"/>
      <c r="Q939" s="4"/>
      <c r="R939" s="14"/>
      <c r="S939" s="14"/>
      <c r="T939" s="14"/>
      <c r="U939" s="14"/>
      <c r="V939" s="14"/>
      <c r="W939" s="14"/>
      <c r="X939" s="1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G939" s="4"/>
      <c r="BH939" s="4"/>
    </row>
    <row r="940" spans="1:60" x14ac:dyDescent="0.35">
      <c r="A940" s="4"/>
      <c r="B940" s="8" t="str">
        <f t="shared" si="70"/>
        <v/>
      </c>
      <c r="D940" s="6" t="str">
        <f t="shared" si="71"/>
        <v/>
      </c>
      <c r="E940" s="6" t="str">
        <f t="shared" si="72"/>
        <v/>
      </c>
      <c r="F940" s="6" t="str">
        <f t="shared" si="73"/>
        <v/>
      </c>
      <c r="G940" s="4"/>
      <c r="H940" s="4"/>
      <c r="I940" s="4"/>
      <c r="J940" s="4"/>
      <c r="K940" s="4"/>
      <c r="L940" s="4"/>
      <c r="M940" s="4"/>
      <c r="N940" s="4"/>
      <c r="O940" s="4"/>
      <c r="P940" s="4"/>
      <c r="Q940" s="4"/>
      <c r="R940" s="14"/>
      <c r="S940" s="14"/>
      <c r="T940" s="14"/>
      <c r="U940" s="14"/>
      <c r="V940" s="14"/>
      <c r="W940" s="14"/>
      <c r="X940" s="1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G940" s="4"/>
      <c r="BH940" s="4"/>
    </row>
    <row r="941" spans="1:60" x14ac:dyDescent="0.35">
      <c r="A941" s="4"/>
      <c r="B941" s="8" t="str">
        <f t="shared" si="70"/>
        <v/>
      </c>
      <c r="D941" s="6" t="str">
        <f t="shared" si="71"/>
        <v/>
      </c>
      <c r="E941" s="6" t="str">
        <f t="shared" si="72"/>
        <v/>
      </c>
      <c r="F941" s="6" t="str">
        <f t="shared" si="73"/>
        <v/>
      </c>
      <c r="G941" s="4"/>
      <c r="H941" s="4"/>
      <c r="I941" s="4"/>
      <c r="J941" s="4"/>
      <c r="K941" s="4"/>
      <c r="L941" s="4"/>
      <c r="M941" s="4"/>
      <c r="N941" s="4"/>
      <c r="O941" s="4"/>
      <c r="P941" s="4"/>
      <c r="Q941" s="4"/>
      <c r="R941" s="14"/>
      <c r="S941" s="14"/>
      <c r="T941" s="14"/>
      <c r="U941" s="14"/>
      <c r="V941" s="14"/>
      <c r="W941" s="14"/>
      <c r="X941" s="1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G941" s="4"/>
      <c r="BH941" s="4"/>
    </row>
    <row r="942" spans="1:60" x14ac:dyDescent="0.35">
      <c r="A942" s="4"/>
      <c r="B942" s="8" t="str">
        <f t="shared" si="70"/>
        <v/>
      </c>
      <c r="D942" s="6" t="str">
        <f t="shared" si="71"/>
        <v/>
      </c>
      <c r="E942" s="6" t="str">
        <f t="shared" si="72"/>
        <v/>
      </c>
      <c r="F942" s="6" t="str">
        <f t="shared" si="73"/>
        <v/>
      </c>
      <c r="G942" s="4"/>
      <c r="H942" s="4"/>
      <c r="I942" s="4"/>
      <c r="J942" s="4"/>
      <c r="K942" s="4"/>
      <c r="L942" s="4"/>
      <c r="M942" s="4"/>
      <c r="N942" s="4"/>
      <c r="O942" s="4"/>
      <c r="P942" s="4"/>
      <c r="Q942" s="4"/>
      <c r="R942" s="14"/>
      <c r="S942" s="14"/>
      <c r="T942" s="14"/>
      <c r="U942" s="14"/>
      <c r="V942" s="14"/>
      <c r="W942" s="14"/>
      <c r="X942" s="1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G942" s="4"/>
      <c r="BH942" s="4"/>
    </row>
    <row r="943" spans="1:60" x14ac:dyDescent="0.35">
      <c r="A943" s="4"/>
      <c r="B943" s="8" t="str">
        <f t="shared" si="70"/>
        <v/>
      </c>
      <c r="D943" s="6" t="str">
        <f t="shared" si="71"/>
        <v/>
      </c>
      <c r="E943" s="6" t="str">
        <f t="shared" si="72"/>
        <v/>
      </c>
      <c r="F943" s="6" t="str">
        <f t="shared" si="73"/>
        <v/>
      </c>
      <c r="G943" s="4"/>
      <c r="H943" s="4"/>
      <c r="I943" s="4"/>
      <c r="J943" s="4"/>
      <c r="K943" s="4"/>
      <c r="L943" s="4"/>
      <c r="M943" s="4"/>
      <c r="N943" s="4"/>
      <c r="O943" s="4"/>
      <c r="P943" s="4"/>
      <c r="Q943" s="4"/>
      <c r="R943" s="14"/>
      <c r="S943" s="14"/>
      <c r="T943" s="14"/>
      <c r="U943" s="14"/>
      <c r="V943" s="14"/>
      <c r="W943" s="14"/>
      <c r="X943" s="1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G943" s="4"/>
      <c r="BH943" s="4"/>
    </row>
    <row r="944" spans="1:60" x14ac:dyDescent="0.35">
      <c r="A944" s="4"/>
      <c r="B944" s="8" t="str">
        <f t="shared" si="70"/>
        <v/>
      </c>
      <c r="D944" s="6" t="str">
        <f t="shared" si="71"/>
        <v/>
      </c>
      <c r="E944" s="6" t="str">
        <f t="shared" si="72"/>
        <v/>
      </c>
      <c r="F944" s="6" t="str">
        <f t="shared" si="73"/>
        <v/>
      </c>
      <c r="G944" s="4"/>
      <c r="H944" s="4"/>
      <c r="I944" s="4"/>
      <c r="J944" s="4"/>
      <c r="K944" s="4"/>
      <c r="L944" s="4"/>
      <c r="M944" s="4"/>
      <c r="N944" s="4"/>
      <c r="O944" s="4"/>
      <c r="P944" s="4"/>
      <c r="Q944" s="4"/>
      <c r="R944" s="14"/>
      <c r="S944" s="14"/>
      <c r="T944" s="14"/>
      <c r="U944" s="14"/>
      <c r="V944" s="14"/>
      <c r="W944" s="14"/>
      <c r="X944" s="1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G944" s="4"/>
      <c r="BH944" s="4"/>
    </row>
    <row r="945" spans="1:60" x14ac:dyDescent="0.35">
      <c r="A945" s="4"/>
      <c r="B945" s="8" t="str">
        <f t="shared" si="70"/>
        <v/>
      </c>
      <c r="D945" s="6" t="str">
        <f t="shared" si="71"/>
        <v/>
      </c>
      <c r="E945" s="6" t="str">
        <f t="shared" si="72"/>
        <v/>
      </c>
      <c r="F945" s="6" t="str">
        <f t="shared" si="73"/>
        <v/>
      </c>
      <c r="G945" s="4"/>
      <c r="H945" s="4"/>
      <c r="I945" s="4"/>
      <c r="J945" s="4"/>
      <c r="K945" s="4"/>
      <c r="L945" s="4"/>
      <c r="M945" s="4"/>
      <c r="N945" s="4"/>
      <c r="O945" s="4"/>
      <c r="P945" s="4"/>
      <c r="Q945" s="4"/>
      <c r="R945" s="14"/>
      <c r="S945" s="14"/>
      <c r="T945" s="14"/>
      <c r="U945" s="14"/>
      <c r="V945" s="14"/>
      <c r="W945" s="14"/>
      <c r="X945" s="1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G945" s="4"/>
      <c r="BH945" s="4"/>
    </row>
    <row r="946" spans="1:60" x14ac:dyDescent="0.35">
      <c r="A946" s="4"/>
      <c r="B946" s="8" t="str">
        <f t="shared" si="70"/>
        <v/>
      </c>
      <c r="D946" s="6" t="str">
        <f t="shared" si="71"/>
        <v/>
      </c>
      <c r="E946" s="6" t="str">
        <f t="shared" si="72"/>
        <v/>
      </c>
      <c r="F946" s="6" t="str">
        <f t="shared" si="73"/>
        <v/>
      </c>
      <c r="G946" s="4"/>
      <c r="H946" s="4"/>
      <c r="I946" s="4"/>
      <c r="J946" s="4"/>
      <c r="K946" s="4"/>
      <c r="L946" s="4"/>
      <c r="M946" s="4"/>
      <c r="N946" s="4"/>
      <c r="O946" s="4"/>
      <c r="P946" s="4"/>
      <c r="Q946" s="4"/>
      <c r="R946" s="14"/>
      <c r="S946" s="14"/>
      <c r="T946" s="14"/>
      <c r="U946" s="14"/>
      <c r="V946" s="14"/>
      <c r="W946" s="14"/>
      <c r="X946" s="1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G946" s="4"/>
      <c r="BH946" s="4"/>
    </row>
    <row r="947" spans="1:60" x14ac:dyDescent="0.35">
      <c r="A947" s="4"/>
      <c r="B947" s="8" t="str">
        <f t="shared" si="70"/>
        <v/>
      </c>
      <c r="D947" s="6" t="str">
        <f t="shared" si="71"/>
        <v/>
      </c>
      <c r="E947" s="6" t="str">
        <f t="shared" si="72"/>
        <v/>
      </c>
      <c r="F947" s="6" t="str">
        <f t="shared" si="73"/>
        <v/>
      </c>
      <c r="G947" s="4"/>
      <c r="H947" s="4"/>
      <c r="I947" s="4"/>
      <c r="J947" s="4"/>
      <c r="K947" s="4"/>
      <c r="L947" s="4"/>
      <c r="M947" s="4"/>
      <c r="N947" s="4"/>
      <c r="O947" s="4"/>
      <c r="P947" s="4"/>
      <c r="Q947" s="4"/>
      <c r="R947" s="14"/>
      <c r="S947" s="14"/>
      <c r="T947" s="14"/>
      <c r="U947" s="14"/>
      <c r="V947" s="14"/>
      <c r="W947" s="14"/>
      <c r="X947" s="1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G947" s="4"/>
      <c r="BH947" s="4"/>
    </row>
    <row r="948" spans="1:60" x14ac:dyDescent="0.35">
      <c r="A948" s="4"/>
      <c r="B948" s="8" t="str">
        <f t="shared" si="70"/>
        <v/>
      </c>
      <c r="D948" s="6" t="str">
        <f t="shared" si="71"/>
        <v/>
      </c>
      <c r="E948" s="6" t="str">
        <f t="shared" si="72"/>
        <v/>
      </c>
      <c r="F948" s="6" t="str">
        <f t="shared" si="73"/>
        <v/>
      </c>
      <c r="G948" s="4"/>
      <c r="H948" s="4"/>
      <c r="I948" s="4"/>
      <c r="J948" s="4"/>
      <c r="K948" s="4"/>
      <c r="L948" s="4"/>
      <c r="M948" s="4"/>
      <c r="N948" s="4"/>
      <c r="O948" s="4"/>
      <c r="P948" s="4"/>
      <c r="Q948" s="4"/>
      <c r="R948" s="14"/>
      <c r="S948" s="14"/>
      <c r="T948" s="14"/>
      <c r="U948" s="14"/>
      <c r="V948" s="14"/>
      <c r="W948" s="14"/>
      <c r="X948" s="1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G948" s="4"/>
      <c r="BH948" s="4"/>
    </row>
    <row r="949" spans="1:60" x14ac:dyDescent="0.35">
      <c r="A949" s="4"/>
      <c r="B949" s="8" t="str">
        <f t="shared" si="70"/>
        <v/>
      </c>
      <c r="D949" s="6" t="str">
        <f t="shared" si="71"/>
        <v/>
      </c>
      <c r="E949" s="6" t="str">
        <f t="shared" si="72"/>
        <v/>
      </c>
      <c r="F949" s="6" t="str">
        <f t="shared" si="73"/>
        <v/>
      </c>
      <c r="G949" s="4"/>
      <c r="H949" s="4"/>
      <c r="I949" s="4"/>
      <c r="J949" s="4"/>
      <c r="K949" s="4"/>
      <c r="L949" s="4"/>
      <c r="M949" s="4"/>
      <c r="N949" s="4"/>
      <c r="O949" s="4"/>
      <c r="P949" s="4"/>
      <c r="Q949" s="4"/>
      <c r="R949" s="14"/>
      <c r="S949" s="14"/>
      <c r="T949" s="14"/>
      <c r="U949" s="14"/>
      <c r="V949" s="14"/>
      <c r="W949" s="14"/>
      <c r="X949" s="1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G949" s="4"/>
      <c r="BH949" s="4"/>
    </row>
    <row r="950" spans="1:60" x14ac:dyDescent="0.35">
      <c r="A950" s="4"/>
      <c r="B950" s="8" t="str">
        <f t="shared" si="70"/>
        <v/>
      </c>
      <c r="D950" s="6" t="str">
        <f t="shared" si="71"/>
        <v/>
      </c>
      <c r="E950" s="6" t="str">
        <f t="shared" si="72"/>
        <v/>
      </c>
      <c r="F950" s="6" t="str">
        <f t="shared" si="73"/>
        <v/>
      </c>
      <c r="G950" s="4"/>
      <c r="H950" s="4"/>
      <c r="I950" s="4"/>
      <c r="J950" s="4"/>
      <c r="K950" s="4"/>
      <c r="L950" s="4"/>
      <c r="M950" s="4"/>
      <c r="N950" s="4"/>
      <c r="O950" s="4"/>
      <c r="P950" s="4"/>
      <c r="Q950" s="4"/>
      <c r="R950" s="14"/>
      <c r="S950" s="14"/>
      <c r="T950" s="14"/>
      <c r="U950" s="14"/>
      <c r="V950" s="14"/>
      <c r="W950" s="14"/>
      <c r="X950" s="1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G950" s="4"/>
      <c r="BH950" s="4"/>
    </row>
    <row r="951" spans="1:60" x14ac:dyDescent="0.35">
      <c r="A951" s="4"/>
      <c r="B951" s="8" t="str">
        <f t="shared" si="70"/>
        <v/>
      </c>
      <c r="D951" s="6" t="str">
        <f t="shared" si="71"/>
        <v/>
      </c>
      <c r="E951" s="6" t="str">
        <f t="shared" si="72"/>
        <v/>
      </c>
      <c r="F951" s="6" t="str">
        <f t="shared" si="73"/>
        <v/>
      </c>
      <c r="G951" s="4"/>
      <c r="H951" s="4"/>
      <c r="I951" s="4"/>
      <c r="J951" s="4"/>
      <c r="K951" s="4"/>
      <c r="L951" s="4"/>
      <c r="M951" s="4"/>
      <c r="N951" s="4"/>
      <c r="O951" s="4"/>
      <c r="P951" s="4"/>
      <c r="Q951" s="4"/>
      <c r="R951" s="14"/>
      <c r="S951" s="14"/>
      <c r="T951" s="14"/>
      <c r="U951" s="14"/>
      <c r="V951" s="14"/>
      <c r="W951" s="14"/>
      <c r="X951" s="1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G951" s="4"/>
      <c r="BH951" s="4"/>
    </row>
    <row r="952" spans="1:60" x14ac:dyDescent="0.35">
      <c r="A952" s="4"/>
      <c r="B952" s="8" t="str">
        <f t="shared" si="70"/>
        <v/>
      </c>
      <c r="D952" s="6" t="str">
        <f t="shared" si="71"/>
        <v/>
      </c>
      <c r="E952" s="6" t="str">
        <f t="shared" si="72"/>
        <v/>
      </c>
      <c r="F952" s="6" t="str">
        <f t="shared" si="73"/>
        <v/>
      </c>
      <c r="G952" s="4"/>
      <c r="H952" s="4"/>
      <c r="I952" s="4"/>
      <c r="J952" s="4"/>
      <c r="K952" s="4"/>
      <c r="L952" s="4"/>
      <c r="M952" s="4"/>
      <c r="N952" s="4"/>
      <c r="O952" s="4"/>
      <c r="P952" s="4"/>
      <c r="Q952" s="4"/>
      <c r="R952" s="14"/>
      <c r="S952" s="14"/>
      <c r="T952" s="14"/>
      <c r="U952" s="14"/>
      <c r="V952" s="14"/>
      <c r="W952" s="14"/>
      <c r="X952" s="1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G952" s="4"/>
      <c r="BH952" s="4"/>
    </row>
    <row r="953" spans="1:60" x14ac:dyDescent="0.35">
      <c r="A953" s="4"/>
      <c r="B953" s="8" t="str">
        <f t="shared" si="70"/>
        <v/>
      </c>
      <c r="D953" s="6" t="str">
        <f t="shared" si="71"/>
        <v/>
      </c>
      <c r="E953" s="6" t="str">
        <f t="shared" si="72"/>
        <v/>
      </c>
      <c r="F953" s="6" t="str">
        <f t="shared" si="73"/>
        <v/>
      </c>
      <c r="G953" s="4"/>
      <c r="H953" s="4"/>
      <c r="I953" s="4"/>
      <c r="J953" s="4"/>
      <c r="K953" s="4"/>
      <c r="L953" s="4"/>
      <c r="M953" s="4"/>
      <c r="N953" s="4"/>
      <c r="O953" s="4"/>
      <c r="P953" s="4"/>
      <c r="Q953" s="4"/>
      <c r="R953" s="14"/>
      <c r="S953" s="14"/>
      <c r="T953" s="14"/>
      <c r="U953" s="14"/>
      <c r="V953" s="14"/>
      <c r="W953" s="14"/>
      <c r="X953" s="1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G953" s="4"/>
      <c r="BH953" s="4"/>
    </row>
    <row r="954" spans="1:60" x14ac:dyDescent="0.35">
      <c r="A954" s="4"/>
      <c r="B954" s="8" t="str">
        <f t="shared" si="70"/>
        <v/>
      </c>
      <c r="D954" s="6" t="str">
        <f t="shared" si="71"/>
        <v/>
      </c>
      <c r="E954" s="6" t="str">
        <f t="shared" si="72"/>
        <v/>
      </c>
      <c r="F954" s="6" t="str">
        <f t="shared" si="73"/>
        <v/>
      </c>
      <c r="G954" s="4"/>
      <c r="H954" s="4"/>
      <c r="I954" s="4"/>
      <c r="J954" s="4"/>
      <c r="K954" s="4"/>
      <c r="L954" s="4"/>
      <c r="M954" s="4"/>
      <c r="N954" s="4"/>
      <c r="O954" s="4"/>
      <c r="P954" s="4"/>
      <c r="Q954" s="4"/>
      <c r="R954" s="14"/>
      <c r="S954" s="14"/>
      <c r="T954" s="14"/>
      <c r="U954" s="14"/>
      <c r="V954" s="14"/>
      <c r="W954" s="14"/>
      <c r="X954" s="1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G954" s="4"/>
      <c r="BH954" s="4"/>
    </row>
    <row r="955" spans="1:60" x14ac:dyDescent="0.35">
      <c r="A955" s="4"/>
      <c r="B955" s="8" t="str">
        <f t="shared" si="70"/>
        <v/>
      </c>
      <c r="D955" s="6" t="str">
        <f t="shared" si="71"/>
        <v/>
      </c>
      <c r="E955" s="6" t="str">
        <f t="shared" si="72"/>
        <v/>
      </c>
      <c r="F955" s="6" t="str">
        <f t="shared" si="73"/>
        <v/>
      </c>
      <c r="G955" s="4"/>
      <c r="H955" s="4"/>
      <c r="I955" s="4"/>
      <c r="J955" s="4"/>
      <c r="K955" s="4"/>
      <c r="L955" s="4"/>
      <c r="M955" s="4"/>
      <c r="N955" s="4"/>
      <c r="O955" s="4"/>
      <c r="P955" s="4"/>
      <c r="Q955" s="4"/>
      <c r="R955" s="14"/>
      <c r="S955" s="14"/>
      <c r="T955" s="14"/>
      <c r="U955" s="14"/>
      <c r="V955" s="14"/>
      <c r="W955" s="14"/>
      <c r="X955" s="1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G955" s="4"/>
      <c r="BH955" s="4"/>
    </row>
    <row r="956" spans="1:60" x14ac:dyDescent="0.35">
      <c r="A956" s="4"/>
      <c r="B956" s="8" t="str">
        <f t="shared" si="70"/>
        <v/>
      </c>
      <c r="D956" s="6" t="str">
        <f t="shared" si="71"/>
        <v/>
      </c>
      <c r="E956" s="6" t="str">
        <f t="shared" si="72"/>
        <v/>
      </c>
      <c r="F956" s="6" t="str">
        <f t="shared" si="73"/>
        <v/>
      </c>
      <c r="G956" s="4"/>
      <c r="H956" s="4"/>
      <c r="I956" s="4"/>
      <c r="J956" s="4"/>
      <c r="K956" s="4"/>
      <c r="L956" s="4"/>
      <c r="M956" s="4"/>
      <c r="N956" s="4"/>
      <c r="O956" s="4"/>
      <c r="P956" s="4"/>
      <c r="Q956" s="4"/>
      <c r="R956" s="14"/>
      <c r="S956" s="14"/>
      <c r="T956" s="14"/>
      <c r="U956" s="14"/>
      <c r="V956" s="14"/>
      <c r="W956" s="14"/>
      <c r="X956" s="1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G956" s="4"/>
      <c r="BH956" s="4"/>
    </row>
    <row r="957" spans="1:60" x14ac:dyDescent="0.35">
      <c r="A957" s="4"/>
      <c r="B957" s="8" t="str">
        <f t="shared" ref="B957:B1020" si="74">RIGHT(A957,4)</f>
        <v/>
      </c>
      <c r="D957" s="6" t="str">
        <f t="shared" ref="D957:D1020" si="75">IF(C957="","",VLOOKUP(C957,district_region,2,FALSE))</f>
        <v/>
      </c>
      <c r="E957" s="6" t="str">
        <f t="shared" ref="E957:E1020" si="76">IF(C957="","",VLOOKUP(C957,liste_pop,3,FALSE))</f>
        <v/>
      </c>
      <c r="F957" s="6" t="str">
        <f t="shared" ref="F957:F1020" si="77">IF(D957="","",IF(D957="Dakar",4042240,VLOOKUP(D957,liste_pop,4,FALSE)))</f>
        <v/>
      </c>
      <c r="G957" s="4"/>
      <c r="H957" s="4"/>
      <c r="I957" s="4"/>
      <c r="J957" s="4"/>
      <c r="K957" s="4"/>
      <c r="L957" s="4"/>
      <c r="M957" s="4"/>
      <c r="N957" s="4"/>
      <c r="O957" s="4"/>
      <c r="P957" s="4"/>
      <c r="Q957" s="4"/>
      <c r="R957" s="14"/>
      <c r="S957" s="14"/>
      <c r="T957" s="14"/>
      <c r="U957" s="14"/>
      <c r="V957" s="14"/>
      <c r="W957" s="14"/>
      <c r="X957" s="1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G957" s="4"/>
      <c r="BH957" s="4"/>
    </row>
    <row r="958" spans="1:60" x14ac:dyDescent="0.35">
      <c r="A958" s="4"/>
      <c r="B958" s="8" t="str">
        <f t="shared" si="74"/>
        <v/>
      </c>
      <c r="D958" s="6" t="str">
        <f t="shared" si="75"/>
        <v/>
      </c>
      <c r="E958" s="6" t="str">
        <f t="shared" si="76"/>
        <v/>
      </c>
      <c r="F958" s="6" t="str">
        <f t="shared" si="77"/>
        <v/>
      </c>
      <c r="G958" s="4"/>
      <c r="H958" s="4"/>
      <c r="I958" s="4"/>
      <c r="J958" s="4"/>
      <c r="K958" s="4"/>
      <c r="L958" s="4"/>
      <c r="M958" s="4"/>
      <c r="N958" s="4"/>
      <c r="O958" s="4"/>
      <c r="P958" s="4"/>
      <c r="Q958" s="4"/>
      <c r="R958" s="14"/>
      <c r="S958" s="14"/>
      <c r="T958" s="14"/>
      <c r="U958" s="14"/>
      <c r="V958" s="14"/>
      <c r="W958" s="14"/>
      <c r="X958" s="1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G958" s="4"/>
      <c r="BH958" s="4"/>
    </row>
    <row r="959" spans="1:60" x14ac:dyDescent="0.35">
      <c r="A959" s="4"/>
      <c r="B959" s="8" t="str">
        <f t="shared" si="74"/>
        <v/>
      </c>
      <c r="D959" s="6" t="str">
        <f t="shared" si="75"/>
        <v/>
      </c>
      <c r="E959" s="6" t="str">
        <f t="shared" si="76"/>
        <v/>
      </c>
      <c r="F959" s="6" t="str">
        <f t="shared" si="77"/>
        <v/>
      </c>
      <c r="G959" s="4"/>
      <c r="H959" s="4"/>
      <c r="I959" s="4"/>
      <c r="J959" s="4"/>
      <c r="K959" s="4"/>
      <c r="L959" s="4"/>
      <c r="M959" s="4"/>
      <c r="N959" s="4"/>
      <c r="O959" s="4"/>
      <c r="P959" s="4"/>
      <c r="Q959" s="4"/>
      <c r="R959" s="14"/>
      <c r="S959" s="14"/>
      <c r="T959" s="14"/>
      <c r="U959" s="14"/>
      <c r="V959" s="14"/>
      <c r="W959" s="14"/>
      <c r="X959" s="1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G959" s="4"/>
      <c r="BH959" s="4"/>
    </row>
    <row r="960" spans="1:60" x14ac:dyDescent="0.35">
      <c r="A960" s="4"/>
      <c r="B960" s="8" t="str">
        <f t="shared" si="74"/>
        <v/>
      </c>
      <c r="D960" s="6" t="str">
        <f t="shared" si="75"/>
        <v/>
      </c>
      <c r="E960" s="6" t="str">
        <f t="shared" si="76"/>
        <v/>
      </c>
      <c r="F960" s="6" t="str">
        <f t="shared" si="77"/>
        <v/>
      </c>
      <c r="G960" s="4"/>
      <c r="H960" s="4"/>
      <c r="I960" s="4"/>
      <c r="J960" s="4"/>
      <c r="K960" s="4"/>
      <c r="L960" s="4"/>
      <c r="M960" s="4"/>
      <c r="N960" s="4"/>
      <c r="O960" s="4"/>
      <c r="P960" s="4"/>
      <c r="Q960" s="4"/>
      <c r="R960" s="14"/>
      <c r="S960" s="14"/>
      <c r="T960" s="14"/>
      <c r="U960" s="14"/>
      <c r="V960" s="14"/>
      <c r="W960" s="14"/>
      <c r="X960" s="1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G960" s="4"/>
      <c r="BH960" s="4"/>
    </row>
    <row r="961" spans="1:60" x14ac:dyDescent="0.35">
      <c r="A961" s="4"/>
      <c r="B961" s="8" t="str">
        <f t="shared" si="74"/>
        <v/>
      </c>
      <c r="D961" s="6" t="str">
        <f t="shared" si="75"/>
        <v/>
      </c>
      <c r="E961" s="6" t="str">
        <f t="shared" si="76"/>
        <v/>
      </c>
      <c r="F961" s="6" t="str">
        <f t="shared" si="77"/>
        <v/>
      </c>
      <c r="G961" s="4"/>
      <c r="H961" s="4"/>
      <c r="I961" s="4"/>
      <c r="J961" s="4"/>
      <c r="K961" s="4"/>
      <c r="L961" s="4"/>
      <c r="M961" s="4"/>
      <c r="N961" s="4"/>
      <c r="O961" s="4"/>
      <c r="P961" s="4"/>
      <c r="Q961" s="4"/>
      <c r="R961" s="14"/>
      <c r="S961" s="14"/>
      <c r="T961" s="14"/>
      <c r="U961" s="14"/>
      <c r="V961" s="14"/>
      <c r="W961" s="14"/>
      <c r="X961" s="1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G961" s="4"/>
      <c r="BH961" s="4"/>
    </row>
    <row r="962" spans="1:60" x14ac:dyDescent="0.35">
      <c r="A962" s="4"/>
      <c r="B962" s="8" t="str">
        <f t="shared" si="74"/>
        <v/>
      </c>
      <c r="D962" s="6" t="str">
        <f t="shared" si="75"/>
        <v/>
      </c>
      <c r="E962" s="6" t="str">
        <f t="shared" si="76"/>
        <v/>
      </c>
      <c r="F962" s="6" t="str">
        <f t="shared" si="77"/>
        <v/>
      </c>
      <c r="G962" s="4"/>
      <c r="H962" s="4"/>
      <c r="I962" s="4"/>
      <c r="J962" s="4"/>
      <c r="K962" s="4"/>
      <c r="L962" s="4"/>
      <c r="M962" s="4"/>
      <c r="N962" s="4"/>
      <c r="O962" s="4"/>
      <c r="P962" s="4"/>
      <c r="Q962" s="4"/>
      <c r="R962" s="14"/>
      <c r="S962" s="14"/>
      <c r="T962" s="14"/>
      <c r="U962" s="14"/>
      <c r="V962" s="14"/>
      <c r="W962" s="14"/>
      <c r="X962" s="1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G962" s="4"/>
      <c r="BH962" s="4"/>
    </row>
    <row r="963" spans="1:60" x14ac:dyDescent="0.35">
      <c r="A963" s="4"/>
      <c r="B963" s="8" t="str">
        <f t="shared" si="74"/>
        <v/>
      </c>
      <c r="D963" s="6" t="str">
        <f t="shared" si="75"/>
        <v/>
      </c>
      <c r="E963" s="6" t="str">
        <f t="shared" si="76"/>
        <v/>
      </c>
      <c r="F963" s="6" t="str">
        <f t="shared" si="77"/>
        <v/>
      </c>
      <c r="G963" s="4"/>
      <c r="H963" s="4"/>
      <c r="I963" s="4"/>
      <c r="J963" s="4"/>
      <c r="K963" s="4"/>
      <c r="L963" s="4"/>
      <c r="M963" s="4"/>
      <c r="N963" s="4"/>
      <c r="O963" s="4"/>
      <c r="P963" s="4"/>
      <c r="Q963" s="4"/>
      <c r="R963" s="14"/>
      <c r="S963" s="14"/>
      <c r="T963" s="14"/>
      <c r="U963" s="14"/>
      <c r="V963" s="14"/>
      <c r="W963" s="14"/>
      <c r="X963" s="1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G963" s="4"/>
      <c r="BH963" s="4"/>
    </row>
    <row r="964" spans="1:60" x14ac:dyDescent="0.35">
      <c r="A964" s="4"/>
      <c r="B964" s="8" t="str">
        <f t="shared" si="74"/>
        <v/>
      </c>
      <c r="D964" s="6" t="str">
        <f t="shared" si="75"/>
        <v/>
      </c>
      <c r="E964" s="6" t="str">
        <f t="shared" si="76"/>
        <v/>
      </c>
      <c r="F964" s="6" t="str">
        <f t="shared" si="77"/>
        <v/>
      </c>
      <c r="G964" s="4"/>
      <c r="H964" s="4"/>
      <c r="I964" s="4"/>
      <c r="J964" s="4"/>
      <c r="K964" s="4"/>
      <c r="L964" s="4"/>
      <c r="M964" s="4"/>
      <c r="N964" s="4"/>
      <c r="O964" s="4"/>
      <c r="P964" s="4"/>
      <c r="Q964" s="4"/>
      <c r="R964" s="14"/>
      <c r="S964" s="14"/>
      <c r="T964" s="14"/>
      <c r="U964" s="14"/>
      <c r="V964" s="14"/>
      <c r="W964" s="14"/>
      <c r="X964" s="1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G964" s="4"/>
      <c r="BH964" s="4"/>
    </row>
    <row r="965" spans="1:60" x14ac:dyDescent="0.35">
      <c r="A965" s="4"/>
      <c r="B965" s="8" t="str">
        <f t="shared" si="74"/>
        <v/>
      </c>
      <c r="D965" s="6" t="str">
        <f t="shared" si="75"/>
        <v/>
      </c>
      <c r="E965" s="6" t="str">
        <f t="shared" si="76"/>
        <v/>
      </c>
      <c r="F965" s="6" t="str">
        <f t="shared" si="77"/>
        <v/>
      </c>
      <c r="G965" s="4"/>
      <c r="H965" s="4"/>
      <c r="I965" s="4"/>
      <c r="J965" s="4"/>
      <c r="K965" s="4"/>
      <c r="L965" s="4"/>
      <c r="M965" s="4"/>
      <c r="N965" s="4"/>
      <c r="O965" s="4"/>
      <c r="P965" s="4"/>
      <c r="Q965" s="4"/>
      <c r="R965" s="14"/>
      <c r="S965" s="14"/>
      <c r="T965" s="14"/>
      <c r="U965" s="14"/>
      <c r="V965" s="14"/>
      <c r="W965" s="14"/>
      <c r="X965" s="1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G965" s="4"/>
      <c r="BH965" s="4"/>
    </row>
    <row r="966" spans="1:60" x14ac:dyDescent="0.35">
      <c r="A966" s="4"/>
      <c r="B966" s="8" t="str">
        <f t="shared" si="74"/>
        <v/>
      </c>
      <c r="D966" s="6" t="str">
        <f t="shared" si="75"/>
        <v/>
      </c>
      <c r="E966" s="6" t="str">
        <f t="shared" si="76"/>
        <v/>
      </c>
      <c r="F966" s="6" t="str">
        <f t="shared" si="77"/>
        <v/>
      </c>
      <c r="G966" s="4"/>
      <c r="H966" s="4"/>
      <c r="I966" s="4"/>
      <c r="J966" s="4"/>
      <c r="K966" s="4"/>
      <c r="L966" s="4"/>
      <c r="M966" s="4"/>
      <c r="N966" s="4"/>
      <c r="O966" s="4"/>
      <c r="P966" s="4"/>
      <c r="Q966" s="4"/>
      <c r="R966" s="14"/>
      <c r="S966" s="14"/>
      <c r="T966" s="14"/>
      <c r="U966" s="14"/>
      <c r="V966" s="14"/>
      <c r="W966" s="14"/>
      <c r="X966" s="1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G966" s="4"/>
      <c r="BH966" s="4"/>
    </row>
    <row r="967" spans="1:60" x14ac:dyDescent="0.35">
      <c r="A967" s="4"/>
      <c r="B967" s="8" t="str">
        <f t="shared" si="74"/>
        <v/>
      </c>
      <c r="D967" s="6" t="str">
        <f t="shared" si="75"/>
        <v/>
      </c>
      <c r="E967" s="6" t="str">
        <f t="shared" si="76"/>
        <v/>
      </c>
      <c r="F967" s="6" t="str">
        <f t="shared" si="77"/>
        <v/>
      </c>
      <c r="G967" s="4"/>
      <c r="H967" s="4"/>
      <c r="I967" s="4"/>
      <c r="J967" s="4"/>
      <c r="K967" s="4"/>
      <c r="L967" s="4"/>
      <c r="M967" s="4"/>
      <c r="N967" s="4"/>
      <c r="O967" s="4"/>
      <c r="P967" s="4"/>
      <c r="Q967" s="4"/>
      <c r="R967" s="14"/>
      <c r="S967" s="14"/>
      <c r="T967" s="14"/>
      <c r="U967" s="14"/>
      <c r="V967" s="14"/>
      <c r="W967" s="14"/>
      <c r="X967" s="1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G967" s="4"/>
      <c r="BH967" s="4"/>
    </row>
    <row r="968" spans="1:60" x14ac:dyDescent="0.35">
      <c r="A968" s="4"/>
      <c r="B968" s="8" t="str">
        <f t="shared" si="74"/>
        <v/>
      </c>
      <c r="D968" s="6" t="str">
        <f t="shared" si="75"/>
        <v/>
      </c>
      <c r="E968" s="6" t="str">
        <f t="shared" si="76"/>
        <v/>
      </c>
      <c r="F968" s="6" t="str">
        <f t="shared" si="77"/>
        <v/>
      </c>
      <c r="G968" s="4"/>
      <c r="H968" s="4"/>
      <c r="I968" s="4"/>
      <c r="J968" s="4"/>
      <c r="K968" s="4"/>
      <c r="L968" s="4"/>
      <c r="M968" s="4"/>
      <c r="N968" s="4"/>
      <c r="O968" s="4"/>
      <c r="P968" s="4"/>
      <c r="Q968" s="4"/>
      <c r="R968" s="14"/>
      <c r="S968" s="14"/>
      <c r="T968" s="14"/>
      <c r="U968" s="14"/>
      <c r="V968" s="14"/>
      <c r="W968" s="14"/>
      <c r="X968" s="1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G968" s="4"/>
      <c r="BH968" s="4"/>
    </row>
    <row r="969" spans="1:60" x14ac:dyDescent="0.35">
      <c r="A969" s="4"/>
      <c r="B969" s="8" t="str">
        <f t="shared" si="74"/>
        <v/>
      </c>
      <c r="D969" s="6" t="str">
        <f t="shared" si="75"/>
        <v/>
      </c>
      <c r="E969" s="6" t="str">
        <f t="shared" si="76"/>
        <v/>
      </c>
      <c r="F969" s="6" t="str">
        <f t="shared" si="77"/>
        <v/>
      </c>
      <c r="G969" s="4"/>
      <c r="H969" s="4"/>
      <c r="I969" s="4"/>
      <c r="J969" s="4"/>
      <c r="K969" s="4"/>
      <c r="L969" s="4"/>
      <c r="M969" s="4"/>
      <c r="N969" s="4"/>
      <c r="O969" s="4"/>
      <c r="P969" s="4"/>
      <c r="Q969" s="4"/>
      <c r="R969" s="14"/>
      <c r="S969" s="14"/>
      <c r="T969" s="14"/>
      <c r="U969" s="14"/>
      <c r="V969" s="14"/>
      <c r="W969" s="14"/>
      <c r="X969" s="1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G969" s="4"/>
      <c r="BH969" s="4"/>
    </row>
    <row r="970" spans="1:60" x14ac:dyDescent="0.35">
      <c r="A970" s="4"/>
      <c r="B970" s="8" t="str">
        <f t="shared" si="74"/>
        <v/>
      </c>
      <c r="D970" s="6" t="str">
        <f t="shared" si="75"/>
        <v/>
      </c>
      <c r="E970" s="6" t="str">
        <f t="shared" si="76"/>
        <v/>
      </c>
      <c r="F970" s="6" t="str">
        <f t="shared" si="77"/>
        <v/>
      </c>
      <c r="G970" s="4"/>
      <c r="H970" s="4"/>
      <c r="I970" s="4"/>
      <c r="J970" s="4"/>
      <c r="K970" s="4"/>
      <c r="L970" s="4"/>
      <c r="M970" s="4"/>
      <c r="N970" s="4"/>
      <c r="O970" s="4"/>
      <c r="P970" s="4"/>
      <c r="Q970" s="4"/>
      <c r="R970" s="14"/>
      <c r="S970" s="14"/>
      <c r="T970" s="14"/>
      <c r="U970" s="14"/>
      <c r="V970" s="14"/>
      <c r="W970" s="14"/>
      <c r="X970" s="1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G970" s="4"/>
      <c r="BH970" s="4"/>
    </row>
    <row r="971" spans="1:60" x14ac:dyDescent="0.35">
      <c r="A971" s="4"/>
      <c r="B971" s="8" t="str">
        <f t="shared" si="74"/>
        <v/>
      </c>
      <c r="D971" s="6" t="str">
        <f t="shared" si="75"/>
        <v/>
      </c>
      <c r="E971" s="6" t="str">
        <f t="shared" si="76"/>
        <v/>
      </c>
      <c r="F971" s="6" t="str">
        <f t="shared" si="77"/>
        <v/>
      </c>
      <c r="G971" s="4"/>
      <c r="H971" s="4"/>
      <c r="I971" s="4"/>
      <c r="J971" s="4"/>
      <c r="K971" s="4"/>
      <c r="L971" s="4"/>
      <c r="M971" s="4"/>
      <c r="N971" s="4"/>
      <c r="O971" s="4"/>
      <c r="P971" s="4"/>
      <c r="Q971" s="4"/>
      <c r="R971" s="14"/>
      <c r="S971" s="14"/>
      <c r="T971" s="14"/>
      <c r="U971" s="14"/>
      <c r="V971" s="14"/>
      <c r="W971" s="14"/>
      <c r="X971" s="1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G971" s="4"/>
      <c r="BH971" s="4"/>
    </row>
    <row r="972" spans="1:60" x14ac:dyDescent="0.35">
      <c r="A972" s="4"/>
      <c r="B972" s="8" t="str">
        <f t="shared" si="74"/>
        <v/>
      </c>
      <c r="D972" s="6" t="str">
        <f t="shared" si="75"/>
        <v/>
      </c>
      <c r="E972" s="6" t="str">
        <f t="shared" si="76"/>
        <v/>
      </c>
      <c r="F972" s="6" t="str">
        <f t="shared" si="77"/>
        <v/>
      </c>
      <c r="G972" s="4"/>
      <c r="H972" s="4"/>
      <c r="I972" s="4"/>
      <c r="J972" s="4"/>
      <c r="K972" s="4"/>
      <c r="L972" s="4"/>
      <c r="M972" s="4"/>
      <c r="N972" s="4"/>
      <c r="O972" s="4"/>
      <c r="P972" s="4"/>
      <c r="Q972" s="4"/>
      <c r="R972" s="14"/>
      <c r="S972" s="14"/>
      <c r="T972" s="14"/>
      <c r="U972" s="14"/>
      <c r="V972" s="14"/>
      <c r="W972" s="14"/>
      <c r="X972" s="1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G972" s="4"/>
      <c r="BH972" s="4"/>
    </row>
    <row r="973" spans="1:60" x14ac:dyDescent="0.35">
      <c r="A973" s="4"/>
      <c r="B973" s="8" t="str">
        <f t="shared" si="74"/>
        <v/>
      </c>
      <c r="D973" s="6" t="str">
        <f t="shared" si="75"/>
        <v/>
      </c>
      <c r="E973" s="6" t="str">
        <f t="shared" si="76"/>
        <v/>
      </c>
      <c r="F973" s="6" t="str">
        <f t="shared" si="77"/>
        <v/>
      </c>
      <c r="G973" s="4"/>
      <c r="H973" s="4"/>
      <c r="I973" s="4"/>
      <c r="J973" s="4"/>
      <c r="K973" s="4"/>
      <c r="L973" s="4"/>
      <c r="M973" s="4"/>
      <c r="N973" s="4"/>
      <c r="O973" s="4"/>
      <c r="P973" s="4"/>
      <c r="Q973" s="4"/>
      <c r="R973" s="14"/>
      <c r="S973" s="14"/>
      <c r="T973" s="14"/>
      <c r="U973" s="14"/>
      <c r="V973" s="14"/>
      <c r="W973" s="14"/>
      <c r="X973" s="1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G973" s="4"/>
      <c r="BH973" s="4"/>
    </row>
    <row r="974" spans="1:60" x14ac:dyDescent="0.35">
      <c r="A974" s="4"/>
      <c r="B974" s="8" t="str">
        <f t="shared" si="74"/>
        <v/>
      </c>
      <c r="D974" s="6" t="str">
        <f t="shared" si="75"/>
        <v/>
      </c>
      <c r="E974" s="6" t="str">
        <f t="shared" si="76"/>
        <v/>
      </c>
      <c r="F974" s="6" t="str">
        <f t="shared" si="77"/>
        <v/>
      </c>
      <c r="G974" s="4"/>
      <c r="H974" s="4"/>
      <c r="I974" s="4"/>
      <c r="J974" s="4"/>
      <c r="K974" s="4"/>
      <c r="L974" s="4"/>
      <c r="M974" s="4"/>
      <c r="N974" s="4"/>
      <c r="O974" s="4"/>
      <c r="P974" s="4"/>
      <c r="Q974" s="4"/>
      <c r="R974" s="14"/>
      <c r="S974" s="14"/>
      <c r="T974" s="14"/>
      <c r="U974" s="14"/>
      <c r="V974" s="14"/>
      <c r="W974" s="14"/>
      <c r="X974" s="1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G974" s="4"/>
      <c r="BH974" s="4"/>
    </row>
    <row r="975" spans="1:60" x14ac:dyDescent="0.35">
      <c r="A975" s="4"/>
      <c r="B975" s="8" t="str">
        <f t="shared" si="74"/>
        <v/>
      </c>
      <c r="D975" s="6" t="str">
        <f t="shared" si="75"/>
        <v/>
      </c>
      <c r="E975" s="6" t="str">
        <f t="shared" si="76"/>
        <v/>
      </c>
      <c r="F975" s="6" t="str">
        <f t="shared" si="77"/>
        <v/>
      </c>
      <c r="G975" s="4"/>
      <c r="H975" s="4"/>
      <c r="I975" s="4"/>
      <c r="J975" s="4"/>
      <c r="K975" s="4"/>
      <c r="L975" s="4"/>
      <c r="M975" s="4"/>
      <c r="N975" s="4"/>
      <c r="O975" s="4"/>
      <c r="P975" s="4"/>
      <c r="Q975" s="4"/>
      <c r="R975" s="14"/>
      <c r="S975" s="14"/>
      <c r="T975" s="14"/>
      <c r="U975" s="14"/>
      <c r="V975" s="14"/>
      <c r="W975" s="14"/>
      <c r="X975" s="1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G975" s="4"/>
      <c r="BH975" s="4"/>
    </row>
    <row r="976" spans="1:60" x14ac:dyDescent="0.35">
      <c r="A976" s="4"/>
      <c r="B976" s="8" t="str">
        <f t="shared" si="74"/>
        <v/>
      </c>
      <c r="D976" s="6" t="str">
        <f t="shared" si="75"/>
        <v/>
      </c>
      <c r="E976" s="6" t="str">
        <f t="shared" si="76"/>
        <v/>
      </c>
      <c r="F976" s="6" t="str">
        <f t="shared" si="77"/>
        <v/>
      </c>
      <c r="G976" s="4"/>
      <c r="H976" s="4"/>
      <c r="I976" s="4"/>
      <c r="J976" s="4"/>
      <c r="K976" s="4"/>
      <c r="L976" s="4"/>
      <c r="M976" s="4"/>
      <c r="N976" s="4"/>
      <c r="O976" s="4"/>
      <c r="P976" s="4"/>
      <c r="Q976" s="4"/>
      <c r="R976" s="14"/>
      <c r="S976" s="14"/>
      <c r="T976" s="14"/>
      <c r="U976" s="14"/>
      <c r="V976" s="14"/>
      <c r="W976" s="14"/>
      <c r="X976" s="1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G976" s="4"/>
      <c r="BH976" s="4"/>
    </row>
    <row r="977" spans="1:60" x14ac:dyDescent="0.35">
      <c r="A977" s="4"/>
      <c r="B977" s="8" t="str">
        <f t="shared" si="74"/>
        <v/>
      </c>
      <c r="D977" s="6" t="str">
        <f t="shared" si="75"/>
        <v/>
      </c>
      <c r="E977" s="6" t="str">
        <f t="shared" si="76"/>
        <v/>
      </c>
      <c r="F977" s="6" t="str">
        <f t="shared" si="77"/>
        <v/>
      </c>
      <c r="G977" s="4"/>
      <c r="H977" s="4"/>
      <c r="I977" s="4"/>
      <c r="J977" s="4"/>
      <c r="K977" s="4"/>
      <c r="L977" s="4"/>
      <c r="M977" s="4"/>
      <c r="N977" s="4"/>
      <c r="O977" s="4"/>
      <c r="P977" s="4"/>
      <c r="Q977" s="4"/>
      <c r="R977" s="14"/>
      <c r="S977" s="14"/>
      <c r="T977" s="14"/>
      <c r="U977" s="14"/>
      <c r="V977" s="14"/>
      <c r="W977" s="14"/>
      <c r="X977" s="1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G977" s="4"/>
      <c r="BH977" s="4"/>
    </row>
    <row r="978" spans="1:60" x14ac:dyDescent="0.35">
      <c r="A978" s="4"/>
      <c r="B978" s="8" t="str">
        <f t="shared" si="74"/>
        <v/>
      </c>
      <c r="D978" s="6" t="str">
        <f t="shared" si="75"/>
        <v/>
      </c>
      <c r="E978" s="6" t="str">
        <f t="shared" si="76"/>
        <v/>
      </c>
      <c r="F978" s="6" t="str">
        <f t="shared" si="77"/>
        <v/>
      </c>
      <c r="G978" s="4"/>
      <c r="H978" s="4"/>
      <c r="I978" s="4"/>
      <c r="J978" s="4"/>
      <c r="K978" s="4"/>
      <c r="L978" s="4"/>
      <c r="M978" s="4"/>
      <c r="N978" s="4"/>
      <c r="O978" s="4"/>
      <c r="P978" s="4"/>
      <c r="Q978" s="4"/>
      <c r="R978" s="14"/>
      <c r="S978" s="14"/>
      <c r="T978" s="14"/>
      <c r="U978" s="14"/>
      <c r="V978" s="14"/>
      <c r="W978" s="14"/>
      <c r="X978" s="1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G978" s="4"/>
      <c r="BH978" s="4"/>
    </row>
    <row r="979" spans="1:60" x14ac:dyDescent="0.35">
      <c r="A979" s="4"/>
      <c r="B979" s="8" t="str">
        <f t="shared" si="74"/>
        <v/>
      </c>
      <c r="D979" s="6" t="str">
        <f t="shared" si="75"/>
        <v/>
      </c>
      <c r="E979" s="6" t="str">
        <f t="shared" si="76"/>
        <v/>
      </c>
      <c r="F979" s="6" t="str">
        <f t="shared" si="77"/>
        <v/>
      </c>
      <c r="G979" s="4"/>
      <c r="H979" s="4"/>
      <c r="I979" s="4"/>
      <c r="J979" s="4"/>
      <c r="K979" s="4"/>
      <c r="L979" s="4"/>
      <c r="M979" s="4"/>
      <c r="N979" s="4"/>
      <c r="O979" s="4"/>
      <c r="P979" s="4"/>
      <c r="Q979" s="4"/>
      <c r="R979" s="14"/>
      <c r="S979" s="14"/>
      <c r="T979" s="14"/>
      <c r="U979" s="14"/>
      <c r="V979" s="14"/>
      <c r="W979" s="14"/>
      <c r="X979" s="1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G979" s="4"/>
      <c r="BH979" s="4"/>
    </row>
    <row r="980" spans="1:60" x14ac:dyDescent="0.35">
      <c r="A980" s="4"/>
      <c r="B980" s="8" t="str">
        <f t="shared" si="74"/>
        <v/>
      </c>
      <c r="D980" s="6" t="str">
        <f t="shared" si="75"/>
        <v/>
      </c>
      <c r="E980" s="6" t="str">
        <f t="shared" si="76"/>
        <v/>
      </c>
      <c r="F980" s="6" t="str">
        <f t="shared" si="77"/>
        <v/>
      </c>
      <c r="G980" s="4"/>
      <c r="H980" s="4"/>
      <c r="I980" s="4"/>
      <c r="J980" s="4"/>
      <c r="K980" s="4"/>
      <c r="L980" s="4"/>
      <c r="M980" s="4"/>
      <c r="N980" s="4"/>
      <c r="O980" s="4"/>
      <c r="P980" s="4"/>
      <c r="Q980" s="4"/>
      <c r="R980" s="14"/>
      <c r="S980" s="14"/>
      <c r="T980" s="14"/>
      <c r="U980" s="14"/>
      <c r="V980" s="14"/>
      <c r="W980" s="14"/>
      <c r="X980" s="1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G980" s="4"/>
      <c r="BH980" s="4"/>
    </row>
    <row r="981" spans="1:60" x14ac:dyDescent="0.35">
      <c r="A981" s="4"/>
      <c r="B981" s="8" t="str">
        <f t="shared" si="74"/>
        <v/>
      </c>
      <c r="D981" s="6" t="str">
        <f t="shared" si="75"/>
        <v/>
      </c>
      <c r="E981" s="6" t="str">
        <f t="shared" si="76"/>
        <v/>
      </c>
      <c r="F981" s="6" t="str">
        <f t="shared" si="77"/>
        <v/>
      </c>
      <c r="G981" s="4"/>
      <c r="H981" s="4"/>
      <c r="I981" s="4"/>
      <c r="J981" s="4"/>
      <c r="K981" s="4"/>
      <c r="L981" s="4"/>
      <c r="M981" s="4"/>
      <c r="N981" s="4"/>
      <c r="O981" s="4"/>
      <c r="P981" s="4"/>
      <c r="Q981" s="4"/>
      <c r="R981" s="14"/>
      <c r="S981" s="14"/>
      <c r="T981" s="14"/>
      <c r="U981" s="14"/>
      <c r="V981" s="14"/>
      <c r="W981" s="14"/>
      <c r="X981" s="1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G981" s="4"/>
      <c r="BH981" s="4"/>
    </row>
    <row r="982" spans="1:60" x14ac:dyDescent="0.35">
      <c r="A982" s="4"/>
      <c r="B982" s="8" t="str">
        <f t="shared" si="74"/>
        <v/>
      </c>
      <c r="D982" s="6" t="str">
        <f t="shared" si="75"/>
        <v/>
      </c>
      <c r="E982" s="6" t="str">
        <f t="shared" si="76"/>
        <v/>
      </c>
      <c r="F982" s="6" t="str">
        <f t="shared" si="77"/>
        <v/>
      </c>
      <c r="G982" s="4"/>
      <c r="H982" s="4"/>
      <c r="I982" s="4"/>
      <c r="J982" s="4"/>
      <c r="K982" s="4"/>
      <c r="L982" s="4"/>
      <c r="M982" s="4"/>
      <c r="N982" s="4"/>
      <c r="O982" s="4"/>
      <c r="P982" s="4"/>
      <c r="Q982" s="4"/>
      <c r="R982" s="14"/>
      <c r="S982" s="14"/>
      <c r="T982" s="14"/>
      <c r="U982" s="14"/>
      <c r="V982" s="14"/>
      <c r="W982" s="14"/>
      <c r="X982" s="1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G982" s="4"/>
      <c r="BH982" s="4"/>
    </row>
    <row r="983" spans="1:60" x14ac:dyDescent="0.35">
      <c r="A983" s="4"/>
      <c r="B983" s="8" t="str">
        <f t="shared" si="74"/>
        <v/>
      </c>
      <c r="D983" s="6" t="str">
        <f t="shared" si="75"/>
        <v/>
      </c>
      <c r="E983" s="6" t="str">
        <f t="shared" si="76"/>
        <v/>
      </c>
      <c r="F983" s="6" t="str">
        <f t="shared" si="77"/>
        <v/>
      </c>
      <c r="G983" s="4"/>
      <c r="H983" s="4"/>
      <c r="I983" s="4"/>
      <c r="J983" s="4"/>
      <c r="K983" s="4"/>
      <c r="L983" s="4"/>
      <c r="M983" s="4"/>
      <c r="N983" s="4"/>
      <c r="O983" s="4"/>
      <c r="P983" s="4"/>
      <c r="Q983" s="4"/>
      <c r="R983" s="14"/>
      <c r="S983" s="14"/>
      <c r="T983" s="14"/>
      <c r="U983" s="14"/>
      <c r="V983" s="14"/>
      <c r="W983" s="14"/>
      <c r="X983" s="1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G983" s="4"/>
      <c r="BH983" s="4"/>
    </row>
    <row r="984" spans="1:60" x14ac:dyDescent="0.35">
      <c r="A984" s="4"/>
      <c r="B984" s="8" t="str">
        <f t="shared" si="74"/>
        <v/>
      </c>
      <c r="D984" s="6" t="str">
        <f t="shared" si="75"/>
        <v/>
      </c>
      <c r="E984" s="6" t="str">
        <f t="shared" si="76"/>
        <v/>
      </c>
      <c r="F984" s="6" t="str">
        <f t="shared" si="77"/>
        <v/>
      </c>
      <c r="G984" s="4"/>
      <c r="H984" s="4"/>
      <c r="I984" s="4"/>
      <c r="J984" s="4"/>
      <c r="K984" s="4"/>
      <c r="L984" s="4"/>
      <c r="M984" s="4"/>
      <c r="N984" s="4"/>
      <c r="O984" s="4"/>
      <c r="P984" s="4"/>
      <c r="Q984" s="4"/>
      <c r="R984" s="14"/>
      <c r="S984" s="14"/>
      <c r="T984" s="14"/>
      <c r="U984" s="14"/>
      <c r="V984" s="14"/>
      <c r="W984" s="14"/>
      <c r="X984" s="1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G984" s="4"/>
      <c r="BH984" s="4"/>
    </row>
    <row r="985" spans="1:60" x14ac:dyDescent="0.35">
      <c r="A985" s="4"/>
      <c r="B985" s="8" t="str">
        <f t="shared" si="74"/>
        <v/>
      </c>
      <c r="D985" s="6" t="str">
        <f t="shared" si="75"/>
        <v/>
      </c>
      <c r="E985" s="6" t="str">
        <f t="shared" si="76"/>
        <v/>
      </c>
      <c r="F985" s="6" t="str">
        <f t="shared" si="77"/>
        <v/>
      </c>
      <c r="G985" s="4"/>
      <c r="H985" s="4"/>
      <c r="I985" s="4"/>
      <c r="J985" s="4"/>
      <c r="K985" s="4"/>
      <c r="L985" s="4"/>
      <c r="M985" s="4"/>
      <c r="N985" s="4"/>
      <c r="O985" s="4"/>
      <c r="P985" s="4"/>
      <c r="Q985" s="4"/>
      <c r="R985" s="14"/>
      <c r="S985" s="14"/>
      <c r="T985" s="14"/>
      <c r="U985" s="14"/>
      <c r="V985" s="14"/>
      <c r="W985" s="14"/>
      <c r="X985" s="1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G985" s="4"/>
      <c r="BH985" s="4"/>
    </row>
    <row r="986" spans="1:60" x14ac:dyDescent="0.35">
      <c r="A986" s="4"/>
      <c r="B986" s="8" t="str">
        <f t="shared" si="74"/>
        <v/>
      </c>
      <c r="D986" s="6" t="str">
        <f t="shared" si="75"/>
        <v/>
      </c>
      <c r="E986" s="6" t="str">
        <f t="shared" si="76"/>
        <v/>
      </c>
      <c r="F986" s="6" t="str">
        <f t="shared" si="77"/>
        <v/>
      </c>
      <c r="G986" s="4"/>
      <c r="H986" s="4"/>
      <c r="I986" s="4"/>
      <c r="J986" s="4"/>
      <c r="K986" s="4"/>
      <c r="L986" s="4"/>
      <c r="M986" s="4"/>
      <c r="N986" s="4"/>
      <c r="O986" s="4"/>
      <c r="P986" s="4"/>
      <c r="Q986" s="4"/>
      <c r="R986" s="14"/>
      <c r="S986" s="14"/>
      <c r="T986" s="14"/>
      <c r="U986" s="14"/>
      <c r="V986" s="14"/>
      <c r="W986" s="14"/>
      <c r="X986" s="1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G986" s="4"/>
      <c r="BH986" s="4"/>
    </row>
    <row r="987" spans="1:60" x14ac:dyDescent="0.35">
      <c r="A987" s="4"/>
      <c r="B987" s="8" t="str">
        <f t="shared" si="74"/>
        <v/>
      </c>
      <c r="D987" s="6" t="str">
        <f t="shared" si="75"/>
        <v/>
      </c>
      <c r="E987" s="6" t="str">
        <f t="shared" si="76"/>
        <v/>
      </c>
      <c r="F987" s="6" t="str">
        <f t="shared" si="77"/>
        <v/>
      </c>
      <c r="G987" s="4"/>
      <c r="H987" s="4"/>
      <c r="I987" s="4"/>
      <c r="J987" s="4"/>
      <c r="K987" s="4"/>
      <c r="L987" s="4"/>
      <c r="M987" s="4"/>
      <c r="N987" s="4"/>
      <c r="O987" s="4"/>
      <c r="P987" s="4"/>
      <c r="Q987" s="4"/>
      <c r="R987" s="14"/>
      <c r="S987" s="14"/>
      <c r="T987" s="14"/>
      <c r="U987" s="14"/>
      <c r="V987" s="14"/>
      <c r="W987" s="14"/>
      <c r="X987" s="1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G987" s="4"/>
      <c r="BH987" s="4"/>
    </row>
    <row r="988" spans="1:60" x14ac:dyDescent="0.35">
      <c r="A988" s="4"/>
      <c r="B988" s="8" t="str">
        <f t="shared" si="74"/>
        <v/>
      </c>
      <c r="D988" s="6" t="str">
        <f t="shared" si="75"/>
        <v/>
      </c>
      <c r="E988" s="6" t="str">
        <f t="shared" si="76"/>
        <v/>
      </c>
      <c r="F988" s="6" t="str">
        <f t="shared" si="77"/>
        <v/>
      </c>
      <c r="G988" s="4"/>
      <c r="H988" s="4"/>
      <c r="I988" s="4"/>
      <c r="J988" s="4"/>
      <c r="K988" s="4"/>
      <c r="L988" s="4"/>
      <c r="M988" s="4"/>
      <c r="N988" s="4"/>
      <c r="O988" s="4"/>
      <c r="P988" s="4"/>
      <c r="Q988" s="4"/>
      <c r="R988" s="14"/>
      <c r="S988" s="14"/>
      <c r="T988" s="14"/>
      <c r="U988" s="14"/>
      <c r="V988" s="14"/>
      <c r="W988" s="14"/>
      <c r="X988" s="1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G988" s="4"/>
      <c r="BH988" s="4"/>
    </row>
    <row r="989" spans="1:60" x14ac:dyDescent="0.35">
      <c r="A989" s="4"/>
      <c r="B989" s="8" t="str">
        <f t="shared" si="74"/>
        <v/>
      </c>
      <c r="D989" s="6" t="str">
        <f t="shared" si="75"/>
        <v/>
      </c>
      <c r="E989" s="6" t="str">
        <f t="shared" si="76"/>
        <v/>
      </c>
      <c r="F989" s="6" t="str">
        <f t="shared" si="77"/>
        <v/>
      </c>
      <c r="G989" s="4"/>
      <c r="H989" s="4"/>
      <c r="I989" s="4"/>
      <c r="J989" s="4"/>
      <c r="K989" s="4"/>
      <c r="L989" s="4"/>
      <c r="M989" s="4"/>
      <c r="N989" s="4"/>
      <c r="O989" s="4"/>
      <c r="P989" s="4"/>
      <c r="Q989" s="4"/>
      <c r="R989" s="14"/>
      <c r="S989" s="14"/>
      <c r="T989" s="14"/>
      <c r="U989" s="14"/>
      <c r="V989" s="14"/>
      <c r="W989" s="14"/>
      <c r="X989" s="1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G989" s="4"/>
      <c r="BH989" s="4"/>
    </row>
    <row r="990" spans="1:60" x14ac:dyDescent="0.35">
      <c r="A990" s="4"/>
      <c r="B990" s="8" t="str">
        <f t="shared" si="74"/>
        <v/>
      </c>
      <c r="D990" s="6" t="str">
        <f t="shared" si="75"/>
        <v/>
      </c>
      <c r="E990" s="6" t="str">
        <f t="shared" si="76"/>
        <v/>
      </c>
      <c r="F990" s="6" t="str">
        <f t="shared" si="77"/>
        <v/>
      </c>
      <c r="G990" s="4"/>
      <c r="H990" s="4"/>
      <c r="I990" s="4"/>
      <c r="J990" s="4"/>
      <c r="K990" s="4"/>
      <c r="L990" s="4"/>
      <c r="M990" s="4"/>
      <c r="N990" s="4"/>
      <c r="O990" s="4"/>
      <c r="P990" s="4"/>
      <c r="Q990" s="4"/>
      <c r="R990" s="14"/>
      <c r="S990" s="14"/>
      <c r="T990" s="14"/>
      <c r="U990" s="14"/>
      <c r="V990" s="14"/>
      <c r="W990" s="14"/>
      <c r="X990" s="1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G990" s="4"/>
      <c r="BH990" s="4"/>
    </row>
    <row r="991" spans="1:60" x14ac:dyDescent="0.35">
      <c r="A991" s="4"/>
      <c r="B991" s="8" t="str">
        <f t="shared" si="74"/>
        <v/>
      </c>
      <c r="D991" s="6" t="str">
        <f t="shared" si="75"/>
        <v/>
      </c>
      <c r="E991" s="6" t="str">
        <f t="shared" si="76"/>
        <v/>
      </c>
      <c r="F991" s="6" t="str">
        <f t="shared" si="77"/>
        <v/>
      </c>
      <c r="G991" s="4"/>
      <c r="H991" s="4"/>
      <c r="I991" s="4"/>
      <c r="J991" s="4"/>
      <c r="K991" s="4"/>
      <c r="L991" s="4"/>
      <c r="M991" s="4"/>
      <c r="N991" s="4"/>
      <c r="O991" s="4"/>
      <c r="P991" s="4"/>
      <c r="Q991" s="4"/>
      <c r="R991" s="14"/>
      <c r="S991" s="14"/>
      <c r="T991" s="14"/>
      <c r="U991" s="14"/>
      <c r="V991" s="14"/>
      <c r="W991" s="14"/>
      <c r="X991" s="1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G991" s="4"/>
      <c r="BH991" s="4"/>
    </row>
    <row r="992" spans="1:60" x14ac:dyDescent="0.35">
      <c r="A992" s="4"/>
      <c r="B992" s="8" t="str">
        <f t="shared" si="74"/>
        <v/>
      </c>
      <c r="D992" s="6" t="str">
        <f t="shared" si="75"/>
        <v/>
      </c>
      <c r="E992" s="6" t="str">
        <f t="shared" si="76"/>
        <v/>
      </c>
      <c r="F992" s="6" t="str">
        <f t="shared" si="77"/>
        <v/>
      </c>
      <c r="G992" s="4"/>
      <c r="H992" s="4"/>
      <c r="I992" s="4"/>
      <c r="J992" s="4"/>
      <c r="K992" s="4"/>
      <c r="L992" s="4"/>
      <c r="M992" s="4"/>
      <c r="N992" s="4"/>
      <c r="O992" s="4"/>
      <c r="P992" s="4"/>
      <c r="Q992" s="4"/>
      <c r="R992" s="14"/>
      <c r="S992" s="14"/>
      <c r="T992" s="14"/>
      <c r="U992" s="14"/>
      <c r="V992" s="14"/>
      <c r="W992" s="14"/>
      <c r="X992" s="1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G992" s="4"/>
      <c r="BH992" s="4"/>
    </row>
    <row r="993" spans="1:60" x14ac:dyDescent="0.35">
      <c r="A993" s="4"/>
      <c r="B993" s="8" t="str">
        <f t="shared" si="74"/>
        <v/>
      </c>
      <c r="D993" s="6" t="str">
        <f t="shared" si="75"/>
        <v/>
      </c>
      <c r="E993" s="6" t="str">
        <f t="shared" si="76"/>
        <v/>
      </c>
      <c r="F993" s="6" t="str">
        <f t="shared" si="77"/>
        <v/>
      </c>
      <c r="G993" s="4"/>
      <c r="H993" s="4"/>
      <c r="I993" s="4"/>
      <c r="J993" s="4"/>
      <c r="K993" s="4"/>
      <c r="L993" s="4"/>
      <c r="M993" s="4"/>
      <c r="N993" s="4"/>
      <c r="O993" s="4"/>
      <c r="P993" s="4"/>
      <c r="Q993" s="4"/>
      <c r="R993" s="14"/>
      <c r="S993" s="14"/>
      <c r="T993" s="14"/>
      <c r="U993" s="14"/>
      <c r="V993" s="14"/>
      <c r="W993" s="14"/>
      <c r="X993" s="1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G993" s="4"/>
      <c r="BH993" s="4"/>
    </row>
    <row r="994" spans="1:60" x14ac:dyDescent="0.35">
      <c r="A994" s="4"/>
      <c r="B994" s="8" t="str">
        <f t="shared" si="74"/>
        <v/>
      </c>
      <c r="D994" s="6" t="str">
        <f t="shared" si="75"/>
        <v/>
      </c>
      <c r="E994" s="6" t="str">
        <f t="shared" si="76"/>
        <v/>
      </c>
      <c r="F994" s="6" t="str">
        <f t="shared" si="77"/>
        <v/>
      </c>
      <c r="G994" s="4"/>
      <c r="H994" s="4"/>
      <c r="I994" s="4"/>
      <c r="J994" s="4"/>
      <c r="K994" s="4"/>
      <c r="L994" s="4"/>
      <c r="M994" s="4"/>
      <c r="N994" s="4"/>
      <c r="O994" s="4"/>
      <c r="P994" s="4"/>
      <c r="Q994" s="4"/>
      <c r="R994" s="14"/>
      <c r="S994" s="14"/>
      <c r="T994" s="14"/>
      <c r="U994" s="14"/>
      <c r="V994" s="14"/>
      <c r="W994" s="14"/>
      <c r="X994" s="1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G994" s="4"/>
      <c r="BH994" s="4"/>
    </row>
    <row r="995" spans="1:60" x14ac:dyDescent="0.35">
      <c r="A995" s="4"/>
      <c r="B995" s="8" t="str">
        <f t="shared" si="74"/>
        <v/>
      </c>
      <c r="D995" s="6" t="str">
        <f t="shared" si="75"/>
        <v/>
      </c>
      <c r="E995" s="6" t="str">
        <f t="shared" si="76"/>
        <v/>
      </c>
      <c r="F995" s="6" t="str">
        <f t="shared" si="77"/>
        <v/>
      </c>
      <c r="G995" s="4"/>
      <c r="H995" s="4"/>
      <c r="I995" s="4"/>
      <c r="J995" s="4"/>
      <c r="K995" s="4"/>
      <c r="L995" s="4"/>
      <c r="M995" s="4"/>
      <c r="N995" s="4"/>
      <c r="O995" s="4"/>
      <c r="P995" s="4"/>
      <c r="Q995" s="4"/>
      <c r="R995" s="14"/>
      <c r="S995" s="14"/>
      <c r="T995" s="14"/>
      <c r="U995" s="14"/>
      <c r="V995" s="14"/>
      <c r="W995" s="14"/>
      <c r="X995" s="1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G995" s="4"/>
      <c r="BH995" s="4"/>
    </row>
    <row r="996" spans="1:60" x14ac:dyDescent="0.35">
      <c r="A996" s="4"/>
      <c r="B996" s="8" t="str">
        <f t="shared" si="74"/>
        <v/>
      </c>
      <c r="D996" s="6" t="str">
        <f t="shared" si="75"/>
        <v/>
      </c>
      <c r="E996" s="6" t="str">
        <f t="shared" si="76"/>
        <v/>
      </c>
      <c r="F996" s="6" t="str">
        <f t="shared" si="77"/>
        <v/>
      </c>
      <c r="G996" s="4"/>
      <c r="H996" s="4"/>
      <c r="I996" s="4"/>
      <c r="J996" s="4"/>
      <c r="K996" s="4"/>
      <c r="L996" s="4"/>
      <c r="M996" s="4"/>
      <c r="N996" s="4"/>
      <c r="O996" s="4"/>
      <c r="P996" s="4"/>
      <c r="Q996" s="4"/>
      <c r="R996" s="14"/>
      <c r="S996" s="14"/>
      <c r="T996" s="14"/>
      <c r="U996" s="14"/>
      <c r="V996" s="14"/>
      <c r="W996" s="14"/>
      <c r="X996" s="1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G996" s="4"/>
      <c r="BH996" s="4"/>
    </row>
    <row r="997" spans="1:60" x14ac:dyDescent="0.35">
      <c r="A997" s="4"/>
      <c r="B997" s="8" t="str">
        <f t="shared" si="74"/>
        <v/>
      </c>
      <c r="D997" s="6" t="str">
        <f t="shared" si="75"/>
        <v/>
      </c>
      <c r="E997" s="6" t="str">
        <f t="shared" si="76"/>
        <v/>
      </c>
      <c r="F997" s="6" t="str">
        <f t="shared" si="77"/>
        <v/>
      </c>
      <c r="G997" s="4"/>
      <c r="H997" s="4"/>
      <c r="I997" s="4"/>
      <c r="J997" s="4"/>
      <c r="K997" s="4"/>
      <c r="L997" s="4"/>
      <c r="M997" s="4"/>
      <c r="N997" s="4"/>
      <c r="O997" s="4"/>
      <c r="P997" s="4"/>
      <c r="Q997" s="4"/>
      <c r="R997" s="14"/>
      <c r="S997" s="14"/>
      <c r="T997" s="14"/>
      <c r="U997" s="14"/>
      <c r="V997" s="14"/>
      <c r="W997" s="14"/>
      <c r="X997" s="1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G997" s="4"/>
      <c r="BH997" s="4"/>
    </row>
    <row r="998" spans="1:60" x14ac:dyDescent="0.35">
      <c r="A998" s="4"/>
      <c r="B998" s="8" t="str">
        <f t="shared" si="74"/>
        <v/>
      </c>
      <c r="D998" s="6" t="str">
        <f t="shared" si="75"/>
        <v/>
      </c>
      <c r="E998" s="6" t="str">
        <f t="shared" si="76"/>
        <v/>
      </c>
      <c r="F998" s="6" t="str">
        <f t="shared" si="77"/>
        <v/>
      </c>
      <c r="G998" s="4"/>
      <c r="H998" s="4"/>
      <c r="I998" s="4"/>
      <c r="J998" s="4"/>
      <c r="K998" s="4"/>
      <c r="L998" s="4"/>
      <c r="M998" s="4"/>
      <c r="N998" s="4"/>
      <c r="O998" s="4"/>
      <c r="P998" s="4"/>
      <c r="Q998" s="4"/>
      <c r="R998" s="14"/>
      <c r="S998" s="14"/>
      <c r="T998" s="14"/>
      <c r="U998" s="14"/>
      <c r="V998" s="14"/>
      <c r="W998" s="14"/>
      <c r="X998" s="1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G998" s="4"/>
      <c r="BH998" s="4"/>
    </row>
    <row r="999" spans="1:60" x14ac:dyDescent="0.35">
      <c r="A999" s="4"/>
      <c r="B999" s="8" t="str">
        <f t="shared" si="74"/>
        <v/>
      </c>
      <c r="D999" s="6" t="str">
        <f t="shared" si="75"/>
        <v/>
      </c>
      <c r="E999" s="6" t="str">
        <f t="shared" si="76"/>
        <v/>
      </c>
      <c r="F999" s="6" t="str">
        <f t="shared" si="77"/>
        <v/>
      </c>
      <c r="G999" s="4"/>
      <c r="H999" s="4"/>
      <c r="I999" s="4"/>
      <c r="J999" s="4"/>
      <c r="K999" s="4"/>
      <c r="L999" s="4"/>
      <c r="M999" s="4"/>
      <c r="N999" s="4"/>
      <c r="O999" s="4"/>
      <c r="P999" s="4"/>
      <c r="Q999" s="4"/>
      <c r="R999" s="14"/>
      <c r="S999" s="14"/>
      <c r="T999" s="14"/>
      <c r="U999" s="14"/>
      <c r="V999" s="14"/>
      <c r="W999" s="14"/>
      <c r="X999" s="1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G999" s="4"/>
      <c r="BH999" s="4"/>
    </row>
    <row r="1000" spans="1:60" x14ac:dyDescent="0.35">
      <c r="A1000" s="4"/>
      <c r="B1000" s="8" t="str">
        <f t="shared" si="74"/>
        <v/>
      </c>
      <c r="D1000" s="6" t="str">
        <f t="shared" si="75"/>
        <v/>
      </c>
      <c r="E1000" s="6" t="str">
        <f t="shared" si="76"/>
        <v/>
      </c>
      <c r="F1000" s="6" t="str">
        <f t="shared" si="77"/>
        <v/>
      </c>
      <c r="G1000" s="4"/>
      <c r="H1000" s="4"/>
      <c r="I1000" s="4"/>
      <c r="J1000" s="4"/>
      <c r="K1000" s="4"/>
      <c r="L1000" s="4"/>
      <c r="M1000" s="4"/>
      <c r="N1000" s="4"/>
      <c r="O1000" s="4"/>
      <c r="P1000" s="4"/>
      <c r="Q1000" s="4"/>
      <c r="R1000" s="14"/>
      <c r="S1000" s="14"/>
      <c r="T1000" s="14"/>
      <c r="U1000" s="14"/>
      <c r="V1000" s="14"/>
      <c r="W1000" s="14"/>
      <c r="X1000" s="1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G1000" s="4"/>
      <c r="BH1000" s="4"/>
    </row>
    <row r="1001" spans="1:60" x14ac:dyDescent="0.35">
      <c r="A1001" s="4"/>
      <c r="B1001" s="8" t="str">
        <f t="shared" si="74"/>
        <v/>
      </c>
      <c r="D1001" s="6" t="str">
        <f t="shared" si="75"/>
        <v/>
      </c>
      <c r="E1001" s="6" t="str">
        <f t="shared" si="76"/>
        <v/>
      </c>
      <c r="F1001" s="6" t="str">
        <f t="shared" si="77"/>
        <v/>
      </c>
      <c r="G1001" s="4"/>
      <c r="H1001" s="4"/>
      <c r="I1001" s="4"/>
      <c r="J1001" s="4"/>
      <c r="K1001" s="4"/>
      <c r="L1001" s="4"/>
      <c r="M1001" s="4"/>
      <c r="N1001" s="4"/>
      <c r="O1001" s="4"/>
      <c r="P1001" s="4"/>
      <c r="Q1001" s="4"/>
      <c r="R1001" s="14"/>
      <c r="S1001" s="14"/>
      <c r="T1001" s="14"/>
      <c r="U1001" s="14"/>
      <c r="V1001" s="14"/>
      <c r="W1001" s="14"/>
      <c r="X1001" s="1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G1001" s="4"/>
      <c r="BH1001" s="4"/>
    </row>
    <row r="1002" spans="1:60" x14ac:dyDescent="0.35">
      <c r="A1002" s="4"/>
      <c r="B1002" s="8" t="str">
        <f t="shared" si="74"/>
        <v/>
      </c>
      <c r="D1002" s="6" t="str">
        <f t="shared" si="75"/>
        <v/>
      </c>
      <c r="E1002" s="6" t="str">
        <f t="shared" si="76"/>
        <v/>
      </c>
      <c r="F1002" s="6" t="str">
        <f t="shared" si="77"/>
        <v/>
      </c>
      <c r="G1002" s="4"/>
      <c r="H1002" s="4"/>
      <c r="I1002" s="4"/>
      <c r="J1002" s="4"/>
      <c r="K1002" s="4"/>
      <c r="L1002" s="4"/>
      <c r="M1002" s="4"/>
      <c r="N1002" s="4"/>
      <c r="O1002" s="4"/>
      <c r="P1002" s="4"/>
      <c r="Q1002" s="4"/>
      <c r="R1002" s="14"/>
      <c r="S1002" s="14"/>
      <c r="T1002" s="14"/>
      <c r="U1002" s="14"/>
      <c r="V1002" s="14"/>
      <c r="W1002" s="14"/>
      <c r="X1002" s="1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G1002" s="4"/>
      <c r="BH1002" s="4"/>
    </row>
    <row r="1003" spans="1:60" x14ac:dyDescent="0.35">
      <c r="A1003" s="4"/>
      <c r="B1003" s="8" t="str">
        <f t="shared" si="74"/>
        <v/>
      </c>
      <c r="D1003" s="6" t="str">
        <f t="shared" si="75"/>
        <v/>
      </c>
      <c r="E1003" s="6" t="str">
        <f t="shared" si="76"/>
        <v/>
      </c>
      <c r="F1003" s="6" t="str">
        <f t="shared" si="77"/>
        <v/>
      </c>
      <c r="G1003" s="4"/>
      <c r="H1003" s="4"/>
      <c r="I1003" s="4"/>
      <c r="J1003" s="4"/>
      <c r="K1003" s="4"/>
      <c r="L1003" s="4"/>
      <c r="M1003" s="4"/>
      <c r="N1003" s="4"/>
      <c r="O1003" s="4"/>
      <c r="P1003" s="4"/>
      <c r="Q1003" s="4"/>
      <c r="R1003" s="14"/>
      <c r="S1003" s="14"/>
      <c r="T1003" s="14"/>
      <c r="U1003" s="14"/>
      <c r="V1003" s="14"/>
      <c r="W1003" s="14"/>
      <c r="X1003" s="1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G1003" s="4"/>
      <c r="BH1003" s="4"/>
    </row>
    <row r="1004" spans="1:60" x14ac:dyDescent="0.35">
      <c r="A1004" s="4"/>
      <c r="B1004" s="8" t="str">
        <f t="shared" si="74"/>
        <v/>
      </c>
      <c r="D1004" s="6" t="str">
        <f t="shared" si="75"/>
        <v/>
      </c>
      <c r="E1004" s="6" t="str">
        <f t="shared" si="76"/>
        <v/>
      </c>
      <c r="F1004" s="6" t="str">
        <f t="shared" si="77"/>
        <v/>
      </c>
      <c r="G1004" s="4"/>
      <c r="H1004" s="4"/>
      <c r="I1004" s="4"/>
      <c r="J1004" s="4"/>
      <c r="K1004" s="4"/>
      <c r="L1004" s="4"/>
      <c r="M1004" s="4"/>
      <c r="N1004" s="4"/>
      <c r="O1004" s="4"/>
      <c r="P1004" s="4"/>
      <c r="Q1004" s="4"/>
      <c r="R1004" s="14"/>
      <c r="S1004" s="14"/>
      <c r="T1004" s="14"/>
      <c r="U1004" s="14"/>
      <c r="V1004" s="14"/>
      <c r="W1004" s="14"/>
      <c r="X1004" s="1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G1004" s="4"/>
      <c r="BH1004" s="4"/>
    </row>
    <row r="1005" spans="1:60" x14ac:dyDescent="0.35">
      <c r="A1005" s="4"/>
      <c r="B1005" s="8" t="str">
        <f t="shared" si="74"/>
        <v/>
      </c>
      <c r="D1005" s="6" t="str">
        <f t="shared" si="75"/>
        <v/>
      </c>
      <c r="E1005" s="6" t="str">
        <f t="shared" si="76"/>
        <v/>
      </c>
      <c r="F1005" s="6" t="str">
        <f t="shared" si="77"/>
        <v/>
      </c>
      <c r="G1005" s="4"/>
      <c r="H1005" s="4"/>
      <c r="I1005" s="4"/>
      <c r="J1005" s="4"/>
      <c r="K1005" s="4"/>
      <c r="L1005" s="4"/>
      <c r="M1005" s="4"/>
      <c r="N1005" s="4"/>
      <c r="O1005" s="4"/>
      <c r="P1005" s="4"/>
      <c r="Q1005" s="4"/>
      <c r="R1005" s="14"/>
      <c r="S1005" s="14"/>
      <c r="T1005" s="14"/>
      <c r="U1005" s="14"/>
      <c r="V1005" s="14"/>
      <c r="W1005" s="14"/>
      <c r="X1005" s="1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G1005" s="4"/>
      <c r="BH1005" s="4"/>
    </row>
    <row r="1006" spans="1:60" x14ac:dyDescent="0.35">
      <c r="A1006" s="4"/>
      <c r="B1006" s="8" t="str">
        <f t="shared" si="74"/>
        <v/>
      </c>
      <c r="D1006" s="6" t="str">
        <f t="shared" si="75"/>
        <v/>
      </c>
      <c r="E1006" s="6" t="str">
        <f t="shared" si="76"/>
        <v/>
      </c>
      <c r="F1006" s="6" t="str">
        <f t="shared" si="77"/>
        <v/>
      </c>
      <c r="G1006" s="4"/>
      <c r="H1006" s="4"/>
      <c r="I1006" s="4"/>
      <c r="J1006" s="4"/>
      <c r="K1006" s="4"/>
      <c r="L1006" s="4"/>
      <c r="M1006" s="4"/>
      <c r="N1006" s="4"/>
      <c r="O1006" s="4"/>
      <c r="P1006" s="4"/>
      <c r="Q1006" s="4"/>
      <c r="R1006" s="14"/>
      <c r="S1006" s="14"/>
      <c r="T1006" s="14"/>
      <c r="U1006" s="14"/>
      <c r="V1006" s="14"/>
      <c r="W1006" s="14"/>
      <c r="X1006" s="1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G1006" s="4"/>
      <c r="BH1006" s="4"/>
    </row>
    <row r="1007" spans="1:60" x14ac:dyDescent="0.35">
      <c r="A1007" s="4"/>
      <c r="B1007" s="8" t="str">
        <f t="shared" si="74"/>
        <v/>
      </c>
      <c r="D1007" s="6" t="str">
        <f t="shared" si="75"/>
        <v/>
      </c>
      <c r="E1007" s="6" t="str">
        <f t="shared" si="76"/>
        <v/>
      </c>
      <c r="F1007" s="6" t="str">
        <f t="shared" si="77"/>
        <v/>
      </c>
      <c r="G1007" s="4"/>
      <c r="H1007" s="4"/>
      <c r="I1007" s="4"/>
      <c r="J1007" s="4"/>
      <c r="K1007" s="4"/>
      <c r="L1007" s="4"/>
      <c r="M1007" s="4"/>
      <c r="N1007" s="4"/>
      <c r="O1007" s="4"/>
      <c r="P1007" s="4"/>
      <c r="Q1007" s="4"/>
      <c r="R1007" s="14"/>
      <c r="S1007" s="14"/>
      <c r="T1007" s="14"/>
      <c r="U1007" s="14"/>
      <c r="V1007" s="14"/>
      <c r="W1007" s="14"/>
      <c r="X1007" s="1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G1007" s="4"/>
      <c r="BH1007" s="4"/>
    </row>
    <row r="1008" spans="1:60" x14ac:dyDescent="0.35">
      <c r="A1008" s="4"/>
      <c r="B1008" s="8" t="str">
        <f t="shared" si="74"/>
        <v/>
      </c>
      <c r="D1008" s="6" t="str">
        <f t="shared" si="75"/>
        <v/>
      </c>
      <c r="E1008" s="6" t="str">
        <f t="shared" si="76"/>
        <v/>
      </c>
      <c r="F1008" s="6" t="str">
        <f t="shared" si="77"/>
        <v/>
      </c>
      <c r="G1008" s="4"/>
      <c r="H1008" s="4"/>
      <c r="I1008" s="4"/>
      <c r="J1008" s="4"/>
      <c r="K1008" s="4"/>
      <c r="L1008" s="4"/>
      <c r="M1008" s="4"/>
      <c r="N1008" s="4"/>
      <c r="O1008" s="4"/>
      <c r="P1008" s="4"/>
      <c r="Q1008" s="4"/>
      <c r="R1008" s="14"/>
      <c r="S1008" s="14"/>
      <c r="T1008" s="14"/>
      <c r="U1008" s="14"/>
      <c r="V1008" s="14"/>
      <c r="W1008" s="14"/>
      <c r="X1008" s="1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G1008" s="4"/>
      <c r="BH1008" s="4"/>
    </row>
    <row r="1009" spans="1:60" x14ac:dyDescent="0.35">
      <c r="A1009" s="4"/>
      <c r="B1009" s="8" t="str">
        <f t="shared" si="74"/>
        <v/>
      </c>
      <c r="D1009" s="6" t="str">
        <f t="shared" si="75"/>
        <v/>
      </c>
      <c r="E1009" s="6" t="str">
        <f t="shared" si="76"/>
        <v/>
      </c>
      <c r="F1009" s="6" t="str">
        <f t="shared" si="77"/>
        <v/>
      </c>
      <c r="G1009" s="4"/>
      <c r="H1009" s="4"/>
      <c r="I1009" s="4"/>
      <c r="J1009" s="4"/>
      <c r="K1009" s="4"/>
      <c r="L1009" s="4"/>
      <c r="M1009" s="4"/>
      <c r="N1009" s="4"/>
      <c r="O1009" s="4"/>
      <c r="P1009" s="4"/>
      <c r="Q1009" s="4"/>
      <c r="R1009" s="14"/>
      <c r="S1009" s="14"/>
      <c r="T1009" s="14"/>
      <c r="U1009" s="14"/>
      <c r="V1009" s="14"/>
      <c r="W1009" s="14"/>
      <c r="X1009" s="1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G1009" s="4"/>
      <c r="BH1009" s="4"/>
    </row>
    <row r="1010" spans="1:60" x14ac:dyDescent="0.35">
      <c r="A1010" s="4"/>
      <c r="B1010" s="8" t="str">
        <f t="shared" si="74"/>
        <v/>
      </c>
      <c r="D1010" s="6" t="str">
        <f t="shared" si="75"/>
        <v/>
      </c>
      <c r="E1010" s="6" t="str">
        <f t="shared" si="76"/>
        <v/>
      </c>
      <c r="F1010" s="6" t="str">
        <f t="shared" si="77"/>
        <v/>
      </c>
      <c r="G1010" s="4"/>
      <c r="H1010" s="4"/>
      <c r="I1010" s="4"/>
      <c r="J1010" s="4"/>
      <c r="K1010" s="4"/>
      <c r="L1010" s="4"/>
      <c r="M1010" s="4"/>
      <c r="N1010" s="4"/>
      <c r="O1010" s="4"/>
      <c r="P1010" s="4"/>
      <c r="Q1010" s="4"/>
      <c r="R1010" s="14"/>
      <c r="S1010" s="14"/>
      <c r="T1010" s="14"/>
      <c r="U1010" s="14"/>
      <c r="V1010" s="14"/>
      <c r="W1010" s="14"/>
      <c r="X1010" s="1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G1010" s="4"/>
      <c r="BH1010" s="4"/>
    </row>
    <row r="1011" spans="1:60" x14ac:dyDescent="0.35">
      <c r="A1011" s="4"/>
      <c r="B1011" s="8" t="str">
        <f t="shared" si="74"/>
        <v/>
      </c>
      <c r="D1011" s="6" t="str">
        <f t="shared" si="75"/>
        <v/>
      </c>
      <c r="E1011" s="6" t="str">
        <f t="shared" si="76"/>
        <v/>
      </c>
      <c r="F1011" s="6" t="str">
        <f t="shared" si="77"/>
        <v/>
      </c>
      <c r="G1011" s="4"/>
      <c r="H1011" s="4"/>
      <c r="I1011" s="4"/>
      <c r="J1011" s="4"/>
      <c r="K1011" s="4"/>
      <c r="L1011" s="4"/>
      <c r="M1011" s="4"/>
      <c r="N1011" s="4"/>
      <c r="O1011" s="4"/>
      <c r="P1011" s="4"/>
      <c r="Q1011" s="4"/>
      <c r="R1011" s="14"/>
      <c r="S1011" s="14"/>
      <c r="T1011" s="14"/>
      <c r="U1011" s="14"/>
      <c r="V1011" s="14"/>
      <c r="W1011" s="14"/>
      <c r="X1011" s="1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G1011" s="4"/>
      <c r="BH1011" s="4"/>
    </row>
    <row r="1012" spans="1:60" x14ac:dyDescent="0.35">
      <c r="A1012" s="4"/>
      <c r="B1012" s="8" t="str">
        <f t="shared" si="74"/>
        <v/>
      </c>
      <c r="D1012" s="6" t="str">
        <f t="shared" si="75"/>
        <v/>
      </c>
      <c r="E1012" s="6" t="str">
        <f t="shared" si="76"/>
        <v/>
      </c>
      <c r="F1012" s="6" t="str">
        <f t="shared" si="77"/>
        <v/>
      </c>
      <c r="G1012" s="4"/>
      <c r="H1012" s="4"/>
      <c r="I1012" s="4"/>
      <c r="J1012" s="4"/>
      <c r="K1012" s="4"/>
      <c r="L1012" s="4"/>
      <c r="M1012" s="4"/>
      <c r="N1012" s="4"/>
      <c r="O1012" s="4"/>
      <c r="P1012" s="4"/>
      <c r="Q1012" s="4"/>
      <c r="R1012" s="14"/>
      <c r="S1012" s="14"/>
      <c r="T1012" s="14"/>
      <c r="U1012" s="14"/>
      <c r="V1012" s="14"/>
      <c r="W1012" s="14"/>
      <c r="X1012" s="1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G1012" s="4"/>
      <c r="BH1012" s="4"/>
    </row>
    <row r="1013" spans="1:60" x14ac:dyDescent="0.35">
      <c r="A1013" s="4"/>
      <c r="B1013" s="8" t="str">
        <f t="shared" si="74"/>
        <v/>
      </c>
      <c r="D1013" s="6" t="str">
        <f t="shared" si="75"/>
        <v/>
      </c>
      <c r="E1013" s="6" t="str">
        <f t="shared" si="76"/>
        <v/>
      </c>
      <c r="F1013" s="6" t="str">
        <f t="shared" si="77"/>
        <v/>
      </c>
      <c r="G1013" s="4"/>
      <c r="H1013" s="4"/>
      <c r="I1013" s="4"/>
      <c r="J1013" s="4"/>
      <c r="K1013" s="4"/>
      <c r="L1013" s="4"/>
      <c r="M1013" s="4"/>
      <c r="N1013" s="4"/>
      <c r="O1013" s="4"/>
      <c r="P1013" s="4"/>
      <c r="Q1013" s="4"/>
      <c r="R1013" s="14"/>
      <c r="S1013" s="14"/>
      <c r="T1013" s="14"/>
      <c r="U1013" s="14"/>
      <c r="V1013" s="14"/>
      <c r="W1013" s="14"/>
      <c r="X1013" s="1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G1013" s="4"/>
      <c r="BH1013" s="4"/>
    </row>
    <row r="1014" spans="1:60" x14ac:dyDescent="0.35">
      <c r="A1014" s="4"/>
      <c r="B1014" s="8" t="str">
        <f t="shared" si="74"/>
        <v/>
      </c>
      <c r="D1014" s="6" t="str">
        <f t="shared" si="75"/>
        <v/>
      </c>
      <c r="E1014" s="6" t="str">
        <f t="shared" si="76"/>
        <v/>
      </c>
      <c r="F1014" s="6" t="str">
        <f t="shared" si="77"/>
        <v/>
      </c>
      <c r="G1014" s="4"/>
      <c r="H1014" s="4"/>
      <c r="I1014" s="4"/>
      <c r="J1014" s="4"/>
      <c r="K1014" s="4"/>
      <c r="L1014" s="4"/>
      <c r="M1014" s="4"/>
      <c r="N1014" s="4"/>
      <c r="O1014" s="4"/>
      <c r="P1014" s="4"/>
      <c r="Q1014" s="4"/>
      <c r="R1014" s="14"/>
      <c r="S1014" s="14"/>
      <c r="T1014" s="14"/>
      <c r="U1014" s="14"/>
      <c r="V1014" s="14"/>
      <c r="W1014" s="14"/>
      <c r="X1014" s="1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G1014" s="4"/>
      <c r="BH1014" s="4"/>
    </row>
    <row r="1015" spans="1:60" x14ac:dyDescent="0.35">
      <c r="A1015" s="4"/>
      <c r="B1015" s="8" t="str">
        <f t="shared" si="74"/>
        <v/>
      </c>
      <c r="D1015" s="6" t="str">
        <f t="shared" si="75"/>
        <v/>
      </c>
      <c r="E1015" s="6" t="str">
        <f t="shared" si="76"/>
        <v/>
      </c>
      <c r="F1015" s="6" t="str">
        <f t="shared" si="77"/>
        <v/>
      </c>
      <c r="G1015" s="4"/>
      <c r="H1015" s="4"/>
      <c r="I1015" s="4"/>
      <c r="J1015" s="4"/>
      <c r="K1015" s="4"/>
      <c r="L1015" s="4"/>
      <c r="M1015" s="4"/>
      <c r="N1015" s="4"/>
      <c r="O1015" s="4"/>
      <c r="P1015" s="4"/>
      <c r="Q1015" s="4"/>
      <c r="R1015" s="14"/>
      <c r="S1015" s="14"/>
      <c r="T1015" s="14"/>
      <c r="U1015" s="14"/>
      <c r="V1015" s="14"/>
      <c r="W1015" s="14"/>
      <c r="X1015" s="1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G1015" s="4"/>
      <c r="BH1015" s="4"/>
    </row>
    <row r="1016" spans="1:60" x14ac:dyDescent="0.35">
      <c r="A1016" s="4"/>
      <c r="B1016" s="8" t="str">
        <f t="shared" si="74"/>
        <v/>
      </c>
      <c r="D1016" s="6" t="str">
        <f t="shared" si="75"/>
        <v/>
      </c>
      <c r="E1016" s="6" t="str">
        <f t="shared" si="76"/>
        <v/>
      </c>
      <c r="F1016" s="6" t="str">
        <f t="shared" si="77"/>
        <v/>
      </c>
      <c r="G1016" s="4"/>
      <c r="H1016" s="4"/>
      <c r="I1016" s="4"/>
      <c r="J1016" s="4"/>
      <c r="K1016" s="4"/>
      <c r="L1016" s="4"/>
      <c r="M1016" s="4"/>
      <c r="N1016" s="4"/>
      <c r="O1016" s="4"/>
      <c r="P1016" s="4"/>
      <c r="Q1016" s="4"/>
      <c r="R1016" s="14"/>
      <c r="S1016" s="14"/>
      <c r="T1016" s="14"/>
      <c r="U1016" s="14"/>
      <c r="V1016" s="14"/>
      <c r="W1016" s="14"/>
      <c r="X1016" s="1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G1016" s="4"/>
      <c r="BH1016" s="4"/>
    </row>
    <row r="1017" spans="1:60" x14ac:dyDescent="0.35">
      <c r="A1017" s="4"/>
      <c r="B1017" s="8" t="str">
        <f t="shared" si="74"/>
        <v/>
      </c>
      <c r="D1017" s="6" t="str">
        <f t="shared" si="75"/>
        <v/>
      </c>
      <c r="E1017" s="6" t="str">
        <f t="shared" si="76"/>
        <v/>
      </c>
      <c r="F1017" s="6" t="str">
        <f t="shared" si="77"/>
        <v/>
      </c>
      <c r="G1017" s="4"/>
      <c r="H1017" s="4"/>
      <c r="I1017" s="4"/>
      <c r="J1017" s="4"/>
      <c r="K1017" s="4"/>
      <c r="L1017" s="4"/>
      <c r="M1017" s="4"/>
      <c r="N1017" s="4"/>
      <c r="O1017" s="4"/>
      <c r="P1017" s="4"/>
      <c r="Q1017" s="4"/>
      <c r="R1017" s="14"/>
      <c r="S1017" s="14"/>
      <c r="T1017" s="14"/>
      <c r="U1017" s="14"/>
      <c r="V1017" s="14"/>
      <c r="W1017" s="14"/>
      <c r="X1017" s="1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G1017" s="4"/>
      <c r="BH1017" s="4"/>
    </row>
    <row r="1018" spans="1:60" x14ac:dyDescent="0.35">
      <c r="A1018" s="4"/>
      <c r="B1018" s="8" t="str">
        <f t="shared" si="74"/>
        <v/>
      </c>
      <c r="D1018" s="6" t="str">
        <f t="shared" si="75"/>
        <v/>
      </c>
      <c r="E1018" s="6" t="str">
        <f t="shared" si="76"/>
        <v/>
      </c>
      <c r="F1018" s="6" t="str">
        <f t="shared" si="77"/>
        <v/>
      </c>
      <c r="G1018" s="4"/>
      <c r="H1018" s="4"/>
      <c r="I1018" s="4"/>
      <c r="J1018" s="4"/>
      <c r="K1018" s="4"/>
      <c r="L1018" s="4"/>
      <c r="M1018" s="4"/>
      <c r="N1018" s="4"/>
      <c r="O1018" s="4"/>
      <c r="P1018" s="4"/>
      <c r="Q1018" s="4"/>
      <c r="R1018" s="14"/>
      <c r="S1018" s="14"/>
      <c r="T1018" s="14"/>
      <c r="U1018" s="14"/>
      <c r="V1018" s="14"/>
      <c r="W1018" s="14"/>
      <c r="X1018" s="1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G1018" s="4"/>
      <c r="BH1018" s="4"/>
    </row>
    <row r="1019" spans="1:60" x14ac:dyDescent="0.35">
      <c r="A1019" s="4"/>
      <c r="B1019" s="8" t="str">
        <f t="shared" si="74"/>
        <v/>
      </c>
      <c r="D1019" s="6" t="str">
        <f t="shared" si="75"/>
        <v/>
      </c>
      <c r="E1019" s="6" t="str">
        <f t="shared" si="76"/>
        <v/>
      </c>
      <c r="F1019" s="6" t="str">
        <f t="shared" si="77"/>
        <v/>
      </c>
      <c r="G1019" s="4"/>
      <c r="H1019" s="4"/>
      <c r="I1019" s="4"/>
      <c r="J1019" s="4"/>
      <c r="K1019" s="4"/>
      <c r="L1019" s="4"/>
      <c r="M1019" s="4"/>
      <c r="N1019" s="4"/>
      <c r="O1019" s="4"/>
      <c r="P1019" s="4"/>
      <c r="Q1019" s="4"/>
      <c r="R1019" s="14"/>
      <c r="S1019" s="14"/>
      <c r="T1019" s="14"/>
      <c r="U1019" s="14"/>
      <c r="V1019" s="14"/>
      <c r="W1019" s="14"/>
      <c r="X1019" s="1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G1019" s="4"/>
      <c r="BH1019" s="4"/>
    </row>
    <row r="1020" spans="1:60" x14ac:dyDescent="0.35">
      <c r="A1020" s="4"/>
      <c r="B1020" s="8" t="str">
        <f t="shared" si="74"/>
        <v/>
      </c>
      <c r="D1020" s="6" t="str">
        <f t="shared" si="75"/>
        <v/>
      </c>
      <c r="E1020" s="6" t="str">
        <f t="shared" si="76"/>
        <v/>
      </c>
      <c r="F1020" s="6" t="str">
        <f t="shared" si="77"/>
        <v/>
      </c>
      <c r="G1020" s="4"/>
      <c r="H1020" s="4"/>
      <c r="I1020" s="4"/>
      <c r="J1020" s="4"/>
      <c r="K1020" s="4"/>
      <c r="L1020" s="4"/>
      <c r="M1020" s="4"/>
      <c r="N1020" s="4"/>
      <c r="O1020" s="4"/>
      <c r="P1020" s="4"/>
      <c r="Q1020" s="4"/>
      <c r="R1020" s="14"/>
      <c r="S1020" s="14"/>
      <c r="T1020" s="14"/>
      <c r="U1020" s="14"/>
      <c r="V1020" s="14"/>
      <c r="W1020" s="14"/>
      <c r="X1020" s="1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G1020" s="4"/>
      <c r="BH1020" s="4"/>
    </row>
    <row r="1021" spans="1:60" x14ac:dyDescent="0.35">
      <c r="A1021" s="4"/>
      <c r="B1021" s="8" t="str">
        <f t="shared" ref="B1021:B1084" si="78">RIGHT(A1021,4)</f>
        <v/>
      </c>
      <c r="D1021" s="6" t="str">
        <f t="shared" ref="D1021:D1084" si="79">IF(C1021="","",VLOOKUP(C1021,district_region,2,FALSE))</f>
        <v/>
      </c>
      <c r="E1021" s="6" t="str">
        <f t="shared" ref="E1021:E1084" si="80">IF(C1021="","",VLOOKUP(C1021,liste_pop,3,FALSE))</f>
        <v/>
      </c>
      <c r="F1021" s="6" t="str">
        <f t="shared" ref="F1021:F1084" si="81">IF(D1021="","",IF(D1021="Dakar",4042240,VLOOKUP(D1021,liste_pop,4,FALSE)))</f>
        <v/>
      </c>
      <c r="G1021" s="4"/>
      <c r="H1021" s="4"/>
      <c r="I1021" s="4"/>
      <c r="J1021" s="4"/>
      <c r="K1021" s="4"/>
      <c r="L1021" s="4"/>
      <c r="M1021" s="4"/>
      <c r="N1021" s="4"/>
      <c r="O1021" s="4"/>
      <c r="P1021" s="4"/>
      <c r="Q1021" s="4"/>
      <c r="R1021" s="14"/>
      <c r="S1021" s="14"/>
      <c r="T1021" s="14"/>
      <c r="U1021" s="14"/>
      <c r="V1021" s="14"/>
      <c r="W1021" s="14"/>
      <c r="X1021" s="1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G1021" s="4"/>
      <c r="BH1021" s="4"/>
    </row>
    <row r="1022" spans="1:60" x14ac:dyDescent="0.35">
      <c r="A1022" s="4"/>
      <c r="B1022" s="8" t="str">
        <f t="shared" si="78"/>
        <v/>
      </c>
      <c r="D1022" s="6" t="str">
        <f t="shared" si="79"/>
        <v/>
      </c>
      <c r="E1022" s="6" t="str">
        <f t="shared" si="80"/>
        <v/>
      </c>
      <c r="F1022" s="6" t="str">
        <f t="shared" si="81"/>
        <v/>
      </c>
      <c r="G1022" s="4"/>
      <c r="H1022" s="4"/>
      <c r="I1022" s="4"/>
      <c r="J1022" s="4"/>
      <c r="K1022" s="4"/>
      <c r="L1022" s="4"/>
      <c r="M1022" s="4"/>
      <c r="N1022" s="4"/>
      <c r="O1022" s="4"/>
      <c r="P1022" s="4"/>
      <c r="Q1022" s="4"/>
      <c r="R1022" s="14"/>
      <c r="S1022" s="14"/>
      <c r="T1022" s="14"/>
      <c r="U1022" s="14"/>
      <c r="V1022" s="14"/>
      <c r="W1022" s="14"/>
      <c r="X1022" s="1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G1022" s="4"/>
      <c r="BH1022" s="4"/>
    </row>
    <row r="1023" spans="1:60" x14ac:dyDescent="0.35">
      <c r="A1023" s="4"/>
      <c r="B1023" s="8" t="str">
        <f t="shared" si="78"/>
        <v/>
      </c>
      <c r="D1023" s="6" t="str">
        <f t="shared" si="79"/>
        <v/>
      </c>
      <c r="E1023" s="6" t="str">
        <f t="shared" si="80"/>
        <v/>
      </c>
      <c r="F1023" s="6" t="str">
        <f t="shared" si="81"/>
        <v/>
      </c>
      <c r="G1023" s="4"/>
      <c r="H1023" s="4"/>
      <c r="I1023" s="4"/>
      <c r="J1023" s="4"/>
      <c r="K1023" s="4"/>
      <c r="L1023" s="4"/>
      <c r="M1023" s="4"/>
      <c r="N1023" s="4"/>
      <c r="O1023" s="4"/>
      <c r="P1023" s="4"/>
      <c r="Q1023" s="4"/>
      <c r="R1023" s="14"/>
      <c r="S1023" s="14"/>
      <c r="T1023" s="14"/>
      <c r="U1023" s="14"/>
      <c r="V1023" s="14"/>
      <c r="W1023" s="14"/>
      <c r="X1023" s="1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G1023" s="4"/>
      <c r="BH1023" s="4"/>
    </row>
    <row r="1024" spans="1:60" x14ac:dyDescent="0.35">
      <c r="A1024" s="4"/>
      <c r="B1024" s="8" t="str">
        <f t="shared" si="78"/>
        <v/>
      </c>
      <c r="D1024" s="6" t="str">
        <f t="shared" si="79"/>
        <v/>
      </c>
      <c r="E1024" s="6" t="str">
        <f t="shared" si="80"/>
        <v/>
      </c>
      <c r="F1024" s="6" t="str">
        <f t="shared" si="81"/>
        <v/>
      </c>
      <c r="G1024" s="4"/>
      <c r="H1024" s="4"/>
      <c r="I1024" s="4"/>
      <c r="J1024" s="4"/>
      <c r="K1024" s="4"/>
      <c r="L1024" s="4"/>
      <c r="M1024" s="4"/>
      <c r="N1024" s="4"/>
      <c r="O1024" s="4"/>
      <c r="P1024" s="4"/>
      <c r="Q1024" s="4"/>
      <c r="R1024" s="14"/>
      <c r="S1024" s="14"/>
      <c r="T1024" s="14"/>
      <c r="U1024" s="14"/>
      <c r="V1024" s="14"/>
      <c r="W1024" s="14"/>
      <c r="X1024" s="1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G1024" s="4"/>
      <c r="BH1024" s="4"/>
    </row>
    <row r="1025" spans="1:60" x14ac:dyDescent="0.35">
      <c r="A1025" s="4"/>
      <c r="B1025" s="8" t="str">
        <f t="shared" si="78"/>
        <v/>
      </c>
      <c r="D1025" s="6" t="str">
        <f t="shared" si="79"/>
        <v/>
      </c>
      <c r="E1025" s="6" t="str">
        <f t="shared" si="80"/>
        <v/>
      </c>
      <c r="F1025" s="6" t="str">
        <f t="shared" si="81"/>
        <v/>
      </c>
      <c r="G1025" s="4"/>
      <c r="H1025" s="4"/>
      <c r="I1025" s="4"/>
      <c r="J1025" s="4"/>
      <c r="K1025" s="4"/>
      <c r="L1025" s="4"/>
      <c r="M1025" s="4"/>
      <c r="N1025" s="4"/>
      <c r="O1025" s="4"/>
      <c r="P1025" s="4"/>
      <c r="Q1025" s="4"/>
      <c r="R1025" s="14"/>
      <c r="S1025" s="14"/>
      <c r="T1025" s="14"/>
      <c r="U1025" s="14"/>
      <c r="V1025" s="14"/>
      <c r="W1025" s="14"/>
      <c r="X1025" s="1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G1025" s="4"/>
      <c r="BH1025" s="4"/>
    </row>
    <row r="1026" spans="1:60" x14ac:dyDescent="0.35">
      <c r="A1026" s="4"/>
      <c r="B1026" s="8" t="str">
        <f t="shared" si="78"/>
        <v/>
      </c>
      <c r="D1026" s="6" t="str">
        <f t="shared" si="79"/>
        <v/>
      </c>
      <c r="E1026" s="6" t="str">
        <f t="shared" si="80"/>
        <v/>
      </c>
      <c r="F1026" s="6" t="str">
        <f t="shared" si="81"/>
        <v/>
      </c>
      <c r="G1026" s="4"/>
      <c r="H1026" s="4"/>
      <c r="I1026" s="4"/>
      <c r="J1026" s="4"/>
      <c r="K1026" s="4"/>
      <c r="L1026" s="4"/>
      <c r="M1026" s="4"/>
      <c r="N1026" s="4"/>
      <c r="O1026" s="4"/>
      <c r="P1026" s="4"/>
      <c r="Q1026" s="4"/>
      <c r="R1026" s="14"/>
      <c r="S1026" s="14"/>
      <c r="T1026" s="14"/>
      <c r="U1026" s="14"/>
      <c r="V1026" s="14"/>
      <c r="W1026" s="14"/>
      <c r="X1026" s="1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G1026" s="4"/>
      <c r="BH1026" s="4"/>
    </row>
    <row r="1027" spans="1:60" x14ac:dyDescent="0.35">
      <c r="A1027" s="4"/>
      <c r="B1027" s="8" t="str">
        <f t="shared" si="78"/>
        <v/>
      </c>
      <c r="D1027" s="6" t="str">
        <f t="shared" si="79"/>
        <v/>
      </c>
      <c r="E1027" s="6" t="str">
        <f t="shared" si="80"/>
        <v/>
      </c>
      <c r="F1027" s="6" t="str">
        <f t="shared" si="81"/>
        <v/>
      </c>
      <c r="G1027" s="4"/>
      <c r="H1027" s="4"/>
      <c r="I1027" s="4"/>
      <c r="J1027" s="4"/>
      <c r="K1027" s="4"/>
      <c r="L1027" s="4"/>
      <c r="M1027" s="4"/>
      <c r="N1027" s="4"/>
      <c r="O1027" s="4"/>
      <c r="P1027" s="4"/>
      <c r="Q1027" s="4"/>
      <c r="R1027" s="14"/>
      <c r="S1027" s="14"/>
      <c r="T1027" s="14"/>
      <c r="U1027" s="14"/>
      <c r="V1027" s="14"/>
      <c r="W1027" s="14"/>
      <c r="X1027" s="1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G1027" s="4"/>
      <c r="BH1027" s="4"/>
    </row>
    <row r="1028" spans="1:60" x14ac:dyDescent="0.35">
      <c r="A1028" s="4"/>
      <c r="B1028" s="8" t="str">
        <f t="shared" si="78"/>
        <v/>
      </c>
      <c r="D1028" s="6" t="str">
        <f t="shared" si="79"/>
        <v/>
      </c>
      <c r="E1028" s="6" t="str">
        <f t="shared" si="80"/>
        <v/>
      </c>
      <c r="F1028" s="6" t="str">
        <f t="shared" si="81"/>
        <v/>
      </c>
      <c r="G1028" s="4"/>
      <c r="H1028" s="4"/>
      <c r="I1028" s="4"/>
      <c r="J1028" s="4"/>
      <c r="K1028" s="4"/>
      <c r="L1028" s="4"/>
      <c r="M1028" s="4"/>
      <c r="N1028" s="4"/>
      <c r="O1028" s="4"/>
      <c r="P1028" s="4"/>
      <c r="Q1028" s="4"/>
      <c r="R1028" s="14"/>
      <c r="S1028" s="14"/>
      <c r="T1028" s="14"/>
      <c r="U1028" s="14"/>
      <c r="V1028" s="14"/>
      <c r="W1028" s="14"/>
      <c r="X1028" s="1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G1028" s="4"/>
      <c r="BH1028" s="4"/>
    </row>
    <row r="1029" spans="1:60" x14ac:dyDescent="0.35">
      <c r="A1029" s="4"/>
      <c r="B1029" s="8" t="str">
        <f t="shared" si="78"/>
        <v/>
      </c>
      <c r="D1029" s="6" t="str">
        <f t="shared" si="79"/>
        <v/>
      </c>
      <c r="E1029" s="6" t="str">
        <f t="shared" si="80"/>
        <v/>
      </c>
      <c r="F1029" s="6" t="str">
        <f t="shared" si="81"/>
        <v/>
      </c>
      <c r="G1029" s="4"/>
      <c r="H1029" s="4"/>
      <c r="I1029" s="4"/>
      <c r="J1029" s="4"/>
      <c r="K1029" s="4"/>
      <c r="L1029" s="4"/>
      <c r="M1029" s="4"/>
      <c r="N1029" s="4"/>
      <c r="O1029" s="4"/>
      <c r="P1029" s="4"/>
      <c r="Q1029" s="4"/>
      <c r="R1029" s="14"/>
      <c r="S1029" s="14"/>
      <c r="T1029" s="14"/>
      <c r="U1029" s="14"/>
      <c r="V1029" s="14"/>
      <c r="W1029" s="14"/>
      <c r="X1029" s="1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G1029" s="4"/>
      <c r="BH1029" s="4"/>
    </row>
    <row r="1030" spans="1:60" x14ac:dyDescent="0.35">
      <c r="A1030" s="4"/>
      <c r="B1030" s="8" t="str">
        <f t="shared" si="78"/>
        <v/>
      </c>
      <c r="D1030" s="6" t="str">
        <f t="shared" si="79"/>
        <v/>
      </c>
      <c r="E1030" s="6" t="str">
        <f t="shared" si="80"/>
        <v/>
      </c>
      <c r="F1030" s="6" t="str">
        <f t="shared" si="81"/>
        <v/>
      </c>
      <c r="G1030" s="4"/>
      <c r="H1030" s="4"/>
      <c r="I1030" s="4"/>
      <c r="J1030" s="4"/>
      <c r="K1030" s="4"/>
      <c r="L1030" s="4"/>
      <c r="M1030" s="4"/>
      <c r="N1030" s="4"/>
      <c r="O1030" s="4"/>
      <c r="P1030" s="4"/>
      <c r="Q1030" s="4"/>
      <c r="R1030" s="14"/>
      <c r="S1030" s="14"/>
      <c r="T1030" s="14"/>
      <c r="U1030" s="14"/>
      <c r="V1030" s="14"/>
      <c r="W1030" s="14"/>
      <c r="X1030" s="1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G1030" s="4"/>
      <c r="BH1030" s="4"/>
    </row>
    <row r="1031" spans="1:60" x14ac:dyDescent="0.35">
      <c r="A1031" s="4"/>
      <c r="B1031" s="8" t="str">
        <f t="shared" si="78"/>
        <v/>
      </c>
      <c r="D1031" s="6" t="str">
        <f t="shared" si="79"/>
        <v/>
      </c>
      <c r="E1031" s="6" t="str">
        <f t="shared" si="80"/>
        <v/>
      </c>
      <c r="F1031" s="6" t="str">
        <f t="shared" si="81"/>
        <v/>
      </c>
      <c r="G1031" s="4"/>
      <c r="H1031" s="4"/>
      <c r="I1031" s="4"/>
      <c r="J1031" s="4"/>
      <c r="K1031" s="4"/>
      <c r="L1031" s="4"/>
      <c r="M1031" s="4"/>
      <c r="N1031" s="4"/>
      <c r="O1031" s="4"/>
      <c r="P1031" s="4"/>
      <c r="Q1031" s="4"/>
      <c r="R1031" s="14"/>
      <c r="S1031" s="14"/>
      <c r="T1031" s="14"/>
      <c r="U1031" s="14"/>
      <c r="V1031" s="14"/>
      <c r="W1031" s="14"/>
      <c r="X1031" s="1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G1031" s="4"/>
      <c r="BH1031" s="4"/>
    </row>
    <row r="1032" spans="1:60" x14ac:dyDescent="0.35">
      <c r="A1032" s="4"/>
      <c r="B1032" s="8" t="str">
        <f t="shared" si="78"/>
        <v/>
      </c>
      <c r="D1032" s="6" t="str">
        <f t="shared" si="79"/>
        <v/>
      </c>
      <c r="E1032" s="6" t="str">
        <f t="shared" si="80"/>
        <v/>
      </c>
      <c r="F1032" s="6" t="str">
        <f t="shared" si="81"/>
        <v/>
      </c>
      <c r="G1032" s="4"/>
      <c r="H1032" s="4"/>
      <c r="I1032" s="4"/>
      <c r="J1032" s="4"/>
      <c r="K1032" s="4"/>
      <c r="L1032" s="4"/>
      <c r="M1032" s="4"/>
      <c r="N1032" s="4"/>
      <c r="O1032" s="4"/>
      <c r="P1032" s="4"/>
      <c r="Q1032" s="4"/>
      <c r="R1032" s="14"/>
      <c r="S1032" s="14"/>
      <c r="T1032" s="14"/>
      <c r="U1032" s="14"/>
      <c r="V1032" s="14"/>
      <c r="W1032" s="14"/>
      <c r="X1032" s="1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G1032" s="4"/>
      <c r="BH1032" s="4"/>
    </row>
    <row r="1033" spans="1:60" x14ac:dyDescent="0.35">
      <c r="A1033" s="4"/>
      <c r="B1033" s="8" t="str">
        <f t="shared" si="78"/>
        <v/>
      </c>
      <c r="D1033" s="6" t="str">
        <f t="shared" si="79"/>
        <v/>
      </c>
      <c r="E1033" s="6" t="str">
        <f t="shared" si="80"/>
        <v/>
      </c>
      <c r="F1033" s="6" t="str">
        <f t="shared" si="81"/>
        <v/>
      </c>
      <c r="G1033" s="4"/>
      <c r="H1033" s="4"/>
      <c r="I1033" s="4"/>
      <c r="J1033" s="4"/>
      <c r="K1033" s="4"/>
      <c r="L1033" s="4"/>
      <c r="M1033" s="4"/>
      <c r="N1033" s="4"/>
      <c r="O1033" s="4"/>
      <c r="P1033" s="4"/>
      <c r="Q1033" s="4"/>
      <c r="R1033" s="14"/>
      <c r="S1033" s="14"/>
      <c r="T1033" s="14"/>
      <c r="U1033" s="14"/>
      <c r="V1033" s="14"/>
      <c r="W1033" s="14"/>
      <c r="X1033" s="1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G1033" s="4"/>
      <c r="BH1033" s="4"/>
    </row>
    <row r="1034" spans="1:60" x14ac:dyDescent="0.35">
      <c r="A1034" s="4"/>
      <c r="B1034" s="8" t="str">
        <f t="shared" si="78"/>
        <v/>
      </c>
      <c r="D1034" s="6" t="str">
        <f t="shared" si="79"/>
        <v/>
      </c>
      <c r="E1034" s="6" t="str">
        <f t="shared" si="80"/>
        <v/>
      </c>
      <c r="F1034" s="6" t="str">
        <f t="shared" si="81"/>
        <v/>
      </c>
      <c r="G1034" s="4"/>
      <c r="H1034" s="4"/>
      <c r="I1034" s="4"/>
      <c r="J1034" s="4"/>
      <c r="K1034" s="4"/>
      <c r="L1034" s="4"/>
      <c r="M1034" s="4"/>
      <c r="N1034" s="4"/>
      <c r="O1034" s="4"/>
      <c r="P1034" s="4"/>
      <c r="Q1034" s="4"/>
      <c r="R1034" s="14"/>
      <c r="S1034" s="14"/>
      <c r="T1034" s="14"/>
      <c r="U1034" s="14"/>
      <c r="V1034" s="14"/>
      <c r="W1034" s="14"/>
      <c r="X1034" s="1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G1034" s="4"/>
      <c r="BH1034" s="4"/>
    </row>
    <row r="1035" spans="1:60" x14ac:dyDescent="0.35">
      <c r="A1035" s="4"/>
      <c r="B1035" s="8" t="str">
        <f t="shared" si="78"/>
        <v/>
      </c>
      <c r="D1035" s="6" t="str">
        <f t="shared" si="79"/>
        <v/>
      </c>
      <c r="E1035" s="6" t="str">
        <f t="shared" si="80"/>
        <v/>
      </c>
      <c r="F1035" s="6" t="str">
        <f t="shared" si="81"/>
        <v/>
      </c>
      <c r="G1035" s="4"/>
      <c r="H1035" s="4"/>
      <c r="I1035" s="4"/>
      <c r="J1035" s="4"/>
      <c r="K1035" s="4"/>
      <c r="L1035" s="4"/>
      <c r="M1035" s="4"/>
      <c r="N1035" s="4"/>
      <c r="O1035" s="4"/>
      <c r="P1035" s="4"/>
      <c r="Q1035" s="4"/>
      <c r="R1035" s="14"/>
      <c r="S1035" s="14"/>
      <c r="T1035" s="14"/>
      <c r="U1035" s="14"/>
      <c r="V1035" s="14"/>
      <c r="W1035" s="14"/>
      <c r="X1035" s="1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G1035" s="4"/>
      <c r="BH1035" s="4"/>
    </row>
    <row r="1036" spans="1:60" x14ac:dyDescent="0.35">
      <c r="A1036" s="4"/>
      <c r="B1036" s="8" t="str">
        <f t="shared" si="78"/>
        <v/>
      </c>
      <c r="D1036" s="6" t="str">
        <f t="shared" si="79"/>
        <v/>
      </c>
      <c r="E1036" s="6" t="str">
        <f t="shared" si="80"/>
        <v/>
      </c>
      <c r="F1036" s="6" t="str">
        <f t="shared" si="81"/>
        <v/>
      </c>
      <c r="G1036" s="4"/>
      <c r="H1036" s="4"/>
      <c r="I1036" s="4"/>
      <c r="J1036" s="4"/>
      <c r="K1036" s="4"/>
      <c r="L1036" s="4"/>
      <c r="M1036" s="4"/>
      <c r="N1036" s="4"/>
      <c r="O1036" s="4"/>
      <c r="P1036" s="4"/>
      <c r="Q1036" s="4"/>
      <c r="R1036" s="14"/>
      <c r="S1036" s="14"/>
      <c r="T1036" s="14"/>
      <c r="U1036" s="14"/>
      <c r="V1036" s="14"/>
      <c r="W1036" s="14"/>
      <c r="X1036" s="1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G1036" s="4"/>
      <c r="BH1036" s="4"/>
    </row>
    <row r="1037" spans="1:60" x14ac:dyDescent="0.35">
      <c r="A1037" s="4"/>
      <c r="B1037" s="8" t="str">
        <f t="shared" si="78"/>
        <v/>
      </c>
      <c r="D1037" s="6" t="str">
        <f t="shared" si="79"/>
        <v/>
      </c>
      <c r="E1037" s="6" t="str">
        <f t="shared" si="80"/>
        <v/>
      </c>
      <c r="F1037" s="6" t="str">
        <f t="shared" si="81"/>
        <v/>
      </c>
      <c r="G1037" s="4"/>
      <c r="H1037" s="4"/>
      <c r="I1037" s="4"/>
      <c r="J1037" s="4"/>
      <c r="K1037" s="4"/>
      <c r="L1037" s="4"/>
      <c r="M1037" s="4"/>
      <c r="N1037" s="4"/>
      <c r="O1037" s="4"/>
      <c r="P1037" s="4"/>
      <c r="Q1037" s="4"/>
      <c r="R1037" s="14"/>
      <c r="S1037" s="14"/>
      <c r="T1037" s="14"/>
      <c r="U1037" s="14"/>
      <c r="V1037" s="14"/>
      <c r="W1037" s="14"/>
      <c r="X1037" s="1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G1037" s="4"/>
      <c r="BH1037" s="4"/>
    </row>
    <row r="1038" spans="1:60" x14ac:dyDescent="0.35">
      <c r="A1038" s="4"/>
      <c r="B1038" s="8" t="str">
        <f t="shared" si="78"/>
        <v/>
      </c>
      <c r="D1038" s="6" t="str">
        <f t="shared" si="79"/>
        <v/>
      </c>
      <c r="E1038" s="6" t="str">
        <f t="shared" si="80"/>
        <v/>
      </c>
      <c r="F1038" s="6" t="str">
        <f t="shared" si="81"/>
        <v/>
      </c>
      <c r="G1038" s="4"/>
      <c r="H1038" s="4"/>
      <c r="I1038" s="4"/>
      <c r="J1038" s="4"/>
      <c r="K1038" s="4"/>
      <c r="L1038" s="4"/>
      <c r="M1038" s="4"/>
      <c r="N1038" s="4"/>
      <c r="O1038" s="4"/>
      <c r="P1038" s="4"/>
      <c r="Q1038" s="4"/>
      <c r="R1038" s="14"/>
      <c r="S1038" s="14"/>
      <c r="T1038" s="14"/>
      <c r="U1038" s="14"/>
      <c r="V1038" s="14"/>
      <c r="W1038" s="14"/>
      <c r="X1038" s="1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G1038" s="4"/>
      <c r="BH1038" s="4"/>
    </row>
    <row r="1039" spans="1:60" x14ac:dyDescent="0.35">
      <c r="A1039" s="4"/>
      <c r="B1039" s="8" t="str">
        <f t="shared" si="78"/>
        <v/>
      </c>
      <c r="D1039" s="6" t="str">
        <f t="shared" si="79"/>
        <v/>
      </c>
      <c r="E1039" s="6" t="str">
        <f t="shared" si="80"/>
        <v/>
      </c>
      <c r="F1039" s="6" t="str">
        <f t="shared" si="81"/>
        <v/>
      </c>
      <c r="G1039" s="4"/>
      <c r="H1039" s="4"/>
      <c r="I1039" s="4"/>
      <c r="J1039" s="4"/>
      <c r="K1039" s="4"/>
      <c r="L1039" s="4"/>
      <c r="M1039" s="4"/>
      <c r="N1039" s="4"/>
      <c r="O1039" s="4"/>
      <c r="P1039" s="4"/>
      <c r="Q1039" s="4"/>
      <c r="R1039" s="14"/>
      <c r="S1039" s="14"/>
      <c r="T1039" s="14"/>
      <c r="U1039" s="14"/>
      <c r="V1039" s="14"/>
      <c r="W1039" s="14"/>
      <c r="X1039" s="1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G1039" s="4"/>
      <c r="BH1039" s="4"/>
    </row>
    <row r="1040" spans="1:60" x14ac:dyDescent="0.35">
      <c r="A1040" s="4"/>
      <c r="B1040" s="8" t="str">
        <f t="shared" si="78"/>
        <v/>
      </c>
      <c r="D1040" s="6" t="str">
        <f t="shared" si="79"/>
        <v/>
      </c>
      <c r="E1040" s="6" t="str">
        <f t="shared" si="80"/>
        <v/>
      </c>
      <c r="F1040" s="6" t="str">
        <f t="shared" si="81"/>
        <v/>
      </c>
      <c r="G1040" s="4"/>
      <c r="H1040" s="4"/>
      <c r="I1040" s="4"/>
      <c r="J1040" s="4"/>
      <c r="K1040" s="4"/>
      <c r="L1040" s="4"/>
      <c r="M1040" s="4"/>
      <c r="N1040" s="4"/>
      <c r="O1040" s="4"/>
      <c r="P1040" s="4"/>
      <c r="Q1040" s="4"/>
      <c r="R1040" s="14"/>
      <c r="S1040" s="14"/>
      <c r="T1040" s="14"/>
      <c r="U1040" s="14"/>
      <c r="V1040" s="14"/>
      <c r="W1040" s="14"/>
      <c r="X1040" s="1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G1040" s="4"/>
      <c r="BH1040" s="4"/>
    </row>
    <row r="1041" spans="1:60" x14ac:dyDescent="0.35">
      <c r="A1041" s="4"/>
      <c r="B1041" s="8" t="str">
        <f t="shared" si="78"/>
        <v/>
      </c>
      <c r="D1041" s="6" t="str">
        <f t="shared" si="79"/>
        <v/>
      </c>
      <c r="E1041" s="6" t="str">
        <f t="shared" si="80"/>
        <v/>
      </c>
      <c r="F1041" s="6" t="str">
        <f t="shared" si="81"/>
        <v/>
      </c>
      <c r="G1041" s="4"/>
      <c r="H1041" s="4"/>
      <c r="I1041" s="4"/>
      <c r="J1041" s="4"/>
      <c r="K1041" s="4"/>
      <c r="L1041" s="4"/>
      <c r="M1041" s="4"/>
      <c r="N1041" s="4"/>
      <c r="O1041" s="4"/>
      <c r="P1041" s="4"/>
      <c r="Q1041" s="4"/>
      <c r="R1041" s="14"/>
      <c r="S1041" s="14"/>
      <c r="T1041" s="14"/>
      <c r="U1041" s="14"/>
      <c r="V1041" s="14"/>
      <c r="W1041" s="14"/>
      <c r="X1041" s="1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G1041" s="4"/>
      <c r="BH1041" s="4"/>
    </row>
    <row r="1042" spans="1:60" x14ac:dyDescent="0.35">
      <c r="A1042" s="4"/>
      <c r="B1042" s="8" t="str">
        <f t="shared" si="78"/>
        <v/>
      </c>
      <c r="D1042" s="6" t="str">
        <f t="shared" si="79"/>
        <v/>
      </c>
      <c r="E1042" s="6" t="str">
        <f t="shared" si="80"/>
        <v/>
      </c>
      <c r="F1042" s="6" t="str">
        <f t="shared" si="81"/>
        <v/>
      </c>
      <c r="G1042" s="4"/>
      <c r="H1042" s="4"/>
      <c r="I1042" s="4"/>
      <c r="J1042" s="4"/>
      <c r="K1042" s="4"/>
      <c r="L1042" s="4"/>
      <c r="M1042" s="4"/>
      <c r="N1042" s="4"/>
      <c r="O1042" s="4"/>
      <c r="P1042" s="4"/>
      <c r="Q1042" s="4"/>
      <c r="R1042" s="14"/>
      <c r="S1042" s="14"/>
      <c r="T1042" s="14"/>
      <c r="U1042" s="14"/>
      <c r="V1042" s="14"/>
      <c r="W1042" s="14"/>
      <c r="X1042" s="1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G1042" s="4"/>
      <c r="BH1042" s="4"/>
    </row>
    <row r="1043" spans="1:60" x14ac:dyDescent="0.35">
      <c r="A1043" s="4"/>
      <c r="B1043" s="8" t="str">
        <f t="shared" si="78"/>
        <v/>
      </c>
      <c r="D1043" s="6" t="str">
        <f t="shared" si="79"/>
        <v/>
      </c>
      <c r="E1043" s="6" t="str">
        <f t="shared" si="80"/>
        <v/>
      </c>
      <c r="F1043" s="6" t="str">
        <f t="shared" si="81"/>
        <v/>
      </c>
      <c r="G1043" s="4"/>
      <c r="H1043" s="4"/>
      <c r="I1043" s="4"/>
      <c r="J1043" s="4"/>
      <c r="K1043" s="4"/>
      <c r="L1043" s="4"/>
      <c r="M1043" s="4"/>
      <c r="N1043" s="4"/>
      <c r="O1043" s="4"/>
      <c r="P1043" s="4"/>
      <c r="Q1043" s="4"/>
      <c r="R1043" s="14"/>
      <c r="S1043" s="14"/>
      <c r="T1043" s="14"/>
      <c r="U1043" s="14"/>
      <c r="V1043" s="14"/>
      <c r="W1043" s="14"/>
      <c r="X1043" s="1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G1043" s="4"/>
      <c r="BH1043" s="4"/>
    </row>
    <row r="1044" spans="1:60" x14ac:dyDescent="0.35">
      <c r="A1044" s="4"/>
      <c r="B1044" s="8" t="str">
        <f t="shared" si="78"/>
        <v/>
      </c>
      <c r="D1044" s="6" t="str">
        <f t="shared" si="79"/>
        <v/>
      </c>
      <c r="E1044" s="6" t="str">
        <f t="shared" si="80"/>
        <v/>
      </c>
      <c r="F1044" s="6" t="str">
        <f t="shared" si="81"/>
        <v/>
      </c>
      <c r="G1044" s="4"/>
      <c r="H1044" s="4"/>
      <c r="I1044" s="4"/>
      <c r="J1044" s="4"/>
      <c r="K1044" s="4"/>
      <c r="L1044" s="4"/>
      <c r="M1044" s="4"/>
      <c r="N1044" s="4"/>
      <c r="O1044" s="4"/>
      <c r="P1044" s="4"/>
      <c r="Q1044" s="4"/>
      <c r="R1044" s="14"/>
      <c r="S1044" s="14"/>
      <c r="T1044" s="14"/>
      <c r="U1044" s="14"/>
      <c r="V1044" s="14"/>
      <c r="W1044" s="14"/>
      <c r="X1044" s="1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G1044" s="4"/>
      <c r="BH1044" s="4"/>
    </row>
    <row r="1045" spans="1:60" x14ac:dyDescent="0.35">
      <c r="A1045" s="4"/>
      <c r="B1045" s="8" t="str">
        <f t="shared" si="78"/>
        <v/>
      </c>
      <c r="D1045" s="6" t="str">
        <f t="shared" si="79"/>
        <v/>
      </c>
      <c r="E1045" s="6" t="str">
        <f t="shared" si="80"/>
        <v/>
      </c>
      <c r="F1045" s="6" t="str">
        <f t="shared" si="81"/>
        <v/>
      </c>
      <c r="G1045" s="4"/>
      <c r="H1045" s="4"/>
      <c r="I1045" s="4"/>
      <c r="J1045" s="4"/>
      <c r="K1045" s="4"/>
      <c r="L1045" s="4"/>
      <c r="M1045" s="4"/>
      <c r="N1045" s="4"/>
      <c r="O1045" s="4"/>
      <c r="P1045" s="4"/>
      <c r="Q1045" s="4"/>
      <c r="R1045" s="14"/>
      <c r="S1045" s="14"/>
      <c r="T1045" s="14"/>
      <c r="U1045" s="14"/>
      <c r="V1045" s="14"/>
      <c r="W1045" s="14"/>
      <c r="X1045" s="1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G1045" s="4"/>
      <c r="BH1045" s="4"/>
    </row>
    <row r="1046" spans="1:60" x14ac:dyDescent="0.35">
      <c r="A1046" s="4"/>
      <c r="B1046" s="8" t="str">
        <f t="shared" si="78"/>
        <v/>
      </c>
      <c r="D1046" s="6" t="str">
        <f t="shared" si="79"/>
        <v/>
      </c>
      <c r="E1046" s="6" t="str">
        <f t="shared" si="80"/>
        <v/>
      </c>
      <c r="F1046" s="6" t="str">
        <f t="shared" si="81"/>
        <v/>
      </c>
      <c r="G1046" s="4"/>
      <c r="H1046" s="4"/>
      <c r="I1046" s="4"/>
      <c r="J1046" s="4"/>
      <c r="K1046" s="4"/>
      <c r="L1046" s="4"/>
      <c r="M1046" s="4"/>
      <c r="N1046" s="4"/>
      <c r="O1046" s="4"/>
      <c r="P1046" s="4"/>
      <c r="Q1046" s="4"/>
      <c r="R1046" s="14"/>
      <c r="S1046" s="14"/>
      <c r="T1046" s="14"/>
      <c r="U1046" s="14"/>
      <c r="V1046" s="14"/>
      <c r="W1046" s="14"/>
      <c r="X1046" s="1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G1046" s="4"/>
      <c r="BH1046" s="4"/>
    </row>
    <row r="1047" spans="1:60" x14ac:dyDescent="0.35">
      <c r="A1047" s="4"/>
      <c r="B1047" s="8" t="str">
        <f t="shared" si="78"/>
        <v/>
      </c>
      <c r="D1047" s="6" t="str">
        <f t="shared" si="79"/>
        <v/>
      </c>
      <c r="E1047" s="6" t="str">
        <f t="shared" si="80"/>
        <v/>
      </c>
      <c r="F1047" s="6" t="str">
        <f t="shared" si="81"/>
        <v/>
      </c>
      <c r="G1047" s="4"/>
      <c r="H1047" s="4"/>
      <c r="I1047" s="4"/>
      <c r="J1047" s="4"/>
      <c r="K1047" s="4"/>
      <c r="L1047" s="4"/>
      <c r="M1047" s="4"/>
      <c r="N1047" s="4"/>
      <c r="O1047" s="4"/>
      <c r="P1047" s="4"/>
      <c r="Q1047" s="4"/>
      <c r="R1047" s="14"/>
      <c r="S1047" s="14"/>
      <c r="T1047" s="14"/>
      <c r="U1047" s="14"/>
      <c r="V1047" s="14"/>
      <c r="W1047" s="14"/>
      <c r="X1047" s="1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G1047" s="4"/>
      <c r="BH1047" s="4"/>
    </row>
    <row r="1048" spans="1:60" x14ac:dyDescent="0.35">
      <c r="A1048" s="4"/>
      <c r="B1048" s="8" t="str">
        <f t="shared" si="78"/>
        <v/>
      </c>
      <c r="D1048" s="6" t="str">
        <f t="shared" si="79"/>
        <v/>
      </c>
      <c r="E1048" s="6" t="str">
        <f t="shared" si="80"/>
        <v/>
      </c>
      <c r="F1048" s="6" t="str">
        <f t="shared" si="81"/>
        <v/>
      </c>
      <c r="G1048" s="4"/>
      <c r="H1048" s="4"/>
      <c r="I1048" s="4"/>
      <c r="J1048" s="4"/>
      <c r="K1048" s="4"/>
      <c r="L1048" s="4"/>
      <c r="M1048" s="4"/>
      <c r="N1048" s="4"/>
      <c r="O1048" s="4"/>
      <c r="P1048" s="4"/>
      <c r="Q1048" s="4"/>
      <c r="R1048" s="14"/>
      <c r="S1048" s="14"/>
      <c r="T1048" s="14"/>
      <c r="U1048" s="14"/>
      <c r="V1048" s="14"/>
      <c r="W1048" s="14"/>
      <c r="X1048" s="1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G1048" s="4"/>
      <c r="BH1048" s="4"/>
    </row>
    <row r="1049" spans="1:60" x14ac:dyDescent="0.35">
      <c r="A1049" s="4"/>
      <c r="B1049" s="8" t="str">
        <f t="shared" si="78"/>
        <v/>
      </c>
      <c r="D1049" s="6" t="str">
        <f t="shared" si="79"/>
        <v/>
      </c>
      <c r="E1049" s="6" t="str">
        <f t="shared" si="80"/>
        <v/>
      </c>
      <c r="F1049" s="6" t="str">
        <f t="shared" si="81"/>
        <v/>
      </c>
      <c r="G1049" s="4"/>
      <c r="H1049" s="4"/>
      <c r="I1049" s="4"/>
      <c r="J1049" s="4"/>
      <c r="K1049" s="4"/>
      <c r="L1049" s="4"/>
      <c r="M1049" s="4"/>
      <c r="N1049" s="4"/>
      <c r="O1049" s="4"/>
      <c r="P1049" s="4"/>
      <c r="Q1049" s="4"/>
      <c r="R1049" s="14"/>
      <c r="S1049" s="14"/>
      <c r="T1049" s="14"/>
      <c r="U1049" s="14"/>
      <c r="V1049" s="14"/>
      <c r="W1049" s="14"/>
      <c r="X1049" s="1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G1049" s="4"/>
      <c r="BH1049" s="4"/>
    </row>
    <row r="1050" spans="1:60" x14ac:dyDescent="0.35">
      <c r="A1050" s="4"/>
      <c r="B1050" s="8" t="str">
        <f t="shared" si="78"/>
        <v/>
      </c>
      <c r="D1050" s="6" t="str">
        <f t="shared" si="79"/>
        <v/>
      </c>
      <c r="E1050" s="6" t="str">
        <f t="shared" si="80"/>
        <v/>
      </c>
      <c r="F1050" s="6" t="str">
        <f t="shared" si="81"/>
        <v/>
      </c>
      <c r="G1050" s="4"/>
      <c r="H1050" s="4"/>
      <c r="I1050" s="4"/>
      <c r="J1050" s="4"/>
      <c r="K1050" s="4"/>
      <c r="L1050" s="4"/>
      <c r="M1050" s="4"/>
      <c r="N1050" s="4"/>
      <c r="O1050" s="4"/>
      <c r="P1050" s="4"/>
      <c r="Q1050" s="4"/>
      <c r="R1050" s="14"/>
      <c r="S1050" s="14"/>
      <c r="T1050" s="14"/>
      <c r="U1050" s="14"/>
      <c r="V1050" s="14"/>
      <c r="W1050" s="14"/>
      <c r="X1050" s="1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G1050" s="4"/>
      <c r="BH1050" s="4"/>
    </row>
    <row r="1051" spans="1:60" x14ac:dyDescent="0.35">
      <c r="A1051" s="4"/>
      <c r="B1051" s="8" t="str">
        <f t="shared" si="78"/>
        <v/>
      </c>
      <c r="D1051" s="6" t="str">
        <f t="shared" si="79"/>
        <v/>
      </c>
      <c r="E1051" s="6" t="str">
        <f t="shared" si="80"/>
        <v/>
      </c>
      <c r="F1051" s="6" t="str">
        <f t="shared" si="81"/>
        <v/>
      </c>
      <c r="G1051" s="4"/>
      <c r="H1051" s="4"/>
      <c r="I1051" s="4"/>
      <c r="J1051" s="4"/>
      <c r="K1051" s="4"/>
      <c r="L1051" s="4"/>
      <c r="M1051" s="4"/>
      <c r="N1051" s="4"/>
      <c r="O1051" s="4"/>
      <c r="P1051" s="4"/>
      <c r="Q1051" s="4"/>
      <c r="R1051" s="14"/>
      <c r="S1051" s="14"/>
      <c r="T1051" s="14"/>
      <c r="U1051" s="14"/>
      <c r="V1051" s="14"/>
      <c r="W1051" s="14"/>
      <c r="X1051" s="1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G1051" s="4"/>
      <c r="BH1051" s="4"/>
    </row>
    <row r="1052" spans="1:60" x14ac:dyDescent="0.35">
      <c r="A1052" s="4"/>
      <c r="B1052" s="8" t="str">
        <f t="shared" si="78"/>
        <v/>
      </c>
      <c r="D1052" s="6" t="str">
        <f t="shared" si="79"/>
        <v/>
      </c>
      <c r="E1052" s="6" t="str">
        <f t="shared" si="80"/>
        <v/>
      </c>
      <c r="F1052" s="6" t="str">
        <f t="shared" si="81"/>
        <v/>
      </c>
      <c r="G1052" s="4"/>
      <c r="H1052" s="4"/>
      <c r="I1052" s="4"/>
      <c r="J1052" s="4"/>
      <c r="K1052" s="4"/>
      <c r="L1052" s="4"/>
      <c r="M1052" s="4"/>
      <c r="N1052" s="4"/>
      <c r="O1052" s="4"/>
      <c r="P1052" s="4"/>
      <c r="Q1052" s="4"/>
      <c r="R1052" s="14"/>
      <c r="S1052" s="14"/>
      <c r="T1052" s="14"/>
      <c r="U1052" s="14"/>
      <c r="V1052" s="14"/>
      <c r="W1052" s="14"/>
      <c r="X1052" s="1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G1052" s="4"/>
      <c r="BH1052" s="4"/>
    </row>
    <row r="1053" spans="1:60" x14ac:dyDescent="0.35">
      <c r="A1053" s="4"/>
      <c r="B1053" s="8" t="str">
        <f t="shared" si="78"/>
        <v/>
      </c>
      <c r="D1053" s="6" t="str">
        <f t="shared" si="79"/>
        <v/>
      </c>
      <c r="E1053" s="6" t="str">
        <f t="shared" si="80"/>
        <v/>
      </c>
      <c r="F1053" s="6" t="str">
        <f t="shared" si="81"/>
        <v/>
      </c>
      <c r="G1053" s="4"/>
      <c r="H1053" s="4"/>
      <c r="I1053" s="4"/>
      <c r="J1053" s="4"/>
      <c r="K1053" s="4"/>
      <c r="L1053" s="4"/>
      <c r="M1053" s="4"/>
      <c r="N1053" s="4"/>
      <c r="O1053" s="4"/>
      <c r="P1053" s="4"/>
      <c r="Q1053" s="4"/>
      <c r="R1053" s="14"/>
      <c r="S1053" s="14"/>
      <c r="T1053" s="14"/>
      <c r="U1053" s="14"/>
      <c r="V1053" s="14"/>
      <c r="W1053" s="14"/>
      <c r="X1053" s="1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G1053" s="4"/>
      <c r="BH1053" s="4"/>
    </row>
    <row r="1054" spans="1:60" x14ac:dyDescent="0.35">
      <c r="A1054" s="4"/>
      <c r="B1054" s="8" t="str">
        <f t="shared" si="78"/>
        <v/>
      </c>
      <c r="D1054" s="6" t="str">
        <f t="shared" si="79"/>
        <v/>
      </c>
      <c r="E1054" s="6" t="str">
        <f t="shared" si="80"/>
        <v/>
      </c>
      <c r="F1054" s="6" t="str">
        <f t="shared" si="81"/>
        <v/>
      </c>
      <c r="G1054" s="4"/>
      <c r="H1054" s="4"/>
      <c r="I1054" s="4"/>
      <c r="J1054" s="4"/>
      <c r="K1054" s="4"/>
      <c r="L1054" s="4"/>
      <c r="M1054" s="4"/>
      <c r="N1054" s="4"/>
      <c r="O1054" s="4"/>
      <c r="P1054" s="4"/>
      <c r="Q1054" s="4"/>
      <c r="R1054" s="14"/>
      <c r="S1054" s="14"/>
      <c r="T1054" s="14"/>
      <c r="U1054" s="14"/>
      <c r="V1054" s="14"/>
      <c r="W1054" s="14"/>
      <c r="X1054" s="1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G1054" s="4"/>
      <c r="BH1054" s="4"/>
    </row>
    <row r="1055" spans="1:60" x14ac:dyDescent="0.35">
      <c r="A1055" s="4"/>
      <c r="B1055" s="8" t="str">
        <f t="shared" si="78"/>
        <v/>
      </c>
      <c r="D1055" s="6" t="str">
        <f t="shared" si="79"/>
        <v/>
      </c>
      <c r="E1055" s="6" t="str">
        <f t="shared" si="80"/>
        <v/>
      </c>
      <c r="F1055" s="6" t="str">
        <f t="shared" si="81"/>
        <v/>
      </c>
      <c r="G1055" s="4"/>
      <c r="H1055" s="4"/>
      <c r="I1055" s="4"/>
      <c r="J1055" s="4"/>
      <c r="K1055" s="4"/>
      <c r="L1055" s="4"/>
      <c r="M1055" s="4"/>
      <c r="N1055" s="4"/>
      <c r="O1055" s="4"/>
      <c r="P1055" s="4"/>
      <c r="Q1055" s="4"/>
      <c r="R1055" s="14"/>
      <c r="S1055" s="14"/>
      <c r="T1055" s="14"/>
      <c r="U1055" s="14"/>
      <c r="V1055" s="14"/>
      <c r="W1055" s="14"/>
      <c r="X1055" s="1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G1055" s="4"/>
      <c r="BH1055" s="4"/>
    </row>
    <row r="1056" spans="1:60" x14ac:dyDescent="0.35">
      <c r="A1056" s="4"/>
      <c r="B1056" s="8" t="str">
        <f t="shared" si="78"/>
        <v/>
      </c>
      <c r="D1056" s="6" t="str">
        <f t="shared" si="79"/>
        <v/>
      </c>
      <c r="E1056" s="6" t="str">
        <f t="shared" si="80"/>
        <v/>
      </c>
      <c r="F1056" s="6" t="str">
        <f t="shared" si="81"/>
        <v/>
      </c>
      <c r="G1056" s="4"/>
      <c r="H1056" s="4"/>
      <c r="I1056" s="4"/>
      <c r="J1056" s="4"/>
      <c r="K1056" s="4"/>
      <c r="L1056" s="4"/>
      <c r="M1056" s="4"/>
      <c r="N1056" s="4"/>
      <c r="O1056" s="4"/>
      <c r="P1056" s="4"/>
      <c r="Q1056" s="4"/>
      <c r="R1056" s="14"/>
      <c r="S1056" s="14"/>
      <c r="T1056" s="14"/>
      <c r="U1056" s="14"/>
      <c r="V1056" s="14"/>
      <c r="W1056" s="14"/>
      <c r="X1056" s="1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G1056" s="4"/>
      <c r="BH1056" s="4"/>
    </row>
    <row r="1057" spans="1:60" x14ac:dyDescent="0.35">
      <c r="A1057" s="4"/>
      <c r="B1057" s="8" t="str">
        <f t="shared" si="78"/>
        <v/>
      </c>
      <c r="D1057" s="6" t="str">
        <f t="shared" si="79"/>
        <v/>
      </c>
      <c r="E1057" s="6" t="str">
        <f t="shared" si="80"/>
        <v/>
      </c>
      <c r="F1057" s="6" t="str">
        <f t="shared" si="81"/>
        <v/>
      </c>
      <c r="G1057" s="4"/>
      <c r="H1057" s="4"/>
      <c r="I1057" s="4"/>
      <c r="J1057" s="4"/>
      <c r="K1057" s="4"/>
      <c r="L1057" s="4"/>
      <c r="M1057" s="4"/>
      <c r="N1057" s="4"/>
      <c r="O1057" s="4"/>
      <c r="P1057" s="4"/>
      <c r="Q1057" s="4"/>
      <c r="R1057" s="14"/>
      <c r="S1057" s="14"/>
      <c r="T1057" s="14"/>
      <c r="U1057" s="14"/>
      <c r="V1057" s="14"/>
      <c r="W1057" s="14"/>
      <c r="X1057" s="1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G1057" s="4"/>
      <c r="BH1057" s="4"/>
    </row>
    <row r="1058" spans="1:60" x14ac:dyDescent="0.35">
      <c r="A1058" s="4"/>
      <c r="B1058" s="8" t="str">
        <f t="shared" si="78"/>
        <v/>
      </c>
      <c r="D1058" s="6" t="str">
        <f t="shared" si="79"/>
        <v/>
      </c>
      <c r="E1058" s="6" t="str">
        <f t="shared" si="80"/>
        <v/>
      </c>
      <c r="F1058" s="6" t="str">
        <f t="shared" si="81"/>
        <v/>
      </c>
      <c r="G1058" s="4"/>
      <c r="H1058" s="4"/>
      <c r="I1058" s="4"/>
      <c r="J1058" s="4"/>
      <c r="K1058" s="4"/>
      <c r="L1058" s="4"/>
      <c r="M1058" s="4"/>
      <c r="N1058" s="4"/>
      <c r="O1058" s="4"/>
      <c r="P1058" s="4"/>
      <c r="Q1058" s="4"/>
      <c r="R1058" s="14"/>
      <c r="S1058" s="14"/>
      <c r="T1058" s="14"/>
      <c r="U1058" s="14"/>
      <c r="V1058" s="14"/>
      <c r="W1058" s="14"/>
      <c r="X1058" s="1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G1058" s="4"/>
      <c r="BH1058" s="4"/>
    </row>
    <row r="1059" spans="1:60" x14ac:dyDescent="0.35">
      <c r="A1059" s="4"/>
      <c r="B1059" s="8" t="str">
        <f t="shared" si="78"/>
        <v/>
      </c>
      <c r="D1059" s="6" t="str">
        <f t="shared" si="79"/>
        <v/>
      </c>
      <c r="E1059" s="6" t="str">
        <f t="shared" si="80"/>
        <v/>
      </c>
      <c r="F1059" s="6" t="str">
        <f t="shared" si="81"/>
        <v/>
      </c>
      <c r="G1059" s="4"/>
      <c r="H1059" s="4"/>
      <c r="I1059" s="4"/>
      <c r="J1059" s="4"/>
      <c r="K1059" s="4"/>
      <c r="L1059" s="4"/>
      <c r="M1059" s="4"/>
      <c r="N1059" s="4"/>
      <c r="O1059" s="4"/>
      <c r="P1059" s="4"/>
      <c r="Q1059" s="4"/>
      <c r="R1059" s="14"/>
      <c r="S1059" s="14"/>
      <c r="T1059" s="14"/>
      <c r="U1059" s="14"/>
      <c r="V1059" s="14"/>
      <c r="W1059" s="14"/>
      <c r="X1059" s="1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G1059" s="4"/>
      <c r="BH1059" s="4"/>
    </row>
    <row r="1060" spans="1:60" x14ac:dyDescent="0.35">
      <c r="A1060" s="4"/>
      <c r="B1060" s="8" t="str">
        <f t="shared" si="78"/>
        <v/>
      </c>
      <c r="D1060" s="6" t="str">
        <f t="shared" si="79"/>
        <v/>
      </c>
      <c r="E1060" s="6" t="str">
        <f t="shared" si="80"/>
        <v/>
      </c>
      <c r="F1060" s="6" t="str">
        <f t="shared" si="81"/>
        <v/>
      </c>
      <c r="G1060" s="4"/>
      <c r="H1060" s="4"/>
      <c r="I1060" s="4"/>
      <c r="J1060" s="4"/>
      <c r="K1060" s="4"/>
      <c r="L1060" s="4"/>
      <c r="M1060" s="4"/>
      <c r="N1060" s="4"/>
      <c r="O1060" s="4"/>
      <c r="P1060" s="4"/>
      <c r="Q1060" s="4"/>
      <c r="R1060" s="14"/>
      <c r="S1060" s="14"/>
      <c r="T1060" s="14"/>
      <c r="U1060" s="14"/>
      <c r="V1060" s="14"/>
      <c r="W1060" s="14"/>
      <c r="X1060" s="1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G1060" s="4"/>
      <c r="BH1060" s="4"/>
    </row>
    <row r="1061" spans="1:60" x14ac:dyDescent="0.35">
      <c r="A1061" s="4"/>
      <c r="B1061" s="8" t="str">
        <f t="shared" si="78"/>
        <v/>
      </c>
      <c r="D1061" s="6" t="str">
        <f t="shared" si="79"/>
        <v/>
      </c>
      <c r="E1061" s="6" t="str">
        <f t="shared" si="80"/>
        <v/>
      </c>
      <c r="F1061" s="6" t="str">
        <f t="shared" si="81"/>
        <v/>
      </c>
      <c r="G1061" s="4"/>
      <c r="H1061" s="4"/>
      <c r="I1061" s="4"/>
      <c r="J1061" s="4"/>
      <c r="K1061" s="4"/>
      <c r="L1061" s="4"/>
      <c r="M1061" s="4"/>
      <c r="N1061" s="4"/>
      <c r="O1061" s="4"/>
      <c r="P1061" s="4"/>
      <c r="Q1061" s="4"/>
      <c r="R1061" s="14"/>
      <c r="S1061" s="14"/>
      <c r="T1061" s="14"/>
      <c r="U1061" s="14"/>
      <c r="V1061" s="14"/>
      <c r="W1061" s="14"/>
      <c r="X1061" s="1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G1061" s="4"/>
      <c r="BH1061" s="4"/>
    </row>
    <row r="1062" spans="1:60" x14ac:dyDescent="0.35">
      <c r="A1062" s="4"/>
      <c r="B1062" s="8" t="str">
        <f t="shared" si="78"/>
        <v/>
      </c>
      <c r="D1062" s="6" t="str">
        <f t="shared" si="79"/>
        <v/>
      </c>
      <c r="E1062" s="6" t="str">
        <f t="shared" si="80"/>
        <v/>
      </c>
      <c r="F1062" s="6" t="str">
        <f t="shared" si="81"/>
        <v/>
      </c>
      <c r="G1062" s="4"/>
      <c r="H1062" s="4"/>
      <c r="I1062" s="4"/>
      <c r="J1062" s="4"/>
      <c r="K1062" s="4"/>
      <c r="L1062" s="4"/>
      <c r="M1062" s="4"/>
      <c r="N1062" s="4"/>
      <c r="O1062" s="4"/>
      <c r="P1062" s="4"/>
      <c r="Q1062" s="4"/>
      <c r="R1062" s="14"/>
      <c r="S1062" s="14"/>
      <c r="T1062" s="14"/>
      <c r="U1062" s="14"/>
      <c r="V1062" s="14"/>
      <c r="W1062" s="14"/>
      <c r="X1062" s="1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G1062" s="4"/>
      <c r="BH1062" s="4"/>
    </row>
    <row r="1063" spans="1:60" x14ac:dyDescent="0.35">
      <c r="A1063" s="4"/>
      <c r="B1063" s="8" t="str">
        <f t="shared" si="78"/>
        <v/>
      </c>
      <c r="D1063" s="6" t="str">
        <f t="shared" si="79"/>
        <v/>
      </c>
      <c r="E1063" s="6" t="str">
        <f t="shared" si="80"/>
        <v/>
      </c>
      <c r="F1063" s="6" t="str">
        <f t="shared" si="81"/>
        <v/>
      </c>
      <c r="G1063" s="4"/>
      <c r="H1063" s="4"/>
      <c r="I1063" s="4"/>
      <c r="J1063" s="4"/>
      <c r="K1063" s="4"/>
      <c r="L1063" s="4"/>
      <c r="M1063" s="4"/>
      <c r="N1063" s="4"/>
      <c r="O1063" s="4"/>
      <c r="P1063" s="4"/>
      <c r="Q1063" s="4"/>
      <c r="R1063" s="14"/>
      <c r="S1063" s="14"/>
      <c r="T1063" s="14"/>
      <c r="U1063" s="14"/>
      <c r="V1063" s="14"/>
      <c r="W1063" s="14"/>
      <c r="X1063" s="1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G1063" s="4"/>
      <c r="BH1063" s="4"/>
    </row>
    <row r="1064" spans="1:60" x14ac:dyDescent="0.35">
      <c r="A1064" s="4"/>
      <c r="B1064" s="8" t="str">
        <f t="shared" si="78"/>
        <v/>
      </c>
      <c r="D1064" s="6" t="str">
        <f t="shared" si="79"/>
        <v/>
      </c>
      <c r="E1064" s="6" t="str">
        <f t="shared" si="80"/>
        <v/>
      </c>
      <c r="F1064" s="6" t="str">
        <f t="shared" si="81"/>
        <v/>
      </c>
      <c r="G1064" s="4"/>
      <c r="H1064" s="4"/>
      <c r="I1064" s="4"/>
      <c r="J1064" s="4"/>
      <c r="K1064" s="4"/>
      <c r="L1064" s="4"/>
      <c r="M1064" s="4"/>
      <c r="N1064" s="4"/>
      <c r="O1064" s="4"/>
      <c r="P1064" s="4"/>
      <c r="Q1064" s="4"/>
      <c r="R1064" s="14"/>
      <c r="S1064" s="14"/>
      <c r="T1064" s="14"/>
      <c r="U1064" s="14"/>
      <c r="V1064" s="14"/>
      <c r="W1064" s="14"/>
      <c r="X1064" s="1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G1064" s="4"/>
      <c r="BH1064" s="4"/>
    </row>
    <row r="1065" spans="1:60" x14ac:dyDescent="0.35">
      <c r="A1065" s="4"/>
      <c r="B1065" s="8" t="str">
        <f t="shared" si="78"/>
        <v/>
      </c>
      <c r="D1065" s="6" t="str">
        <f t="shared" si="79"/>
        <v/>
      </c>
      <c r="E1065" s="6" t="str">
        <f t="shared" si="80"/>
        <v/>
      </c>
      <c r="F1065" s="6" t="str">
        <f t="shared" si="81"/>
        <v/>
      </c>
      <c r="G1065" s="4"/>
      <c r="H1065" s="4"/>
      <c r="I1065" s="4"/>
      <c r="J1065" s="4"/>
      <c r="K1065" s="4"/>
      <c r="L1065" s="4"/>
      <c r="M1065" s="4"/>
      <c r="N1065" s="4"/>
      <c r="O1065" s="4"/>
      <c r="P1065" s="4"/>
      <c r="Q1065" s="4"/>
      <c r="R1065" s="14"/>
      <c r="S1065" s="14"/>
      <c r="T1065" s="14"/>
      <c r="U1065" s="14"/>
      <c r="V1065" s="14"/>
      <c r="W1065" s="14"/>
      <c r="X1065" s="1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G1065" s="4"/>
      <c r="BH1065" s="4"/>
    </row>
    <row r="1066" spans="1:60" x14ac:dyDescent="0.35">
      <c r="A1066" s="4"/>
      <c r="B1066" s="8" t="str">
        <f t="shared" si="78"/>
        <v/>
      </c>
      <c r="D1066" s="6" t="str">
        <f t="shared" si="79"/>
        <v/>
      </c>
      <c r="E1066" s="6" t="str">
        <f t="shared" si="80"/>
        <v/>
      </c>
      <c r="F1066" s="6" t="str">
        <f t="shared" si="81"/>
        <v/>
      </c>
      <c r="G1066" s="4"/>
      <c r="H1066" s="4"/>
      <c r="I1066" s="4"/>
      <c r="J1066" s="4"/>
      <c r="K1066" s="4"/>
      <c r="L1066" s="4"/>
      <c r="M1066" s="4"/>
      <c r="N1066" s="4"/>
      <c r="O1066" s="4"/>
      <c r="P1066" s="4"/>
      <c r="Q1066" s="4"/>
      <c r="R1066" s="14"/>
      <c r="S1066" s="14"/>
      <c r="T1066" s="14"/>
      <c r="U1066" s="14"/>
      <c r="V1066" s="14"/>
      <c r="W1066" s="14"/>
      <c r="X1066" s="1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G1066" s="4"/>
      <c r="BH1066" s="4"/>
    </row>
    <row r="1067" spans="1:60" x14ac:dyDescent="0.35">
      <c r="A1067" s="4"/>
      <c r="B1067" s="8" t="str">
        <f t="shared" si="78"/>
        <v/>
      </c>
      <c r="D1067" s="6" t="str">
        <f t="shared" si="79"/>
        <v/>
      </c>
      <c r="E1067" s="6" t="str">
        <f t="shared" si="80"/>
        <v/>
      </c>
      <c r="F1067" s="6" t="str">
        <f t="shared" si="81"/>
        <v/>
      </c>
      <c r="G1067" s="4"/>
      <c r="H1067" s="4"/>
      <c r="I1067" s="4"/>
      <c r="J1067" s="4"/>
      <c r="K1067" s="4"/>
      <c r="L1067" s="4"/>
      <c r="M1067" s="4"/>
      <c r="N1067" s="4"/>
      <c r="O1067" s="4"/>
      <c r="P1067" s="4"/>
      <c r="Q1067" s="4"/>
      <c r="R1067" s="14"/>
      <c r="S1067" s="14"/>
      <c r="T1067" s="14"/>
      <c r="U1067" s="14"/>
      <c r="V1067" s="14"/>
      <c r="W1067" s="14"/>
      <c r="X1067" s="1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G1067" s="4"/>
      <c r="BH1067" s="4"/>
    </row>
    <row r="1068" spans="1:60" x14ac:dyDescent="0.35">
      <c r="A1068" s="4"/>
      <c r="B1068" s="8" t="str">
        <f t="shared" si="78"/>
        <v/>
      </c>
      <c r="D1068" s="6" t="str">
        <f t="shared" si="79"/>
        <v/>
      </c>
      <c r="E1068" s="6" t="str">
        <f t="shared" si="80"/>
        <v/>
      </c>
      <c r="F1068" s="6" t="str">
        <f t="shared" si="81"/>
        <v/>
      </c>
      <c r="G1068" s="4"/>
      <c r="H1068" s="4"/>
      <c r="I1068" s="4"/>
      <c r="J1068" s="4"/>
      <c r="K1068" s="4"/>
      <c r="L1068" s="4"/>
      <c r="M1068" s="4"/>
      <c r="N1068" s="4"/>
      <c r="O1068" s="4"/>
      <c r="P1068" s="4"/>
      <c r="Q1068" s="4"/>
      <c r="R1068" s="14"/>
      <c r="S1068" s="14"/>
      <c r="T1068" s="14"/>
      <c r="U1068" s="14"/>
      <c r="V1068" s="14"/>
      <c r="W1068" s="14"/>
      <c r="X1068" s="1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G1068" s="4"/>
      <c r="BH1068" s="4"/>
    </row>
    <row r="1069" spans="1:60" x14ac:dyDescent="0.35">
      <c r="A1069" s="4"/>
      <c r="B1069" s="8" t="str">
        <f t="shared" si="78"/>
        <v/>
      </c>
      <c r="D1069" s="6" t="str">
        <f t="shared" si="79"/>
        <v/>
      </c>
      <c r="E1069" s="6" t="str">
        <f t="shared" si="80"/>
        <v/>
      </c>
      <c r="F1069" s="6" t="str">
        <f t="shared" si="81"/>
        <v/>
      </c>
      <c r="G1069" s="4"/>
      <c r="H1069" s="4"/>
      <c r="I1069" s="4"/>
      <c r="J1069" s="4"/>
      <c r="K1069" s="4"/>
      <c r="L1069" s="4"/>
      <c r="M1069" s="4"/>
      <c r="N1069" s="4"/>
      <c r="O1069" s="4"/>
      <c r="P1069" s="4"/>
      <c r="Q1069" s="4"/>
      <c r="R1069" s="14"/>
      <c r="S1069" s="14"/>
      <c r="T1069" s="14"/>
      <c r="U1069" s="14"/>
      <c r="V1069" s="14"/>
      <c r="W1069" s="14"/>
      <c r="X1069" s="1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G1069" s="4"/>
      <c r="BH1069" s="4"/>
    </row>
    <row r="1070" spans="1:60" x14ac:dyDescent="0.35">
      <c r="A1070" s="4"/>
      <c r="B1070" s="8" t="str">
        <f t="shared" si="78"/>
        <v/>
      </c>
      <c r="D1070" s="6" t="str">
        <f t="shared" si="79"/>
        <v/>
      </c>
      <c r="E1070" s="6" t="str">
        <f t="shared" si="80"/>
        <v/>
      </c>
      <c r="F1070" s="6" t="str">
        <f t="shared" si="81"/>
        <v/>
      </c>
      <c r="G1070" s="4"/>
      <c r="H1070" s="4"/>
      <c r="I1070" s="4"/>
      <c r="J1070" s="4"/>
      <c r="K1070" s="4"/>
      <c r="L1070" s="4"/>
      <c r="M1070" s="4"/>
      <c r="N1070" s="4"/>
      <c r="O1070" s="4"/>
      <c r="P1070" s="4"/>
      <c r="Q1070" s="4"/>
      <c r="R1070" s="14"/>
      <c r="S1070" s="14"/>
      <c r="T1070" s="14"/>
      <c r="U1070" s="14"/>
      <c r="V1070" s="14"/>
      <c r="W1070" s="14"/>
      <c r="X1070" s="1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G1070" s="4"/>
      <c r="BH1070" s="4"/>
    </row>
    <row r="1071" spans="1:60" x14ac:dyDescent="0.35">
      <c r="A1071" s="4"/>
      <c r="B1071" s="8" t="str">
        <f t="shared" si="78"/>
        <v/>
      </c>
      <c r="D1071" s="6" t="str">
        <f t="shared" si="79"/>
        <v/>
      </c>
      <c r="E1071" s="6" t="str">
        <f t="shared" si="80"/>
        <v/>
      </c>
      <c r="F1071" s="6" t="str">
        <f t="shared" si="81"/>
        <v/>
      </c>
      <c r="G1071" s="4"/>
      <c r="H1071" s="4"/>
      <c r="I1071" s="4"/>
      <c r="J1071" s="4"/>
      <c r="K1071" s="4"/>
      <c r="L1071" s="4"/>
      <c r="M1071" s="4"/>
      <c r="N1071" s="4"/>
      <c r="O1071" s="4"/>
      <c r="P1071" s="4"/>
      <c r="Q1071" s="4"/>
      <c r="R1071" s="14"/>
      <c r="S1071" s="14"/>
      <c r="T1071" s="14"/>
      <c r="U1071" s="14"/>
      <c r="V1071" s="14"/>
      <c r="W1071" s="14"/>
      <c r="X1071" s="1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G1071" s="4"/>
      <c r="BH1071" s="4"/>
    </row>
    <row r="1072" spans="1:60" x14ac:dyDescent="0.35">
      <c r="A1072" s="4"/>
      <c r="B1072" s="8" t="str">
        <f t="shared" si="78"/>
        <v/>
      </c>
      <c r="D1072" s="6" t="str">
        <f t="shared" si="79"/>
        <v/>
      </c>
      <c r="E1072" s="6" t="str">
        <f t="shared" si="80"/>
        <v/>
      </c>
      <c r="F1072" s="6" t="str">
        <f t="shared" si="81"/>
        <v/>
      </c>
      <c r="G1072" s="4"/>
      <c r="H1072" s="4"/>
      <c r="I1072" s="4"/>
      <c r="J1072" s="4"/>
      <c r="K1072" s="4"/>
      <c r="L1072" s="4"/>
      <c r="M1072" s="4"/>
      <c r="N1072" s="4"/>
      <c r="O1072" s="4"/>
      <c r="P1072" s="4"/>
      <c r="Q1072" s="4"/>
      <c r="R1072" s="14"/>
      <c r="S1072" s="14"/>
      <c r="T1072" s="14"/>
      <c r="U1072" s="14"/>
      <c r="V1072" s="14"/>
      <c r="W1072" s="14"/>
      <c r="X1072" s="1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G1072" s="4"/>
      <c r="BH1072" s="4"/>
    </row>
    <row r="1073" spans="1:60" x14ac:dyDescent="0.35">
      <c r="A1073" s="4"/>
      <c r="B1073" s="8" t="str">
        <f t="shared" si="78"/>
        <v/>
      </c>
      <c r="D1073" s="6" t="str">
        <f t="shared" si="79"/>
        <v/>
      </c>
      <c r="E1073" s="6" t="str">
        <f t="shared" si="80"/>
        <v/>
      </c>
      <c r="F1073" s="6" t="str">
        <f t="shared" si="81"/>
        <v/>
      </c>
      <c r="G1073" s="4"/>
      <c r="H1073" s="4"/>
      <c r="I1073" s="4"/>
      <c r="J1073" s="4"/>
      <c r="K1073" s="4"/>
      <c r="L1073" s="4"/>
      <c r="M1073" s="4"/>
      <c r="N1073" s="4"/>
      <c r="O1073" s="4"/>
      <c r="P1073" s="4"/>
      <c r="Q1073" s="4"/>
      <c r="R1073" s="14"/>
      <c r="S1073" s="14"/>
      <c r="T1073" s="14"/>
      <c r="U1073" s="14"/>
      <c r="V1073" s="14"/>
      <c r="W1073" s="14"/>
      <c r="X1073" s="1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G1073" s="4"/>
      <c r="BH1073" s="4"/>
    </row>
    <row r="1074" spans="1:60" x14ac:dyDescent="0.35">
      <c r="A1074" s="4"/>
      <c r="B1074" s="8" t="str">
        <f t="shared" si="78"/>
        <v/>
      </c>
      <c r="D1074" s="6" t="str">
        <f t="shared" si="79"/>
        <v/>
      </c>
      <c r="E1074" s="6" t="str">
        <f t="shared" si="80"/>
        <v/>
      </c>
      <c r="F1074" s="6" t="str">
        <f t="shared" si="81"/>
        <v/>
      </c>
      <c r="G1074" s="4"/>
      <c r="H1074" s="4"/>
      <c r="I1074" s="4"/>
      <c r="J1074" s="4"/>
      <c r="K1074" s="4"/>
      <c r="L1074" s="4"/>
      <c r="M1074" s="4"/>
      <c r="N1074" s="4"/>
      <c r="O1074" s="4"/>
      <c r="P1074" s="4"/>
      <c r="Q1074" s="4"/>
      <c r="R1074" s="14"/>
      <c r="S1074" s="14"/>
      <c r="T1074" s="14"/>
      <c r="U1074" s="14"/>
      <c r="V1074" s="14"/>
      <c r="W1074" s="14"/>
      <c r="X1074" s="1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G1074" s="4"/>
      <c r="BH1074" s="4"/>
    </row>
    <row r="1075" spans="1:60" x14ac:dyDescent="0.35">
      <c r="A1075" s="4"/>
      <c r="B1075" s="8" t="str">
        <f t="shared" si="78"/>
        <v/>
      </c>
      <c r="D1075" s="6" t="str">
        <f t="shared" si="79"/>
        <v/>
      </c>
      <c r="E1075" s="6" t="str">
        <f t="shared" si="80"/>
        <v/>
      </c>
      <c r="F1075" s="6" t="str">
        <f t="shared" si="81"/>
        <v/>
      </c>
      <c r="G1075" s="4"/>
      <c r="H1075" s="4"/>
      <c r="I1075" s="4"/>
      <c r="J1075" s="4"/>
      <c r="K1075" s="4"/>
      <c r="L1075" s="4"/>
      <c r="M1075" s="4"/>
      <c r="N1075" s="4"/>
      <c r="O1075" s="4"/>
      <c r="P1075" s="4"/>
      <c r="Q1075" s="4"/>
      <c r="R1075" s="14"/>
      <c r="S1075" s="14"/>
      <c r="T1075" s="14"/>
      <c r="U1075" s="14"/>
      <c r="V1075" s="14"/>
      <c r="W1075" s="14"/>
      <c r="X1075" s="1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G1075" s="4"/>
      <c r="BH1075" s="4"/>
    </row>
    <row r="1076" spans="1:60" x14ac:dyDescent="0.35">
      <c r="A1076" s="4"/>
      <c r="B1076" s="8" t="str">
        <f t="shared" si="78"/>
        <v/>
      </c>
      <c r="D1076" s="6" t="str">
        <f t="shared" si="79"/>
        <v/>
      </c>
      <c r="E1076" s="6" t="str">
        <f t="shared" si="80"/>
        <v/>
      </c>
      <c r="F1076" s="6" t="str">
        <f t="shared" si="81"/>
        <v/>
      </c>
      <c r="G1076" s="4"/>
      <c r="H1076" s="4"/>
      <c r="I1076" s="4"/>
      <c r="J1076" s="4"/>
      <c r="K1076" s="4"/>
      <c r="L1076" s="4"/>
      <c r="M1076" s="4"/>
      <c r="N1076" s="4"/>
      <c r="O1076" s="4"/>
      <c r="P1076" s="4"/>
      <c r="Q1076" s="4"/>
      <c r="R1076" s="14"/>
      <c r="S1076" s="14"/>
      <c r="T1076" s="14"/>
      <c r="U1076" s="14"/>
      <c r="V1076" s="14"/>
      <c r="W1076" s="14"/>
      <c r="X1076" s="1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G1076" s="4"/>
      <c r="BH1076" s="4"/>
    </row>
    <row r="1077" spans="1:60" x14ac:dyDescent="0.35">
      <c r="A1077" s="4"/>
      <c r="B1077" s="8" t="str">
        <f t="shared" si="78"/>
        <v/>
      </c>
      <c r="D1077" s="6" t="str">
        <f t="shared" si="79"/>
        <v/>
      </c>
      <c r="E1077" s="6" t="str">
        <f t="shared" si="80"/>
        <v/>
      </c>
      <c r="F1077" s="6" t="str">
        <f t="shared" si="81"/>
        <v/>
      </c>
      <c r="G1077" s="4"/>
      <c r="H1077" s="4"/>
      <c r="I1077" s="4"/>
      <c r="J1077" s="4"/>
      <c r="K1077" s="4"/>
      <c r="L1077" s="4"/>
      <c r="M1077" s="4"/>
      <c r="N1077" s="4"/>
      <c r="O1077" s="4"/>
      <c r="P1077" s="4"/>
      <c r="Q1077" s="4"/>
      <c r="R1077" s="14"/>
      <c r="S1077" s="14"/>
      <c r="T1077" s="14"/>
      <c r="U1077" s="14"/>
      <c r="V1077" s="14"/>
      <c r="W1077" s="14"/>
      <c r="X1077" s="1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G1077" s="4"/>
      <c r="BH1077" s="4"/>
    </row>
    <row r="1078" spans="1:60" x14ac:dyDescent="0.35">
      <c r="A1078" s="4"/>
      <c r="B1078" s="8" t="str">
        <f t="shared" si="78"/>
        <v/>
      </c>
      <c r="D1078" s="6" t="str">
        <f t="shared" si="79"/>
        <v/>
      </c>
      <c r="E1078" s="6" t="str">
        <f t="shared" si="80"/>
        <v/>
      </c>
      <c r="F1078" s="6" t="str">
        <f t="shared" si="81"/>
        <v/>
      </c>
      <c r="G1078" s="4"/>
      <c r="H1078" s="4"/>
      <c r="I1078" s="4"/>
      <c r="J1078" s="4"/>
      <c r="K1078" s="4"/>
      <c r="L1078" s="4"/>
      <c r="M1078" s="4"/>
      <c r="N1078" s="4"/>
      <c r="O1078" s="4"/>
      <c r="P1078" s="4"/>
      <c r="Q1078" s="4"/>
      <c r="R1078" s="14"/>
      <c r="S1078" s="14"/>
      <c r="T1078" s="14"/>
      <c r="U1078" s="14"/>
      <c r="V1078" s="14"/>
      <c r="W1078" s="14"/>
      <c r="X1078" s="1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G1078" s="4"/>
      <c r="BH1078" s="4"/>
    </row>
    <row r="1079" spans="1:60" x14ac:dyDescent="0.35">
      <c r="A1079" s="4"/>
      <c r="B1079" s="8" t="str">
        <f t="shared" si="78"/>
        <v/>
      </c>
      <c r="D1079" s="6" t="str">
        <f t="shared" si="79"/>
        <v/>
      </c>
      <c r="E1079" s="6" t="str">
        <f t="shared" si="80"/>
        <v/>
      </c>
      <c r="F1079" s="6" t="str">
        <f t="shared" si="81"/>
        <v/>
      </c>
      <c r="G1079" s="4"/>
      <c r="H1079" s="4"/>
      <c r="I1079" s="4"/>
      <c r="J1079" s="4"/>
      <c r="K1079" s="4"/>
      <c r="L1079" s="4"/>
      <c r="M1079" s="4"/>
      <c r="N1079" s="4"/>
      <c r="O1079" s="4"/>
      <c r="P1079" s="4"/>
      <c r="Q1079" s="4"/>
      <c r="R1079" s="14"/>
      <c r="S1079" s="14"/>
      <c r="T1079" s="14"/>
      <c r="U1079" s="14"/>
      <c r="V1079" s="14"/>
      <c r="W1079" s="14"/>
      <c r="X1079" s="1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G1079" s="4"/>
      <c r="BH1079" s="4"/>
    </row>
    <row r="1080" spans="1:60" x14ac:dyDescent="0.35">
      <c r="A1080" s="4"/>
      <c r="B1080" s="8" t="str">
        <f t="shared" si="78"/>
        <v/>
      </c>
      <c r="D1080" s="6" t="str">
        <f t="shared" si="79"/>
        <v/>
      </c>
      <c r="E1080" s="6" t="str">
        <f t="shared" si="80"/>
        <v/>
      </c>
      <c r="F1080" s="6" t="str">
        <f t="shared" si="81"/>
        <v/>
      </c>
      <c r="G1080" s="4"/>
      <c r="H1080" s="4"/>
      <c r="I1080" s="4"/>
      <c r="J1080" s="4"/>
      <c r="K1080" s="4"/>
      <c r="L1080" s="4"/>
      <c r="M1080" s="4"/>
      <c r="N1080" s="4"/>
      <c r="O1080" s="4"/>
      <c r="P1080" s="4"/>
      <c r="Q1080" s="4"/>
      <c r="R1080" s="14"/>
      <c r="S1080" s="14"/>
      <c r="T1080" s="14"/>
      <c r="U1080" s="14"/>
      <c r="V1080" s="14"/>
      <c r="W1080" s="14"/>
      <c r="X1080" s="1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G1080" s="4"/>
      <c r="BH1080" s="4"/>
    </row>
    <row r="1081" spans="1:60" x14ac:dyDescent="0.35">
      <c r="A1081" s="4"/>
      <c r="B1081" s="8" t="str">
        <f t="shared" si="78"/>
        <v/>
      </c>
      <c r="D1081" s="6" t="str">
        <f t="shared" si="79"/>
        <v/>
      </c>
      <c r="E1081" s="6" t="str">
        <f t="shared" si="80"/>
        <v/>
      </c>
      <c r="F1081" s="6" t="str">
        <f t="shared" si="81"/>
        <v/>
      </c>
      <c r="G1081" s="4"/>
      <c r="H1081" s="4"/>
      <c r="I1081" s="4"/>
      <c r="J1081" s="4"/>
      <c r="K1081" s="4"/>
      <c r="L1081" s="4"/>
      <c r="M1081" s="4"/>
      <c r="N1081" s="4"/>
      <c r="O1081" s="4"/>
      <c r="P1081" s="4"/>
      <c r="Q1081" s="4"/>
      <c r="R1081" s="14"/>
      <c r="S1081" s="14"/>
      <c r="T1081" s="14"/>
      <c r="U1081" s="14"/>
      <c r="V1081" s="14"/>
      <c r="W1081" s="14"/>
      <c r="X1081" s="1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G1081" s="4"/>
      <c r="BH1081" s="4"/>
    </row>
    <row r="1082" spans="1:60" x14ac:dyDescent="0.35">
      <c r="A1082" s="4"/>
      <c r="B1082" s="8" t="str">
        <f t="shared" si="78"/>
        <v/>
      </c>
      <c r="D1082" s="6" t="str">
        <f t="shared" si="79"/>
        <v/>
      </c>
      <c r="E1082" s="6" t="str">
        <f t="shared" si="80"/>
        <v/>
      </c>
      <c r="F1082" s="6" t="str">
        <f t="shared" si="81"/>
        <v/>
      </c>
      <c r="G1082" s="4"/>
      <c r="H1082" s="4"/>
      <c r="I1082" s="4"/>
      <c r="J1082" s="4"/>
      <c r="K1082" s="4"/>
      <c r="L1082" s="4"/>
      <c r="M1082" s="4"/>
      <c r="N1082" s="4"/>
      <c r="O1082" s="4"/>
      <c r="P1082" s="4"/>
      <c r="Q1082" s="4"/>
      <c r="R1082" s="14"/>
      <c r="S1082" s="14"/>
      <c r="T1082" s="14"/>
      <c r="U1082" s="14"/>
      <c r="V1082" s="14"/>
      <c r="W1082" s="14"/>
      <c r="X1082" s="1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G1082" s="4"/>
      <c r="BH1082" s="4"/>
    </row>
    <row r="1083" spans="1:60" x14ac:dyDescent="0.35">
      <c r="A1083" s="4"/>
      <c r="B1083" s="8" t="str">
        <f t="shared" si="78"/>
        <v/>
      </c>
      <c r="D1083" s="6" t="str">
        <f t="shared" si="79"/>
        <v/>
      </c>
      <c r="E1083" s="6" t="str">
        <f t="shared" si="80"/>
        <v/>
      </c>
      <c r="F1083" s="6" t="str">
        <f t="shared" si="81"/>
        <v/>
      </c>
      <c r="G1083" s="4"/>
      <c r="H1083" s="4"/>
      <c r="I1083" s="4"/>
      <c r="J1083" s="4"/>
      <c r="K1083" s="4"/>
      <c r="L1083" s="4"/>
      <c r="M1083" s="4"/>
      <c r="N1083" s="4"/>
      <c r="O1083" s="4"/>
      <c r="P1083" s="4"/>
      <c r="Q1083" s="4"/>
      <c r="R1083" s="14"/>
      <c r="S1083" s="14"/>
      <c r="T1083" s="14"/>
      <c r="U1083" s="14"/>
      <c r="V1083" s="14"/>
      <c r="W1083" s="14"/>
      <c r="X1083" s="1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G1083" s="4"/>
      <c r="BH1083" s="4"/>
    </row>
    <row r="1084" spans="1:60" x14ac:dyDescent="0.35">
      <c r="A1084" s="4"/>
      <c r="B1084" s="8" t="str">
        <f t="shared" si="78"/>
        <v/>
      </c>
      <c r="D1084" s="6" t="str">
        <f t="shared" si="79"/>
        <v/>
      </c>
      <c r="E1084" s="6" t="str">
        <f t="shared" si="80"/>
        <v/>
      </c>
      <c r="F1084" s="6" t="str">
        <f t="shared" si="81"/>
        <v/>
      </c>
      <c r="G1084" s="4"/>
      <c r="H1084" s="4"/>
      <c r="I1084" s="4"/>
      <c r="J1084" s="4"/>
      <c r="K1084" s="4"/>
      <c r="L1084" s="4"/>
      <c r="M1084" s="4"/>
      <c r="N1084" s="4"/>
      <c r="O1084" s="4"/>
      <c r="P1084" s="4"/>
      <c r="Q1084" s="4"/>
      <c r="R1084" s="14"/>
      <c r="S1084" s="14"/>
      <c r="T1084" s="14"/>
      <c r="U1084" s="14"/>
      <c r="V1084" s="14"/>
      <c r="W1084" s="14"/>
      <c r="X1084" s="1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G1084" s="4"/>
      <c r="BH1084" s="4"/>
    </row>
    <row r="1085" spans="1:60" x14ac:dyDescent="0.35">
      <c r="A1085" s="4"/>
      <c r="B1085" s="8" t="str">
        <f t="shared" ref="B1085:B1148" si="82">RIGHT(A1085,4)</f>
        <v/>
      </c>
      <c r="D1085" s="6" t="str">
        <f t="shared" ref="D1085:D1148" si="83">IF(C1085="","",VLOOKUP(C1085,district_region,2,FALSE))</f>
        <v/>
      </c>
      <c r="E1085" s="6" t="str">
        <f t="shared" ref="E1085:E1148" si="84">IF(C1085="","",VLOOKUP(C1085,liste_pop,3,FALSE))</f>
        <v/>
      </c>
      <c r="F1085" s="6" t="str">
        <f t="shared" ref="F1085:F1148" si="85">IF(D1085="","",IF(D1085="Dakar",4042240,VLOOKUP(D1085,liste_pop,4,FALSE)))</f>
        <v/>
      </c>
      <c r="G1085" s="4"/>
      <c r="H1085" s="4"/>
      <c r="I1085" s="4"/>
      <c r="J1085" s="4"/>
      <c r="K1085" s="4"/>
      <c r="L1085" s="4"/>
      <c r="M1085" s="4"/>
      <c r="N1085" s="4"/>
      <c r="O1085" s="4"/>
      <c r="P1085" s="4"/>
      <c r="Q1085" s="4"/>
      <c r="R1085" s="14"/>
      <c r="S1085" s="14"/>
      <c r="T1085" s="14"/>
      <c r="U1085" s="14"/>
      <c r="V1085" s="14"/>
      <c r="W1085" s="14"/>
      <c r="X1085" s="1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G1085" s="4"/>
      <c r="BH1085" s="4"/>
    </row>
    <row r="1086" spans="1:60" x14ac:dyDescent="0.35">
      <c r="A1086" s="4"/>
      <c r="B1086" s="8" t="str">
        <f t="shared" si="82"/>
        <v/>
      </c>
      <c r="D1086" s="6" t="str">
        <f t="shared" si="83"/>
        <v/>
      </c>
      <c r="E1086" s="6" t="str">
        <f t="shared" si="84"/>
        <v/>
      </c>
      <c r="F1086" s="6" t="str">
        <f t="shared" si="85"/>
        <v/>
      </c>
      <c r="G1086" s="4"/>
      <c r="H1086" s="4"/>
      <c r="I1086" s="4"/>
      <c r="J1086" s="4"/>
      <c r="K1086" s="4"/>
      <c r="L1086" s="4"/>
      <c r="M1086" s="4"/>
      <c r="N1086" s="4"/>
      <c r="O1086" s="4"/>
      <c r="P1086" s="4"/>
      <c r="Q1086" s="4"/>
      <c r="R1086" s="14"/>
      <c r="S1086" s="14"/>
      <c r="T1086" s="14"/>
      <c r="U1086" s="14"/>
      <c r="V1086" s="14"/>
      <c r="W1086" s="14"/>
      <c r="X1086" s="1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G1086" s="4"/>
      <c r="BH1086" s="4"/>
    </row>
    <row r="1087" spans="1:60" x14ac:dyDescent="0.35">
      <c r="A1087" s="4"/>
      <c r="B1087" s="8" t="str">
        <f t="shared" si="82"/>
        <v/>
      </c>
      <c r="D1087" s="6" t="str">
        <f t="shared" si="83"/>
        <v/>
      </c>
      <c r="E1087" s="6" t="str">
        <f t="shared" si="84"/>
        <v/>
      </c>
      <c r="F1087" s="6" t="str">
        <f t="shared" si="85"/>
        <v/>
      </c>
      <c r="G1087" s="4"/>
      <c r="H1087" s="4"/>
      <c r="I1087" s="4"/>
      <c r="J1087" s="4"/>
      <c r="K1087" s="4"/>
      <c r="L1087" s="4"/>
      <c r="M1087" s="4"/>
      <c r="N1087" s="4"/>
      <c r="O1087" s="4"/>
      <c r="P1087" s="4"/>
      <c r="Q1087" s="4"/>
      <c r="R1087" s="14"/>
      <c r="S1087" s="14"/>
      <c r="T1087" s="14"/>
      <c r="U1087" s="14"/>
      <c r="V1087" s="14"/>
      <c r="W1087" s="14"/>
      <c r="X1087" s="1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G1087" s="4"/>
      <c r="BH1087" s="4"/>
    </row>
    <row r="1088" spans="1:60" x14ac:dyDescent="0.35">
      <c r="A1088" s="4"/>
      <c r="B1088" s="8" t="str">
        <f t="shared" si="82"/>
        <v/>
      </c>
      <c r="D1088" s="6" t="str">
        <f t="shared" si="83"/>
        <v/>
      </c>
      <c r="E1088" s="6" t="str">
        <f t="shared" si="84"/>
        <v/>
      </c>
      <c r="F1088" s="6" t="str">
        <f t="shared" si="85"/>
        <v/>
      </c>
      <c r="G1088" s="4"/>
      <c r="H1088" s="4"/>
      <c r="I1088" s="4"/>
      <c r="J1088" s="4"/>
      <c r="K1088" s="4"/>
      <c r="L1088" s="4"/>
      <c r="M1088" s="4"/>
      <c r="N1088" s="4"/>
      <c r="O1088" s="4"/>
      <c r="P1088" s="4"/>
      <c r="Q1088" s="4"/>
      <c r="R1088" s="14"/>
      <c r="S1088" s="14"/>
      <c r="T1088" s="14"/>
      <c r="U1088" s="14"/>
      <c r="V1088" s="14"/>
      <c r="W1088" s="14"/>
      <c r="X1088" s="1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G1088" s="4"/>
      <c r="BH1088" s="4"/>
    </row>
    <row r="1089" spans="1:60" x14ac:dyDescent="0.35">
      <c r="A1089" s="4"/>
      <c r="B1089" s="8" t="str">
        <f t="shared" si="82"/>
        <v/>
      </c>
      <c r="D1089" s="6" t="str">
        <f t="shared" si="83"/>
        <v/>
      </c>
      <c r="E1089" s="6" t="str">
        <f t="shared" si="84"/>
        <v/>
      </c>
      <c r="F1089" s="6" t="str">
        <f t="shared" si="85"/>
        <v/>
      </c>
      <c r="G1089" s="4"/>
      <c r="H1089" s="4"/>
      <c r="I1089" s="4"/>
      <c r="J1089" s="4"/>
      <c r="K1089" s="4"/>
      <c r="L1089" s="4"/>
      <c r="M1089" s="4"/>
      <c r="N1089" s="4"/>
      <c r="O1089" s="4"/>
      <c r="P1089" s="4"/>
      <c r="Q1089" s="4"/>
      <c r="R1089" s="14"/>
      <c r="S1089" s="14"/>
      <c r="T1089" s="14"/>
      <c r="U1089" s="14"/>
      <c r="V1089" s="14"/>
      <c r="W1089" s="14"/>
      <c r="X1089" s="1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G1089" s="4"/>
      <c r="BH1089" s="4"/>
    </row>
    <row r="1090" spans="1:60" x14ac:dyDescent="0.35">
      <c r="A1090" s="4"/>
      <c r="B1090" s="8" t="str">
        <f t="shared" si="82"/>
        <v/>
      </c>
      <c r="D1090" s="6" t="str">
        <f t="shared" si="83"/>
        <v/>
      </c>
      <c r="E1090" s="6" t="str">
        <f t="shared" si="84"/>
        <v/>
      </c>
      <c r="F1090" s="6" t="str">
        <f t="shared" si="85"/>
        <v/>
      </c>
      <c r="G1090" s="4"/>
      <c r="H1090" s="4"/>
      <c r="I1090" s="4"/>
      <c r="J1090" s="4"/>
      <c r="K1090" s="4"/>
      <c r="L1090" s="4"/>
      <c r="M1090" s="4"/>
      <c r="N1090" s="4"/>
      <c r="O1090" s="4"/>
      <c r="P1090" s="4"/>
      <c r="Q1090" s="4"/>
      <c r="R1090" s="14"/>
      <c r="S1090" s="14"/>
      <c r="T1090" s="14"/>
      <c r="U1090" s="14"/>
      <c r="V1090" s="14"/>
      <c r="W1090" s="14"/>
      <c r="X1090" s="1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G1090" s="4"/>
      <c r="BH1090" s="4"/>
    </row>
    <row r="1091" spans="1:60" x14ac:dyDescent="0.35">
      <c r="A1091" s="4"/>
      <c r="B1091" s="8" t="str">
        <f t="shared" si="82"/>
        <v/>
      </c>
      <c r="D1091" s="6" t="str">
        <f t="shared" si="83"/>
        <v/>
      </c>
      <c r="E1091" s="6" t="str">
        <f t="shared" si="84"/>
        <v/>
      </c>
      <c r="F1091" s="6" t="str">
        <f t="shared" si="85"/>
        <v/>
      </c>
      <c r="G1091" s="4"/>
      <c r="H1091" s="4"/>
      <c r="I1091" s="4"/>
      <c r="J1091" s="4"/>
      <c r="K1091" s="4"/>
      <c r="L1091" s="4"/>
      <c r="M1091" s="4"/>
      <c r="N1091" s="4"/>
      <c r="O1091" s="4"/>
      <c r="P1091" s="4"/>
      <c r="Q1091" s="4"/>
      <c r="R1091" s="14"/>
      <c r="S1091" s="14"/>
      <c r="T1091" s="14"/>
      <c r="U1091" s="14"/>
      <c r="V1091" s="14"/>
      <c r="W1091" s="14"/>
      <c r="X1091" s="1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G1091" s="4"/>
      <c r="BH1091" s="4"/>
    </row>
    <row r="1092" spans="1:60" x14ac:dyDescent="0.35">
      <c r="A1092" s="4"/>
      <c r="B1092" s="8" t="str">
        <f t="shared" si="82"/>
        <v/>
      </c>
      <c r="D1092" s="6" t="str">
        <f t="shared" si="83"/>
        <v/>
      </c>
      <c r="E1092" s="6" t="str">
        <f t="shared" si="84"/>
        <v/>
      </c>
      <c r="F1092" s="6" t="str">
        <f t="shared" si="85"/>
        <v/>
      </c>
      <c r="G1092" s="4"/>
      <c r="H1092" s="4"/>
      <c r="I1092" s="4"/>
      <c r="J1092" s="4"/>
      <c r="K1092" s="4"/>
      <c r="L1092" s="4"/>
      <c r="M1092" s="4"/>
      <c r="N1092" s="4"/>
      <c r="O1092" s="4"/>
      <c r="P1092" s="4"/>
      <c r="Q1092" s="4"/>
      <c r="R1092" s="14"/>
      <c r="S1092" s="14"/>
      <c r="T1092" s="14"/>
      <c r="U1092" s="14"/>
      <c r="V1092" s="14"/>
      <c r="W1092" s="14"/>
      <c r="X1092" s="1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G1092" s="4"/>
      <c r="BH1092" s="4"/>
    </row>
    <row r="1093" spans="1:60" x14ac:dyDescent="0.35">
      <c r="A1093" s="4"/>
      <c r="B1093" s="8" t="str">
        <f t="shared" si="82"/>
        <v/>
      </c>
      <c r="D1093" s="6" t="str">
        <f t="shared" si="83"/>
        <v/>
      </c>
      <c r="E1093" s="6" t="str">
        <f t="shared" si="84"/>
        <v/>
      </c>
      <c r="F1093" s="6" t="str">
        <f t="shared" si="85"/>
        <v/>
      </c>
      <c r="G1093" s="4"/>
      <c r="H1093" s="4"/>
      <c r="I1093" s="4"/>
      <c r="J1093" s="4"/>
      <c r="K1093" s="4"/>
      <c r="L1093" s="4"/>
      <c r="M1093" s="4"/>
      <c r="N1093" s="4"/>
      <c r="O1093" s="4"/>
      <c r="P1093" s="4"/>
      <c r="Q1093" s="4"/>
      <c r="R1093" s="14"/>
      <c r="S1093" s="14"/>
      <c r="T1093" s="14"/>
      <c r="U1093" s="14"/>
      <c r="V1093" s="14"/>
      <c r="W1093" s="14"/>
      <c r="X1093" s="1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G1093" s="4"/>
      <c r="BH1093" s="4"/>
    </row>
    <row r="1094" spans="1:60" x14ac:dyDescent="0.35">
      <c r="A1094" s="4"/>
      <c r="B1094" s="8" t="str">
        <f t="shared" si="82"/>
        <v/>
      </c>
      <c r="D1094" s="6" t="str">
        <f t="shared" si="83"/>
        <v/>
      </c>
      <c r="E1094" s="6" t="str">
        <f t="shared" si="84"/>
        <v/>
      </c>
      <c r="F1094" s="6" t="str">
        <f t="shared" si="85"/>
        <v/>
      </c>
      <c r="G1094" s="4"/>
      <c r="H1094" s="4"/>
      <c r="I1094" s="4"/>
      <c r="J1094" s="4"/>
      <c r="K1094" s="4"/>
      <c r="L1094" s="4"/>
      <c r="M1094" s="4"/>
      <c r="N1094" s="4"/>
      <c r="O1094" s="4"/>
      <c r="P1094" s="4"/>
      <c r="Q1094" s="4"/>
      <c r="R1094" s="14"/>
      <c r="S1094" s="14"/>
      <c r="T1094" s="14"/>
      <c r="U1094" s="14"/>
      <c r="V1094" s="14"/>
      <c r="W1094" s="14"/>
      <c r="X1094" s="1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G1094" s="4"/>
      <c r="BH1094" s="4"/>
    </row>
    <row r="1095" spans="1:60" x14ac:dyDescent="0.35">
      <c r="A1095" s="4"/>
      <c r="B1095" s="8" t="str">
        <f t="shared" si="82"/>
        <v/>
      </c>
      <c r="D1095" s="6" t="str">
        <f t="shared" si="83"/>
        <v/>
      </c>
      <c r="E1095" s="6" t="str">
        <f t="shared" si="84"/>
        <v/>
      </c>
      <c r="F1095" s="6" t="str">
        <f t="shared" si="85"/>
        <v/>
      </c>
      <c r="G1095" s="4"/>
      <c r="H1095" s="4"/>
      <c r="I1095" s="4"/>
      <c r="J1095" s="4"/>
      <c r="K1095" s="4"/>
      <c r="L1095" s="4"/>
      <c r="M1095" s="4"/>
      <c r="N1095" s="4"/>
      <c r="O1095" s="4"/>
      <c r="P1095" s="4"/>
      <c r="Q1095" s="4"/>
      <c r="R1095" s="14"/>
      <c r="S1095" s="14"/>
      <c r="T1095" s="14"/>
      <c r="U1095" s="14"/>
      <c r="V1095" s="14"/>
      <c r="W1095" s="14"/>
      <c r="X1095" s="1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G1095" s="4"/>
      <c r="BH1095" s="4"/>
    </row>
    <row r="1096" spans="1:60" x14ac:dyDescent="0.35">
      <c r="A1096" s="4"/>
      <c r="B1096" s="8" t="str">
        <f t="shared" si="82"/>
        <v/>
      </c>
      <c r="D1096" s="6" t="str">
        <f t="shared" si="83"/>
        <v/>
      </c>
      <c r="E1096" s="6" t="str">
        <f t="shared" si="84"/>
        <v/>
      </c>
      <c r="F1096" s="6" t="str">
        <f t="shared" si="85"/>
        <v/>
      </c>
      <c r="G1096" s="4"/>
      <c r="H1096" s="4"/>
      <c r="I1096" s="4"/>
      <c r="J1096" s="4"/>
      <c r="K1096" s="4"/>
      <c r="L1096" s="4"/>
      <c r="M1096" s="4"/>
      <c r="N1096" s="4"/>
      <c r="O1096" s="4"/>
      <c r="P1096" s="4"/>
      <c r="Q1096" s="4"/>
      <c r="R1096" s="14"/>
      <c r="S1096" s="14"/>
      <c r="T1096" s="14"/>
      <c r="U1096" s="14"/>
      <c r="V1096" s="14"/>
      <c r="W1096" s="14"/>
      <c r="X1096" s="1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G1096" s="4"/>
      <c r="BH1096" s="4"/>
    </row>
    <row r="1097" spans="1:60" x14ac:dyDescent="0.35">
      <c r="A1097" s="4"/>
      <c r="B1097" s="8" t="str">
        <f t="shared" si="82"/>
        <v/>
      </c>
      <c r="D1097" s="6" t="str">
        <f t="shared" si="83"/>
        <v/>
      </c>
      <c r="E1097" s="6" t="str">
        <f t="shared" si="84"/>
        <v/>
      </c>
      <c r="F1097" s="6" t="str">
        <f t="shared" si="85"/>
        <v/>
      </c>
      <c r="G1097" s="4"/>
      <c r="H1097" s="4"/>
      <c r="I1097" s="4"/>
      <c r="J1097" s="4"/>
      <c r="K1097" s="4"/>
      <c r="L1097" s="4"/>
      <c r="M1097" s="4"/>
      <c r="N1097" s="4"/>
      <c r="O1097" s="4"/>
      <c r="P1097" s="4"/>
      <c r="Q1097" s="4"/>
      <c r="R1097" s="14"/>
      <c r="S1097" s="14"/>
      <c r="T1097" s="14"/>
      <c r="U1097" s="14"/>
      <c r="V1097" s="14"/>
      <c r="W1097" s="14"/>
      <c r="X1097" s="1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G1097" s="4"/>
      <c r="BH1097" s="4"/>
    </row>
    <row r="1098" spans="1:60" x14ac:dyDescent="0.35">
      <c r="A1098" s="4"/>
      <c r="B1098" s="8" t="str">
        <f t="shared" si="82"/>
        <v/>
      </c>
      <c r="D1098" s="6" t="str">
        <f t="shared" si="83"/>
        <v/>
      </c>
      <c r="E1098" s="6" t="str">
        <f t="shared" si="84"/>
        <v/>
      </c>
      <c r="F1098" s="6" t="str">
        <f t="shared" si="85"/>
        <v/>
      </c>
      <c r="G1098" s="4"/>
      <c r="H1098" s="4"/>
      <c r="I1098" s="4"/>
      <c r="J1098" s="4"/>
      <c r="K1098" s="4"/>
      <c r="L1098" s="4"/>
      <c r="M1098" s="4"/>
      <c r="N1098" s="4"/>
      <c r="O1098" s="4"/>
      <c r="P1098" s="4"/>
      <c r="Q1098" s="4"/>
      <c r="R1098" s="14"/>
      <c r="S1098" s="14"/>
      <c r="T1098" s="14"/>
      <c r="U1098" s="14"/>
      <c r="V1098" s="14"/>
      <c r="W1098" s="14"/>
      <c r="X1098" s="1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G1098" s="4"/>
      <c r="BH1098" s="4"/>
    </row>
    <row r="1099" spans="1:60" x14ac:dyDescent="0.35">
      <c r="A1099" s="4"/>
      <c r="B1099" s="8" t="str">
        <f t="shared" si="82"/>
        <v/>
      </c>
      <c r="D1099" s="6" t="str">
        <f t="shared" si="83"/>
        <v/>
      </c>
      <c r="E1099" s="6" t="str">
        <f t="shared" si="84"/>
        <v/>
      </c>
      <c r="F1099" s="6" t="str">
        <f t="shared" si="85"/>
        <v/>
      </c>
      <c r="G1099" s="4"/>
      <c r="H1099" s="4"/>
      <c r="I1099" s="4"/>
      <c r="J1099" s="4"/>
      <c r="K1099" s="4"/>
      <c r="L1099" s="4"/>
      <c r="M1099" s="4"/>
      <c r="N1099" s="4"/>
      <c r="O1099" s="4"/>
      <c r="P1099" s="4"/>
      <c r="Q1099" s="4"/>
      <c r="R1099" s="14"/>
      <c r="S1099" s="14"/>
      <c r="T1099" s="14"/>
      <c r="U1099" s="14"/>
      <c r="V1099" s="14"/>
      <c r="W1099" s="14"/>
      <c r="X1099" s="1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G1099" s="4"/>
      <c r="BH1099" s="4"/>
    </row>
    <row r="1100" spans="1:60" x14ac:dyDescent="0.35">
      <c r="A1100" s="4"/>
      <c r="B1100" s="8" t="str">
        <f t="shared" si="82"/>
        <v/>
      </c>
      <c r="D1100" s="6" t="str">
        <f t="shared" si="83"/>
        <v/>
      </c>
      <c r="E1100" s="6" t="str">
        <f t="shared" si="84"/>
        <v/>
      </c>
      <c r="F1100" s="6" t="str">
        <f t="shared" si="85"/>
        <v/>
      </c>
      <c r="G1100" s="4"/>
      <c r="H1100" s="4"/>
      <c r="I1100" s="4"/>
      <c r="J1100" s="4"/>
      <c r="K1100" s="4"/>
      <c r="L1100" s="4"/>
      <c r="M1100" s="4"/>
      <c r="N1100" s="4"/>
      <c r="O1100" s="4"/>
      <c r="P1100" s="4"/>
      <c r="Q1100" s="4"/>
      <c r="R1100" s="14"/>
      <c r="S1100" s="14"/>
      <c r="T1100" s="14"/>
      <c r="U1100" s="14"/>
      <c r="V1100" s="14"/>
      <c r="W1100" s="14"/>
      <c r="X1100" s="1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G1100" s="4"/>
      <c r="BH1100" s="4"/>
    </row>
    <row r="1101" spans="1:60" x14ac:dyDescent="0.35">
      <c r="A1101" s="4"/>
      <c r="B1101" s="8" t="str">
        <f t="shared" si="82"/>
        <v/>
      </c>
      <c r="D1101" s="6" t="str">
        <f t="shared" si="83"/>
        <v/>
      </c>
      <c r="E1101" s="6" t="str">
        <f t="shared" si="84"/>
        <v/>
      </c>
      <c r="F1101" s="6" t="str">
        <f t="shared" si="85"/>
        <v/>
      </c>
      <c r="G1101" s="4"/>
      <c r="H1101" s="4"/>
      <c r="I1101" s="4"/>
      <c r="J1101" s="4"/>
      <c r="K1101" s="4"/>
      <c r="L1101" s="4"/>
      <c r="M1101" s="4"/>
      <c r="N1101" s="4"/>
      <c r="O1101" s="4"/>
      <c r="P1101" s="4"/>
      <c r="Q1101" s="4"/>
      <c r="R1101" s="14"/>
      <c r="S1101" s="14"/>
      <c r="T1101" s="14"/>
      <c r="U1101" s="14"/>
      <c r="V1101" s="14"/>
      <c r="W1101" s="14"/>
      <c r="X1101" s="1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G1101" s="4"/>
      <c r="BH1101" s="4"/>
    </row>
    <row r="1102" spans="1:60" x14ac:dyDescent="0.35">
      <c r="A1102" s="4"/>
      <c r="B1102" s="8" t="str">
        <f t="shared" si="82"/>
        <v/>
      </c>
      <c r="D1102" s="6" t="str">
        <f t="shared" si="83"/>
        <v/>
      </c>
      <c r="E1102" s="6" t="str">
        <f t="shared" si="84"/>
        <v/>
      </c>
      <c r="F1102" s="6" t="str">
        <f t="shared" si="85"/>
        <v/>
      </c>
      <c r="G1102" s="4"/>
      <c r="H1102" s="4"/>
      <c r="I1102" s="4"/>
      <c r="J1102" s="4"/>
      <c r="K1102" s="4"/>
      <c r="L1102" s="4"/>
      <c r="M1102" s="4"/>
      <c r="N1102" s="4"/>
      <c r="O1102" s="4"/>
      <c r="P1102" s="4"/>
      <c r="Q1102" s="4"/>
      <c r="R1102" s="14"/>
      <c r="S1102" s="14"/>
      <c r="T1102" s="14"/>
      <c r="U1102" s="14"/>
      <c r="V1102" s="14"/>
      <c r="W1102" s="14"/>
      <c r="X1102" s="1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G1102" s="4"/>
      <c r="BH1102" s="4"/>
    </row>
    <row r="1103" spans="1:60" x14ac:dyDescent="0.35">
      <c r="A1103" s="4"/>
      <c r="B1103" s="8" t="str">
        <f t="shared" si="82"/>
        <v/>
      </c>
      <c r="D1103" s="6" t="str">
        <f t="shared" si="83"/>
        <v/>
      </c>
      <c r="E1103" s="6" t="str">
        <f t="shared" si="84"/>
        <v/>
      </c>
      <c r="F1103" s="6" t="str">
        <f t="shared" si="85"/>
        <v/>
      </c>
      <c r="G1103" s="4"/>
      <c r="H1103" s="4"/>
      <c r="I1103" s="4"/>
      <c r="J1103" s="4"/>
      <c r="K1103" s="4"/>
      <c r="L1103" s="4"/>
      <c r="M1103" s="4"/>
      <c r="N1103" s="4"/>
      <c r="O1103" s="4"/>
      <c r="P1103" s="4"/>
      <c r="Q1103" s="4"/>
      <c r="R1103" s="14"/>
      <c r="S1103" s="14"/>
      <c r="T1103" s="14"/>
      <c r="U1103" s="14"/>
      <c r="V1103" s="14"/>
      <c r="W1103" s="14"/>
      <c r="X1103" s="1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G1103" s="4"/>
      <c r="BH1103" s="4"/>
    </row>
    <row r="1104" spans="1:60" x14ac:dyDescent="0.35">
      <c r="A1104" s="4"/>
      <c r="B1104" s="8" t="str">
        <f t="shared" si="82"/>
        <v/>
      </c>
      <c r="D1104" s="6" t="str">
        <f t="shared" si="83"/>
        <v/>
      </c>
      <c r="E1104" s="6" t="str">
        <f t="shared" si="84"/>
        <v/>
      </c>
      <c r="F1104" s="6" t="str">
        <f t="shared" si="85"/>
        <v/>
      </c>
      <c r="G1104" s="4"/>
      <c r="H1104" s="4"/>
      <c r="I1104" s="4"/>
      <c r="J1104" s="4"/>
      <c r="K1104" s="4"/>
      <c r="L1104" s="4"/>
      <c r="M1104" s="4"/>
      <c r="N1104" s="4"/>
      <c r="O1104" s="4"/>
      <c r="P1104" s="4"/>
      <c r="Q1104" s="4"/>
      <c r="R1104" s="14"/>
      <c r="S1104" s="14"/>
      <c r="T1104" s="14"/>
      <c r="U1104" s="14"/>
      <c r="V1104" s="14"/>
      <c r="W1104" s="14"/>
      <c r="X1104" s="1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G1104" s="4"/>
      <c r="BH1104" s="4"/>
    </row>
    <row r="1105" spans="1:60" x14ac:dyDescent="0.35">
      <c r="A1105" s="4"/>
      <c r="B1105" s="8" t="str">
        <f t="shared" si="82"/>
        <v/>
      </c>
      <c r="D1105" s="6" t="str">
        <f t="shared" si="83"/>
        <v/>
      </c>
      <c r="E1105" s="6" t="str">
        <f t="shared" si="84"/>
        <v/>
      </c>
      <c r="F1105" s="6" t="str">
        <f t="shared" si="85"/>
        <v/>
      </c>
      <c r="G1105" s="4"/>
      <c r="H1105" s="4"/>
      <c r="I1105" s="4"/>
      <c r="J1105" s="4"/>
      <c r="K1105" s="4"/>
      <c r="L1105" s="4"/>
      <c r="M1105" s="4"/>
      <c r="N1105" s="4"/>
      <c r="O1105" s="4"/>
      <c r="P1105" s="4"/>
      <c r="Q1105" s="4"/>
      <c r="R1105" s="14"/>
      <c r="S1105" s="14"/>
      <c r="T1105" s="14"/>
      <c r="U1105" s="14"/>
      <c r="V1105" s="14"/>
      <c r="W1105" s="14"/>
      <c r="X1105" s="1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G1105" s="4"/>
      <c r="BH1105" s="4"/>
    </row>
    <row r="1106" spans="1:60" x14ac:dyDescent="0.35">
      <c r="A1106" s="4"/>
      <c r="B1106" s="8" t="str">
        <f t="shared" si="82"/>
        <v/>
      </c>
      <c r="D1106" s="6" t="str">
        <f t="shared" si="83"/>
        <v/>
      </c>
      <c r="E1106" s="6" t="str">
        <f t="shared" si="84"/>
        <v/>
      </c>
      <c r="F1106" s="6" t="str">
        <f t="shared" si="85"/>
        <v/>
      </c>
      <c r="G1106" s="4"/>
      <c r="H1106" s="4"/>
      <c r="I1106" s="4"/>
      <c r="J1106" s="4"/>
      <c r="K1106" s="4"/>
      <c r="L1106" s="4"/>
      <c r="M1106" s="4"/>
      <c r="N1106" s="4"/>
      <c r="O1106" s="4"/>
      <c r="P1106" s="4"/>
      <c r="Q1106" s="4"/>
      <c r="R1106" s="14"/>
      <c r="S1106" s="14"/>
      <c r="T1106" s="14"/>
      <c r="U1106" s="14"/>
      <c r="V1106" s="14"/>
      <c r="W1106" s="14"/>
      <c r="X1106" s="1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G1106" s="4"/>
      <c r="BH1106" s="4"/>
    </row>
    <row r="1107" spans="1:60" x14ac:dyDescent="0.35">
      <c r="A1107" s="4"/>
      <c r="B1107" s="8" t="str">
        <f t="shared" si="82"/>
        <v/>
      </c>
      <c r="D1107" s="6" t="str">
        <f t="shared" si="83"/>
        <v/>
      </c>
      <c r="E1107" s="6" t="str">
        <f t="shared" si="84"/>
        <v/>
      </c>
      <c r="F1107" s="6" t="str">
        <f t="shared" si="85"/>
        <v/>
      </c>
      <c r="G1107" s="4"/>
      <c r="H1107" s="4"/>
      <c r="I1107" s="4"/>
      <c r="J1107" s="4"/>
      <c r="K1107" s="4"/>
      <c r="L1107" s="4"/>
      <c r="M1107" s="4"/>
      <c r="N1107" s="4"/>
      <c r="O1107" s="4"/>
      <c r="P1107" s="4"/>
      <c r="Q1107" s="4"/>
      <c r="R1107" s="14"/>
      <c r="S1107" s="14"/>
      <c r="T1107" s="14"/>
      <c r="U1107" s="14"/>
      <c r="V1107" s="14"/>
      <c r="W1107" s="14"/>
      <c r="X1107" s="1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G1107" s="4"/>
      <c r="BH1107" s="4"/>
    </row>
    <row r="1108" spans="1:60" x14ac:dyDescent="0.35">
      <c r="A1108" s="4"/>
      <c r="B1108" s="8" t="str">
        <f t="shared" si="82"/>
        <v/>
      </c>
      <c r="D1108" s="6" t="str">
        <f t="shared" si="83"/>
        <v/>
      </c>
      <c r="E1108" s="6" t="str">
        <f t="shared" si="84"/>
        <v/>
      </c>
      <c r="F1108" s="6" t="str">
        <f t="shared" si="85"/>
        <v/>
      </c>
      <c r="G1108" s="4"/>
      <c r="H1108" s="4"/>
      <c r="I1108" s="4"/>
      <c r="J1108" s="4"/>
      <c r="K1108" s="4"/>
      <c r="L1108" s="4"/>
      <c r="M1108" s="4"/>
      <c r="N1108" s="4"/>
      <c r="O1108" s="4"/>
      <c r="P1108" s="4"/>
      <c r="Q1108" s="4"/>
      <c r="R1108" s="14"/>
      <c r="S1108" s="14"/>
      <c r="T1108" s="14"/>
      <c r="U1108" s="14"/>
      <c r="V1108" s="14"/>
      <c r="W1108" s="14"/>
      <c r="X1108" s="1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G1108" s="4"/>
      <c r="BH1108" s="4"/>
    </row>
    <row r="1109" spans="1:60" x14ac:dyDescent="0.35">
      <c r="A1109" s="4"/>
      <c r="B1109" s="8" t="str">
        <f t="shared" si="82"/>
        <v/>
      </c>
      <c r="D1109" s="6" t="str">
        <f t="shared" si="83"/>
        <v/>
      </c>
      <c r="E1109" s="6" t="str">
        <f t="shared" si="84"/>
        <v/>
      </c>
      <c r="F1109" s="6" t="str">
        <f t="shared" si="85"/>
        <v/>
      </c>
      <c r="G1109" s="4"/>
      <c r="H1109" s="4"/>
      <c r="I1109" s="4"/>
      <c r="J1109" s="4"/>
      <c r="K1109" s="4"/>
      <c r="L1109" s="4"/>
      <c r="M1109" s="4"/>
      <c r="N1109" s="4"/>
      <c r="O1109" s="4"/>
      <c r="P1109" s="4"/>
      <c r="Q1109" s="4"/>
      <c r="R1109" s="14"/>
      <c r="S1109" s="14"/>
      <c r="T1109" s="14"/>
      <c r="U1109" s="14"/>
      <c r="V1109" s="14"/>
      <c r="W1109" s="14"/>
      <c r="X1109" s="1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G1109" s="4"/>
      <c r="BH1109" s="4"/>
    </row>
    <row r="1110" spans="1:60" x14ac:dyDescent="0.35">
      <c r="A1110" s="4"/>
      <c r="B1110" s="8" t="str">
        <f t="shared" si="82"/>
        <v/>
      </c>
      <c r="D1110" s="6" t="str">
        <f t="shared" si="83"/>
        <v/>
      </c>
      <c r="E1110" s="6" t="str">
        <f t="shared" si="84"/>
        <v/>
      </c>
      <c r="F1110" s="6" t="str">
        <f t="shared" si="85"/>
        <v/>
      </c>
      <c r="G1110" s="4"/>
      <c r="H1110" s="4"/>
      <c r="I1110" s="4"/>
      <c r="J1110" s="4"/>
      <c r="K1110" s="4"/>
      <c r="L1110" s="4"/>
      <c r="M1110" s="4"/>
      <c r="N1110" s="4"/>
      <c r="O1110" s="4"/>
      <c r="P1110" s="4"/>
      <c r="Q1110" s="4"/>
      <c r="R1110" s="14"/>
      <c r="S1110" s="14"/>
      <c r="T1110" s="14"/>
      <c r="U1110" s="14"/>
      <c r="V1110" s="14"/>
      <c r="W1110" s="14"/>
      <c r="X1110" s="1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G1110" s="4"/>
      <c r="BH1110" s="4"/>
    </row>
    <row r="1111" spans="1:60" x14ac:dyDescent="0.35">
      <c r="A1111" s="4"/>
      <c r="B1111" s="8" t="str">
        <f t="shared" si="82"/>
        <v/>
      </c>
      <c r="D1111" s="6" t="str">
        <f t="shared" si="83"/>
        <v/>
      </c>
      <c r="E1111" s="6" t="str">
        <f t="shared" si="84"/>
        <v/>
      </c>
      <c r="F1111" s="6" t="str">
        <f t="shared" si="85"/>
        <v/>
      </c>
      <c r="G1111" s="4"/>
      <c r="H1111" s="4"/>
      <c r="I1111" s="4"/>
      <c r="J1111" s="4"/>
      <c r="K1111" s="4"/>
      <c r="L1111" s="4"/>
      <c r="M1111" s="4"/>
      <c r="N1111" s="4"/>
      <c r="O1111" s="4"/>
      <c r="P1111" s="4"/>
      <c r="Q1111" s="4"/>
      <c r="R1111" s="14"/>
      <c r="S1111" s="14"/>
      <c r="T1111" s="14"/>
      <c r="U1111" s="14"/>
      <c r="V1111" s="14"/>
      <c r="W1111" s="14"/>
      <c r="X1111" s="1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G1111" s="4"/>
      <c r="BH1111" s="4"/>
    </row>
    <row r="1112" spans="1:60" x14ac:dyDescent="0.35">
      <c r="A1112" s="4"/>
      <c r="B1112" s="8" t="str">
        <f t="shared" si="82"/>
        <v/>
      </c>
      <c r="D1112" s="6" t="str">
        <f t="shared" si="83"/>
        <v/>
      </c>
      <c r="E1112" s="6" t="str">
        <f t="shared" si="84"/>
        <v/>
      </c>
      <c r="F1112" s="6" t="str">
        <f t="shared" si="85"/>
        <v/>
      </c>
      <c r="G1112" s="4"/>
      <c r="H1112" s="4"/>
      <c r="I1112" s="4"/>
      <c r="J1112" s="4"/>
      <c r="K1112" s="4"/>
      <c r="L1112" s="4"/>
      <c r="M1112" s="4"/>
      <c r="N1112" s="4"/>
      <c r="O1112" s="4"/>
      <c r="P1112" s="4"/>
      <c r="Q1112" s="4"/>
      <c r="R1112" s="14"/>
      <c r="S1112" s="14"/>
      <c r="T1112" s="14"/>
      <c r="U1112" s="14"/>
      <c r="V1112" s="14"/>
      <c r="W1112" s="14"/>
      <c r="X1112" s="1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G1112" s="4"/>
      <c r="BH1112" s="4"/>
    </row>
    <row r="1113" spans="1:60" x14ac:dyDescent="0.35">
      <c r="A1113" s="4"/>
      <c r="B1113" s="8" t="str">
        <f t="shared" si="82"/>
        <v/>
      </c>
      <c r="D1113" s="6" t="str">
        <f t="shared" si="83"/>
        <v/>
      </c>
      <c r="E1113" s="6" t="str">
        <f t="shared" si="84"/>
        <v/>
      </c>
      <c r="F1113" s="6" t="str">
        <f t="shared" si="85"/>
        <v/>
      </c>
      <c r="G1113" s="4"/>
      <c r="H1113" s="4"/>
      <c r="I1113" s="4"/>
      <c r="J1113" s="4"/>
      <c r="K1113" s="4"/>
      <c r="L1113" s="4"/>
      <c r="M1113" s="4"/>
      <c r="N1113" s="4"/>
      <c r="O1113" s="4"/>
      <c r="P1113" s="4"/>
      <c r="Q1113" s="4"/>
      <c r="R1113" s="14"/>
      <c r="S1113" s="14"/>
      <c r="T1113" s="14"/>
      <c r="U1113" s="14"/>
      <c r="V1113" s="14"/>
      <c r="W1113" s="14"/>
      <c r="X1113" s="1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G1113" s="4"/>
      <c r="BH1113" s="4"/>
    </row>
    <row r="1114" spans="1:60" x14ac:dyDescent="0.35">
      <c r="A1114" s="4"/>
      <c r="B1114" s="8" t="str">
        <f t="shared" si="82"/>
        <v/>
      </c>
      <c r="D1114" s="6" t="str">
        <f t="shared" si="83"/>
        <v/>
      </c>
      <c r="E1114" s="6" t="str">
        <f t="shared" si="84"/>
        <v/>
      </c>
      <c r="F1114" s="6" t="str">
        <f t="shared" si="85"/>
        <v/>
      </c>
      <c r="G1114" s="4"/>
      <c r="H1114" s="4"/>
      <c r="I1114" s="4"/>
      <c r="J1114" s="4"/>
      <c r="K1114" s="4"/>
      <c r="L1114" s="4"/>
      <c r="M1114" s="4"/>
      <c r="N1114" s="4"/>
      <c r="O1114" s="4"/>
      <c r="P1114" s="4"/>
      <c r="Q1114" s="4"/>
      <c r="R1114" s="14"/>
      <c r="S1114" s="14"/>
      <c r="T1114" s="14"/>
      <c r="U1114" s="14"/>
      <c r="V1114" s="14"/>
      <c r="W1114" s="14"/>
      <c r="X1114" s="1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G1114" s="4"/>
      <c r="BH1114" s="4"/>
    </row>
    <row r="1115" spans="1:60" x14ac:dyDescent="0.35">
      <c r="A1115" s="4"/>
      <c r="B1115" s="8" t="str">
        <f t="shared" si="82"/>
        <v/>
      </c>
      <c r="D1115" s="6" t="str">
        <f t="shared" si="83"/>
        <v/>
      </c>
      <c r="E1115" s="6" t="str">
        <f t="shared" si="84"/>
        <v/>
      </c>
      <c r="F1115" s="6" t="str">
        <f t="shared" si="85"/>
        <v/>
      </c>
      <c r="G1115" s="4"/>
      <c r="H1115" s="4"/>
      <c r="I1115" s="4"/>
      <c r="J1115" s="4"/>
      <c r="K1115" s="4"/>
      <c r="L1115" s="4"/>
      <c r="M1115" s="4"/>
      <c r="N1115" s="4"/>
      <c r="O1115" s="4"/>
      <c r="P1115" s="4"/>
      <c r="Q1115" s="4"/>
      <c r="R1115" s="14"/>
      <c r="S1115" s="14"/>
      <c r="T1115" s="14"/>
      <c r="U1115" s="14"/>
      <c r="V1115" s="14"/>
      <c r="W1115" s="14"/>
      <c r="X1115" s="1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G1115" s="4"/>
      <c r="BH1115" s="4"/>
    </row>
    <row r="1116" spans="1:60" x14ac:dyDescent="0.35">
      <c r="A1116" s="4"/>
      <c r="B1116" s="8" t="str">
        <f t="shared" si="82"/>
        <v/>
      </c>
      <c r="D1116" s="6" t="str">
        <f t="shared" si="83"/>
        <v/>
      </c>
      <c r="E1116" s="6" t="str">
        <f t="shared" si="84"/>
        <v/>
      </c>
      <c r="F1116" s="6" t="str">
        <f t="shared" si="85"/>
        <v/>
      </c>
      <c r="G1116" s="4"/>
      <c r="H1116" s="4"/>
      <c r="I1116" s="4"/>
      <c r="J1116" s="4"/>
      <c r="K1116" s="4"/>
      <c r="L1116" s="4"/>
      <c r="M1116" s="4"/>
      <c r="N1116" s="4"/>
      <c r="O1116" s="4"/>
      <c r="P1116" s="4"/>
      <c r="Q1116" s="4"/>
      <c r="R1116" s="14"/>
      <c r="S1116" s="14"/>
      <c r="T1116" s="14"/>
      <c r="U1116" s="14"/>
      <c r="V1116" s="14"/>
      <c r="W1116" s="14"/>
      <c r="X1116" s="1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G1116" s="4"/>
      <c r="BH1116" s="4"/>
    </row>
    <row r="1117" spans="1:60" x14ac:dyDescent="0.35">
      <c r="A1117" s="4"/>
      <c r="B1117" s="8" t="str">
        <f t="shared" si="82"/>
        <v/>
      </c>
      <c r="D1117" s="6" t="str">
        <f t="shared" si="83"/>
        <v/>
      </c>
      <c r="E1117" s="6" t="str">
        <f t="shared" si="84"/>
        <v/>
      </c>
      <c r="F1117" s="6" t="str">
        <f t="shared" si="85"/>
        <v/>
      </c>
      <c r="G1117" s="4"/>
      <c r="H1117" s="4"/>
      <c r="I1117" s="4"/>
      <c r="J1117" s="4"/>
      <c r="K1117" s="4"/>
      <c r="L1117" s="4"/>
      <c r="M1117" s="4"/>
      <c r="N1117" s="4"/>
      <c r="O1117" s="4"/>
      <c r="P1117" s="4"/>
      <c r="Q1117" s="4"/>
      <c r="R1117" s="14"/>
      <c r="S1117" s="14"/>
      <c r="T1117" s="14"/>
      <c r="U1117" s="14"/>
      <c r="V1117" s="14"/>
      <c r="W1117" s="14"/>
      <c r="X1117" s="1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G1117" s="4"/>
      <c r="BH1117" s="4"/>
    </row>
    <row r="1118" spans="1:60" x14ac:dyDescent="0.35">
      <c r="A1118" s="4"/>
      <c r="B1118" s="8" t="str">
        <f t="shared" si="82"/>
        <v/>
      </c>
      <c r="D1118" s="6" t="str">
        <f t="shared" si="83"/>
        <v/>
      </c>
      <c r="E1118" s="6" t="str">
        <f t="shared" si="84"/>
        <v/>
      </c>
      <c r="F1118" s="6" t="str">
        <f t="shared" si="85"/>
        <v/>
      </c>
      <c r="G1118" s="4"/>
      <c r="H1118" s="4"/>
      <c r="I1118" s="4"/>
      <c r="J1118" s="4"/>
      <c r="K1118" s="4"/>
      <c r="L1118" s="4"/>
      <c r="M1118" s="4"/>
      <c r="N1118" s="4"/>
      <c r="O1118" s="4"/>
      <c r="P1118" s="4"/>
      <c r="Q1118" s="4"/>
      <c r="R1118" s="14"/>
      <c r="S1118" s="14"/>
      <c r="T1118" s="14"/>
      <c r="U1118" s="14"/>
      <c r="V1118" s="14"/>
      <c r="W1118" s="14"/>
      <c r="X1118" s="1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G1118" s="4"/>
      <c r="BH1118" s="4"/>
    </row>
    <row r="1119" spans="1:60" x14ac:dyDescent="0.35">
      <c r="A1119" s="4"/>
      <c r="B1119" s="8" t="str">
        <f t="shared" si="82"/>
        <v/>
      </c>
      <c r="D1119" s="6" t="str">
        <f t="shared" si="83"/>
        <v/>
      </c>
      <c r="E1119" s="6" t="str">
        <f t="shared" si="84"/>
        <v/>
      </c>
      <c r="F1119" s="6" t="str">
        <f t="shared" si="85"/>
        <v/>
      </c>
      <c r="G1119" s="4"/>
      <c r="H1119" s="4"/>
      <c r="I1119" s="4"/>
      <c r="J1119" s="4"/>
      <c r="K1119" s="4"/>
      <c r="L1119" s="4"/>
      <c r="M1119" s="4"/>
      <c r="N1119" s="4"/>
      <c r="O1119" s="4"/>
      <c r="P1119" s="4"/>
      <c r="Q1119" s="4"/>
      <c r="R1119" s="14"/>
      <c r="S1119" s="14"/>
      <c r="T1119" s="14"/>
      <c r="U1119" s="14"/>
      <c r="V1119" s="14"/>
      <c r="W1119" s="14"/>
      <c r="X1119" s="1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G1119" s="4"/>
      <c r="BH1119" s="4"/>
    </row>
    <row r="1120" spans="1:60" x14ac:dyDescent="0.35">
      <c r="A1120" s="4"/>
      <c r="B1120" s="8" t="str">
        <f t="shared" si="82"/>
        <v/>
      </c>
      <c r="D1120" s="6" t="str">
        <f t="shared" si="83"/>
        <v/>
      </c>
      <c r="E1120" s="6" t="str">
        <f t="shared" si="84"/>
        <v/>
      </c>
      <c r="F1120" s="6" t="str">
        <f t="shared" si="85"/>
        <v/>
      </c>
      <c r="G1120" s="4"/>
      <c r="H1120" s="4"/>
      <c r="I1120" s="4"/>
      <c r="J1120" s="4"/>
      <c r="K1120" s="4"/>
      <c r="L1120" s="4"/>
      <c r="M1120" s="4"/>
      <c r="N1120" s="4"/>
      <c r="O1120" s="4"/>
      <c r="P1120" s="4"/>
      <c r="Q1120" s="4"/>
      <c r="R1120" s="14"/>
      <c r="S1120" s="14"/>
      <c r="T1120" s="14"/>
      <c r="U1120" s="14"/>
      <c r="V1120" s="14"/>
      <c r="W1120" s="14"/>
      <c r="X1120" s="1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G1120" s="4"/>
      <c r="BH1120" s="4"/>
    </row>
    <row r="1121" spans="1:60" x14ac:dyDescent="0.35">
      <c r="A1121" s="4"/>
      <c r="B1121" s="8" t="str">
        <f t="shared" si="82"/>
        <v/>
      </c>
      <c r="D1121" s="6" t="str">
        <f t="shared" si="83"/>
        <v/>
      </c>
      <c r="E1121" s="6" t="str">
        <f t="shared" si="84"/>
        <v/>
      </c>
      <c r="F1121" s="6" t="str">
        <f t="shared" si="85"/>
        <v/>
      </c>
      <c r="G1121" s="4"/>
      <c r="H1121" s="4"/>
      <c r="I1121" s="4"/>
      <c r="J1121" s="4"/>
      <c r="K1121" s="4"/>
      <c r="L1121" s="4"/>
      <c r="M1121" s="4"/>
      <c r="N1121" s="4"/>
      <c r="O1121" s="4"/>
      <c r="P1121" s="4"/>
      <c r="Q1121" s="4"/>
      <c r="R1121" s="14"/>
      <c r="S1121" s="14"/>
      <c r="T1121" s="14"/>
      <c r="U1121" s="14"/>
      <c r="V1121" s="14"/>
      <c r="W1121" s="14"/>
      <c r="X1121" s="1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G1121" s="4"/>
      <c r="BH1121" s="4"/>
    </row>
    <row r="1122" spans="1:60" x14ac:dyDescent="0.35">
      <c r="A1122" s="4"/>
      <c r="B1122" s="8" t="str">
        <f t="shared" si="82"/>
        <v/>
      </c>
      <c r="D1122" s="6" t="str">
        <f t="shared" si="83"/>
        <v/>
      </c>
      <c r="E1122" s="6" t="str">
        <f t="shared" si="84"/>
        <v/>
      </c>
      <c r="F1122" s="6" t="str">
        <f t="shared" si="85"/>
        <v/>
      </c>
      <c r="G1122" s="4"/>
      <c r="H1122" s="4"/>
      <c r="I1122" s="4"/>
      <c r="J1122" s="4"/>
      <c r="K1122" s="4"/>
      <c r="L1122" s="4"/>
      <c r="M1122" s="4"/>
      <c r="N1122" s="4"/>
      <c r="O1122" s="4"/>
      <c r="P1122" s="4"/>
      <c r="Q1122" s="4"/>
      <c r="R1122" s="14"/>
      <c r="S1122" s="14"/>
      <c r="T1122" s="14"/>
      <c r="U1122" s="14"/>
      <c r="V1122" s="14"/>
      <c r="W1122" s="14"/>
      <c r="X1122" s="1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G1122" s="4"/>
      <c r="BH1122" s="4"/>
    </row>
    <row r="1123" spans="1:60" x14ac:dyDescent="0.35">
      <c r="A1123" s="4"/>
      <c r="B1123" s="8" t="str">
        <f t="shared" si="82"/>
        <v/>
      </c>
      <c r="D1123" s="6" t="str">
        <f t="shared" si="83"/>
        <v/>
      </c>
      <c r="E1123" s="6" t="str">
        <f t="shared" si="84"/>
        <v/>
      </c>
      <c r="F1123" s="6" t="str">
        <f t="shared" si="85"/>
        <v/>
      </c>
      <c r="G1123" s="4"/>
      <c r="H1123" s="4"/>
      <c r="I1123" s="4"/>
      <c r="J1123" s="4"/>
      <c r="K1123" s="4"/>
      <c r="L1123" s="4"/>
      <c r="M1123" s="4"/>
      <c r="N1123" s="4"/>
      <c r="O1123" s="4"/>
      <c r="P1123" s="4"/>
      <c r="Q1123" s="4"/>
      <c r="R1123" s="14"/>
      <c r="S1123" s="14"/>
      <c r="T1123" s="14"/>
      <c r="U1123" s="14"/>
      <c r="V1123" s="14"/>
      <c r="W1123" s="14"/>
      <c r="X1123" s="1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G1123" s="4"/>
      <c r="BH1123" s="4"/>
    </row>
    <row r="1124" spans="1:60" x14ac:dyDescent="0.35">
      <c r="A1124" s="4"/>
      <c r="B1124" s="8" t="str">
        <f t="shared" si="82"/>
        <v/>
      </c>
      <c r="D1124" s="6" t="str">
        <f t="shared" si="83"/>
        <v/>
      </c>
      <c r="E1124" s="6" t="str">
        <f t="shared" si="84"/>
        <v/>
      </c>
      <c r="F1124" s="6" t="str">
        <f t="shared" si="85"/>
        <v/>
      </c>
      <c r="G1124" s="4"/>
      <c r="H1124" s="4"/>
      <c r="I1124" s="4"/>
      <c r="J1124" s="4"/>
      <c r="K1124" s="4"/>
      <c r="L1124" s="4"/>
      <c r="M1124" s="4"/>
      <c r="N1124" s="4"/>
      <c r="O1124" s="4"/>
      <c r="P1124" s="4"/>
      <c r="Q1124" s="4"/>
      <c r="R1124" s="14"/>
      <c r="S1124" s="14"/>
      <c r="T1124" s="14"/>
      <c r="U1124" s="14"/>
      <c r="V1124" s="14"/>
      <c r="W1124" s="14"/>
      <c r="X1124" s="1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G1124" s="4"/>
      <c r="BH1124" s="4"/>
    </row>
    <row r="1125" spans="1:60" x14ac:dyDescent="0.35">
      <c r="A1125" s="4"/>
      <c r="B1125" s="8" t="str">
        <f t="shared" si="82"/>
        <v/>
      </c>
      <c r="D1125" s="6" t="str">
        <f t="shared" si="83"/>
        <v/>
      </c>
      <c r="E1125" s="6" t="str">
        <f t="shared" si="84"/>
        <v/>
      </c>
      <c r="F1125" s="6" t="str">
        <f t="shared" si="85"/>
        <v/>
      </c>
      <c r="G1125" s="4"/>
      <c r="H1125" s="4"/>
      <c r="I1125" s="4"/>
      <c r="J1125" s="4"/>
      <c r="K1125" s="4"/>
      <c r="L1125" s="4"/>
      <c r="M1125" s="4"/>
      <c r="N1125" s="4"/>
      <c r="O1125" s="4"/>
      <c r="P1125" s="4"/>
      <c r="Q1125" s="4"/>
      <c r="R1125" s="14"/>
      <c r="S1125" s="14"/>
      <c r="T1125" s="14"/>
      <c r="U1125" s="14"/>
      <c r="V1125" s="14"/>
      <c r="W1125" s="14"/>
      <c r="X1125" s="1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G1125" s="4"/>
      <c r="BH1125" s="4"/>
    </row>
    <row r="1126" spans="1:60" x14ac:dyDescent="0.35">
      <c r="A1126" s="4"/>
      <c r="B1126" s="8" t="str">
        <f t="shared" si="82"/>
        <v/>
      </c>
      <c r="D1126" s="6" t="str">
        <f t="shared" si="83"/>
        <v/>
      </c>
      <c r="E1126" s="6" t="str">
        <f t="shared" si="84"/>
        <v/>
      </c>
      <c r="F1126" s="6" t="str">
        <f t="shared" si="85"/>
        <v/>
      </c>
      <c r="G1126" s="4"/>
      <c r="H1126" s="4"/>
      <c r="I1126" s="4"/>
      <c r="J1126" s="4"/>
      <c r="K1126" s="4"/>
      <c r="L1126" s="4"/>
      <c r="M1126" s="4"/>
      <c r="N1126" s="4"/>
      <c r="O1126" s="4"/>
      <c r="P1126" s="4"/>
      <c r="Q1126" s="4"/>
      <c r="R1126" s="14"/>
      <c r="S1126" s="14"/>
      <c r="T1126" s="14"/>
      <c r="U1126" s="14"/>
      <c r="V1126" s="14"/>
      <c r="W1126" s="14"/>
      <c r="X1126" s="1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G1126" s="4"/>
      <c r="BH1126" s="4"/>
    </row>
    <row r="1127" spans="1:60" x14ac:dyDescent="0.35">
      <c r="A1127" s="4"/>
      <c r="B1127" s="8" t="str">
        <f t="shared" si="82"/>
        <v/>
      </c>
      <c r="D1127" s="6" t="str">
        <f t="shared" si="83"/>
        <v/>
      </c>
      <c r="E1127" s="6" t="str">
        <f t="shared" si="84"/>
        <v/>
      </c>
      <c r="F1127" s="6" t="str">
        <f t="shared" si="85"/>
        <v/>
      </c>
      <c r="G1127" s="4"/>
      <c r="H1127" s="4"/>
      <c r="I1127" s="4"/>
      <c r="J1127" s="4"/>
      <c r="K1127" s="4"/>
      <c r="L1127" s="4"/>
      <c r="M1127" s="4"/>
      <c r="N1127" s="4"/>
      <c r="O1127" s="4"/>
      <c r="P1127" s="4"/>
      <c r="Q1127" s="4"/>
      <c r="R1127" s="14"/>
      <c r="S1127" s="14"/>
      <c r="T1127" s="14"/>
      <c r="U1127" s="14"/>
      <c r="V1127" s="14"/>
      <c r="W1127" s="14"/>
      <c r="X1127" s="1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G1127" s="4"/>
      <c r="BH1127" s="4"/>
    </row>
    <row r="1128" spans="1:60" x14ac:dyDescent="0.35">
      <c r="A1128" s="4"/>
      <c r="B1128" s="8" t="str">
        <f t="shared" si="82"/>
        <v/>
      </c>
      <c r="D1128" s="6" t="str">
        <f t="shared" si="83"/>
        <v/>
      </c>
      <c r="E1128" s="6" t="str">
        <f t="shared" si="84"/>
        <v/>
      </c>
      <c r="F1128" s="6" t="str">
        <f t="shared" si="85"/>
        <v/>
      </c>
      <c r="G1128" s="4"/>
      <c r="H1128" s="4"/>
      <c r="I1128" s="4"/>
      <c r="J1128" s="4"/>
      <c r="K1128" s="4"/>
      <c r="L1128" s="4"/>
      <c r="M1128" s="4"/>
      <c r="N1128" s="4"/>
      <c r="O1128" s="4"/>
      <c r="P1128" s="4"/>
      <c r="Q1128" s="4"/>
      <c r="R1128" s="14"/>
      <c r="S1128" s="14"/>
      <c r="T1128" s="14"/>
      <c r="U1128" s="14"/>
      <c r="V1128" s="14"/>
      <c r="W1128" s="14"/>
      <c r="X1128" s="1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G1128" s="4"/>
      <c r="BH1128" s="4"/>
    </row>
    <row r="1129" spans="1:60" x14ac:dyDescent="0.35">
      <c r="A1129" s="4"/>
      <c r="B1129" s="8" t="str">
        <f t="shared" si="82"/>
        <v/>
      </c>
      <c r="D1129" s="6" t="str">
        <f t="shared" si="83"/>
        <v/>
      </c>
      <c r="E1129" s="6" t="str">
        <f t="shared" si="84"/>
        <v/>
      </c>
      <c r="F1129" s="6" t="str">
        <f t="shared" si="85"/>
        <v/>
      </c>
      <c r="G1129" s="4"/>
      <c r="H1129" s="4"/>
      <c r="I1129" s="4"/>
      <c r="J1129" s="4"/>
      <c r="K1129" s="4"/>
      <c r="L1129" s="4"/>
      <c r="M1129" s="4"/>
      <c r="N1129" s="4"/>
      <c r="O1129" s="4"/>
      <c r="P1129" s="4"/>
      <c r="Q1129" s="4"/>
      <c r="R1129" s="14"/>
      <c r="S1129" s="14"/>
      <c r="T1129" s="14"/>
      <c r="U1129" s="14"/>
      <c r="V1129" s="14"/>
      <c r="W1129" s="14"/>
      <c r="X1129" s="1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G1129" s="4"/>
      <c r="BH1129" s="4"/>
    </row>
    <row r="1130" spans="1:60" x14ac:dyDescent="0.35">
      <c r="A1130" s="4"/>
      <c r="B1130" s="8" t="str">
        <f t="shared" si="82"/>
        <v/>
      </c>
      <c r="D1130" s="6" t="str">
        <f t="shared" si="83"/>
        <v/>
      </c>
      <c r="E1130" s="6" t="str">
        <f t="shared" si="84"/>
        <v/>
      </c>
      <c r="F1130" s="6" t="str">
        <f t="shared" si="85"/>
        <v/>
      </c>
      <c r="G1130" s="4"/>
      <c r="H1130" s="4"/>
      <c r="I1130" s="4"/>
      <c r="J1130" s="4"/>
      <c r="K1130" s="4"/>
      <c r="L1130" s="4"/>
      <c r="M1130" s="4"/>
      <c r="N1130" s="4"/>
      <c r="O1130" s="4"/>
      <c r="P1130" s="4"/>
      <c r="Q1130" s="4"/>
      <c r="R1130" s="14"/>
      <c r="S1130" s="14"/>
      <c r="T1130" s="14"/>
      <c r="U1130" s="14"/>
      <c r="V1130" s="14"/>
      <c r="W1130" s="14"/>
      <c r="X1130" s="1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G1130" s="4"/>
      <c r="BH1130" s="4"/>
    </row>
    <row r="1131" spans="1:60" x14ac:dyDescent="0.35">
      <c r="A1131" s="4"/>
      <c r="B1131" s="8" t="str">
        <f t="shared" si="82"/>
        <v/>
      </c>
      <c r="D1131" s="6" t="str">
        <f t="shared" si="83"/>
        <v/>
      </c>
      <c r="E1131" s="6" t="str">
        <f t="shared" si="84"/>
        <v/>
      </c>
      <c r="F1131" s="6" t="str">
        <f t="shared" si="85"/>
        <v/>
      </c>
      <c r="G1131" s="4"/>
      <c r="H1131" s="4"/>
      <c r="I1131" s="4"/>
      <c r="J1131" s="4"/>
      <c r="K1131" s="4"/>
      <c r="L1131" s="4"/>
      <c r="M1131" s="4"/>
      <c r="N1131" s="4"/>
      <c r="O1131" s="4"/>
      <c r="P1131" s="4"/>
      <c r="Q1131" s="4"/>
      <c r="R1131" s="14"/>
      <c r="S1131" s="14"/>
      <c r="T1131" s="14"/>
      <c r="U1131" s="14"/>
      <c r="V1131" s="14"/>
      <c r="W1131" s="14"/>
      <c r="X1131" s="1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G1131" s="4"/>
      <c r="BH1131" s="4"/>
    </row>
    <row r="1132" spans="1:60" x14ac:dyDescent="0.35">
      <c r="A1132" s="4"/>
      <c r="B1132" s="8" t="str">
        <f t="shared" si="82"/>
        <v/>
      </c>
      <c r="D1132" s="6" t="str">
        <f t="shared" si="83"/>
        <v/>
      </c>
      <c r="E1132" s="6" t="str">
        <f t="shared" si="84"/>
        <v/>
      </c>
      <c r="F1132" s="6" t="str">
        <f t="shared" si="85"/>
        <v/>
      </c>
      <c r="G1132" s="4"/>
      <c r="H1132" s="4"/>
      <c r="I1132" s="4"/>
      <c r="J1132" s="4"/>
      <c r="K1132" s="4"/>
      <c r="L1132" s="4"/>
      <c r="M1132" s="4"/>
      <c r="N1132" s="4"/>
      <c r="O1132" s="4"/>
      <c r="P1132" s="4"/>
      <c r="Q1132" s="4"/>
      <c r="R1132" s="14"/>
      <c r="S1132" s="14"/>
      <c r="T1132" s="14"/>
      <c r="U1132" s="14"/>
      <c r="V1132" s="14"/>
      <c r="W1132" s="14"/>
      <c r="X1132" s="1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G1132" s="4"/>
      <c r="BH1132" s="4"/>
    </row>
    <row r="1133" spans="1:60" x14ac:dyDescent="0.35">
      <c r="A1133" s="4"/>
      <c r="B1133" s="8" t="str">
        <f t="shared" si="82"/>
        <v/>
      </c>
      <c r="D1133" s="6" t="str">
        <f t="shared" si="83"/>
        <v/>
      </c>
      <c r="E1133" s="6" t="str">
        <f t="shared" si="84"/>
        <v/>
      </c>
      <c r="F1133" s="6" t="str">
        <f t="shared" si="85"/>
        <v/>
      </c>
      <c r="G1133" s="4"/>
      <c r="H1133" s="4"/>
      <c r="I1133" s="4"/>
      <c r="J1133" s="4"/>
      <c r="K1133" s="4"/>
      <c r="L1133" s="4"/>
      <c r="M1133" s="4"/>
      <c r="N1133" s="4"/>
      <c r="O1133" s="4"/>
      <c r="P1133" s="4"/>
      <c r="Q1133" s="4"/>
      <c r="R1133" s="14"/>
      <c r="S1133" s="14"/>
      <c r="T1133" s="14"/>
      <c r="U1133" s="14"/>
      <c r="V1133" s="14"/>
      <c r="W1133" s="14"/>
      <c r="X1133" s="1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G1133" s="4"/>
      <c r="BH1133" s="4"/>
    </row>
    <row r="1134" spans="1:60" x14ac:dyDescent="0.35">
      <c r="A1134" s="4"/>
      <c r="B1134" s="8" t="str">
        <f t="shared" si="82"/>
        <v/>
      </c>
      <c r="D1134" s="6" t="str">
        <f t="shared" si="83"/>
        <v/>
      </c>
      <c r="E1134" s="6" t="str">
        <f t="shared" si="84"/>
        <v/>
      </c>
      <c r="F1134" s="6" t="str">
        <f t="shared" si="85"/>
        <v/>
      </c>
      <c r="G1134" s="4"/>
      <c r="H1134" s="4"/>
      <c r="I1134" s="4"/>
      <c r="J1134" s="4"/>
      <c r="K1134" s="4"/>
      <c r="L1134" s="4"/>
      <c r="M1134" s="4"/>
      <c r="N1134" s="4"/>
      <c r="O1134" s="4"/>
      <c r="P1134" s="4"/>
      <c r="Q1134" s="4"/>
      <c r="R1134" s="14"/>
      <c r="S1134" s="14"/>
      <c r="T1134" s="14"/>
      <c r="U1134" s="14"/>
      <c r="V1134" s="14"/>
      <c r="W1134" s="14"/>
      <c r="X1134" s="1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G1134" s="4"/>
      <c r="BH1134" s="4"/>
    </row>
    <row r="1135" spans="1:60" x14ac:dyDescent="0.35">
      <c r="A1135" s="4"/>
      <c r="B1135" s="8" t="str">
        <f t="shared" si="82"/>
        <v/>
      </c>
      <c r="D1135" s="6" t="str">
        <f t="shared" si="83"/>
        <v/>
      </c>
      <c r="E1135" s="6" t="str">
        <f t="shared" si="84"/>
        <v/>
      </c>
      <c r="F1135" s="6" t="str">
        <f t="shared" si="85"/>
        <v/>
      </c>
      <c r="G1135" s="4"/>
      <c r="H1135" s="4"/>
      <c r="I1135" s="4"/>
      <c r="J1135" s="4"/>
      <c r="K1135" s="4"/>
      <c r="L1135" s="4"/>
      <c r="M1135" s="4"/>
      <c r="N1135" s="4"/>
      <c r="O1135" s="4"/>
      <c r="P1135" s="4"/>
      <c r="Q1135" s="4"/>
      <c r="R1135" s="14"/>
      <c r="S1135" s="14"/>
      <c r="T1135" s="14"/>
      <c r="U1135" s="14"/>
      <c r="V1135" s="14"/>
      <c r="W1135" s="14"/>
      <c r="X1135" s="1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G1135" s="4"/>
      <c r="BH1135" s="4"/>
    </row>
    <row r="1136" spans="1:60" x14ac:dyDescent="0.35">
      <c r="A1136" s="4"/>
      <c r="B1136" s="8" t="str">
        <f t="shared" si="82"/>
        <v/>
      </c>
      <c r="D1136" s="6" t="str">
        <f t="shared" si="83"/>
        <v/>
      </c>
      <c r="E1136" s="6" t="str">
        <f t="shared" si="84"/>
        <v/>
      </c>
      <c r="F1136" s="6" t="str">
        <f t="shared" si="85"/>
        <v/>
      </c>
      <c r="G1136" s="4"/>
      <c r="H1136" s="4"/>
      <c r="I1136" s="4"/>
      <c r="J1136" s="4"/>
      <c r="K1136" s="4"/>
      <c r="L1136" s="4"/>
      <c r="M1136" s="4"/>
      <c r="N1136" s="4"/>
      <c r="O1136" s="4"/>
      <c r="P1136" s="4"/>
      <c r="Q1136" s="4"/>
      <c r="R1136" s="14"/>
      <c r="S1136" s="14"/>
      <c r="T1136" s="14"/>
      <c r="U1136" s="14"/>
      <c r="V1136" s="14"/>
      <c r="W1136" s="14"/>
      <c r="X1136" s="1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G1136" s="4"/>
      <c r="BH1136" s="4"/>
    </row>
    <row r="1137" spans="1:60" x14ac:dyDescent="0.35">
      <c r="A1137" s="4"/>
      <c r="B1137" s="8" t="str">
        <f t="shared" si="82"/>
        <v/>
      </c>
      <c r="D1137" s="6" t="str">
        <f t="shared" si="83"/>
        <v/>
      </c>
      <c r="E1137" s="6" t="str">
        <f t="shared" si="84"/>
        <v/>
      </c>
      <c r="F1137" s="6" t="str">
        <f t="shared" si="85"/>
        <v/>
      </c>
      <c r="G1137" s="4"/>
      <c r="H1137" s="4"/>
      <c r="I1137" s="4"/>
      <c r="J1137" s="4"/>
      <c r="K1137" s="4"/>
      <c r="L1137" s="4"/>
      <c r="M1137" s="4"/>
      <c r="N1137" s="4"/>
      <c r="O1137" s="4"/>
      <c r="P1137" s="4"/>
      <c r="Q1137" s="4"/>
      <c r="R1137" s="14"/>
      <c r="S1137" s="14"/>
      <c r="T1137" s="14"/>
      <c r="U1137" s="14"/>
      <c r="V1137" s="14"/>
      <c r="W1137" s="14"/>
      <c r="X1137" s="1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G1137" s="4"/>
      <c r="BH1137" s="4"/>
    </row>
    <row r="1138" spans="1:60" x14ac:dyDescent="0.35">
      <c r="A1138" s="4"/>
      <c r="B1138" s="8" t="str">
        <f t="shared" si="82"/>
        <v/>
      </c>
      <c r="D1138" s="6" t="str">
        <f t="shared" si="83"/>
        <v/>
      </c>
      <c r="E1138" s="6" t="str">
        <f t="shared" si="84"/>
        <v/>
      </c>
      <c r="F1138" s="6" t="str">
        <f t="shared" si="85"/>
        <v/>
      </c>
      <c r="G1138" s="4"/>
      <c r="H1138" s="4"/>
      <c r="I1138" s="4"/>
      <c r="J1138" s="4"/>
      <c r="K1138" s="4"/>
      <c r="L1138" s="4"/>
      <c r="M1138" s="4"/>
      <c r="N1138" s="4"/>
      <c r="O1138" s="4"/>
      <c r="P1138" s="4"/>
      <c r="Q1138" s="4"/>
      <c r="R1138" s="14"/>
      <c r="S1138" s="14"/>
      <c r="T1138" s="14"/>
      <c r="U1138" s="14"/>
      <c r="V1138" s="14"/>
      <c r="W1138" s="14"/>
      <c r="X1138" s="1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G1138" s="4"/>
      <c r="BH1138" s="4"/>
    </row>
    <row r="1139" spans="1:60" x14ac:dyDescent="0.35">
      <c r="A1139" s="4"/>
      <c r="B1139" s="8" t="str">
        <f t="shared" si="82"/>
        <v/>
      </c>
      <c r="D1139" s="6" t="str">
        <f t="shared" si="83"/>
        <v/>
      </c>
      <c r="E1139" s="6" t="str">
        <f t="shared" si="84"/>
        <v/>
      </c>
      <c r="F1139" s="6" t="str">
        <f t="shared" si="85"/>
        <v/>
      </c>
      <c r="G1139" s="4"/>
      <c r="H1139" s="4"/>
      <c r="I1139" s="4"/>
      <c r="J1139" s="4"/>
      <c r="K1139" s="4"/>
      <c r="L1139" s="4"/>
      <c r="M1139" s="4"/>
      <c r="N1139" s="4"/>
      <c r="O1139" s="4"/>
      <c r="P1139" s="4"/>
      <c r="Q1139" s="4"/>
      <c r="R1139" s="14"/>
      <c r="S1139" s="14"/>
      <c r="T1139" s="14"/>
      <c r="U1139" s="14"/>
      <c r="V1139" s="14"/>
      <c r="W1139" s="14"/>
      <c r="X1139" s="1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G1139" s="4"/>
      <c r="BH1139" s="4"/>
    </row>
    <row r="1140" spans="1:60" x14ac:dyDescent="0.35">
      <c r="A1140" s="4"/>
      <c r="B1140" s="8" t="str">
        <f t="shared" si="82"/>
        <v/>
      </c>
      <c r="D1140" s="6" t="str">
        <f t="shared" si="83"/>
        <v/>
      </c>
      <c r="E1140" s="6" t="str">
        <f t="shared" si="84"/>
        <v/>
      </c>
      <c r="F1140" s="6" t="str">
        <f t="shared" si="85"/>
        <v/>
      </c>
      <c r="G1140" s="4"/>
      <c r="H1140" s="4"/>
      <c r="I1140" s="4"/>
      <c r="J1140" s="4"/>
      <c r="K1140" s="4"/>
      <c r="L1140" s="4"/>
      <c r="M1140" s="4"/>
      <c r="N1140" s="4"/>
      <c r="O1140" s="4"/>
      <c r="P1140" s="4"/>
      <c r="Q1140" s="4"/>
      <c r="R1140" s="14"/>
      <c r="S1140" s="14"/>
      <c r="T1140" s="14"/>
      <c r="U1140" s="14"/>
      <c r="V1140" s="14"/>
      <c r="W1140" s="14"/>
      <c r="X1140" s="1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G1140" s="4"/>
      <c r="BH1140" s="4"/>
    </row>
    <row r="1141" spans="1:60" x14ac:dyDescent="0.35">
      <c r="A1141" s="4"/>
      <c r="B1141" s="8" t="str">
        <f t="shared" si="82"/>
        <v/>
      </c>
      <c r="D1141" s="6" t="str">
        <f t="shared" si="83"/>
        <v/>
      </c>
      <c r="E1141" s="6" t="str">
        <f t="shared" si="84"/>
        <v/>
      </c>
      <c r="F1141" s="6" t="str">
        <f t="shared" si="85"/>
        <v/>
      </c>
      <c r="G1141" s="4"/>
      <c r="H1141" s="4"/>
      <c r="I1141" s="4"/>
      <c r="J1141" s="4"/>
      <c r="K1141" s="4"/>
      <c r="L1141" s="4"/>
      <c r="M1141" s="4"/>
      <c r="N1141" s="4"/>
      <c r="O1141" s="4"/>
      <c r="P1141" s="4"/>
      <c r="Q1141" s="4"/>
      <c r="R1141" s="14"/>
      <c r="S1141" s="14"/>
      <c r="T1141" s="14"/>
      <c r="U1141" s="14"/>
      <c r="V1141" s="14"/>
      <c r="W1141" s="14"/>
      <c r="X1141" s="1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G1141" s="4"/>
      <c r="BH1141" s="4"/>
    </row>
    <row r="1142" spans="1:60" x14ac:dyDescent="0.35">
      <c r="A1142" s="4"/>
      <c r="B1142" s="8" t="str">
        <f t="shared" si="82"/>
        <v/>
      </c>
      <c r="D1142" s="6" t="str">
        <f t="shared" si="83"/>
        <v/>
      </c>
      <c r="E1142" s="6" t="str">
        <f t="shared" si="84"/>
        <v/>
      </c>
      <c r="F1142" s="6" t="str">
        <f t="shared" si="85"/>
        <v/>
      </c>
      <c r="G1142" s="4"/>
      <c r="H1142" s="4"/>
      <c r="I1142" s="4"/>
      <c r="J1142" s="4"/>
      <c r="K1142" s="4"/>
      <c r="L1142" s="4"/>
      <c r="M1142" s="4"/>
      <c r="N1142" s="4"/>
      <c r="O1142" s="4"/>
      <c r="P1142" s="4"/>
      <c r="Q1142" s="4"/>
      <c r="R1142" s="14"/>
      <c r="S1142" s="14"/>
      <c r="T1142" s="14"/>
      <c r="U1142" s="14"/>
      <c r="V1142" s="14"/>
      <c r="W1142" s="14"/>
      <c r="X1142" s="1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G1142" s="4"/>
      <c r="BH1142" s="4"/>
    </row>
    <row r="1143" spans="1:60" x14ac:dyDescent="0.35">
      <c r="A1143" s="4"/>
      <c r="B1143" s="8" t="str">
        <f t="shared" si="82"/>
        <v/>
      </c>
      <c r="D1143" s="6" t="str">
        <f t="shared" si="83"/>
        <v/>
      </c>
      <c r="E1143" s="6" t="str">
        <f t="shared" si="84"/>
        <v/>
      </c>
      <c r="F1143" s="6" t="str">
        <f t="shared" si="85"/>
        <v/>
      </c>
      <c r="G1143" s="4"/>
      <c r="H1143" s="4"/>
      <c r="I1143" s="4"/>
      <c r="J1143" s="4"/>
      <c r="K1143" s="4"/>
      <c r="L1143" s="4"/>
      <c r="M1143" s="4"/>
      <c r="N1143" s="4"/>
      <c r="O1143" s="4"/>
      <c r="P1143" s="4"/>
      <c r="Q1143" s="4"/>
      <c r="R1143" s="14"/>
      <c r="S1143" s="14"/>
      <c r="T1143" s="14"/>
      <c r="U1143" s="14"/>
      <c r="V1143" s="14"/>
      <c r="W1143" s="14"/>
      <c r="X1143" s="1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G1143" s="4"/>
      <c r="BH1143" s="4"/>
    </row>
    <row r="1144" spans="1:60" x14ac:dyDescent="0.35">
      <c r="A1144" s="4"/>
      <c r="B1144" s="8" t="str">
        <f t="shared" si="82"/>
        <v/>
      </c>
      <c r="D1144" s="6" t="str">
        <f t="shared" si="83"/>
        <v/>
      </c>
      <c r="E1144" s="6" t="str">
        <f t="shared" si="84"/>
        <v/>
      </c>
      <c r="F1144" s="6" t="str">
        <f t="shared" si="85"/>
        <v/>
      </c>
      <c r="G1144" s="4"/>
      <c r="H1144" s="4"/>
      <c r="I1144" s="4"/>
      <c r="J1144" s="4"/>
      <c r="K1144" s="4"/>
      <c r="L1144" s="4"/>
      <c r="M1144" s="4"/>
      <c r="N1144" s="4"/>
      <c r="O1144" s="4"/>
      <c r="P1144" s="4"/>
      <c r="Q1144" s="4"/>
      <c r="R1144" s="14"/>
      <c r="S1144" s="14"/>
      <c r="T1144" s="14"/>
      <c r="U1144" s="14"/>
      <c r="V1144" s="14"/>
      <c r="W1144" s="14"/>
      <c r="X1144" s="1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G1144" s="4"/>
      <c r="BH1144" s="4"/>
    </row>
    <row r="1145" spans="1:60" x14ac:dyDescent="0.35">
      <c r="A1145" s="4"/>
      <c r="B1145" s="8" t="str">
        <f t="shared" si="82"/>
        <v/>
      </c>
      <c r="D1145" s="6" t="str">
        <f t="shared" si="83"/>
        <v/>
      </c>
      <c r="E1145" s="6" t="str">
        <f t="shared" si="84"/>
        <v/>
      </c>
      <c r="F1145" s="6" t="str">
        <f t="shared" si="85"/>
        <v/>
      </c>
      <c r="G1145" s="4"/>
      <c r="H1145" s="4"/>
      <c r="I1145" s="4"/>
      <c r="J1145" s="4"/>
      <c r="K1145" s="4"/>
      <c r="L1145" s="4"/>
      <c r="M1145" s="4"/>
      <c r="N1145" s="4"/>
      <c r="O1145" s="4"/>
      <c r="P1145" s="4"/>
      <c r="Q1145" s="4"/>
      <c r="R1145" s="14"/>
      <c r="S1145" s="14"/>
      <c r="T1145" s="14"/>
      <c r="U1145" s="14"/>
      <c r="V1145" s="14"/>
      <c r="W1145" s="14"/>
      <c r="X1145" s="1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G1145" s="4"/>
      <c r="BH1145" s="4"/>
    </row>
    <row r="1146" spans="1:60" x14ac:dyDescent="0.35">
      <c r="A1146" s="4"/>
      <c r="B1146" s="8" t="str">
        <f t="shared" si="82"/>
        <v/>
      </c>
      <c r="D1146" s="6" t="str">
        <f t="shared" si="83"/>
        <v/>
      </c>
      <c r="E1146" s="6" t="str">
        <f t="shared" si="84"/>
        <v/>
      </c>
      <c r="F1146" s="6" t="str">
        <f t="shared" si="85"/>
        <v/>
      </c>
      <c r="G1146" s="4"/>
      <c r="H1146" s="4"/>
      <c r="I1146" s="4"/>
      <c r="J1146" s="4"/>
      <c r="K1146" s="4"/>
      <c r="L1146" s="4"/>
      <c r="M1146" s="4"/>
      <c r="N1146" s="4"/>
      <c r="O1146" s="4"/>
      <c r="P1146" s="4"/>
      <c r="Q1146" s="4"/>
      <c r="R1146" s="14"/>
      <c r="S1146" s="14"/>
      <c r="T1146" s="14"/>
      <c r="U1146" s="14"/>
      <c r="V1146" s="14"/>
      <c r="W1146" s="14"/>
      <c r="X1146" s="1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G1146" s="4"/>
      <c r="BH1146" s="4"/>
    </row>
    <row r="1147" spans="1:60" x14ac:dyDescent="0.35">
      <c r="A1147" s="4"/>
      <c r="B1147" s="8" t="str">
        <f t="shared" si="82"/>
        <v/>
      </c>
      <c r="D1147" s="6" t="str">
        <f t="shared" si="83"/>
        <v/>
      </c>
      <c r="E1147" s="6" t="str">
        <f t="shared" si="84"/>
        <v/>
      </c>
      <c r="F1147" s="6" t="str">
        <f t="shared" si="85"/>
        <v/>
      </c>
      <c r="G1147" s="4"/>
      <c r="H1147" s="4"/>
      <c r="I1147" s="4"/>
      <c r="J1147" s="4"/>
      <c r="K1147" s="4"/>
      <c r="L1147" s="4"/>
      <c r="M1147" s="4"/>
      <c r="N1147" s="4"/>
      <c r="O1147" s="4"/>
      <c r="P1147" s="4"/>
      <c r="Q1147" s="4"/>
      <c r="R1147" s="14"/>
      <c r="S1147" s="14"/>
      <c r="T1147" s="14"/>
      <c r="U1147" s="14"/>
      <c r="V1147" s="14"/>
      <c r="W1147" s="14"/>
      <c r="X1147" s="1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G1147" s="4"/>
      <c r="BH1147" s="4"/>
    </row>
    <row r="1148" spans="1:60" x14ac:dyDescent="0.35">
      <c r="A1148" s="4"/>
      <c r="B1148" s="8" t="str">
        <f t="shared" si="82"/>
        <v/>
      </c>
      <c r="D1148" s="6" t="str">
        <f t="shared" si="83"/>
        <v/>
      </c>
      <c r="E1148" s="6" t="str">
        <f t="shared" si="84"/>
        <v/>
      </c>
      <c r="F1148" s="6" t="str">
        <f t="shared" si="85"/>
        <v/>
      </c>
      <c r="G1148" s="4"/>
      <c r="H1148" s="4"/>
      <c r="I1148" s="4"/>
      <c r="J1148" s="4"/>
      <c r="K1148" s="4"/>
      <c r="L1148" s="4"/>
      <c r="M1148" s="4"/>
      <c r="N1148" s="4"/>
      <c r="O1148" s="4"/>
      <c r="P1148" s="4"/>
      <c r="Q1148" s="4"/>
      <c r="R1148" s="14"/>
      <c r="S1148" s="14"/>
      <c r="T1148" s="14"/>
      <c r="U1148" s="14"/>
      <c r="V1148" s="14"/>
      <c r="W1148" s="14"/>
      <c r="X1148" s="1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G1148" s="4"/>
      <c r="BH1148" s="4"/>
    </row>
    <row r="1149" spans="1:60" x14ac:dyDescent="0.35">
      <c r="A1149" s="4"/>
      <c r="B1149" s="8" t="str">
        <f t="shared" ref="B1149:B1212" si="86">RIGHT(A1149,4)</f>
        <v/>
      </c>
      <c r="D1149" s="6" t="str">
        <f t="shared" ref="D1149:D1212" si="87">IF(C1149="","",VLOOKUP(C1149,district_region,2,FALSE))</f>
        <v/>
      </c>
      <c r="E1149" s="6" t="str">
        <f t="shared" ref="E1149:E1212" si="88">IF(C1149="","",VLOOKUP(C1149,liste_pop,3,FALSE))</f>
        <v/>
      </c>
      <c r="F1149" s="6" t="str">
        <f t="shared" ref="F1149:F1212" si="89">IF(D1149="","",IF(D1149="Dakar",4042240,VLOOKUP(D1149,liste_pop,4,FALSE)))</f>
        <v/>
      </c>
      <c r="G1149" s="4"/>
      <c r="H1149" s="4"/>
      <c r="I1149" s="4"/>
      <c r="J1149" s="4"/>
      <c r="K1149" s="4"/>
      <c r="L1149" s="4"/>
      <c r="M1149" s="4"/>
      <c r="N1149" s="4"/>
      <c r="O1149" s="4"/>
      <c r="P1149" s="4"/>
      <c r="Q1149" s="4"/>
      <c r="R1149" s="14"/>
      <c r="S1149" s="14"/>
      <c r="T1149" s="14"/>
      <c r="U1149" s="14"/>
      <c r="V1149" s="14"/>
      <c r="W1149" s="14"/>
      <c r="X1149" s="1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G1149" s="4"/>
      <c r="BH1149" s="4"/>
    </row>
    <row r="1150" spans="1:60" x14ac:dyDescent="0.35">
      <c r="A1150" s="4"/>
      <c r="B1150" s="8" t="str">
        <f t="shared" si="86"/>
        <v/>
      </c>
      <c r="D1150" s="6" t="str">
        <f t="shared" si="87"/>
        <v/>
      </c>
      <c r="E1150" s="6" t="str">
        <f t="shared" si="88"/>
        <v/>
      </c>
      <c r="F1150" s="6" t="str">
        <f t="shared" si="89"/>
        <v/>
      </c>
      <c r="G1150" s="4"/>
      <c r="H1150" s="4"/>
      <c r="I1150" s="4"/>
      <c r="J1150" s="4"/>
      <c r="K1150" s="4"/>
      <c r="L1150" s="4"/>
      <c r="M1150" s="4"/>
      <c r="N1150" s="4"/>
      <c r="O1150" s="4"/>
      <c r="P1150" s="4"/>
      <c r="Q1150" s="4"/>
      <c r="R1150" s="14"/>
      <c r="S1150" s="14"/>
      <c r="T1150" s="14"/>
      <c r="U1150" s="14"/>
      <c r="V1150" s="14"/>
      <c r="W1150" s="14"/>
      <c r="X1150" s="1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G1150" s="4"/>
      <c r="BH1150" s="4"/>
    </row>
    <row r="1151" spans="1:60" x14ac:dyDescent="0.35">
      <c r="A1151" s="4"/>
      <c r="B1151" s="8" t="str">
        <f t="shared" si="86"/>
        <v/>
      </c>
      <c r="D1151" s="6" t="str">
        <f t="shared" si="87"/>
        <v/>
      </c>
      <c r="E1151" s="6" t="str">
        <f t="shared" si="88"/>
        <v/>
      </c>
      <c r="F1151" s="6" t="str">
        <f t="shared" si="89"/>
        <v/>
      </c>
      <c r="G1151" s="4"/>
      <c r="H1151" s="4"/>
      <c r="I1151" s="4"/>
      <c r="J1151" s="4"/>
      <c r="K1151" s="4"/>
      <c r="L1151" s="4"/>
      <c r="M1151" s="4"/>
      <c r="N1151" s="4"/>
      <c r="O1151" s="4"/>
      <c r="P1151" s="4"/>
      <c r="Q1151" s="4"/>
      <c r="R1151" s="14"/>
      <c r="S1151" s="14"/>
      <c r="T1151" s="14"/>
      <c r="U1151" s="14"/>
      <c r="V1151" s="14"/>
      <c r="W1151" s="14"/>
      <c r="X1151" s="1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G1151" s="4"/>
      <c r="BH1151" s="4"/>
    </row>
    <row r="1152" spans="1:60" x14ac:dyDescent="0.35">
      <c r="A1152" s="4"/>
      <c r="B1152" s="8" t="str">
        <f t="shared" si="86"/>
        <v/>
      </c>
      <c r="D1152" s="6" t="str">
        <f t="shared" si="87"/>
        <v/>
      </c>
      <c r="E1152" s="6" t="str">
        <f t="shared" si="88"/>
        <v/>
      </c>
      <c r="F1152" s="6" t="str">
        <f t="shared" si="89"/>
        <v/>
      </c>
      <c r="G1152" s="4"/>
      <c r="H1152" s="4"/>
      <c r="I1152" s="4"/>
      <c r="J1152" s="4"/>
      <c r="K1152" s="4"/>
      <c r="L1152" s="4"/>
      <c r="M1152" s="4"/>
      <c r="N1152" s="4"/>
      <c r="O1152" s="4"/>
      <c r="P1152" s="4"/>
      <c r="Q1152" s="4"/>
      <c r="R1152" s="14"/>
      <c r="S1152" s="14"/>
      <c r="T1152" s="14"/>
      <c r="U1152" s="14"/>
      <c r="V1152" s="14"/>
      <c r="W1152" s="14"/>
      <c r="X1152" s="1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G1152" s="4"/>
      <c r="BH1152" s="4"/>
    </row>
    <row r="1153" spans="1:60" x14ac:dyDescent="0.35">
      <c r="A1153" s="4"/>
      <c r="B1153" s="8" t="str">
        <f t="shared" si="86"/>
        <v/>
      </c>
      <c r="D1153" s="6" t="str">
        <f t="shared" si="87"/>
        <v/>
      </c>
      <c r="E1153" s="6" t="str">
        <f t="shared" si="88"/>
        <v/>
      </c>
      <c r="F1153" s="6" t="str">
        <f t="shared" si="89"/>
        <v/>
      </c>
      <c r="G1153" s="4"/>
      <c r="H1153" s="4"/>
      <c r="I1153" s="4"/>
      <c r="J1153" s="4"/>
      <c r="K1153" s="4"/>
      <c r="L1153" s="4"/>
      <c r="M1153" s="4"/>
      <c r="N1153" s="4"/>
      <c r="O1153" s="4"/>
      <c r="P1153" s="4"/>
      <c r="Q1153" s="4"/>
      <c r="R1153" s="14"/>
      <c r="S1153" s="14"/>
      <c r="T1153" s="14"/>
      <c r="U1153" s="14"/>
      <c r="V1153" s="14"/>
      <c r="W1153" s="14"/>
      <c r="X1153" s="1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G1153" s="4"/>
      <c r="BH1153" s="4"/>
    </row>
    <row r="1154" spans="1:60" x14ac:dyDescent="0.35">
      <c r="A1154" s="4"/>
      <c r="B1154" s="8" t="str">
        <f t="shared" si="86"/>
        <v/>
      </c>
      <c r="D1154" s="6" t="str">
        <f t="shared" si="87"/>
        <v/>
      </c>
      <c r="E1154" s="6" t="str">
        <f t="shared" si="88"/>
        <v/>
      </c>
      <c r="F1154" s="6" t="str">
        <f t="shared" si="89"/>
        <v/>
      </c>
      <c r="G1154" s="4"/>
      <c r="H1154" s="4"/>
      <c r="I1154" s="4"/>
      <c r="J1154" s="4"/>
      <c r="K1154" s="4"/>
      <c r="L1154" s="4"/>
      <c r="M1154" s="4"/>
      <c r="N1154" s="4"/>
      <c r="O1154" s="4"/>
      <c r="P1154" s="4"/>
      <c r="Q1154" s="4"/>
      <c r="R1154" s="14"/>
      <c r="S1154" s="14"/>
      <c r="T1154" s="14"/>
      <c r="U1154" s="14"/>
      <c r="V1154" s="14"/>
      <c r="W1154" s="14"/>
      <c r="X1154" s="1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G1154" s="4"/>
      <c r="BH1154" s="4"/>
    </row>
    <row r="1155" spans="1:60" x14ac:dyDescent="0.35">
      <c r="A1155" s="4"/>
      <c r="B1155" s="8" t="str">
        <f t="shared" si="86"/>
        <v/>
      </c>
      <c r="D1155" s="6" t="str">
        <f t="shared" si="87"/>
        <v/>
      </c>
      <c r="E1155" s="6" t="str">
        <f t="shared" si="88"/>
        <v/>
      </c>
      <c r="F1155" s="6" t="str">
        <f t="shared" si="89"/>
        <v/>
      </c>
      <c r="G1155" s="4"/>
      <c r="H1155" s="4"/>
      <c r="I1155" s="4"/>
      <c r="J1155" s="4"/>
      <c r="K1155" s="4"/>
      <c r="L1155" s="4"/>
      <c r="M1155" s="4"/>
      <c r="N1155" s="4"/>
      <c r="O1155" s="4"/>
      <c r="P1155" s="4"/>
      <c r="Q1155" s="4"/>
      <c r="R1155" s="14"/>
      <c r="S1155" s="14"/>
      <c r="T1155" s="14"/>
      <c r="U1155" s="14"/>
      <c r="V1155" s="14"/>
      <c r="W1155" s="14"/>
      <c r="X1155" s="1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G1155" s="4"/>
      <c r="BH1155" s="4"/>
    </row>
    <row r="1156" spans="1:60" x14ac:dyDescent="0.35">
      <c r="A1156" s="4"/>
      <c r="B1156" s="8" t="str">
        <f t="shared" si="86"/>
        <v/>
      </c>
      <c r="D1156" s="6" t="str">
        <f t="shared" si="87"/>
        <v/>
      </c>
      <c r="E1156" s="6" t="str">
        <f t="shared" si="88"/>
        <v/>
      </c>
      <c r="F1156" s="6" t="str">
        <f t="shared" si="89"/>
        <v/>
      </c>
      <c r="G1156" s="4"/>
      <c r="H1156" s="4"/>
      <c r="I1156" s="4"/>
      <c r="J1156" s="4"/>
      <c r="K1156" s="4"/>
      <c r="L1156" s="4"/>
      <c r="M1156" s="4"/>
      <c r="N1156" s="4"/>
      <c r="O1156" s="4"/>
      <c r="P1156" s="4"/>
      <c r="Q1156" s="4"/>
      <c r="R1156" s="14"/>
      <c r="S1156" s="14"/>
      <c r="T1156" s="14"/>
      <c r="U1156" s="14"/>
      <c r="V1156" s="14"/>
      <c r="W1156" s="14"/>
      <c r="X1156" s="1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G1156" s="4"/>
      <c r="BH1156" s="4"/>
    </row>
    <row r="1157" spans="1:60" x14ac:dyDescent="0.35">
      <c r="A1157" s="4"/>
      <c r="B1157" s="8" t="str">
        <f t="shared" si="86"/>
        <v/>
      </c>
      <c r="D1157" s="6" t="str">
        <f t="shared" si="87"/>
        <v/>
      </c>
      <c r="E1157" s="6" t="str">
        <f t="shared" si="88"/>
        <v/>
      </c>
      <c r="F1157" s="6" t="str">
        <f t="shared" si="89"/>
        <v/>
      </c>
      <c r="G1157" s="4"/>
      <c r="H1157" s="4"/>
      <c r="I1157" s="4"/>
      <c r="J1157" s="4"/>
      <c r="K1157" s="4"/>
      <c r="L1157" s="4"/>
      <c r="M1157" s="4"/>
      <c r="N1157" s="4"/>
      <c r="O1157" s="4"/>
      <c r="P1157" s="4"/>
      <c r="Q1157" s="4"/>
      <c r="R1157" s="14"/>
      <c r="S1157" s="14"/>
      <c r="T1157" s="14"/>
      <c r="U1157" s="14"/>
      <c r="V1157" s="14"/>
      <c r="W1157" s="14"/>
      <c r="X1157" s="1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G1157" s="4"/>
      <c r="BH1157" s="4"/>
    </row>
    <row r="1158" spans="1:60" x14ac:dyDescent="0.35">
      <c r="A1158" s="4"/>
      <c r="B1158" s="8" t="str">
        <f t="shared" si="86"/>
        <v/>
      </c>
      <c r="D1158" s="6" t="str">
        <f t="shared" si="87"/>
        <v/>
      </c>
      <c r="E1158" s="6" t="str">
        <f t="shared" si="88"/>
        <v/>
      </c>
      <c r="F1158" s="6" t="str">
        <f t="shared" si="89"/>
        <v/>
      </c>
      <c r="G1158" s="4"/>
      <c r="H1158" s="4"/>
      <c r="I1158" s="4"/>
      <c r="J1158" s="4"/>
      <c r="K1158" s="4"/>
      <c r="L1158" s="4"/>
      <c r="M1158" s="4"/>
      <c r="N1158" s="4"/>
      <c r="O1158" s="4"/>
      <c r="P1158" s="4"/>
      <c r="Q1158" s="4"/>
      <c r="R1158" s="14"/>
      <c r="S1158" s="14"/>
      <c r="T1158" s="14"/>
      <c r="U1158" s="14"/>
      <c r="V1158" s="14"/>
      <c r="W1158" s="14"/>
      <c r="X1158" s="1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G1158" s="4"/>
      <c r="BH1158" s="4"/>
    </row>
    <row r="1159" spans="1:60" x14ac:dyDescent="0.35">
      <c r="A1159" s="4"/>
      <c r="B1159" s="8" t="str">
        <f t="shared" si="86"/>
        <v/>
      </c>
      <c r="D1159" s="6" t="str">
        <f t="shared" si="87"/>
        <v/>
      </c>
      <c r="E1159" s="6" t="str">
        <f t="shared" si="88"/>
        <v/>
      </c>
      <c r="F1159" s="6" t="str">
        <f t="shared" si="89"/>
        <v/>
      </c>
      <c r="G1159" s="4"/>
      <c r="H1159" s="4"/>
      <c r="I1159" s="4"/>
      <c r="J1159" s="4"/>
      <c r="K1159" s="4"/>
      <c r="L1159" s="4"/>
      <c r="M1159" s="4"/>
      <c r="N1159" s="4"/>
      <c r="O1159" s="4"/>
      <c r="P1159" s="4"/>
      <c r="Q1159" s="4"/>
      <c r="R1159" s="14"/>
      <c r="S1159" s="14"/>
      <c r="T1159" s="14"/>
      <c r="U1159" s="14"/>
      <c r="V1159" s="14"/>
      <c r="W1159" s="14"/>
      <c r="X1159" s="1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G1159" s="4"/>
      <c r="BH1159" s="4"/>
    </row>
    <row r="1160" spans="1:60" x14ac:dyDescent="0.35">
      <c r="A1160" s="4"/>
      <c r="B1160" s="8" t="str">
        <f t="shared" si="86"/>
        <v/>
      </c>
      <c r="D1160" s="6" t="str">
        <f t="shared" si="87"/>
        <v/>
      </c>
      <c r="E1160" s="6" t="str">
        <f t="shared" si="88"/>
        <v/>
      </c>
      <c r="F1160" s="6" t="str">
        <f t="shared" si="89"/>
        <v/>
      </c>
      <c r="G1160" s="4"/>
      <c r="H1160" s="4"/>
      <c r="I1160" s="4"/>
      <c r="J1160" s="4"/>
      <c r="K1160" s="4"/>
      <c r="L1160" s="4"/>
      <c r="M1160" s="4"/>
      <c r="N1160" s="4"/>
      <c r="O1160" s="4"/>
      <c r="P1160" s="4"/>
      <c r="Q1160" s="4"/>
      <c r="R1160" s="14"/>
      <c r="S1160" s="14"/>
      <c r="T1160" s="14"/>
      <c r="U1160" s="14"/>
      <c r="V1160" s="14"/>
      <c r="W1160" s="14"/>
      <c r="X1160" s="1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G1160" s="4"/>
      <c r="BH1160" s="4"/>
    </row>
    <row r="1161" spans="1:60" x14ac:dyDescent="0.35">
      <c r="A1161" s="4"/>
      <c r="B1161" s="8" t="str">
        <f t="shared" si="86"/>
        <v/>
      </c>
      <c r="D1161" s="6" t="str">
        <f t="shared" si="87"/>
        <v/>
      </c>
      <c r="E1161" s="6" t="str">
        <f t="shared" si="88"/>
        <v/>
      </c>
      <c r="F1161" s="6" t="str">
        <f t="shared" si="89"/>
        <v/>
      </c>
      <c r="G1161" s="4"/>
      <c r="H1161" s="4"/>
      <c r="I1161" s="4"/>
      <c r="J1161" s="4"/>
      <c r="K1161" s="4"/>
      <c r="L1161" s="4"/>
      <c r="M1161" s="4"/>
      <c r="N1161" s="4"/>
      <c r="O1161" s="4"/>
      <c r="P1161" s="4"/>
      <c r="Q1161" s="4"/>
      <c r="R1161" s="14"/>
      <c r="S1161" s="14"/>
      <c r="T1161" s="14"/>
      <c r="U1161" s="14"/>
      <c r="V1161" s="14"/>
      <c r="W1161" s="14"/>
      <c r="X1161" s="1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G1161" s="4"/>
      <c r="BH1161" s="4"/>
    </row>
    <row r="1162" spans="1:60" x14ac:dyDescent="0.35">
      <c r="A1162" s="4"/>
      <c r="B1162" s="8" t="str">
        <f t="shared" si="86"/>
        <v/>
      </c>
      <c r="D1162" s="6" t="str">
        <f t="shared" si="87"/>
        <v/>
      </c>
      <c r="E1162" s="6" t="str">
        <f t="shared" si="88"/>
        <v/>
      </c>
      <c r="F1162" s="6" t="str">
        <f t="shared" si="89"/>
        <v/>
      </c>
      <c r="G1162" s="4"/>
      <c r="H1162" s="4"/>
      <c r="I1162" s="4"/>
      <c r="J1162" s="4"/>
      <c r="K1162" s="4"/>
      <c r="L1162" s="4"/>
      <c r="M1162" s="4"/>
      <c r="N1162" s="4"/>
      <c r="O1162" s="4"/>
      <c r="P1162" s="4"/>
      <c r="Q1162" s="4"/>
      <c r="R1162" s="14"/>
      <c r="S1162" s="14"/>
      <c r="T1162" s="14"/>
      <c r="U1162" s="14"/>
      <c r="V1162" s="14"/>
      <c r="W1162" s="14"/>
      <c r="X1162" s="1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G1162" s="4"/>
      <c r="BH1162" s="4"/>
    </row>
    <row r="1163" spans="1:60" x14ac:dyDescent="0.35">
      <c r="A1163" s="4"/>
      <c r="B1163" s="8" t="str">
        <f t="shared" si="86"/>
        <v/>
      </c>
      <c r="D1163" s="6" t="str">
        <f t="shared" si="87"/>
        <v/>
      </c>
      <c r="E1163" s="6" t="str">
        <f t="shared" si="88"/>
        <v/>
      </c>
      <c r="F1163" s="6" t="str">
        <f t="shared" si="89"/>
        <v/>
      </c>
      <c r="G1163" s="4"/>
      <c r="H1163" s="4"/>
      <c r="I1163" s="4"/>
      <c r="J1163" s="4"/>
      <c r="K1163" s="4"/>
      <c r="L1163" s="4"/>
      <c r="M1163" s="4"/>
      <c r="N1163" s="4"/>
      <c r="O1163" s="4"/>
      <c r="P1163" s="4"/>
      <c r="Q1163" s="4"/>
      <c r="R1163" s="14"/>
      <c r="S1163" s="14"/>
      <c r="T1163" s="14"/>
      <c r="U1163" s="14"/>
      <c r="V1163" s="14"/>
      <c r="W1163" s="14"/>
      <c r="X1163" s="1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G1163" s="4"/>
      <c r="BH1163" s="4"/>
    </row>
    <row r="1164" spans="1:60" x14ac:dyDescent="0.35">
      <c r="A1164" s="4"/>
      <c r="B1164" s="8" t="str">
        <f t="shared" si="86"/>
        <v/>
      </c>
      <c r="D1164" s="6" t="str">
        <f t="shared" si="87"/>
        <v/>
      </c>
      <c r="E1164" s="6" t="str">
        <f t="shared" si="88"/>
        <v/>
      </c>
      <c r="F1164" s="6" t="str">
        <f t="shared" si="89"/>
        <v/>
      </c>
      <c r="G1164" s="4"/>
      <c r="H1164" s="4"/>
      <c r="I1164" s="4"/>
      <c r="J1164" s="4"/>
      <c r="K1164" s="4"/>
      <c r="L1164" s="4"/>
      <c r="M1164" s="4"/>
      <c r="N1164" s="4"/>
      <c r="O1164" s="4"/>
      <c r="P1164" s="4"/>
      <c r="Q1164" s="4"/>
      <c r="R1164" s="14"/>
      <c r="S1164" s="14"/>
      <c r="T1164" s="14"/>
      <c r="U1164" s="14"/>
      <c r="V1164" s="14"/>
      <c r="W1164" s="14"/>
      <c r="X1164" s="1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G1164" s="4"/>
      <c r="BH1164" s="4"/>
    </row>
    <row r="1165" spans="1:60" x14ac:dyDescent="0.35">
      <c r="A1165" s="4"/>
      <c r="B1165" s="8" t="str">
        <f t="shared" si="86"/>
        <v/>
      </c>
      <c r="D1165" s="6" t="str">
        <f t="shared" si="87"/>
        <v/>
      </c>
      <c r="E1165" s="6" t="str">
        <f t="shared" si="88"/>
        <v/>
      </c>
      <c r="F1165" s="6" t="str">
        <f t="shared" si="89"/>
        <v/>
      </c>
      <c r="G1165" s="4"/>
      <c r="H1165" s="4"/>
      <c r="I1165" s="4"/>
      <c r="J1165" s="4"/>
      <c r="K1165" s="4"/>
      <c r="L1165" s="4"/>
      <c r="M1165" s="4"/>
      <c r="N1165" s="4"/>
      <c r="O1165" s="4"/>
      <c r="P1165" s="4"/>
      <c r="Q1165" s="4"/>
      <c r="R1165" s="14"/>
      <c r="S1165" s="14"/>
      <c r="T1165" s="14"/>
      <c r="U1165" s="14"/>
      <c r="V1165" s="14"/>
      <c r="W1165" s="14"/>
      <c r="X1165" s="1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G1165" s="4"/>
      <c r="BH1165" s="4"/>
    </row>
    <row r="1166" spans="1:60" x14ac:dyDescent="0.35">
      <c r="A1166" s="4"/>
      <c r="B1166" s="8" t="str">
        <f t="shared" si="86"/>
        <v/>
      </c>
      <c r="D1166" s="6" t="str">
        <f t="shared" si="87"/>
        <v/>
      </c>
      <c r="E1166" s="6" t="str">
        <f t="shared" si="88"/>
        <v/>
      </c>
      <c r="F1166" s="6" t="str">
        <f t="shared" si="89"/>
        <v/>
      </c>
      <c r="G1166" s="4"/>
      <c r="H1166" s="4"/>
      <c r="I1166" s="4"/>
      <c r="J1166" s="4"/>
      <c r="K1166" s="4"/>
      <c r="L1166" s="4"/>
      <c r="M1166" s="4"/>
      <c r="N1166" s="4"/>
      <c r="O1166" s="4"/>
      <c r="P1166" s="4"/>
      <c r="Q1166" s="4"/>
      <c r="R1166" s="14"/>
      <c r="S1166" s="14"/>
      <c r="T1166" s="14"/>
      <c r="U1166" s="14"/>
      <c r="V1166" s="14"/>
      <c r="W1166" s="14"/>
      <c r="X1166" s="1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G1166" s="4"/>
      <c r="BH1166" s="4"/>
    </row>
    <row r="1167" spans="1:60" x14ac:dyDescent="0.35">
      <c r="A1167" s="4"/>
      <c r="B1167" s="8" t="str">
        <f t="shared" si="86"/>
        <v/>
      </c>
      <c r="D1167" s="6" t="str">
        <f t="shared" si="87"/>
        <v/>
      </c>
      <c r="E1167" s="6" t="str">
        <f t="shared" si="88"/>
        <v/>
      </c>
      <c r="F1167" s="6" t="str">
        <f t="shared" si="89"/>
        <v/>
      </c>
      <c r="G1167" s="4"/>
      <c r="H1167" s="4"/>
      <c r="I1167" s="4"/>
      <c r="J1167" s="4"/>
      <c r="K1167" s="4"/>
      <c r="L1167" s="4"/>
      <c r="M1167" s="4"/>
      <c r="N1167" s="4"/>
      <c r="O1167" s="4"/>
      <c r="P1167" s="4"/>
      <c r="Q1167" s="4"/>
      <c r="R1167" s="14"/>
      <c r="S1167" s="14"/>
      <c r="T1167" s="14"/>
      <c r="U1167" s="14"/>
      <c r="V1167" s="14"/>
      <c r="W1167" s="14"/>
      <c r="X1167" s="1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G1167" s="4"/>
      <c r="BH1167" s="4"/>
    </row>
    <row r="1168" spans="1:60" x14ac:dyDescent="0.35">
      <c r="A1168" s="4"/>
      <c r="B1168" s="8" t="str">
        <f t="shared" si="86"/>
        <v/>
      </c>
      <c r="D1168" s="6" t="str">
        <f t="shared" si="87"/>
        <v/>
      </c>
      <c r="E1168" s="6" t="str">
        <f t="shared" si="88"/>
        <v/>
      </c>
      <c r="F1168" s="6" t="str">
        <f t="shared" si="89"/>
        <v/>
      </c>
      <c r="G1168" s="4"/>
      <c r="H1168" s="4"/>
      <c r="I1168" s="4"/>
      <c r="J1168" s="4"/>
      <c r="K1168" s="4"/>
      <c r="L1168" s="4"/>
      <c r="M1168" s="4"/>
      <c r="N1168" s="4"/>
      <c r="O1168" s="4"/>
      <c r="P1168" s="4"/>
      <c r="Q1168" s="4"/>
      <c r="R1168" s="14"/>
      <c r="S1168" s="14"/>
      <c r="T1168" s="14"/>
      <c r="U1168" s="14"/>
      <c r="V1168" s="14"/>
      <c r="W1168" s="14"/>
      <c r="X1168" s="1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G1168" s="4"/>
      <c r="BH1168" s="4"/>
    </row>
    <row r="1169" spans="1:60" x14ac:dyDescent="0.35">
      <c r="A1169" s="4"/>
      <c r="B1169" s="8" t="str">
        <f t="shared" si="86"/>
        <v/>
      </c>
      <c r="D1169" s="6" t="str">
        <f t="shared" si="87"/>
        <v/>
      </c>
      <c r="E1169" s="6" t="str">
        <f t="shared" si="88"/>
        <v/>
      </c>
      <c r="F1169" s="6" t="str">
        <f t="shared" si="89"/>
        <v/>
      </c>
      <c r="G1169" s="4"/>
      <c r="H1169" s="4"/>
      <c r="I1169" s="4"/>
      <c r="J1169" s="4"/>
      <c r="K1169" s="4"/>
      <c r="L1169" s="4"/>
      <c r="M1169" s="4"/>
      <c r="N1169" s="4"/>
      <c r="O1169" s="4"/>
      <c r="P1169" s="4"/>
      <c r="Q1169" s="4"/>
      <c r="R1169" s="14"/>
      <c r="S1169" s="14"/>
      <c r="T1169" s="14"/>
      <c r="U1169" s="14"/>
      <c r="V1169" s="14"/>
      <c r="W1169" s="14"/>
      <c r="X1169" s="1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G1169" s="4"/>
      <c r="BH1169" s="4"/>
    </row>
    <row r="1170" spans="1:60" x14ac:dyDescent="0.35">
      <c r="A1170" s="4"/>
      <c r="B1170" s="8" t="str">
        <f t="shared" si="86"/>
        <v/>
      </c>
      <c r="D1170" s="6" t="str">
        <f t="shared" si="87"/>
        <v/>
      </c>
      <c r="E1170" s="6" t="str">
        <f t="shared" si="88"/>
        <v/>
      </c>
      <c r="F1170" s="6" t="str">
        <f t="shared" si="89"/>
        <v/>
      </c>
      <c r="G1170" s="4"/>
      <c r="H1170" s="4"/>
      <c r="I1170" s="4"/>
      <c r="J1170" s="4"/>
      <c r="K1170" s="4"/>
      <c r="L1170" s="4"/>
      <c r="M1170" s="4"/>
      <c r="N1170" s="4"/>
      <c r="O1170" s="4"/>
      <c r="P1170" s="4"/>
      <c r="Q1170" s="4"/>
      <c r="R1170" s="14"/>
      <c r="S1170" s="14"/>
      <c r="T1170" s="14"/>
      <c r="U1170" s="14"/>
      <c r="V1170" s="14"/>
      <c r="W1170" s="14"/>
      <c r="X1170" s="1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G1170" s="4"/>
      <c r="BH1170" s="4"/>
    </row>
    <row r="1171" spans="1:60" x14ac:dyDescent="0.35">
      <c r="A1171" s="4"/>
      <c r="B1171" s="8" t="str">
        <f t="shared" si="86"/>
        <v/>
      </c>
      <c r="D1171" s="6" t="str">
        <f t="shared" si="87"/>
        <v/>
      </c>
      <c r="E1171" s="6" t="str">
        <f t="shared" si="88"/>
        <v/>
      </c>
      <c r="F1171" s="6" t="str">
        <f t="shared" si="89"/>
        <v/>
      </c>
      <c r="G1171" s="4"/>
      <c r="H1171" s="4"/>
      <c r="I1171" s="4"/>
      <c r="J1171" s="4"/>
      <c r="K1171" s="4"/>
      <c r="L1171" s="4"/>
      <c r="M1171" s="4"/>
      <c r="N1171" s="4"/>
      <c r="O1171" s="4"/>
      <c r="P1171" s="4"/>
      <c r="Q1171" s="4"/>
      <c r="R1171" s="14"/>
      <c r="S1171" s="14"/>
      <c r="T1171" s="14"/>
      <c r="U1171" s="14"/>
      <c r="V1171" s="14"/>
      <c r="W1171" s="14"/>
      <c r="X1171" s="1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G1171" s="4"/>
      <c r="BH1171" s="4"/>
    </row>
    <row r="1172" spans="1:60" x14ac:dyDescent="0.35">
      <c r="A1172" s="4"/>
      <c r="B1172" s="8" t="str">
        <f t="shared" si="86"/>
        <v/>
      </c>
      <c r="D1172" s="6" t="str">
        <f t="shared" si="87"/>
        <v/>
      </c>
      <c r="E1172" s="6" t="str">
        <f t="shared" si="88"/>
        <v/>
      </c>
      <c r="F1172" s="6" t="str">
        <f t="shared" si="89"/>
        <v/>
      </c>
      <c r="G1172" s="4"/>
      <c r="H1172" s="4"/>
      <c r="I1172" s="4"/>
      <c r="J1172" s="4"/>
      <c r="K1172" s="4"/>
      <c r="L1172" s="4"/>
      <c r="M1172" s="4"/>
      <c r="N1172" s="4"/>
      <c r="O1172" s="4"/>
      <c r="P1172" s="4"/>
      <c r="Q1172" s="4"/>
      <c r="R1172" s="14"/>
      <c r="S1172" s="14"/>
      <c r="T1172" s="14"/>
      <c r="U1172" s="14"/>
      <c r="V1172" s="14"/>
      <c r="W1172" s="14"/>
      <c r="X1172" s="1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G1172" s="4"/>
      <c r="BH1172" s="4"/>
    </row>
    <row r="1173" spans="1:60" x14ac:dyDescent="0.35">
      <c r="A1173" s="4"/>
      <c r="B1173" s="8" t="str">
        <f t="shared" si="86"/>
        <v/>
      </c>
      <c r="D1173" s="6" t="str">
        <f t="shared" si="87"/>
        <v/>
      </c>
      <c r="E1173" s="6" t="str">
        <f t="shared" si="88"/>
        <v/>
      </c>
      <c r="F1173" s="6" t="str">
        <f t="shared" si="89"/>
        <v/>
      </c>
      <c r="G1173" s="4"/>
      <c r="H1173" s="4"/>
      <c r="I1173" s="4"/>
      <c r="J1173" s="4"/>
      <c r="K1173" s="4"/>
      <c r="L1173" s="4"/>
      <c r="M1173" s="4"/>
      <c r="N1173" s="4"/>
      <c r="O1173" s="4"/>
      <c r="P1173" s="4"/>
      <c r="Q1173" s="4"/>
      <c r="R1173" s="14"/>
      <c r="S1173" s="14"/>
      <c r="T1173" s="14"/>
      <c r="U1173" s="14"/>
      <c r="V1173" s="14"/>
      <c r="W1173" s="14"/>
      <c r="X1173" s="1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G1173" s="4"/>
      <c r="BH1173" s="4"/>
    </row>
    <row r="1174" spans="1:60" x14ac:dyDescent="0.35">
      <c r="A1174" s="4"/>
      <c r="B1174" s="8" t="str">
        <f t="shared" si="86"/>
        <v/>
      </c>
      <c r="D1174" s="6" t="str">
        <f t="shared" si="87"/>
        <v/>
      </c>
      <c r="E1174" s="6" t="str">
        <f t="shared" si="88"/>
        <v/>
      </c>
      <c r="F1174" s="6" t="str">
        <f t="shared" si="89"/>
        <v/>
      </c>
      <c r="G1174" s="4"/>
      <c r="H1174" s="4"/>
      <c r="I1174" s="4"/>
      <c r="J1174" s="4"/>
      <c r="K1174" s="4"/>
      <c r="L1174" s="4"/>
      <c r="M1174" s="4"/>
      <c r="N1174" s="4"/>
      <c r="O1174" s="4"/>
      <c r="P1174" s="4"/>
      <c r="Q1174" s="4"/>
      <c r="R1174" s="14"/>
      <c r="S1174" s="14"/>
      <c r="T1174" s="14"/>
      <c r="U1174" s="14"/>
      <c r="V1174" s="14"/>
      <c r="W1174" s="14"/>
      <c r="X1174" s="1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G1174" s="4"/>
      <c r="BH1174" s="4"/>
    </row>
    <row r="1175" spans="1:60" x14ac:dyDescent="0.35">
      <c r="A1175" s="4"/>
      <c r="B1175" s="8" t="str">
        <f t="shared" si="86"/>
        <v/>
      </c>
      <c r="D1175" s="6" t="str">
        <f t="shared" si="87"/>
        <v/>
      </c>
      <c r="E1175" s="6" t="str">
        <f t="shared" si="88"/>
        <v/>
      </c>
      <c r="F1175" s="6" t="str">
        <f t="shared" si="89"/>
        <v/>
      </c>
      <c r="G1175" s="4"/>
      <c r="H1175" s="4"/>
      <c r="I1175" s="4"/>
      <c r="J1175" s="4"/>
      <c r="K1175" s="4"/>
      <c r="L1175" s="4"/>
      <c r="M1175" s="4"/>
      <c r="N1175" s="4"/>
      <c r="O1175" s="4"/>
      <c r="P1175" s="4"/>
      <c r="Q1175" s="4"/>
      <c r="R1175" s="14"/>
      <c r="S1175" s="14"/>
      <c r="T1175" s="14"/>
      <c r="U1175" s="14"/>
      <c r="V1175" s="14"/>
      <c r="W1175" s="14"/>
      <c r="X1175" s="1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G1175" s="4"/>
      <c r="BH1175" s="4"/>
    </row>
    <row r="1176" spans="1:60" x14ac:dyDescent="0.35">
      <c r="A1176" s="4"/>
      <c r="B1176" s="8" t="str">
        <f t="shared" si="86"/>
        <v/>
      </c>
      <c r="D1176" s="6" t="str">
        <f t="shared" si="87"/>
        <v/>
      </c>
      <c r="E1176" s="6" t="str">
        <f t="shared" si="88"/>
        <v/>
      </c>
      <c r="F1176" s="6" t="str">
        <f t="shared" si="89"/>
        <v/>
      </c>
      <c r="G1176" s="4"/>
      <c r="H1176" s="4"/>
      <c r="I1176" s="4"/>
      <c r="J1176" s="4"/>
      <c r="K1176" s="4"/>
      <c r="L1176" s="4"/>
      <c r="M1176" s="4"/>
      <c r="N1176" s="4"/>
      <c r="O1176" s="4"/>
      <c r="P1176" s="4"/>
      <c r="Q1176" s="4"/>
      <c r="R1176" s="14"/>
      <c r="S1176" s="14"/>
      <c r="T1176" s="14"/>
      <c r="U1176" s="14"/>
      <c r="V1176" s="14"/>
      <c r="W1176" s="14"/>
      <c r="X1176" s="1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G1176" s="4"/>
      <c r="BH1176" s="4"/>
    </row>
    <row r="1177" spans="1:60" x14ac:dyDescent="0.35">
      <c r="A1177" s="4"/>
      <c r="B1177" s="8" t="str">
        <f t="shared" si="86"/>
        <v/>
      </c>
      <c r="D1177" s="6" t="str">
        <f t="shared" si="87"/>
        <v/>
      </c>
      <c r="E1177" s="6" t="str">
        <f t="shared" si="88"/>
        <v/>
      </c>
      <c r="F1177" s="6" t="str">
        <f t="shared" si="89"/>
        <v/>
      </c>
      <c r="G1177" s="4"/>
      <c r="H1177" s="4"/>
      <c r="I1177" s="4"/>
      <c r="J1177" s="4"/>
      <c r="K1177" s="4"/>
      <c r="L1177" s="4"/>
      <c r="M1177" s="4"/>
      <c r="N1177" s="4"/>
      <c r="O1177" s="4"/>
      <c r="P1177" s="4"/>
      <c r="Q1177" s="4"/>
      <c r="R1177" s="14"/>
      <c r="S1177" s="14"/>
      <c r="T1177" s="14"/>
      <c r="U1177" s="14"/>
      <c r="V1177" s="14"/>
      <c r="W1177" s="14"/>
      <c r="X1177" s="1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G1177" s="4"/>
      <c r="BH1177" s="4"/>
    </row>
    <row r="1178" spans="1:60" x14ac:dyDescent="0.35">
      <c r="A1178" s="4"/>
      <c r="B1178" s="8" t="str">
        <f t="shared" si="86"/>
        <v/>
      </c>
      <c r="D1178" s="6" t="str">
        <f t="shared" si="87"/>
        <v/>
      </c>
      <c r="E1178" s="6" t="str">
        <f t="shared" si="88"/>
        <v/>
      </c>
      <c r="F1178" s="6" t="str">
        <f t="shared" si="89"/>
        <v/>
      </c>
      <c r="G1178" s="4"/>
      <c r="H1178" s="4"/>
      <c r="I1178" s="4"/>
      <c r="J1178" s="4"/>
      <c r="K1178" s="4"/>
      <c r="L1178" s="4"/>
      <c r="M1178" s="4"/>
      <c r="N1178" s="4"/>
      <c r="O1178" s="4"/>
      <c r="P1178" s="4"/>
      <c r="Q1178" s="4"/>
      <c r="R1178" s="14"/>
      <c r="S1178" s="14"/>
      <c r="T1178" s="14"/>
      <c r="U1178" s="14"/>
      <c r="V1178" s="14"/>
      <c r="W1178" s="14"/>
      <c r="X1178" s="1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G1178" s="4"/>
      <c r="BH1178" s="4"/>
    </row>
    <row r="1179" spans="1:60" x14ac:dyDescent="0.35">
      <c r="A1179" s="4"/>
      <c r="B1179" s="8" t="str">
        <f t="shared" si="86"/>
        <v/>
      </c>
      <c r="D1179" s="6" t="str">
        <f t="shared" si="87"/>
        <v/>
      </c>
      <c r="E1179" s="6" t="str">
        <f t="shared" si="88"/>
        <v/>
      </c>
      <c r="F1179" s="6" t="str">
        <f t="shared" si="89"/>
        <v/>
      </c>
      <c r="G1179" s="4"/>
      <c r="H1179" s="4"/>
      <c r="I1179" s="4"/>
      <c r="J1179" s="4"/>
      <c r="K1179" s="4"/>
      <c r="L1179" s="4"/>
      <c r="M1179" s="4"/>
      <c r="N1179" s="4"/>
      <c r="O1179" s="4"/>
      <c r="P1179" s="4"/>
      <c r="Q1179" s="4"/>
      <c r="R1179" s="14"/>
      <c r="S1179" s="14"/>
      <c r="T1179" s="14"/>
      <c r="U1179" s="14"/>
      <c r="V1179" s="14"/>
      <c r="W1179" s="14"/>
      <c r="X1179" s="1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G1179" s="4"/>
      <c r="BH1179" s="4"/>
    </row>
    <row r="1180" spans="1:60" x14ac:dyDescent="0.35">
      <c r="A1180" s="4"/>
      <c r="B1180" s="8" t="str">
        <f t="shared" si="86"/>
        <v/>
      </c>
      <c r="D1180" s="6" t="str">
        <f t="shared" si="87"/>
        <v/>
      </c>
      <c r="E1180" s="6" t="str">
        <f t="shared" si="88"/>
        <v/>
      </c>
      <c r="F1180" s="6" t="str">
        <f t="shared" si="89"/>
        <v/>
      </c>
      <c r="G1180" s="4"/>
      <c r="H1180" s="4"/>
      <c r="I1180" s="4"/>
      <c r="J1180" s="4"/>
      <c r="K1180" s="4"/>
      <c r="L1180" s="4"/>
      <c r="M1180" s="4"/>
      <c r="N1180" s="4"/>
      <c r="O1180" s="4"/>
      <c r="P1180" s="4"/>
      <c r="Q1180" s="4"/>
      <c r="R1180" s="14"/>
      <c r="S1180" s="14"/>
      <c r="T1180" s="14"/>
      <c r="U1180" s="14"/>
      <c r="V1180" s="14"/>
      <c r="W1180" s="14"/>
      <c r="X1180" s="1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G1180" s="4"/>
      <c r="BH1180" s="4"/>
    </row>
    <row r="1181" spans="1:60" x14ac:dyDescent="0.35">
      <c r="A1181" s="4"/>
      <c r="B1181" s="8" t="str">
        <f t="shared" si="86"/>
        <v/>
      </c>
      <c r="D1181" s="6" t="str">
        <f t="shared" si="87"/>
        <v/>
      </c>
      <c r="E1181" s="6" t="str">
        <f t="shared" si="88"/>
        <v/>
      </c>
      <c r="F1181" s="6" t="str">
        <f t="shared" si="89"/>
        <v/>
      </c>
      <c r="G1181" s="4"/>
      <c r="H1181" s="4"/>
      <c r="I1181" s="4"/>
      <c r="J1181" s="4"/>
      <c r="K1181" s="4"/>
      <c r="L1181" s="4"/>
      <c r="M1181" s="4"/>
      <c r="N1181" s="4"/>
      <c r="O1181" s="4"/>
      <c r="P1181" s="4"/>
      <c r="Q1181" s="4"/>
      <c r="R1181" s="14"/>
      <c r="S1181" s="14"/>
      <c r="T1181" s="14"/>
      <c r="U1181" s="14"/>
      <c r="V1181" s="14"/>
      <c r="W1181" s="14"/>
      <c r="X1181" s="1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G1181" s="4"/>
      <c r="BH1181" s="4"/>
    </row>
    <row r="1182" spans="1:60" x14ac:dyDescent="0.35">
      <c r="A1182" s="4"/>
      <c r="B1182" s="8" t="str">
        <f t="shared" si="86"/>
        <v/>
      </c>
      <c r="D1182" s="6" t="str">
        <f t="shared" si="87"/>
        <v/>
      </c>
      <c r="E1182" s="6" t="str">
        <f t="shared" si="88"/>
        <v/>
      </c>
      <c r="F1182" s="6" t="str">
        <f t="shared" si="89"/>
        <v/>
      </c>
      <c r="G1182" s="4"/>
      <c r="H1182" s="4"/>
      <c r="I1182" s="4"/>
      <c r="J1182" s="4"/>
      <c r="K1182" s="4"/>
      <c r="L1182" s="4"/>
      <c r="M1182" s="4"/>
      <c r="N1182" s="4"/>
      <c r="O1182" s="4"/>
      <c r="P1182" s="4"/>
      <c r="Q1182" s="4"/>
      <c r="R1182" s="14"/>
      <c r="S1182" s="14"/>
      <c r="T1182" s="14"/>
      <c r="U1182" s="14"/>
      <c r="V1182" s="14"/>
      <c r="W1182" s="14"/>
      <c r="X1182" s="1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G1182" s="4"/>
      <c r="BH1182" s="4"/>
    </row>
    <row r="1183" spans="1:60" x14ac:dyDescent="0.35">
      <c r="A1183" s="4"/>
      <c r="B1183" s="8" t="str">
        <f t="shared" si="86"/>
        <v/>
      </c>
      <c r="D1183" s="6" t="str">
        <f t="shared" si="87"/>
        <v/>
      </c>
      <c r="E1183" s="6" t="str">
        <f t="shared" si="88"/>
        <v/>
      </c>
      <c r="F1183" s="6" t="str">
        <f t="shared" si="89"/>
        <v/>
      </c>
      <c r="G1183" s="4"/>
      <c r="H1183" s="4"/>
      <c r="I1183" s="4"/>
      <c r="J1183" s="4"/>
      <c r="K1183" s="4"/>
      <c r="L1183" s="4"/>
      <c r="M1183" s="4"/>
      <c r="N1183" s="4"/>
      <c r="O1183" s="4"/>
      <c r="P1183" s="4"/>
      <c r="Q1183" s="4"/>
      <c r="R1183" s="14"/>
      <c r="S1183" s="14"/>
      <c r="T1183" s="14"/>
      <c r="U1183" s="14"/>
      <c r="V1183" s="14"/>
      <c r="W1183" s="14"/>
      <c r="X1183" s="1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G1183" s="4"/>
      <c r="BH1183" s="4"/>
    </row>
    <row r="1184" spans="1:60" x14ac:dyDescent="0.35">
      <c r="A1184" s="4"/>
      <c r="B1184" s="8" t="str">
        <f t="shared" si="86"/>
        <v/>
      </c>
      <c r="D1184" s="6" t="str">
        <f t="shared" si="87"/>
        <v/>
      </c>
      <c r="E1184" s="6" t="str">
        <f t="shared" si="88"/>
        <v/>
      </c>
      <c r="F1184" s="6" t="str">
        <f t="shared" si="89"/>
        <v/>
      </c>
      <c r="G1184" s="4"/>
      <c r="H1184" s="4"/>
      <c r="I1184" s="4"/>
      <c r="J1184" s="4"/>
      <c r="K1184" s="4"/>
      <c r="L1184" s="4"/>
      <c r="M1184" s="4"/>
      <c r="N1184" s="4"/>
      <c r="O1184" s="4"/>
      <c r="P1184" s="4"/>
      <c r="Q1184" s="4"/>
      <c r="R1184" s="14"/>
      <c r="S1184" s="14"/>
      <c r="T1184" s="14"/>
      <c r="U1184" s="14"/>
      <c r="V1184" s="14"/>
      <c r="W1184" s="14"/>
      <c r="X1184" s="1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G1184" s="4"/>
      <c r="BH1184" s="4"/>
    </row>
    <row r="1185" spans="1:60" x14ac:dyDescent="0.35">
      <c r="A1185" s="4"/>
      <c r="B1185" s="8" t="str">
        <f t="shared" si="86"/>
        <v/>
      </c>
      <c r="D1185" s="6" t="str">
        <f t="shared" si="87"/>
        <v/>
      </c>
      <c r="E1185" s="6" t="str">
        <f t="shared" si="88"/>
        <v/>
      </c>
      <c r="F1185" s="6" t="str">
        <f t="shared" si="89"/>
        <v/>
      </c>
      <c r="G1185" s="4"/>
      <c r="H1185" s="4"/>
      <c r="I1185" s="4"/>
      <c r="J1185" s="4"/>
      <c r="K1185" s="4"/>
      <c r="L1185" s="4"/>
      <c r="M1185" s="4"/>
      <c r="N1185" s="4"/>
      <c r="O1185" s="4"/>
      <c r="P1185" s="4"/>
      <c r="Q1185" s="4"/>
      <c r="R1185" s="14"/>
      <c r="S1185" s="14"/>
      <c r="T1185" s="14"/>
      <c r="U1185" s="14"/>
      <c r="V1185" s="14"/>
      <c r="W1185" s="14"/>
      <c r="X1185" s="1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G1185" s="4"/>
      <c r="BH1185" s="4"/>
    </row>
    <row r="1186" spans="1:60" x14ac:dyDescent="0.35">
      <c r="A1186" s="4"/>
      <c r="B1186" s="8" t="str">
        <f t="shared" si="86"/>
        <v/>
      </c>
      <c r="D1186" s="6" t="str">
        <f t="shared" si="87"/>
        <v/>
      </c>
      <c r="E1186" s="6" t="str">
        <f t="shared" si="88"/>
        <v/>
      </c>
      <c r="F1186" s="6" t="str">
        <f t="shared" si="89"/>
        <v/>
      </c>
      <c r="G1186" s="4"/>
      <c r="H1186" s="4"/>
      <c r="I1186" s="4"/>
      <c r="J1186" s="4"/>
      <c r="K1186" s="4"/>
      <c r="L1186" s="4"/>
      <c r="M1186" s="4"/>
      <c r="N1186" s="4"/>
      <c r="O1186" s="4"/>
      <c r="P1186" s="4"/>
      <c r="Q1186" s="4"/>
      <c r="R1186" s="14"/>
      <c r="S1186" s="14"/>
      <c r="T1186" s="14"/>
      <c r="U1186" s="14"/>
      <c r="V1186" s="14"/>
      <c r="W1186" s="14"/>
      <c r="X1186" s="1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G1186" s="4"/>
      <c r="BH1186" s="4"/>
    </row>
    <row r="1187" spans="1:60" x14ac:dyDescent="0.35">
      <c r="A1187" s="4"/>
      <c r="B1187" s="8" t="str">
        <f t="shared" si="86"/>
        <v/>
      </c>
      <c r="D1187" s="6" t="str">
        <f t="shared" si="87"/>
        <v/>
      </c>
      <c r="E1187" s="6" t="str">
        <f t="shared" si="88"/>
        <v/>
      </c>
      <c r="F1187" s="6" t="str">
        <f t="shared" si="89"/>
        <v/>
      </c>
      <c r="G1187" s="4"/>
      <c r="H1187" s="4"/>
      <c r="I1187" s="4"/>
      <c r="J1187" s="4"/>
      <c r="K1187" s="4"/>
      <c r="L1187" s="4"/>
      <c r="M1187" s="4"/>
      <c r="N1187" s="4"/>
      <c r="O1187" s="4"/>
      <c r="P1187" s="4"/>
      <c r="Q1187" s="4"/>
      <c r="R1187" s="14"/>
      <c r="S1187" s="14"/>
      <c r="T1187" s="14"/>
      <c r="U1187" s="14"/>
      <c r="V1187" s="14"/>
      <c r="W1187" s="14"/>
      <c r="X1187" s="1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G1187" s="4"/>
      <c r="BH1187" s="4"/>
    </row>
    <row r="1188" spans="1:60" x14ac:dyDescent="0.35">
      <c r="A1188" s="4"/>
      <c r="B1188" s="8" t="str">
        <f t="shared" si="86"/>
        <v/>
      </c>
      <c r="D1188" s="6" t="str">
        <f t="shared" si="87"/>
        <v/>
      </c>
      <c r="E1188" s="6" t="str">
        <f t="shared" si="88"/>
        <v/>
      </c>
      <c r="F1188" s="6" t="str">
        <f t="shared" si="89"/>
        <v/>
      </c>
      <c r="G1188" s="4"/>
      <c r="H1188" s="4"/>
      <c r="I1188" s="4"/>
      <c r="J1188" s="4"/>
      <c r="K1188" s="4"/>
      <c r="L1188" s="4"/>
      <c r="M1188" s="4"/>
      <c r="N1188" s="4"/>
      <c r="O1188" s="4"/>
      <c r="P1188" s="4"/>
      <c r="Q1188" s="4"/>
      <c r="R1188" s="14"/>
      <c r="S1188" s="14"/>
      <c r="T1188" s="14"/>
      <c r="U1188" s="14"/>
      <c r="V1188" s="14"/>
      <c r="W1188" s="14"/>
      <c r="X1188" s="1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G1188" s="4"/>
      <c r="BH1188" s="4"/>
    </row>
    <row r="1189" spans="1:60" x14ac:dyDescent="0.35">
      <c r="A1189" s="4"/>
      <c r="B1189" s="8" t="str">
        <f t="shared" si="86"/>
        <v/>
      </c>
      <c r="D1189" s="6" t="str">
        <f t="shared" si="87"/>
        <v/>
      </c>
      <c r="E1189" s="6" t="str">
        <f t="shared" si="88"/>
        <v/>
      </c>
      <c r="F1189" s="6" t="str">
        <f t="shared" si="89"/>
        <v/>
      </c>
      <c r="G1189" s="4"/>
      <c r="H1189" s="4"/>
      <c r="I1189" s="4"/>
      <c r="J1189" s="4"/>
      <c r="K1189" s="4"/>
      <c r="L1189" s="4"/>
      <c r="M1189" s="4"/>
      <c r="N1189" s="4"/>
      <c r="O1189" s="4"/>
      <c r="P1189" s="4"/>
      <c r="Q1189" s="4"/>
      <c r="R1189" s="14"/>
      <c r="S1189" s="14"/>
      <c r="T1189" s="14"/>
      <c r="U1189" s="14"/>
      <c r="V1189" s="14"/>
      <c r="W1189" s="14"/>
      <c r="X1189" s="1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G1189" s="4"/>
      <c r="BH1189" s="4"/>
    </row>
    <row r="1190" spans="1:60" x14ac:dyDescent="0.35">
      <c r="A1190" s="4"/>
      <c r="B1190" s="8" t="str">
        <f t="shared" si="86"/>
        <v/>
      </c>
      <c r="D1190" s="6" t="str">
        <f t="shared" si="87"/>
        <v/>
      </c>
      <c r="E1190" s="6" t="str">
        <f t="shared" si="88"/>
        <v/>
      </c>
      <c r="F1190" s="6" t="str">
        <f t="shared" si="89"/>
        <v/>
      </c>
      <c r="G1190" s="4"/>
      <c r="H1190" s="4"/>
      <c r="I1190" s="4"/>
      <c r="J1190" s="4"/>
      <c r="K1190" s="4"/>
      <c r="L1190" s="4"/>
      <c r="M1190" s="4"/>
      <c r="N1190" s="4"/>
      <c r="O1190" s="4"/>
      <c r="P1190" s="4"/>
      <c r="Q1190" s="4"/>
      <c r="R1190" s="14"/>
      <c r="S1190" s="14"/>
      <c r="T1190" s="14"/>
      <c r="U1190" s="14"/>
      <c r="V1190" s="14"/>
      <c r="W1190" s="14"/>
      <c r="X1190" s="1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G1190" s="4"/>
      <c r="BH1190" s="4"/>
    </row>
    <row r="1191" spans="1:60" x14ac:dyDescent="0.35">
      <c r="A1191" s="4"/>
      <c r="B1191" s="8" t="str">
        <f t="shared" si="86"/>
        <v/>
      </c>
      <c r="D1191" s="6" t="str">
        <f t="shared" si="87"/>
        <v/>
      </c>
      <c r="E1191" s="6" t="str">
        <f t="shared" si="88"/>
        <v/>
      </c>
      <c r="F1191" s="6" t="str">
        <f t="shared" si="89"/>
        <v/>
      </c>
      <c r="G1191" s="4"/>
      <c r="H1191" s="4"/>
      <c r="I1191" s="4"/>
      <c r="J1191" s="4"/>
      <c r="K1191" s="4"/>
      <c r="L1191" s="4"/>
      <c r="M1191" s="4"/>
      <c r="N1191" s="4"/>
      <c r="O1191" s="4"/>
      <c r="P1191" s="4"/>
      <c r="Q1191" s="4"/>
      <c r="R1191" s="14"/>
      <c r="S1191" s="14"/>
      <c r="T1191" s="14"/>
      <c r="U1191" s="14"/>
      <c r="V1191" s="14"/>
      <c r="W1191" s="14"/>
      <c r="X1191" s="1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G1191" s="4"/>
      <c r="BH1191" s="4"/>
    </row>
    <row r="1192" spans="1:60" x14ac:dyDescent="0.35">
      <c r="A1192" s="4"/>
      <c r="B1192" s="8" t="str">
        <f t="shared" si="86"/>
        <v/>
      </c>
      <c r="D1192" s="6" t="str">
        <f t="shared" si="87"/>
        <v/>
      </c>
      <c r="E1192" s="6" t="str">
        <f t="shared" si="88"/>
        <v/>
      </c>
      <c r="F1192" s="6" t="str">
        <f t="shared" si="89"/>
        <v/>
      </c>
      <c r="G1192" s="4"/>
      <c r="H1192" s="4"/>
      <c r="I1192" s="4"/>
      <c r="J1192" s="4"/>
      <c r="K1192" s="4"/>
      <c r="L1192" s="4"/>
      <c r="M1192" s="4"/>
      <c r="N1192" s="4"/>
      <c r="O1192" s="4"/>
      <c r="P1192" s="4"/>
      <c r="Q1192" s="4"/>
      <c r="R1192" s="14"/>
      <c r="S1192" s="14"/>
      <c r="T1192" s="14"/>
      <c r="U1192" s="14"/>
      <c r="V1192" s="14"/>
      <c r="W1192" s="14"/>
      <c r="X1192" s="1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G1192" s="4"/>
      <c r="BH1192" s="4"/>
    </row>
    <row r="1193" spans="1:60" x14ac:dyDescent="0.35">
      <c r="A1193" s="4"/>
      <c r="B1193" s="8" t="str">
        <f t="shared" si="86"/>
        <v/>
      </c>
      <c r="D1193" s="6" t="str">
        <f t="shared" si="87"/>
        <v/>
      </c>
      <c r="E1193" s="6" t="str">
        <f t="shared" si="88"/>
        <v/>
      </c>
      <c r="F1193" s="6" t="str">
        <f t="shared" si="89"/>
        <v/>
      </c>
      <c r="G1193" s="4"/>
      <c r="H1193" s="4"/>
      <c r="I1193" s="4"/>
      <c r="J1193" s="4"/>
      <c r="K1193" s="4"/>
      <c r="L1193" s="4"/>
      <c r="M1193" s="4"/>
      <c r="N1193" s="4"/>
      <c r="O1193" s="4"/>
      <c r="P1193" s="4"/>
      <c r="Q1193" s="4"/>
      <c r="R1193" s="14"/>
      <c r="S1193" s="14"/>
      <c r="T1193" s="14"/>
      <c r="U1193" s="14"/>
      <c r="V1193" s="14"/>
      <c r="W1193" s="14"/>
      <c r="X1193" s="1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G1193" s="4"/>
      <c r="BH1193" s="4"/>
    </row>
    <row r="1194" spans="1:60" x14ac:dyDescent="0.35">
      <c r="A1194" s="4"/>
      <c r="B1194" s="8" t="str">
        <f t="shared" si="86"/>
        <v/>
      </c>
      <c r="D1194" s="6" t="str">
        <f t="shared" si="87"/>
        <v/>
      </c>
      <c r="E1194" s="6" t="str">
        <f t="shared" si="88"/>
        <v/>
      </c>
      <c r="F1194" s="6" t="str">
        <f t="shared" si="89"/>
        <v/>
      </c>
      <c r="G1194" s="4"/>
      <c r="H1194" s="4"/>
      <c r="I1194" s="4"/>
      <c r="J1194" s="4"/>
      <c r="K1194" s="4"/>
      <c r="L1194" s="4"/>
      <c r="M1194" s="4"/>
      <c r="N1194" s="4"/>
      <c r="O1194" s="4"/>
      <c r="P1194" s="4"/>
      <c r="Q1194" s="4"/>
      <c r="R1194" s="14"/>
      <c r="S1194" s="14"/>
      <c r="T1194" s="14"/>
      <c r="U1194" s="14"/>
      <c r="V1194" s="14"/>
      <c r="W1194" s="14"/>
      <c r="X1194" s="1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G1194" s="4"/>
      <c r="BH1194" s="4"/>
    </row>
    <row r="1195" spans="1:60" x14ac:dyDescent="0.35">
      <c r="A1195" s="4"/>
      <c r="B1195" s="8" t="str">
        <f t="shared" si="86"/>
        <v/>
      </c>
      <c r="D1195" s="6" t="str">
        <f t="shared" si="87"/>
        <v/>
      </c>
      <c r="E1195" s="6" t="str">
        <f t="shared" si="88"/>
        <v/>
      </c>
      <c r="F1195" s="6" t="str">
        <f t="shared" si="89"/>
        <v/>
      </c>
      <c r="G1195" s="4"/>
      <c r="H1195" s="4"/>
      <c r="I1195" s="4"/>
      <c r="J1195" s="4"/>
      <c r="K1195" s="4"/>
      <c r="L1195" s="4"/>
      <c r="M1195" s="4"/>
      <c r="N1195" s="4"/>
      <c r="O1195" s="4"/>
      <c r="P1195" s="4"/>
      <c r="Q1195" s="4"/>
      <c r="R1195" s="14"/>
      <c r="S1195" s="14"/>
      <c r="T1195" s="14"/>
      <c r="U1195" s="14"/>
      <c r="V1195" s="14"/>
      <c r="W1195" s="14"/>
      <c r="X1195" s="1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G1195" s="4"/>
      <c r="BH1195" s="4"/>
    </row>
    <row r="1196" spans="1:60" x14ac:dyDescent="0.35">
      <c r="A1196" s="4"/>
      <c r="B1196" s="8" t="str">
        <f t="shared" si="86"/>
        <v/>
      </c>
      <c r="D1196" s="6" t="str">
        <f t="shared" si="87"/>
        <v/>
      </c>
      <c r="E1196" s="6" t="str">
        <f t="shared" si="88"/>
        <v/>
      </c>
      <c r="F1196" s="6" t="str">
        <f t="shared" si="89"/>
        <v/>
      </c>
      <c r="G1196" s="4"/>
      <c r="H1196" s="4"/>
      <c r="I1196" s="4"/>
      <c r="J1196" s="4"/>
      <c r="K1196" s="4"/>
      <c r="L1196" s="4"/>
      <c r="M1196" s="4"/>
      <c r="N1196" s="4"/>
      <c r="O1196" s="4"/>
      <c r="P1196" s="4"/>
      <c r="Q1196" s="4"/>
      <c r="R1196" s="14"/>
      <c r="S1196" s="14"/>
      <c r="T1196" s="14"/>
      <c r="U1196" s="14"/>
      <c r="V1196" s="14"/>
      <c r="W1196" s="14"/>
      <c r="X1196" s="1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G1196" s="4"/>
      <c r="BH1196" s="4"/>
    </row>
    <row r="1197" spans="1:60" x14ac:dyDescent="0.35">
      <c r="A1197" s="4"/>
      <c r="B1197" s="8" t="str">
        <f t="shared" si="86"/>
        <v/>
      </c>
      <c r="D1197" s="6" t="str">
        <f t="shared" si="87"/>
        <v/>
      </c>
      <c r="E1197" s="6" t="str">
        <f t="shared" si="88"/>
        <v/>
      </c>
      <c r="F1197" s="6" t="str">
        <f t="shared" si="89"/>
        <v/>
      </c>
      <c r="G1197" s="4"/>
      <c r="H1197" s="4"/>
      <c r="I1197" s="4"/>
      <c r="J1197" s="4"/>
      <c r="K1197" s="4"/>
      <c r="L1197" s="4"/>
      <c r="M1197" s="4"/>
      <c r="N1197" s="4"/>
      <c r="O1197" s="4"/>
      <c r="P1197" s="4"/>
      <c r="Q1197" s="4"/>
      <c r="R1197" s="14"/>
      <c r="S1197" s="14"/>
      <c r="T1197" s="14"/>
      <c r="U1197" s="14"/>
      <c r="V1197" s="14"/>
      <c r="W1197" s="14"/>
      <c r="X1197" s="1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G1197" s="4"/>
      <c r="BH1197" s="4"/>
    </row>
    <row r="1198" spans="1:60" x14ac:dyDescent="0.35">
      <c r="A1198" s="4"/>
      <c r="B1198" s="8" t="str">
        <f t="shared" si="86"/>
        <v/>
      </c>
      <c r="D1198" s="6" t="str">
        <f t="shared" si="87"/>
        <v/>
      </c>
      <c r="E1198" s="6" t="str">
        <f t="shared" si="88"/>
        <v/>
      </c>
      <c r="F1198" s="6" t="str">
        <f t="shared" si="89"/>
        <v/>
      </c>
      <c r="G1198" s="4"/>
      <c r="H1198" s="4"/>
      <c r="I1198" s="4"/>
      <c r="J1198" s="4"/>
      <c r="K1198" s="4"/>
      <c r="L1198" s="4"/>
      <c r="M1198" s="4"/>
      <c r="N1198" s="4"/>
      <c r="O1198" s="4"/>
      <c r="P1198" s="4"/>
      <c r="Q1198" s="4"/>
      <c r="R1198" s="14"/>
      <c r="S1198" s="14"/>
      <c r="T1198" s="14"/>
      <c r="U1198" s="14"/>
      <c r="V1198" s="14"/>
      <c r="W1198" s="14"/>
      <c r="X1198" s="1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G1198" s="4"/>
      <c r="BH1198" s="4"/>
    </row>
    <row r="1199" spans="1:60" x14ac:dyDescent="0.35">
      <c r="A1199" s="4"/>
      <c r="B1199" s="8" t="str">
        <f t="shared" si="86"/>
        <v/>
      </c>
      <c r="D1199" s="6" t="str">
        <f t="shared" si="87"/>
        <v/>
      </c>
      <c r="E1199" s="6" t="str">
        <f t="shared" si="88"/>
        <v/>
      </c>
      <c r="F1199" s="6" t="str">
        <f t="shared" si="89"/>
        <v/>
      </c>
      <c r="G1199" s="4"/>
      <c r="H1199" s="4"/>
      <c r="I1199" s="4"/>
      <c r="J1199" s="4"/>
      <c r="K1199" s="4"/>
      <c r="L1199" s="4"/>
      <c r="M1199" s="4"/>
      <c r="N1199" s="4"/>
      <c r="O1199" s="4"/>
      <c r="P1199" s="4"/>
      <c r="Q1199" s="4"/>
      <c r="R1199" s="14"/>
      <c r="S1199" s="14"/>
      <c r="T1199" s="14"/>
      <c r="U1199" s="14"/>
      <c r="V1199" s="14"/>
      <c r="W1199" s="14"/>
      <c r="X1199" s="1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G1199" s="4"/>
      <c r="BH1199" s="4"/>
    </row>
    <row r="1200" spans="1:60" x14ac:dyDescent="0.35">
      <c r="A1200" s="4"/>
      <c r="B1200" s="8" t="str">
        <f t="shared" si="86"/>
        <v/>
      </c>
      <c r="D1200" s="6" t="str">
        <f t="shared" si="87"/>
        <v/>
      </c>
      <c r="E1200" s="6" t="str">
        <f t="shared" si="88"/>
        <v/>
      </c>
      <c r="F1200" s="6" t="str">
        <f t="shared" si="89"/>
        <v/>
      </c>
      <c r="G1200" s="4"/>
      <c r="H1200" s="4"/>
      <c r="I1200" s="4"/>
      <c r="J1200" s="4"/>
      <c r="K1200" s="4"/>
      <c r="L1200" s="4"/>
      <c r="M1200" s="4"/>
      <c r="N1200" s="4"/>
      <c r="O1200" s="4"/>
      <c r="P1200" s="4"/>
      <c r="Q1200" s="4"/>
      <c r="R1200" s="14"/>
      <c r="S1200" s="14"/>
      <c r="T1200" s="14"/>
      <c r="U1200" s="14"/>
      <c r="V1200" s="14"/>
      <c r="W1200" s="14"/>
      <c r="X1200" s="1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G1200" s="4"/>
      <c r="BH1200" s="4"/>
    </row>
    <row r="1201" spans="1:60" x14ac:dyDescent="0.35">
      <c r="A1201" s="4"/>
      <c r="B1201" s="8" t="str">
        <f t="shared" si="86"/>
        <v/>
      </c>
      <c r="D1201" s="6" t="str">
        <f t="shared" si="87"/>
        <v/>
      </c>
      <c r="E1201" s="6" t="str">
        <f t="shared" si="88"/>
        <v/>
      </c>
      <c r="F1201" s="6" t="str">
        <f t="shared" si="89"/>
        <v/>
      </c>
      <c r="G1201" s="4"/>
      <c r="H1201" s="4"/>
      <c r="I1201" s="4"/>
      <c r="J1201" s="4"/>
      <c r="K1201" s="4"/>
      <c r="L1201" s="4"/>
      <c r="M1201" s="4"/>
      <c r="N1201" s="4"/>
      <c r="O1201" s="4"/>
      <c r="P1201" s="4"/>
      <c r="Q1201" s="4"/>
      <c r="R1201" s="14"/>
      <c r="S1201" s="14"/>
      <c r="T1201" s="14"/>
      <c r="U1201" s="14"/>
      <c r="V1201" s="14"/>
      <c r="W1201" s="14"/>
      <c r="X1201" s="1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G1201" s="4"/>
      <c r="BH1201" s="4"/>
    </row>
    <row r="1202" spans="1:60" x14ac:dyDescent="0.35">
      <c r="A1202" s="4"/>
      <c r="B1202" s="8" t="str">
        <f t="shared" si="86"/>
        <v/>
      </c>
      <c r="D1202" s="6" t="str">
        <f t="shared" si="87"/>
        <v/>
      </c>
      <c r="E1202" s="6" t="str">
        <f t="shared" si="88"/>
        <v/>
      </c>
      <c r="F1202" s="6" t="str">
        <f t="shared" si="89"/>
        <v/>
      </c>
      <c r="G1202" s="4"/>
      <c r="H1202" s="4"/>
      <c r="I1202" s="4"/>
      <c r="J1202" s="4"/>
      <c r="K1202" s="4"/>
      <c r="L1202" s="4"/>
      <c r="M1202" s="4"/>
      <c r="N1202" s="4"/>
      <c r="O1202" s="4"/>
      <c r="P1202" s="4"/>
      <c r="Q1202" s="4"/>
      <c r="R1202" s="14"/>
      <c r="S1202" s="14"/>
      <c r="T1202" s="14"/>
      <c r="U1202" s="14"/>
      <c r="V1202" s="14"/>
      <c r="W1202" s="14"/>
      <c r="X1202" s="1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G1202" s="4"/>
      <c r="BH1202" s="4"/>
    </row>
    <row r="1203" spans="1:60" x14ac:dyDescent="0.35">
      <c r="A1203" s="4"/>
      <c r="B1203" s="8" t="str">
        <f t="shared" si="86"/>
        <v/>
      </c>
      <c r="D1203" s="6" t="str">
        <f t="shared" si="87"/>
        <v/>
      </c>
      <c r="E1203" s="6" t="str">
        <f t="shared" si="88"/>
        <v/>
      </c>
      <c r="F1203" s="6" t="str">
        <f t="shared" si="89"/>
        <v/>
      </c>
      <c r="G1203" s="4"/>
      <c r="H1203" s="4"/>
      <c r="I1203" s="4"/>
      <c r="J1203" s="4"/>
      <c r="K1203" s="4"/>
      <c r="L1203" s="4"/>
      <c r="M1203" s="4"/>
      <c r="N1203" s="4"/>
      <c r="O1203" s="4"/>
      <c r="P1203" s="4"/>
      <c r="Q1203" s="4"/>
      <c r="R1203" s="14"/>
      <c r="S1203" s="14"/>
      <c r="T1203" s="14"/>
      <c r="U1203" s="14"/>
      <c r="V1203" s="14"/>
      <c r="W1203" s="14"/>
      <c r="X1203" s="1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G1203" s="4"/>
      <c r="BH1203" s="4"/>
    </row>
    <row r="1204" spans="1:60" x14ac:dyDescent="0.35">
      <c r="A1204" s="4"/>
      <c r="B1204" s="8" t="str">
        <f t="shared" si="86"/>
        <v/>
      </c>
      <c r="D1204" s="6" t="str">
        <f t="shared" si="87"/>
        <v/>
      </c>
      <c r="E1204" s="6" t="str">
        <f t="shared" si="88"/>
        <v/>
      </c>
      <c r="F1204" s="6" t="str">
        <f t="shared" si="89"/>
        <v/>
      </c>
      <c r="G1204" s="4"/>
      <c r="H1204" s="4"/>
      <c r="I1204" s="4"/>
      <c r="J1204" s="4"/>
      <c r="K1204" s="4"/>
      <c r="L1204" s="4"/>
      <c r="M1204" s="4"/>
      <c r="N1204" s="4"/>
      <c r="O1204" s="4"/>
      <c r="P1204" s="4"/>
      <c r="Q1204" s="4"/>
      <c r="R1204" s="14"/>
      <c r="S1204" s="14"/>
      <c r="T1204" s="14"/>
      <c r="U1204" s="14"/>
      <c r="V1204" s="14"/>
      <c r="W1204" s="14"/>
      <c r="X1204" s="1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G1204" s="4"/>
      <c r="BH1204" s="4"/>
    </row>
    <row r="1205" spans="1:60" x14ac:dyDescent="0.35">
      <c r="A1205" s="4"/>
      <c r="B1205" s="8" t="str">
        <f t="shared" si="86"/>
        <v/>
      </c>
      <c r="D1205" s="6" t="str">
        <f t="shared" si="87"/>
        <v/>
      </c>
      <c r="E1205" s="6" t="str">
        <f t="shared" si="88"/>
        <v/>
      </c>
      <c r="F1205" s="6" t="str">
        <f t="shared" si="89"/>
        <v/>
      </c>
      <c r="G1205" s="4"/>
      <c r="H1205" s="4"/>
      <c r="I1205" s="4"/>
      <c r="J1205" s="4"/>
      <c r="K1205" s="4"/>
      <c r="L1205" s="4"/>
      <c r="M1205" s="4"/>
      <c r="N1205" s="4"/>
      <c r="O1205" s="4"/>
      <c r="P1205" s="4"/>
      <c r="Q1205" s="4"/>
      <c r="R1205" s="14"/>
      <c r="S1205" s="14"/>
      <c r="T1205" s="14"/>
      <c r="U1205" s="14"/>
      <c r="V1205" s="14"/>
      <c r="W1205" s="14"/>
      <c r="X1205" s="1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G1205" s="4"/>
      <c r="BH1205" s="4"/>
    </row>
    <row r="1206" spans="1:60" x14ac:dyDescent="0.35">
      <c r="A1206" s="4"/>
      <c r="B1206" s="8" t="str">
        <f t="shared" si="86"/>
        <v/>
      </c>
      <c r="D1206" s="6" t="str">
        <f t="shared" si="87"/>
        <v/>
      </c>
      <c r="E1206" s="6" t="str">
        <f t="shared" si="88"/>
        <v/>
      </c>
      <c r="F1206" s="6" t="str">
        <f t="shared" si="89"/>
        <v/>
      </c>
      <c r="G1206" s="4"/>
      <c r="H1206" s="4"/>
      <c r="I1206" s="4"/>
      <c r="J1206" s="4"/>
      <c r="K1206" s="4"/>
      <c r="L1206" s="4"/>
      <c r="M1206" s="4"/>
      <c r="N1206" s="4"/>
      <c r="O1206" s="4"/>
      <c r="P1206" s="4"/>
      <c r="Q1206" s="4"/>
      <c r="R1206" s="14"/>
      <c r="S1206" s="14"/>
      <c r="T1206" s="14"/>
      <c r="U1206" s="14"/>
      <c r="V1206" s="14"/>
      <c r="W1206" s="14"/>
      <c r="X1206" s="1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G1206" s="4"/>
      <c r="BH1206" s="4"/>
    </row>
    <row r="1207" spans="1:60" x14ac:dyDescent="0.35">
      <c r="A1207" s="4"/>
      <c r="B1207" s="8" t="str">
        <f t="shared" si="86"/>
        <v/>
      </c>
      <c r="D1207" s="6" t="str">
        <f t="shared" si="87"/>
        <v/>
      </c>
      <c r="E1207" s="6" t="str">
        <f t="shared" si="88"/>
        <v/>
      </c>
      <c r="F1207" s="6" t="str">
        <f t="shared" si="89"/>
        <v/>
      </c>
      <c r="G1207" s="4"/>
      <c r="H1207" s="4"/>
      <c r="I1207" s="4"/>
      <c r="J1207" s="4"/>
      <c r="K1207" s="4"/>
      <c r="L1207" s="4"/>
      <c r="M1207" s="4"/>
      <c r="N1207" s="4"/>
      <c r="O1207" s="4"/>
      <c r="P1207" s="4"/>
      <c r="Q1207" s="4"/>
      <c r="R1207" s="14"/>
      <c r="S1207" s="14"/>
      <c r="T1207" s="14"/>
      <c r="U1207" s="14"/>
      <c r="V1207" s="14"/>
      <c r="W1207" s="14"/>
      <c r="X1207" s="1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G1207" s="4"/>
      <c r="BH1207" s="4"/>
    </row>
    <row r="1208" spans="1:60" x14ac:dyDescent="0.35">
      <c r="A1208" s="4"/>
      <c r="B1208" s="8" t="str">
        <f t="shared" si="86"/>
        <v/>
      </c>
      <c r="D1208" s="6" t="str">
        <f t="shared" si="87"/>
        <v/>
      </c>
      <c r="E1208" s="6" t="str">
        <f t="shared" si="88"/>
        <v/>
      </c>
      <c r="F1208" s="6" t="str">
        <f t="shared" si="89"/>
        <v/>
      </c>
      <c r="G1208" s="4"/>
      <c r="H1208" s="4"/>
      <c r="I1208" s="4"/>
      <c r="J1208" s="4"/>
      <c r="K1208" s="4"/>
      <c r="L1208" s="4"/>
      <c r="M1208" s="4"/>
      <c r="N1208" s="4"/>
      <c r="O1208" s="4"/>
      <c r="P1208" s="4"/>
      <c r="Q1208" s="4"/>
      <c r="R1208" s="14"/>
      <c r="S1208" s="14"/>
      <c r="T1208" s="14"/>
      <c r="U1208" s="14"/>
      <c r="V1208" s="14"/>
      <c r="W1208" s="14"/>
      <c r="X1208" s="1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G1208" s="4"/>
      <c r="BH1208" s="4"/>
    </row>
    <row r="1209" spans="1:60" x14ac:dyDescent="0.35">
      <c r="A1209" s="4"/>
      <c r="B1209" s="8" t="str">
        <f t="shared" si="86"/>
        <v/>
      </c>
      <c r="D1209" s="6" t="str">
        <f t="shared" si="87"/>
        <v/>
      </c>
      <c r="E1209" s="6" t="str">
        <f t="shared" si="88"/>
        <v/>
      </c>
      <c r="F1209" s="6" t="str">
        <f t="shared" si="89"/>
        <v/>
      </c>
      <c r="G1209" s="4"/>
      <c r="H1209" s="4"/>
      <c r="I1209" s="4"/>
      <c r="J1209" s="4"/>
      <c r="K1209" s="4"/>
      <c r="L1209" s="4"/>
      <c r="M1209" s="4"/>
      <c r="N1209" s="4"/>
      <c r="O1209" s="4"/>
      <c r="P1209" s="4"/>
      <c r="Q1209" s="4"/>
      <c r="R1209" s="14"/>
      <c r="S1209" s="14"/>
      <c r="T1209" s="14"/>
      <c r="U1209" s="14"/>
      <c r="V1209" s="14"/>
      <c r="W1209" s="14"/>
      <c r="X1209" s="1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G1209" s="4"/>
      <c r="BH1209" s="4"/>
    </row>
    <row r="1210" spans="1:60" x14ac:dyDescent="0.35">
      <c r="A1210" s="4"/>
      <c r="B1210" s="8" t="str">
        <f t="shared" si="86"/>
        <v/>
      </c>
      <c r="D1210" s="6" t="str">
        <f t="shared" si="87"/>
        <v/>
      </c>
      <c r="E1210" s="6" t="str">
        <f t="shared" si="88"/>
        <v/>
      </c>
      <c r="F1210" s="6" t="str">
        <f t="shared" si="89"/>
        <v/>
      </c>
      <c r="G1210" s="4"/>
      <c r="H1210" s="4"/>
      <c r="I1210" s="4"/>
      <c r="J1210" s="4"/>
      <c r="K1210" s="4"/>
      <c r="L1210" s="4"/>
      <c r="M1210" s="4"/>
      <c r="N1210" s="4"/>
      <c r="O1210" s="4"/>
      <c r="P1210" s="4"/>
      <c r="Q1210" s="4"/>
      <c r="R1210" s="14"/>
      <c r="S1210" s="14"/>
      <c r="T1210" s="14"/>
      <c r="U1210" s="14"/>
      <c r="V1210" s="14"/>
      <c r="W1210" s="14"/>
      <c r="X1210" s="1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G1210" s="4"/>
      <c r="BH1210" s="4"/>
    </row>
    <row r="1211" spans="1:60" x14ac:dyDescent="0.35">
      <c r="A1211" s="4"/>
      <c r="B1211" s="8" t="str">
        <f t="shared" si="86"/>
        <v/>
      </c>
      <c r="D1211" s="6" t="str">
        <f t="shared" si="87"/>
        <v/>
      </c>
      <c r="E1211" s="6" t="str">
        <f t="shared" si="88"/>
        <v/>
      </c>
      <c r="F1211" s="6" t="str">
        <f t="shared" si="89"/>
        <v/>
      </c>
      <c r="G1211" s="4"/>
      <c r="H1211" s="4"/>
      <c r="I1211" s="4"/>
      <c r="J1211" s="4"/>
      <c r="K1211" s="4"/>
      <c r="L1211" s="4"/>
      <c r="M1211" s="4"/>
      <c r="N1211" s="4"/>
      <c r="O1211" s="4"/>
      <c r="P1211" s="4"/>
      <c r="Q1211" s="4"/>
      <c r="R1211" s="14"/>
      <c r="S1211" s="14"/>
      <c r="T1211" s="14"/>
      <c r="U1211" s="14"/>
      <c r="V1211" s="14"/>
      <c r="W1211" s="14"/>
      <c r="X1211" s="1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G1211" s="4"/>
      <c r="BH1211" s="4"/>
    </row>
    <row r="1212" spans="1:60" x14ac:dyDescent="0.35">
      <c r="A1212" s="4"/>
      <c r="B1212" s="8" t="str">
        <f t="shared" si="86"/>
        <v/>
      </c>
      <c r="D1212" s="6" t="str">
        <f t="shared" si="87"/>
        <v/>
      </c>
      <c r="E1212" s="6" t="str">
        <f t="shared" si="88"/>
        <v/>
      </c>
      <c r="F1212" s="6" t="str">
        <f t="shared" si="89"/>
        <v/>
      </c>
      <c r="G1212" s="4"/>
      <c r="H1212" s="4"/>
      <c r="I1212" s="4"/>
      <c r="J1212" s="4"/>
      <c r="K1212" s="4"/>
      <c r="L1212" s="4"/>
      <c r="M1212" s="4"/>
      <c r="N1212" s="4"/>
      <c r="O1212" s="4"/>
      <c r="P1212" s="4"/>
      <c r="Q1212" s="4"/>
      <c r="R1212" s="14"/>
      <c r="S1212" s="14"/>
      <c r="T1212" s="14"/>
      <c r="U1212" s="14"/>
      <c r="V1212" s="14"/>
      <c r="W1212" s="14"/>
      <c r="X1212" s="1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G1212" s="4"/>
      <c r="BH1212" s="4"/>
    </row>
    <row r="1213" spans="1:60" x14ac:dyDescent="0.35">
      <c r="A1213" s="4"/>
      <c r="B1213" s="8" t="str">
        <f t="shared" ref="B1213:B1276" si="90">RIGHT(A1213,4)</f>
        <v/>
      </c>
      <c r="D1213" s="6" t="str">
        <f t="shared" ref="D1213:D1276" si="91">IF(C1213="","",VLOOKUP(C1213,district_region,2,FALSE))</f>
        <v/>
      </c>
      <c r="E1213" s="6" t="str">
        <f t="shared" ref="E1213:E1276" si="92">IF(C1213="","",VLOOKUP(C1213,liste_pop,3,FALSE))</f>
        <v/>
      </c>
      <c r="F1213" s="6" t="str">
        <f t="shared" ref="F1213:F1276" si="93">IF(D1213="","",IF(D1213="Dakar",4042240,VLOOKUP(D1213,liste_pop,4,FALSE)))</f>
        <v/>
      </c>
      <c r="G1213" s="4"/>
      <c r="H1213" s="4"/>
      <c r="I1213" s="4"/>
      <c r="J1213" s="4"/>
      <c r="K1213" s="4"/>
      <c r="L1213" s="4"/>
      <c r="M1213" s="4"/>
      <c r="N1213" s="4"/>
      <c r="O1213" s="4"/>
      <c r="P1213" s="4"/>
      <c r="Q1213" s="4"/>
      <c r="R1213" s="14"/>
      <c r="S1213" s="14"/>
      <c r="T1213" s="14"/>
      <c r="U1213" s="14"/>
      <c r="V1213" s="14"/>
      <c r="W1213" s="14"/>
      <c r="X1213" s="1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G1213" s="4"/>
      <c r="BH1213" s="4"/>
    </row>
    <row r="1214" spans="1:60" x14ac:dyDescent="0.35">
      <c r="A1214" s="4"/>
      <c r="B1214" s="8" t="str">
        <f t="shared" si="90"/>
        <v/>
      </c>
      <c r="D1214" s="6" t="str">
        <f t="shared" si="91"/>
        <v/>
      </c>
      <c r="E1214" s="6" t="str">
        <f t="shared" si="92"/>
        <v/>
      </c>
      <c r="F1214" s="6" t="str">
        <f t="shared" si="93"/>
        <v/>
      </c>
      <c r="G1214" s="4"/>
      <c r="H1214" s="4"/>
      <c r="I1214" s="4"/>
      <c r="J1214" s="4"/>
      <c r="K1214" s="4"/>
      <c r="L1214" s="4"/>
      <c r="M1214" s="4"/>
      <c r="N1214" s="4"/>
      <c r="O1214" s="4"/>
      <c r="P1214" s="4"/>
      <c r="Q1214" s="4"/>
      <c r="R1214" s="14"/>
      <c r="S1214" s="14"/>
      <c r="T1214" s="14"/>
      <c r="U1214" s="14"/>
      <c r="V1214" s="14"/>
      <c r="W1214" s="14"/>
      <c r="X1214" s="1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G1214" s="4"/>
      <c r="BH1214" s="4"/>
    </row>
    <row r="1215" spans="1:60" x14ac:dyDescent="0.35">
      <c r="A1215" s="4"/>
      <c r="B1215" s="8" t="str">
        <f t="shared" si="90"/>
        <v/>
      </c>
      <c r="D1215" s="6" t="str">
        <f t="shared" si="91"/>
        <v/>
      </c>
      <c r="E1215" s="6" t="str">
        <f t="shared" si="92"/>
        <v/>
      </c>
      <c r="F1215" s="6" t="str">
        <f t="shared" si="93"/>
        <v/>
      </c>
      <c r="G1215" s="4"/>
      <c r="H1215" s="4"/>
      <c r="I1215" s="4"/>
      <c r="J1215" s="4"/>
      <c r="K1215" s="4"/>
      <c r="L1215" s="4"/>
      <c r="M1215" s="4"/>
      <c r="N1215" s="4"/>
      <c r="O1215" s="4"/>
      <c r="P1215" s="4"/>
      <c r="Q1215" s="4"/>
      <c r="R1215" s="14"/>
      <c r="S1215" s="14"/>
      <c r="T1215" s="14"/>
      <c r="U1215" s="14"/>
      <c r="V1215" s="14"/>
      <c r="W1215" s="14"/>
      <c r="X1215" s="1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G1215" s="4"/>
      <c r="BH1215" s="4"/>
    </row>
    <row r="1216" spans="1:60" x14ac:dyDescent="0.35">
      <c r="A1216" s="4"/>
      <c r="B1216" s="8" t="str">
        <f t="shared" si="90"/>
        <v/>
      </c>
      <c r="D1216" s="6" t="str">
        <f t="shared" si="91"/>
        <v/>
      </c>
      <c r="E1216" s="6" t="str">
        <f t="shared" si="92"/>
        <v/>
      </c>
      <c r="F1216" s="6" t="str">
        <f t="shared" si="93"/>
        <v/>
      </c>
      <c r="G1216" s="4"/>
      <c r="H1216" s="4"/>
      <c r="I1216" s="4"/>
      <c r="J1216" s="4"/>
      <c r="K1216" s="4"/>
      <c r="L1216" s="4"/>
      <c r="M1216" s="4"/>
      <c r="N1216" s="4"/>
      <c r="O1216" s="4"/>
      <c r="P1216" s="4"/>
      <c r="Q1216" s="4"/>
      <c r="R1216" s="14"/>
      <c r="S1216" s="14"/>
      <c r="T1216" s="14"/>
      <c r="U1216" s="14"/>
      <c r="V1216" s="14"/>
      <c r="W1216" s="14"/>
      <c r="X1216" s="1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G1216" s="4"/>
      <c r="BH1216" s="4"/>
    </row>
    <row r="1217" spans="1:60" x14ac:dyDescent="0.35">
      <c r="A1217" s="4"/>
      <c r="B1217" s="8" t="str">
        <f t="shared" si="90"/>
        <v/>
      </c>
      <c r="D1217" s="6" t="str">
        <f t="shared" si="91"/>
        <v/>
      </c>
      <c r="E1217" s="6" t="str">
        <f t="shared" si="92"/>
        <v/>
      </c>
      <c r="F1217" s="6" t="str">
        <f t="shared" si="93"/>
        <v/>
      </c>
      <c r="G1217" s="4"/>
      <c r="H1217" s="4"/>
      <c r="I1217" s="4"/>
      <c r="J1217" s="4"/>
      <c r="K1217" s="4"/>
      <c r="L1217" s="4"/>
      <c r="M1217" s="4"/>
      <c r="N1217" s="4"/>
      <c r="O1217" s="4"/>
      <c r="P1217" s="4"/>
      <c r="Q1217" s="4"/>
      <c r="R1217" s="14"/>
      <c r="S1217" s="14"/>
      <c r="T1217" s="14"/>
      <c r="U1217" s="14"/>
      <c r="V1217" s="14"/>
      <c r="W1217" s="14"/>
      <c r="X1217" s="1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G1217" s="4"/>
      <c r="BH1217" s="4"/>
    </row>
    <row r="1218" spans="1:60" x14ac:dyDescent="0.35">
      <c r="A1218" s="4"/>
      <c r="B1218" s="8" t="str">
        <f t="shared" si="90"/>
        <v/>
      </c>
      <c r="D1218" s="6" t="str">
        <f t="shared" si="91"/>
        <v/>
      </c>
      <c r="E1218" s="6" t="str">
        <f t="shared" si="92"/>
        <v/>
      </c>
      <c r="F1218" s="6" t="str">
        <f t="shared" si="93"/>
        <v/>
      </c>
      <c r="G1218" s="4"/>
      <c r="H1218" s="4"/>
      <c r="I1218" s="4"/>
      <c r="J1218" s="4"/>
      <c r="K1218" s="4"/>
      <c r="L1218" s="4"/>
      <c r="M1218" s="4"/>
      <c r="N1218" s="4"/>
      <c r="O1218" s="4"/>
      <c r="P1218" s="4"/>
      <c r="Q1218" s="4"/>
      <c r="R1218" s="14"/>
      <c r="S1218" s="14"/>
      <c r="T1218" s="14"/>
      <c r="U1218" s="14"/>
      <c r="V1218" s="14"/>
      <c r="W1218" s="14"/>
      <c r="X1218" s="1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G1218" s="4"/>
      <c r="BH1218" s="4"/>
    </row>
    <row r="1219" spans="1:60" x14ac:dyDescent="0.35">
      <c r="A1219" s="4"/>
      <c r="B1219" s="8" t="str">
        <f t="shared" si="90"/>
        <v/>
      </c>
      <c r="D1219" s="6" t="str">
        <f t="shared" si="91"/>
        <v/>
      </c>
      <c r="E1219" s="6" t="str">
        <f t="shared" si="92"/>
        <v/>
      </c>
      <c r="F1219" s="6" t="str">
        <f t="shared" si="93"/>
        <v/>
      </c>
      <c r="G1219" s="4"/>
      <c r="H1219" s="4"/>
      <c r="I1219" s="4"/>
      <c r="J1219" s="4"/>
      <c r="K1219" s="4"/>
      <c r="L1219" s="4"/>
      <c r="M1219" s="4"/>
      <c r="N1219" s="4"/>
      <c r="O1219" s="4"/>
      <c r="P1219" s="4"/>
      <c r="Q1219" s="4"/>
      <c r="R1219" s="14"/>
      <c r="S1219" s="14"/>
      <c r="T1219" s="14"/>
      <c r="U1219" s="14"/>
      <c r="V1219" s="14"/>
      <c r="W1219" s="14"/>
      <c r="X1219" s="1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G1219" s="4"/>
      <c r="BH1219" s="4"/>
    </row>
    <row r="1220" spans="1:60" x14ac:dyDescent="0.35">
      <c r="A1220" s="4"/>
      <c r="B1220" s="8" t="str">
        <f t="shared" si="90"/>
        <v/>
      </c>
      <c r="D1220" s="6" t="str">
        <f t="shared" si="91"/>
        <v/>
      </c>
      <c r="E1220" s="6" t="str">
        <f t="shared" si="92"/>
        <v/>
      </c>
      <c r="F1220" s="6" t="str">
        <f t="shared" si="93"/>
        <v/>
      </c>
      <c r="G1220" s="4"/>
      <c r="H1220" s="4"/>
      <c r="I1220" s="4"/>
      <c r="J1220" s="4"/>
      <c r="K1220" s="4"/>
      <c r="L1220" s="4"/>
      <c r="M1220" s="4"/>
      <c r="N1220" s="4"/>
      <c r="O1220" s="4"/>
      <c r="P1220" s="4"/>
      <c r="Q1220" s="4"/>
      <c r="R1220" s="14"/>
      <c r="S1220" s="14"/>
      <c r="T1220" s="14"/>
      <c r="U1220" s="14"/>
      <c r="V1220" s="14"/>
      <c r="W1220" s="14"/>
      <c r="X1220" s="1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G1220" s="4"/>
      <c r="BH1220" s="4"/>
    </row>
    <row r="1221" spans="1:60" x14ac:dyDescent="0.35">
      <c r="A1221" s="4"/>
      <c r="B1221" s="8" t="str">
        <f t="shared" si="90"/>
        <v/>
      </c>
      <c r="D1221" s="6" t="str">
        <f t="shared" si="91"/>
        <v/>
      </c>
      <c r="E1221" s="6" t="str">
        <f t="shared" si="92"/>
        <v/>
      </c>
      <c r="F1221" s="6" t="str">
        <f t="shared" si="93"/>
        <v/>
      </c>
      <c r="G1221" s="4"/>
      <c r="H1221" s="4"/>
      <c r="I1221" s="4"/>
      <c r="J1221" s="4"/>
      <c r="K1221" s="4"/>
      <c r="L1221" s="4"/>
      <c r="M1221" s="4"/>
      <c r="N1221" s="4"/>
      <c r="O1221" s="4"/>
      <c r="P1221" s="4"/>
      <c r="Q1221" s="4"/>
      <c r="R1221" s="14"/>
      <c r="S1221" s="14"/>
      <c r="T1221" s="14"/>
      <c r="U1221" s="14"/>
      <c r="V1221" s="14"/>
      <c r="W1221" s="14"/>
      <c r="X1221" s="1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G1221" s="4"/>
      <c r="BH1221" s="4"/>
    </row>
    <row r="1222" spans="1:60" x14ac:dyDescent="0.35">
      <c r="A1222" s="4"/>
      <c r="B1222" s="8" t="str">
        <f t="shared" si="90"/>
        <v/>
      </c>
      <c r="D1222" s="6" t="str">
        <f t="shared" si="91"/>
        <v/>
      </c>
      <c r="E1222" s="6" t="str">
        <f t="shared" si="92"/>
        <v/>
      </c>
      <c r="F1222" s="6" t="str">
        <f t="shared" si="93"/>
        <v/>
      </c>
      <c r="G1222" s="4"/>
      <c r="H1222" s="4"/>
      <c r="I1222" s="4"/>
      <c r="J1222" s="4"/>
      <c r="K1222" s="4"/>
      <c r="L1222" s="4"/>
      <c r="M1222" s="4"/>
      <c r="N1222" s="4"/>
      <c r="O1222" s="4"/>
      <c r="P1222" s="4"/>
      <c r="Q1222" s="4"/>
      <c r="R1222" s="14"/>
      <c r="S1222" s="14"/>
      <c r="T1222" s="14"/>
      <c r="U1222" s="14"/>
      <c r="V1222" s="14"/>
      <c r="W1222" s="14"/>
      <c r="X1222" s="1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G1222" s="4"/>
      <c r="BH1222" s="4"/>
    </row>
    <row r="1223" spans="1:60" x14ac:dyDescent="0.35">
      <c r="A1223" s="4"/>
      <c r="B1223" s="8" t="str">
        <f t="shared" si="90"/>
        <v/>
      </c>
      <c r="D1223" s="6" t="str">
        <f t="shared" si="91"/>
        <v/>
      </c>
      <c r="E1223" s="6" t="str">
        <f t="shared" si="92"/>
        <v/>
      </c>
      <c r="F1223" s="6" t="str">
        <f t="shared" si="93"/>
        <v/>
      </c>
      <c r="G1223" s="4"/>
      <c r="H1223" s="4"/>
      <c r="I1223" s="4"/>
      <c r="J1223" s="4"/>
      <c r="K1223" s="4"/>
      <c r="L1223" s="4"/>
      <c r="M1223" s="4"/>
      <c r="N1223" s="4"/>
      <c r="O1223" s="4"/>
      <c r="P1223" s="4"/>
      <c r="Q1223" s="4"/>
      <c r="R1223" s="14"/>
      <c r="S1223" s="14"/>
      <c r="T1223" s="14"/>
      <c r="U1223" s="14"/>
      <c r="V1223" s="14"/>
      <c r="W1223" s="14"/>
      <c r="X1223" s="1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G1223" s="4"/>
      <c r="BH1223" s="4"/>
    </row>
    <row r="1224" spans="1:60" x14ac:dyDescent="0.35">
      <c r="A1224" s="4"/>
      <c r="B1224" s="8" t="str">
        <f t="shared" si="90"/>
        <v/>
      </c>
      <c r="D1224" s="6" t="str">
        <f t="shared" si="91"/>
        <v/>
      </c>
      <c r="E1224" s="6" t="str">
        <f t="shared" si="92"/>
        <v/>
      </c>
      <c r="F1224" s="6" t="str">
        <f t="shared" si="93"/>
        <v/>
      </c>
      <c r="G1224" s="4"/>
      <c r="H1224" s="4"/>
      <c r="I1224" s="4"/>
      <c r="J1224" s="4"/>
      <c r="K1224" s="4"/>
      <c r="L1224" s="4"/>
      <c r="M1224" s="4"/>
      <c r="N1224" s="4"/>
      <c r="O1224" s="4"/>
      <c r="P1224" s="4"/>
      <c r="Q1224" s="4"/>
      <c r="R1224" s="14"/>
      <c r="S1224" s="14"/>
      <c r="T1224" s="14"/>
      <c r="U1224" s="14"/>
      <c r="V1224" s="14"/>
      <c r="W1224" s="14"/>
      <c r="X1224" s="1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G1224" s="4"/>
      <c r="BH1224" s="4"/>
    </row>
    <row r="1225" spans="1:60" x14ac:dyDescent="0.35">
      <c r="A1225" s="4"/>
      <c r="B1225" s="8" t="str">
        <f t="shared" si="90"/>
        <v/>
      </c>
      <c r="D1225" s="6" t="str">
        <f t="shared" si="91"/>
        <v/>
      </c>
      <c r="E1225" s="6" t="str">
        <f t="shared" si="92"/>
        <v/>
      </c>
      <c r="F1225" s="6" t="str">
        <f t="shared" si="93"/>
        <v/>
      </c>
      <c r="G1225" s="4"/>
      <c r="H1225" s="4"/>
      <c r="I1225" s="4"/>
      <c r="J1225" s="4"/>
      <c r="K1225" s="4"/>
      <c r="L1225" s="4"/>
      <c r="M1225" s="4"/>
      <c r="N1225" s="4"/>
      <c r="O1225" s="4"/>
      <c r="P1225" s="4"/>
      <c r="Q1225" s="4"/>
      <c r="R1225" s="14"/>
      <c r="S1225" s="14"/>
      <c r="T1225" s="14"/>
      <c r="U1225" s="14"/>
      <c r="V1225" s="14"/>
      <c r="W1225" s="14"/>
      <c r="X1225" s="1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G1225" s="4"/>
      <c r="BH1225" s="4"/>
    </row>
    <row r="1226" spans="1:60" x14ac:dyDescent="0.35">
      <c r="A1226" s="4"/>
      <c r="B1226" s="8" t="str">
        <f t="shared" si="90"/>
        <v/>
      </c>
      <c r="D1226" s="6" t="str">
        <f t="shared" si="91"/>
        <v/>
      </c>
      <c r="E1226" s="6" t="str">
        <f t="shared" si="92"/>
        <v/>
      </c>
      <c r="F1226" s="6" t="str">
        <f t="shared" si="93"/>
        <v/>
      </c>
      <c r="G1226" s="4"/>
      <c r="H1226" s="4"/>
      <c r="I1226" s="4"/>
      <c r="J1226" s="4"/>
      <c r="K1226" s="4"/>
      <c r="L1226" s="4"/>
      <c r="M1226" s="4"/>
      <c r="N1226" s="4"/>
      <c r="O1226" s="4"/>
      <c r="P1226" s="4"/>
      <c r="Q1226" s="4"/>
      <c r="R1226" s="14"/>
      <c r="S1226" s="14"/>
      <c r="T1226" s="14"/>
      <c r="U1226" s="14"/>
      <c r="V1226" s="14"/>
      <c r="W1226" s="14"/>
      <c r="X1226" s="1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G1226" s="4"/>
      <c r="BH1226" s="4"/>
    </row>
    <row r="1227" spans="1:60" x14ac:dyDescent="0.35">
      <c r="A1227" s="4"/>
      <c r="B1227" s="8" t="str">
        <f t="shared" si="90"/>
        <v/>
      </c>
      <c r="D1227" s="6" t="str">
        <f t="shared" si="91"/>
        <v/>
      </c>
      <c r="E1227" s="6" t="str">
        <f t="shared" si="92"/>
        <v/>
      </c>
      <c r="F1227" s="6" t="str">
        <f t="shared" si="93"/>
        <v/>
      </c>
      <c r="G1227" s="4"/>
      <c r="H1227" s="4"/>
      <c r="I1227" s="4"/>
      <c r="J1227" s="4"/>
      <c r="K1227" s="4"/>
      <c r="L1227" s="4"/>
      <c r="M1227" s="4"/>
      <c r="N1227" s="4"/>
      <c r="O1227" s="4"/>
      <c r="P1227" s="4"/>
      <c r="Q1227" s="4"/>
      <c r="R1227" s="14"/>
      <c r="S1227" s="14"/>
      <c r="T1227" s="14"/>
      <c r="U1227" s="14"/>
      <c r="V1227" s="14"/>
      <c r="W1227" s="14"/>
      <c r="X1227" s="1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G1227" s="4"/>
      <c r="BH1227" s="4"/>
    </row>
    <row r="1228" spans="1:60" x14ac:dyDescent="0.35">
      <c r="A1228" s="4"/>
      <c r="B1228" s="8" t="str">
        <f t="shared" si="90"/>
        <v/>
      </c>
      <c r="D1228" s="6" t="str">
        <f t="shared" si="91"/>
        <v/>
      </c>
      <c r="E1228" s="6" t="str">
        <f t="shared" si="92"/>
        <v/>
      </c>
      <c r="F1228" s="6" t="str">
        <f t="shared" si="93"/>
        <v/>
      </c>
      <c r="G1228" s="4"/>
      <c r="H1228" s="4"/>
      <c r="I1228" s="4"/>
      <c r="J1228" s="4"/>
      <c r="K1228" s="4"/>
      <c r="L1228" s="4"/>
      <c r="M1228" s="4"/>
      <c r="N1228" s="4"/>
      <c r="O1228" s="4"/>
      <c r="P1228" s="4"/>
      <c r="Q1228" s="4"/>
      <c r="R1228" s="14"/>
      <c r="S1228" s="14"/>
      <c r="T1228" s="14"/>
      <c r="U1228" s="14"/>
      <c r="V1228" s="14"/>
      <c r="W1228" s="14"/>
      <c r="X1228" s="1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G1228" s="4"/>
      <c r="BH1228" s="4"/>
    </row>
    <row r="1229" spans="1:60" x14ac:dyDescent="0.35">
      <c r="A1229" s="4"/>
      <c r="B1229" s="8" t="str">
        <f t="shared" si="90"/>
        <v/>
      </c>
      <c r="D1229" s="6" t="str">
        <f t="shared" si="91"/>
        <v/>
      </c>
      <c r="E1229" s="6" t="str">
        <f t="shared" si="92"/>
        <v/>
      </c>
      <c r="F1229" s="6" t="str">
        <f t="shared" si="93"/>
        <v/>
      </c>
      <c r="G1229" s="4"/>
      <c r="H1229" s="4"/>
      <c r="I1229" s="4"/>
      <c r="J1229" s="4"/>
      <c r="K1229" s="4"/>
      <c r="L1229" s="4"/>
      <c r="M1229" s="4"/>
      <c r="N1229" s="4"/>
      <c r="O1229" s="4"/>
      <c r="P1229" s="4"/>
      <c r="Q1229" s="4"/>
      <c r="R1229" s="14"/>
      <c r="S1229" s="14"/>
      <c r="T1229" s="14"/>
      <c r="U1229" s="14"/>
      <c r="V1229" s="14"/>
      <c r="W1229" s="14"/>
      <c r="X1229" s="1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G1229" s="4"/>
      <c r="BH1229" s="4"/>
    </row>
    <row r="1230" spans="1:60" x14ac:dyDescent="0.35">
      <c r="A1230" s="4"/>
      <c r="B1230" s="8" t="str">
        <f t="shared" si="90"/>
        <v/>
      </c>
      <c r="D1230" s="6" t="str">
        <f t="shared" si="91"/>
        <v/>
      </c>
      <c r="E1230" s="6" t="str">
        <f t="shared" si="92"/>
        <v/>
      </c>
      <c r="F1230" s="6" t="str">
        <f t="shared" si="93"/>
        <v/>
      </c>
      <c r="G1230" s="4"/>
      <c r="H1230" s="4"/>
      <c r="I1230" s="4"/>
      <c r="J1230" s="4"/>
      <c r="K1230" s="4"/>
      <c r="L1230" s="4"/>
      <c r="M1230" s="4"/>
      <c r="N1230" s="4"/>
      <c r="O1230" s="4"/>
      <c r="P1230" s="4"/>
      <c r="Q1230" s="4"/>
      <c r="R1230" s="14"/>
      <c r="S1230" s="14"/>
      <c r="T1230" s="14"/>
      <c r="U1230" s="14"/>
      <c r="V1230" s="14"/>
      <c r="W1230" s="14"/>
      <c r="X1230" s="1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G1230" s="4"/>
      <c r="BH1230" s="4"/>
    </row>
    <row r="1231" spans="1:60" x14ac:dyDescent="0.35">
      <c r="A1231" s="4"/>
      <c r="B1231" s="8" t="str">
        <f t="shared" si="90"/>
        <v/>
      </c>
      <c r="D1231" s="6" t="str">
        <f t="shared" si="91"/>
        <v/>
      </c>
      <c r="E1231" s="6" t="str">
        <f t="shared" si="92"/>
        <v/>
      </c>
      <c r="F1231" s="6" t="str">
        <f t="shared" si="93"/>
        <v/>
      </c>
      <c r="G1231" s="4"/>
      <c r="H1231" s="4"/>
      <c r="I1231" s="4"/>
      <c r="J1231" s="4"/>
      <c r="K1231" s="4"/>
      <c r="L1231" s="4"/>
      <c r="M1231" s="4"/>
      <c r="N1231" s="4"/>
      <c r="O1231" s="4"/>
      <c r="P1231" s="4"/>
      <c r="Q1231" s="4"/>
      <c r="R1231" s="14"/>
      <c r="S1231" s="14"/>
      <c r="T1231" s="14"/>
      <c r="U1231" s="14"/>
      <c r="V1231" s="14"/>
      <c r="W1231" s="14"/>
      <c r="X1231" s="1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G1231" s="4"/>
      <c r="BH1231" s="4"/>
    </row>
    <row r="1232" spans="1:60" x14ac:dyDescent="0.35">
      <c r="A1232" s="4"/>
      <c r="B1232" s="8" t="str">
        <f t="shared" si="90"/>
        <v/>
      </c>
      <c r="D1232" s="6" t="str">
        <f t="shared" si="91"/>
        <v/>
      </c>
      <c r="E1232" s="6" t="str">
        <f t="shared" si="92"/>
        <v/>
      </c>
      <c r="F1232" s="6" t="str">
        <f t="shared" si="93"/>
        <v/>
      </c>
      <c r="G1232" s="4"/>
      <c r="H1232" s="4"/>
      <c r="I1232" s="4"/>
      <c r="J1232" s="4"/>
      <c r="K1232" s="4"/>
      <c r="L1232" s="4"/>
      <c r="M1232" s="4"/>
      <c r="N1232" s="4"/>
      <c r="O1232" s="4"/>
      <c r="P1232" s="4"/>
      <c r="Q1232" s="4"/>
      <c r="R1232" s="14"/>
      <c r="S1232" s="14"/>
      <c r="T1232" s="14"/>
      <c r="U1232" s="14"/>
      <c r="V1232" s="14"/>
      <c r="W1232" s="14"/>
      <c r="X1232" s="1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G1232" s="4"/>
      <c r="BH1232" s="4"/>
    </row>
    <row r="1233" spans="1:60" x14ac:dyDescent="0.35">
      <c r="A1233" s="4"/>
      <c r="B1233" s="8" t="str">
        <f t="shared" si="90"/>
        <v/>
      </c>
      <c r="D1233" s="6" t="str">
        <f t="shared" si="91"/>
        <v/>
      </c>
      <c r="E1233" s="6" t="str">
        <f t="shared" si="92"/>
        <v/>
      </c>
      <c r="F1233" s="6" t="str">
        <f t="shared" si="93"/>
        <v/>
      </c>
      <c r="G1233" s="4"/>
      <c r="H1233" s="4"/>
      <c r="I1233" s="4"/>
      <c r="J1233" s="4"/>
      <c r="K1233" s="4"/>
      <c r="L1233" s="4"/>
      <c r="M1233" s="4"/>
      <c r="N1233" s="4"/>
      <c r="O1233" s="4"/>
      <c r="P1233" s="4"/>
      <c r="Q1233" s="4"/>
      <c r="R1233" s="14"/>
      <c r="S1233" s="14"/>
      <c r="T1233" s="14"/>
      <c r="U1233" s="14"/>
      <c r="V1233" s="14"/>
      <c r="W1233" s="14"/>
      <c r="X1233" s="1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G1233" s="4"/>
      <c r="BH1233" s="4"/>
    </row>
    <row r="1234" spans="1:60" x14ac:dyDescent="0.35">
      <c r="A1234" s="4"/>
      <c r="B1234" s="8" t="str">
        <f t="shared" si="90"/>
        <v/>
      </c>
      <c r="D1234" s="6" t="str">
        <f t="shared" si="91"/>
        <v/>
      </c>
      <c r="E1234" s="6" t="str">
        <f t="shared" si="92"/>
        <v/>
      </c>
      <c r="F1234" s="6" t="str">
        <f t="shared" si="93"/>
        <v/>
      </c>
      <c r="G1234" s="4"/>
      <c r="H1234" s="4"/>
      <c r="I1234" s="4"/>
      <c r="J1234" s="4"/>
      <c r="K1234" s="4"/>
      <c r="L1234" s="4"/>
      <c r="M1234" s="4"/>
      <c r="N1234" s="4"/>
      <c r="O1234" s="4"/>
      <c r="P1234" s="4"/>
      <c r="Q1234" s="4"/>
      <c r="R1234" s="14"/>
      <c r="S1234" s="14"/>
      <c r="T1234" s="14"/>
      <c r="U1234" s="14"/>
      <c r="V1234" s="14"/>
      <c r="W1234" s="14"/>
      <c r="X1234" s="1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G1234" s="4"/>
      <c r="BH1234" s="4"/>
    </row>
    <row r="1235" spans="1:60" x14ac:dyDescent="0.35">
      <c r="A1235" s="4"/>
      <c r="B1235" s="8" t="str">
        <f t="shared" si="90"/>
        <v/>
      </c>
      <c r="D1235" s="6" t="str">
        <f t="shared" si="91"/>
        <v/>
      </c>
      <c r="E1235" s="6" t="str">
        <f t="shared" si="92"/>
        <v/>
      </c>
      <c r="F1235" s="6" t="str">
        <f t="shared" si="93"/>
        <v/>
      </c>
      <c r="G1235" s="4"/>
      <c r="H1235" s="4"/>
      <c r="I1235" s="4"/>
      <c r="J1235" s="4"/>
      <c r="K1235" s="4"/>
      <c r="L1235" s="4"/>
      <c r="M1235" s="4"/>
      <c r="N1235" s="4"/>
      <c r="O1235" s="4"/>
      <c r="P1235" s="4"/>
      <c r="Q1235" s="4"/>
      <c r="R1235" s="14"/>
      <c r="S1235" s="14"/>
      <c r="T1235" s="14"/>
      <c r="U1235" s="14"/>
      <c r="V1235" s="14"/>
      <c r="W1235" s="14"/>
      <c r="X1235" s="1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G1235" s="4"/>
      <c r="BH1235" s="4"/>
    </row>
    <row r="1236" spans="1:60" x14ac:dyDescent="0.35">
      <c r="A1236" s="4"/>
      <c r="B1236" s="8" t="str">
        <f t="shared" si="90"/>
        <v/>
      </c>
      <c r="D1236" s="6" t="str">
        <f t="shared" si="91"/>
        <v/>
      </c>
      <c r="E1236" s="6" t="str">
        <f t="shared" si="92"/>
        <v/>
      </c>
      <c r="F1236" s="6" t="str">
        <f t="shared" si="93"/>
        <v/>
      </c>
      <c r="G1236" s="4"/>
      <c r="H1236" s="4"/>
      <c r="I1236" s="4"/>
      <c r="J1236" s="4"/>
      <c r="K1236" s="4"/>
      <c r="L1236" s="4"/>
      <c r="M1236" s="4"/>
      <c r="N1236" s="4"/>
      <c r="O1236" s="4"/>
      <c r="P1236" s="4"/>
      <c r="Q1236" s="4"/>
      <c r="R1236" s="14"/>
      <c r="S1236" s="14"/>
      <c r="T1236" s="14"/>
      <c r="U1236" s="14"/>
      <c r="V1236" s="14"/>
      <c r="W1236" s="14"/>
      <c r="X1236" s="1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G1236" s="4"/>
      <c r="BH1236" s="4"/>
    </row>
    <row r="1237" spans="1:60" x14ac:dyDescent="0.35">
      <c r="A1237" s="4"/>
      <c r="B1237" s="8" t="str">
        <f t="shared" si="90"/>
        <v/>
      </c>
      <c r="D1237" s="6" t="str">
        <f t="shared" si="91"/>
        <v/>
      </c>
      <c r="E1237" s="6" t="str">
        <f t="shared" si="92"/>
        <v/>
      </c>
      <c r="F1237" s="6" t="str">
        <f t="shared" si="93"/>
        <v/>
      </c>
      <c r="G1237" s="4"/>
      <c r="H1237" s="4"/>
      <c r="I1237" s="4"/>
      <c r="J1237" s="4"/>
      <c r="K1237" s="4"/>
      <c r="L1237" s="4"/>
      <c r="M1237" s="4"/>
      <c r="N1237" s="4"/>
      <c r="O1237" s="4"/>
      <c r="P1237" s="4"/>
      <c r="Q1237" s="4"/>
      <c r="R1237" s="14"/>
      <c r="S1237" s="14"/>
      <c r="T1237" s="14"/>
      <c r="U1237" s="14"/>
      <c r="V1237" s="14"/>
      <c r="W1237" s="14"/>
      <c r="X1237" s="1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G1237" s="4"/>
      <c r="BH1237" s="4"/>
    </row>
    <row r="1238" spans="1:60" x14ac:dyDescent="0.35">
      <c r="A1238" s="4"/>
      <c r="B1238" s="8" t="str">
        <f t="shared" si="90"/>
        <v/>
      </c>
      <c r="D1238" s="6" t="str">
        <f t="shared" si="91"/>
        <v/>
      </c>
      <c r="E1238" s="6" t="str">
        <f t="shared" si="92"/>
        <v/>
      </c>
      <c r="F1238" s="6" t="str">
        <f t="shared" si="93"/>
        <v/>
      </c>
      <c r="G1238" s="4"/>
      <c r="H1238" s="4"/>
      <c r="I1238" s="4"/>
      <c r="J1238" s="4"/>
      <c r="K1238" s="4"/>
      <c r="L1238" s="4"/>
      <c r="M1238" s="4"/>
      <c r="N1238" s="4"/>
      <c r="O1238" s="4"/>
      <c r="P1238" s="4"/>
      <c r="Q1238" s="4"/>
      <c r="R1238" s="14"/>
      <c r="S1238" s="14"/>
      <c r="T1238" s="14"/>
      <c r="U1238" s="14"/>
      <c r="V1238" s="14"/>
      <c r="W1238" s="14"/>
      <c r="X1238" s="1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G1238" s="4"/>
      <c r="BH1238" s="4"/>
    </row>
    <row r="1239" spans="1:60" x14ac:dyDescent="0.35">
      <c r="A1239" s="4"/>
      <c r="B1239" s="8" t="str">
        <f t="shared" si="90"/>
        <v/>
      </c>
      <c r="D1239" s="6" t="str">
        <f t="shared" si="91"/>
        <v/>
      </c>
      <c r="E1239" s="6" t="str">
        <f t="shared" si="92"/>
        <v/>
      </c>
      <c r="F1239" s="6" t="str">
        <f t="shared" si="93"/>
        <v/>
      </c>
      <c r="G1239" s="4"/>
      <c r="H1239" s="4"/>
      <c r="I1239" s="4"/>
      <c r="J1239" s="4"/>
      <c r="K1239" s="4"/>
      <c r="L1239" s="4"/>
      <c r="M1239" s="4"/>
      <c r="N1239" s="4"/>
      <c r="O1239" s="4"/>
      <c r="P1239" s="4"/>
      <c r="Q1239" s="4"/>
      <c r="R1239" s="14"/>
      <c r="S1239" s="14"/>
      <c r="T1239" s="14"/>
      <c r="U1239" s="14"/>
      <c r="V1239" s="14"/>
      <c r="W1239" s="14"/>
      <c r="X1239" s="1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G1239" s="4"/>
      <c r="BH1239" s="4"/>
    </row>
    <row r="1240" spans="1:60" x14ac:dyDescent="0.35">
      <c r="A1240" s="4"/>
      <c r="B1240" s="8" t="str">
        <f t="shared" si="90"/>
        <v/>
      </c>
      <c r="D1240" s="6" t="str">
        <f t="shared" si="91"/>
        <v/>
      </c>
      <c r="E1240" s="6" t="str">
        <f t="shared" si="92"/>
        <v/>
      </c>
      <c r="F1240" s="6" t="str">
        <f t="shared" si="93"/>
        <v/>
      </c>
      <c r="G1240" s="4"/>
      <c r="H1240" s="4"/>
      <c r="I1240" s="4"/>
      <c r="J1240" s="4"/>
      <c r="K1240" s="4"/>
      <c r="L1240" s="4"/>
      <c r="M1240" s="4"/>
      <c r="N1240" s="4"/>
      <c r="O1240" s="4"/>
      <c r="P1240" s="4"/>
      <c r="Q1240" s="4"/>
      <c r="R1240" s="14"/>
      <c r="S1240" s="14"/>
      <c r="T1240" s="14"/>
      <c r="U1240" s="14"/>
      <c r="V1240" s="14"/>
      <c r="W1240" s="14"/>
      <c r="X1240" s="1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G1240" s="4"/>
      <c r="BH1240" s="4"/>
    </row>
    <row r="1241" spans="1:60" x14ac:dyDescent="0.35">
      <c r="A1241" s="4"/>
      <c r="B1241" s="8" t="str">
        <f t="shared" si="90"/>
        <v/>
      </c>
      <c r="D1241" s="6" t="str">
        <f t="shared" si="91"/>
        <v/>
      </c>
      <c r="E1241" s="6" t="str">
        <f t="shared" si="92"/>
        <v/>
      </c>
      <c r="F1241" s="6" t="str">
        <f t="shared" si="93"/>
        <v/>
      </c>
      <c r="G1241" s="4"/>
      <c r="H1241" s="4"/>
      <c r="I1241" s="4"/>
      <c r="J1241" s="4"/>
      <c r="K1241" s="4"/>
      <c r="L1241" s="4"/>
      <c r="M1241" s="4"/>
      <c r="N1241" s="4"/>
      <c r="O1241" s="4"/>
      <c r="P1241" s="4"/>
      <c r="Q1241" s="4"/>
      <c r="R1241" s="14"/>
      <c r="S1241" s="14"/>
      <c r="T1241" s="14"/>
      <c r="U1241" s="14"/>
      <c r="V1241" s="14"/>
      <c r="W1241" s="14"/>
      <c r="X1241" s="1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G1241" s="4"/>
      <c r="BH1241" s="4"/>
    </row>
    <row r="1242" spans="1:60" x14ac:dyDescent="0.35">
      <c r="A1242" s="4"/>
      <c r="B1242" s="8" t="str">
        <f t="shared" si="90"/>
        <v/>
      </c>
      <c r="D1242" s="6" t="str">
        <f t="shared" si="91"/>
        <v/>
      </c>
      <c r="E1242" s="6" t="str">
        <f t="shared" si="92"/>
        <v/>
      </c>
      <c r="F1242" s="6" t="str">
        <f t="shared" si="93"/>
        <v/>
      </c>
      <c r="G1242" s="4"/>
      <c r="H1242" s="4"/>
      <c r="I1242" s="4"/>
      <c r="J1242" s="4"/>
      <c r="K1242" s="4"/>
      <c r="L1242" s="4"/>
      <c r="M1242" s="4"/>
      <c r="N1242" s="4"/>
      <c r="O1242" s="4"/>
      <c r="P1242" s="4"/>
      <c r="Q1242" s="4"/>
      <c r="R1242" s="14"/>
      <c r="S1242" s="14"/>
      <c r="T1242" s="14"/>
      <c r="U1242" s="14"/>
      <c r="V1242" s="14"/>
      <c r="W1242" s="14"/>
      <c r="X1242" s="1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G1242" s="4"/>
      <c r="BH1242" s="4"/>
    </row>
    <row r="1243" spans="1:60" x14ac:dyDescent="0.35">
      <c r="A1243" s="4"/>
      <c r="B1243" s="8" t="str">
        <f t="shared" si="90"/>
        <v/>
      </c>
      <c r="D1243" s="6" t="str">
        <f t="shared" si="91"/>
        <v/>
      </c>
      <c r="E1243" s="6" t="str">
        <f t="shared" si="92"/>
        <v/>
      </c>
      <c r="F1243" s="6" t="str">
        <f t="shared" si="93"/>
        <v/>
      </c>
      <c r="G1243" s="4"/>
      <c r="H1243" s="4"/>
      <c r="I1243" s="4"/>
      <c r="J1243" s="4"/>
      <c r="K1243" s="4"/>
      <c r="L1243" s="4"/>
      <c r="M1243" s="4"/>
      <c r="N1243" s="4"/>
      <c r="O1243" s="4"/>
      <c r="P1243" s="4"/>
      <c r="Q1243" s="4"/>
      <c r="R1243" s="14"/>
      <c r="S1243" s="14"/>
      <c r="T1243" s="14"/>
      <c r="U1243" s="14"/>
      <c r="V1243" s="14"/>
      <c r="W1243" s="14"/>
      <c r="X1243" s="1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G1243" s="4"/>
      <c r="BH1243" s="4"/>
    </row>
    <row r="1244" spans="1:60" x14ac:dyDescent="0.35">
      <c r="A1244" s="4"/>
      <c r="B1244" s="8" t="str">
        <f t="shared" si="90"/>
        <v/>
      </c>
      <c r="D1244" s="6" t="str">
        <f t="shared" si="91"/>
        <v/>
      </c>
      <c r="E1244" s="6" t="str">
        <f t="shared" si="92"/>
        <v/>
      </c>
      <c r="F1244" s="6" t="str">
        <f t="shared" si="93"/>
        <v/>
      </c>
      <c r="G1244" s="4"/>
      <c r="H1244" s="4"/>
      <c r="I1244" s="4"/>
      <c r="J1244" s="4"/>
      <c r="K1244" s="4"/>
      <c r="L1244" s="4"/>
      <c r="M1244" s="4"/>
      <c r="N1244" s="4"/>
      <c r="O1244" s="4"/>
      <c r="P1244" s="4"/>
      <c r="Q1244" s="4"/>
      <c r="R1244" s="14"/>
      <c r="S1244" s="14"/>
      <c r="T1244" s="14"/>
      <c r="U1244" s="14"/>
      <c r="V1244" s="14"/>
      <c r="W1244" s="14"/>
      <c r="X1244" s="1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G1244" s="4"/>
      <c r="BH1244" s="4"/>
    </row>
    <row r="1245" spans="1:60" x14ac:dyDescent="0.35">
      <c r="A1245" s="4"/>
      <c r="B1245" s="8" t="str">
        <f t="shared" si="90"/>
        <v/>
      </c>
      <c r="D1245" s="6" t="str">
        <f t="shared" si="91"/>
        <v/>
      </c>
      <c r="E1245" s="6" t="str">
        <f t="shared" si="92"/>
        <v/>
      </c>
      <c r="F1245" s="6" t="str">
        <f t="shared" si="93"/>
        <v/>
      </c>
      <c r="G1245" s="4"/>
      <c r="H1245" s="4"/>
      <c r="I1245" s="4"/>
      <c r="J1245" s="4"/>
      <c r="K1245" s="4"/>
      <c r="L1245" s="4"/>
      <c r="M1245" s="4"/>
      <c r="N1245" s="4"/>
      <c r="O1245" s="4"/>
      <c r="P1245" s="4"/>
      <c r="Q1245" s="4"/>
      <c r="R1245" s="14"/>
      <c r="S1245" s="14"/>
      <c r="T1245" s="14"/>
      <c r="U1245" s="14"/>
      <c r="V1245" s="14"/>
      <c r="W1245" s="14"/>
      <c r="X1245" s="1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G1245" s="4"/>
      <c r="BH1245" s="4"/>
    </row>
    <row r="1246" spans="1:60" x14ac:dyDescent="0.35">
      <c r="A1246" s="4"/>
      <c r="B1246" s="8" t="str">
        <f t="shared" si="90"/>
        <v/>
      </c>
      <c r="D1246" s="6" t="str">
        <f t="shared" si="91"/>
        <v/>
      </c>
      <c r="E1246" s="6" t="str">
        <f t="shared" si="92"/>
        <v/>
      </c>
      <c r="F1246" s="6" t="str">
        <f t="shared" si="93"/>
        <v/>
      </c>
      <c r="G1246" s="4"/>
      <c r="H1246" s="4"/>
      <c r="I1246" s="4"/>
      <c r="J1246" s="4"/>
      <c r="K1246" s="4"/>
      <c r="L1246" s="4"/>
      <c r="M1246" s="4"/>
      <c r="N1246" s="4"/>
      <c r="O1246" s="4"/>
      <c r="P1246" s="4"/>
      <c r="Q1246" s="4"/>
      <c r="R1246" s="14"/>
      <c r="S1246" s="14"/>
      <c r="T1246" s="14"/>
      <c r="U1246" s="14"/>
      <c r="V1246" s="14"/>
      <c r="W1246" s="14"/>
      <c r="X1246" s="1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G1246" s="4"/>
      <c r="BH1246" s="4"/>
    </row>
    <row r="1247" spans="1:60" x14ac:dyDescent="0.35">
      <c r="A1247" s="4"/>
      <c r="B1247" s="8" t="str">
        <f t="shared" si="90"/>
        <v/>
      </c>
      <c r="D1247" s="6" t="str">
        <f t="shared" si="91"/>
        <v/>
      </c>
      <c r="E1247" s="6" t="str">
        <f t="shared" si="92"/>
        <v/>
      </c>
      <c r="F1247" s="6" t="str">
        <f t="shared" si="93"/>
        <v/>
      </c>
      <c r="G1247" s="4"/>
      <c r="H1247" s="4"/>
      <c r="I1247" s="4"/>
      <c r="J1247" s="4"/>
      <c r="K1247" s="4"/>
      <c r="L1247" s="4"/>
      <c r="M1247" s="4"/>
      <c r="N1247" s="4"/>
      <c r="O1247" s="4"/>
      <c r="P1247" s="4"/>
      <c r="Q1247" s="4"/>
      <c r="R1247" s="14"/>
      <c r="S1247" s="14"/>
      <c r="T1247" s="14"/>
      <c r="U1247" s="14"/>
      <c r="V1247" s="14"/>
      <c r="W1247" s="14"/>
      <c r="X1247" s="1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G1247" s="4"/>
      <c r="BH1247" s="4"/>
    </row>
    <row r="1248" spans="1:60" x14ac:dyDescent="0.35">
      <c r="A1248" s="4"/>
      <c r="B1248" s="8" t="str">
        <f t="shared" si="90"/>
        <v/>
      </c>
      <c r="D1248" s="6" t="str">
        <f t="shared" si="91"/>
        <v/>
      </c>
      <c r="E1248" s="6" t="str">
        <f t="shared" si="92"/>
        <v/>
      </c>
      <c r="F1248" s="6" t="str">
        <f t="shared" si="93"/>
        <v/>
      </c>
      <c r="G1248" s="4"/>
      <c r="H1248" s="4"/>
      <c r="I1248" s="4"/>
      <c r="J1248" s="4"/>
      <c r="K1248" s="4"/>
      <c r="L1248" s="4"/>
      <c r="M1248" s="4"/>
      <c r="N1248" s="4"/>
      <c r="O1248" s="4"/>
      <c r="P1248" s="4"/>
      <c r="Q1248" s="4"/>
      <c r="R1248" s="14"/>
      <c r="S1248" s="14"/>
      <c r="T1248" s="14"/>
      <c r="U1248" s="14"/>
      <c r="V1248" s="14"/>
      <c r="W1248" s="14"/>
      <c r="X1248" s="1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G1248" s="4"/>
      <c r="BH1248" s="4"/>
    </row>
    <row r="1249" spans="1:60" x14ac:dyDescent="0.35">
      <c r="A1249" s="4"/>
      <c r="B1249" s="8" t="str">
        <f t="shared" si="90"/>
        <v/>
      </c>
      <c r="D1249" s="6" t="str">
        <f t="shared" si="91"/>
        <v/>
      </c>
      <c r="E1249" s="6" t="str">
        <f t="shared" si="92"/>
        <v/>
      </c>
      <c r="F1249" s="6" t="str">
        <f t="shared" si="93"/>
        <v/>
      </c>
      <c r="G1249" s="4"/>
      <c r="H1249" s="4"/>
      <c r="I1249" s="4"/>
      <c r="J1249" s="4"/>
      <c r="K1249" s="4"/>
      <c r="L1249" s="4"/>
      <c r="M1249" s="4"/>
      <c r="N1249" s="4"/>
      <c r="O1249" s="4"/>
      <c r="P1249" s="4"/>
      <c r="Q1249" s="4"/>
      <c r="R1249" s="14"/>
      <c r="S1249" s="14"/>
      <c r="T1249" s="14"/>
      <c r="U1249" s="14"/>
      <c r="V1249" s="14"/>
      <c r="W1249" s="14"/>
      <c r="X1249" s="1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G1249" s="4"/>
      <c r="BH1249" s="4"/>
    </row>
    <row r="1250" spans="1:60" x14ac:dyDescent="0.35">
      <c r="A1250" s="4"/>
      <c r="B1250" s="8" t="str">
        <f t="shared" si="90"/>
        <v/>
      </c>
      <c r="D1250" s="6" t="str">
        <f t="shared" si="91"/>
        <v/>
      </c>
      <c r="E1250" s="6" t="str">
        <f t="shared" si="92"/>
        <v/>
      </c>
      <c r="F1250" s="6" t="str">
        <f t="shared" si="93"/>
        <v/>
      </c>
      <c r="G1250" s="4"/>
      <c r="H1250" s="4"/>
      <c r="I1250" s="4"/>
      <c r="J1250" s="4"/>
      <c r="K1250" s="4"/>
      <c r="L1250" s="4"/>
      <c r="M1250" s="4"/>
      <c r="N1250" s="4"/>
      <c r="O1250" s="4"/>
      <c r="P1250" s="4"/>
      <c r="Q1250" s="4"/>
      <c r="R1250" s="14"/>
      <c r="S1250" s="14"/>
      <c r="T1250" s="14"/>
      <c r="U1250" s="14"/>
      <c r="V1250" s="14"/>
      <c r="W1250" s="14"/>
      <c r="X1250" s="1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G1250" s="4"/>
      <c r="BH1250" s="4"/>
    </row>
    <row r="1251" spans="1:60" x14ac:dyDescent="0.35">
      <c r="A1251" s="4"/>
      <c r="B1251" s="8" t="str">
        <f t="shared" si="90"/>
        <v/>
      </c>
      <c r="D1251" s="6" t="str">
        <f t="shared" si="91"/>
        <v/>
      </c>
      <c r="E1251" s="6" t="str">
        <f t="shared" si="92"/>
        <v/>
      </c>
      <c r="F1251" s="6" t="str">
        <f t="shared" si="93"/>
        <v/>
      </c>
      <c r="G1251" s="4"/>
      <c r="H1251" s="4"/>
      <c r="I1251" s="4"/>
      <c r="J1251" s="4"/>
      <c r="K1251" s="4"/>
      <c r="L1251" s="4"/>
      <c r="M1251" s="4"/>
      <c r="N1251" s="4"/>
      <c r="O1251" s="4"/>
      <c r="P1251" s="4"/>
      <c r="Q1251" s="4"/>
      <c r="R1251" s="14"/>
      <c r="S1251" s="14"/>
      <c r="T1251" s="14"/>
      <c r="U1251" s="14"/>
      <c r="V1251" s="14"/>
      <c r="W1251" s="14"/>
      <c r="X1251" s="1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G1251" s="4"/>
      <c r="BH1251" s="4"/>
    </row>
    <row r="1252" spans="1:60" x14ac:dyDescent="0.35">
      <c r="A1252" s="4"/>
      <c r="B1252" s="8" t="str">
        <f t="shared" si="90"/>
        <v/>
      </c>
      <c r="D1252" s="6" t="str">
        <f t="shared" si="91"/>
        <v/>
      </c>
      <c r="E1252" s="6" t="str">
        <f t="shared" si="92"/>
        <v/>
      </c>
      <c r="F1252" s="6" t="str">
        <f t="shared" si="93"/>
        <v/>
      </c>
      <c r="G1252" s="4"/>
      <c r="H1252" s="4"/>
      <c r="I1252" s="4"/>
      <c r="J1252" s="4"/>
      <c r="K1252" s="4"/>
      <c r="L1252" s="4"/>
      <c r="M1252" s="4"/>
      <c r="N1252" s="4"/>
      <c r="O1252" s="4"/>
      <c r="P1252" s="4"/>
      <c r="Q1252" s="4"/>
      <c r="R1252" s="14"/>
      <c r="S1252" s="14"/>
      <c r="T1252" s="14"/>
      <c r="U1252" s="14"/>
      <c r="V1252" s="14"/>
      <c r="W1252" s="14"/>
      <c r="X1252" s="1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G1252" s="4"/>
      <c r="BH1252" s="4"/>
    </row>
    <row r="1253" spans="1:60" x14ac:dyDescent="0.35">
      <c r="A1253" s="4"/>
      <c r="B1253" s="8" t="str">
        <f t="shared" si="90"/>
        <v/>
      </c>
      <c r="D1253" s="6" t="str">
        <f t="shared" si="91"/>
        <v/>
      </c>
      <c r="E1253" s="6" t="str">
        <f t="shared" si="92"/>
        <v/>
      </c>
      <c r="F1253" s="6" t="str">
        <f t="shared" si="93"/>
        <v/>
      </c>
      <c r="G1253" s="4"/>
      <c r="H1253" s="4"/>
      <c r="I1253" s="4"/>
      <c r="J1253" s="4"/>
      <c r="K1253" s="4"/>
      <c r="L1253" s="4"/>
      <c r="M1253" s="4"/>
      <c r="N1253" s="4"/>
      <c r="O1253" s="4"/>
      <c r="P1253" s="4"/>
      <c r="Q1253" s="4"/>
      <c r="R1253" s="14"/>
      <c r="S1253" s="14"/>
      <c r="T1253" s="14"/>
      <c r="U1253" s="14"/>
      <c r="V1253" s="14"/>
      <c r="W1253" s="14"/>
      <c r="X1253" s="1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G1253" s="4"/>
      <c r="BH1253" s="4"/>
    </row>
    <row r="1254" spans="1:60" x14ac:dyDescent="0.35">
      <c r="A1254" s="4"/>
      <c r="B1254" s="8" t="str">
        <f t="shared" si="90"/>
        <v/>
      </c>
      <c r="D1254" s="6" t="str">
        <f t="shared" si="91"/>
        <v/>
      </c>
      <c r="E1254" s="6" t="str">
        <f t="shared" si="92"/>
        <v/>
      </c>
      <c r="F1254" s="6" t="str">
        <f t="shared" si="93"/>
        <v/>
      </c>
      <c r="G1254" s="4"/>
      <c r="H1254" s="4"/>
      <c r="I1254" s="4"/>
      <c r="J1254" s="4"/>
      <c r="K1254" s="4"/>
      <c r="L1254" s="4"/>
      <c r="M1254" s="4"/>
      <c r="N1254" s="4"/>
      <c r="O1254" s="4"/>
      <c r="P1254" s="4"/>
      <c r="Q1254" s="4"/>
      <c r="R1254" s="14"/>
      <c r="S1254" s="14"/>
      <c r="T1254" s="14"/>
      <c r="U1254" s="14"/>
      <c r="V1254" s="14"/>
      <c r="W1254" s="14"/>
      <c r="X1254" s="1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G1254" s="4"/>
      <c r="BH1254" s="4"/>
    </row>
    <row r="1255" spans="1:60" x14ac:dyDescent="0.35">
      <c r="A1255" s="4"/>
      <c r="B1255" s="8" t="str">
        <f t="shared" si="90"/>
        <v/>
      </c>
      <c r="D1255" s="6" t="str">
        <f t="shared" si="91"/>
        <v/>
      </c>
      <c r="E1255" s="6" t="str">
        <f t="shared" si="92"/>
        <v/>
      </c>
      <c r="F1255" s="6" t="str">
        <f t="shared" si="93"/>
        <v/>
      </c>
      <c r="G1255" s="4"/>
      <c r="H1255" s="4"/>
      <c r="I1255" s="4"/>
      <c r="J1255" s="4"/>
      <c r="K1255" s="4"/>
      <c r="L1255" s="4"/>
      <c r="M1255" s="4"/>
      <c r="N1255" s="4"/>
      <c r="O1255" s="4"/>
      <c r="P1255" s="4"/>
      <c r="Q1255" s="4"/>
      <c r="R1255" s="14"/>
      <c r="S1255" s="14"/>
      <c r="T1255" s="14"/>
      <c r="U1255" s="14"/>
      <c r="V1255" s="14"/>
      <c r="W1255" s="14"/>
      <c r="X1255" s="1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G1255" s="4"/>
      <c r="BH1255" s="4"/>
    </row>
    <row r="1256" spans="1:60" x14ac:dyDescent="0.35">
      <c r="A1256" s="4"/>
      <c r="B1256" s="8" t="str">
        <f t="shared" si="90"/>
        <v/>
      </c>
      <c r="D1256" s="6" t="str">
        <f t="shared" si="91"/>
        <v/>
      </c>
      <c r="E1256" s="6" t="str">
        <f t="shared" si="92"/>
        <v/>
      </c>
      <c r="F1256" s="6" t="str">
        <f t="shared" si="93"/>
        <v/>
      </c>
      <c r="G1256" s="4"/>
      <c r="H1256" s="4"/>
      <c r="I1256" s="4"/>
      <c r="J1256" s="4"/>
      <c r="K1256" s="4"/>
      <c r="L1256" s="4"/>
      <c r="M1256" s="4"/>
      <c r="N1256" s="4"/>
      <c r="O1256" s="4"/>
      <c r="P1256" s="4"/>
      <c r="Q1256" s="4"/>
      <c r="R1256" s="14"/>
      <c r="S1256" s="14"/>
      <c r="T1256" s="14"/>
      <c r="U1256" s="14"/>
      <c r="V1256" s="14"/>
      <c r="W1256" s="14"/>
      <c r="X1256" s="1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G1256" s="4"/>
      <c r="BH1256" s="4"/>
    </row>
    <row r="1257" spans="1:60" x14ac:dyDescent="0.35">
      <c r="A1257" s="4"/>
      <c r="B1257" s="8" t="str">
        <f t="shared" si="90"/>
        <v/>
      </c>
      <c r="D1257" s="6" t="str">
        <f t="shared" si="91"/>
        <v/>
      </c>
      <c r="E1257" s="6" t="str">
        <f t="shared" si="92"/>
        <v/>
      </c>
      <c r="F1257" s="6" t="str">
        <f t="shared" si="93"/>
        <v/>
      </c>
      <c r="G1257" s="4"/>
      <c r="H1257" s="4"/>
      <c r="I1257" s="4"/>
      <c r="J1257" s="4"/>
      <c r="K1257" s="4"/>
      <c r="L1257" s="4"/>
      <c r="M1257" s="4"/>
      <c r="N1257" s="4"/>
      <c r="O1257" s="4"/>
      <c r="P1257" s="4"/>
      <c r="Q1257" s="4"/>
      <c r="R1257" s="14"/>
      <c r="S1257" s="14"/>
      <c r="T1257" s="14"/>
      <c r="U1257" s="14"/>
      <c r="V1257" s="14"/>
      <c r="W1257" s="14"/>
      <c r="X1257" s="1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G1257" s="4"/>
      <c r="BH1257" s="4"/>
    </row>
    <row r="1258" spans="1:60" x14ac:dyDescent="0.35">
      <c r="A1258" s="4"/>
      <c r="B1258" s="8" t="str">
        <f t="shared" si="90"/>
        <v/>
      </c>
      <c r="D1258" s="6" t="str">
        <f t="shared" si="91"/>
        <v/>
      </c>
      <c r="E1258" s="6" t="str">
        <f t="shared" si="92"/>
        <v/>
      </c>
      <c r="F1258" s="6" t="str">
        <f t="shared" si="93"/>
        <v/>
      </c>
      <c r="G1258" s="4"/>
      <c r="H1258" s="4"/>
      <c r="I1258" s="4"/>
      <c r="J1258" s="4"/>
      <c r="K1258" s="4"/>
      <c r="L1258" s="4"/>
      <c r="M1258" s="4"/>
      <c r="N1258" s="4"/>
      <c r="O1258" s="4"/>
      <c r="P1258" s="4"/>
      <c r="Q1258" s="4"/>
      <c r="R1258" s="14"/>
      <c r="S1258" s="14"/>
      <c r="T1258" s="14"/>
      <c r="U1258" s="14"/>
      <c r="V1258" s="14"/>
      <c r="W1258" s="14"/>
      <c r="X1258" s="14"/>
      <c r="Y1258" s="4"/>
      <c r="Z1258" s="4"/>
      <c r="AA1258" s="4"/>
      <c r="AB1258" s="4"/>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G1258" s="4"/>
      <c r="BH1258" s="4"/>
    </row>
    <row r="1259" spans="1:60" x14ac:dyDescent="0.35">
      <c r="A1259" s="4"/>
      <c r="B1259" s="8" t="str">
        <f t="shared" si="90"/>
        <v/>
      </c>
      <c r="D1259" s="6" t="str">
        <f t="shared" si="91"/>
        <v/>
      </c>
      <c r="E1259" s="6" t="str">
        <f t="shared" si="92"/>
        <v/>
      </c>
      <c r="F1259" s="6" t="str">
        <f t="shared" si="93"/>
        <v/>
      </c>
      <c r="G1259" s="4"/>
      <c r="H1259" s="4"/>
      <c r="I1259" s="4"/>
      <c r="J1259" s="4"/>
      <c r="K1259" s="4"/>
      <c r="L1259" s="4"/>
      <c r="M1259" s="4"/>
      <c r="N1259" s="4"/>
      <c r="O1259" s="4"/>
      <c r="P1259" s="4"/>
      <c r="Q1259" s="4"/>
      <c r="R1259" s="14"/>
      <c r="S1259" s="14"/>
      <c r="T1259" s="14"/>
      <c r="U1259" s="14"/>
      <c r="V1259" s="14"/>
      <c r="W1259" s="14"/>
      <c r="X1259" s="1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G1259" s="4"/>
      <c r="BH1259" s="4"/>
    </row>
    <row r="1260" spans="1:60" x14ac:dyDescent="0.35">
      <c r="A1260" s="4"/>
      <c r="B1260" s="8" t="str">
        <f t="shared" si="90"/>
        <v/>
      </c>
      <c r="D1260" s="6" t="str">
        <f t="shared" si="91"/>
        <v/>
      </c>
      <c r="E1260" s="6" t="str">
        <f t="shared" si="92"/>
        <v/>
      </c>
      <c r="F1260" s="6" t="str">
        <f t="shared" si="93"/>
        <v/>
      </c>
      <c r="G1260" s="4"/>
      <c r="H1260" s="4"/>
      <c r="I1260" s="4"/>
      <c r="J1260" s="4"/>
      <c r="K1260" s="4"/>
      <c r="L1260" s="4"/>
      <c r="M1260" s="4"/>
      <c r="N1260" s="4"/>
      <c r="O1260" s="4"/>
      <c r="P1260" s="4"/>
      <c r="Q1260" s="4"/>
      <c r="R1260" s="14"/>
      <c r="S1260" s="14"/>
      <c r="T1260" s="14"/>
      <c r="U1260" s="14"/>
      <c r="V1260" s="14"/>
      <c r="W1260" s="14"/>
      <c r="X1260" s="1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G1260" s="4"/>
      <c r="BH1260" s="4"/>
    </row>
    <row r="1261" spans="1:60" x14ac:dyDescent="0.35">
      <c r="A1261" s="4"/>
      <c r="B1261" s="8" t="str">
        <f t="shared" si="90"/>
        <v/>
      </c>
      <c r="D1261" s="6" t="str">
        <f t="shared" si="91"/>
        <v/>
      </c>
      <c r="E1261" s="6" t="str">
        <f t="shared" si="92"/>
        <v/>
      </c>
      <c r="F1261" s="6" t="str">
        <f t="shared" si="93"/>
        <v/>
      </c>
      <c r="G1261" s="4"/>
      <c r="H1261" s="4"/>
      <c r="I1261" s="4"/>
      <c r="J1261" s="4"/>
      <c r="K1261" s="4"/>
      <c r="L1261" s="4"/>
      <c r="M1261" s="4"/>
      <c r="N1261" s="4"/>
      <c r="O1261" s="4"/>
      <c r="P1261" s="4"/>
      <c r="Q1261" s="4"/>
      <c r="R1261" s="14"/>
      <c r="S1261" s="14"/>
      <c r="T1261" s="14"/>
      <c r="U1261" s="14"/>
      <c r="V1261" s="14"/>
      <c r="W1261" s="14"/>
      <c r="X1261" s="1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G1261" s="4"/>
      <c r="BH1261" s="4"/>
    </row>
    <row r="1262" spans="1:60" x14ac:dyDescent="0.35">
      <c r="A1262" s="4"/>
      <c r="B1262" s="8" t="str">
        <f t="shared" si="90"/>
        <v/>
      </c>
      <c r="D1262" s="6" t="str">
        <f t="shared" si="91"/>
        <v/>
      </c>
      <c r="E1262" s="6" t="str">
        <f t="shared" si="92"/>
        <v/>
      </c>
      <c r="F1262" s="6" t="str">
        <f t="shared" si="93"/>
        <v/>
      </c>
      <c r="G1262" s="4"/>
      <c r="H1262" s="4"/>
      <c r="I1262" s="4"/>
      <c r="J1262" s="4"/>
      <c r="K1262" s="4"/>
      <c r="L1262" s="4"/>
      <c r="M1262" s="4"/>
      <c r="N1262" s="4"/>
      <c r="O1262" s="4"/>
      <c r="P1262" s="4"/>
      <c r="Q1262" s="4"/>
      <c r="R1262" s="14"/>
      <c r="S1262" s="14"/>
      <c r="T1262" s="14"/>
      <c r="U1262" s="14"/>
      <c r="V1262" s="14"/>
      <c r="W1262" s="14"/>
      <c r="X1262" s="1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G1262" s="4"/>
      <c r="BH1262" s="4"/>
    </row>
    <row r="1263" spans="1:60" x14ac:dyDescent="0.35">
      <c r="A1263" s="4"/>
      <c r="B1263" s="8" t="str">
        <f t="shared" si="90"/>
        <v/>
      </c>
      <c r="D1263" s="6" t="str">
        <f t="shared" si="91"/>
        <v/>
      </c>
      <c r="E1263" s="6" t="str">
        <f t="shared" si="92"/>
        <v/>
      </c>
      <c r="F1263" s="6" t="str">
        <f t="shared" si="93"/>
        <v/>
      </c>
      <c r="G1263" s="4"/>
      <c r="H1263" s="4"/>
      <c r="I1263" s="4"/>
      <c r="J1263" s="4"/>
      <c r="K1263" s="4"/>
      <c r="L1263" s="4"/>
      <c r="M1263" s="4"/>
      <c r="N1263" s="4"/>
      <c r="O1263" s="4"/>
      <c r="P1263" s="4"/>
      <c r="Q1263" s="4"/>
      <c r="R1263" s="14"/>
      <c r="S1263" s="14"/>
      <c r="T1263" s="14"/>
      <c r="U1263" s="14"/>
      <c r="V1263" s="14"/>
      <c r="W1263" s="14"/>
      <c r="X1263" s="1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G1263" s="4"/>
      <c r="BH1263" s="4"/>
    </row>
    <row r="1264" spans="1:60" x14ac:dyDescent="0.35">
      <c r="A1264" s="4"/>
      <c r="B1264" s="8" t="str">
        <f t="shared" si="90"/>
        <v/>
      </c>
      <c r="D1264" s="6" t="str">
        <f t="shared" si="91"/>
        <v/>
      </c>
      <c r="E1264" s="6" t="str">
        <f t="shared" si="92"/>
        <v/>
      </c>
      <c r="F1264" s="6" t="str">
        <f t="shared" si="93"/>
        <v/>
      </c>
      <c r="G1264" s="4"/>
      <c r="H1264" s="4"/>
      <c r="I1264" s="4"/>
      <c r="J1264" s="4"/>
      <c r="K1264" s="4"/>
      <c r="L1264" s="4"/>
      <c r="M1264" s="4"/>
      <c r="N1264" s="4"/>
      <c r="O1264" s="4"/>
      <c r="P1264" s="4"/>
      <c r="Q1264" s="4"/>
      <c r="R1264" s="14"/>
      <c r="S1264" s="14"/>
      <c r="T1264" s="14"/>
      <c r="U1264" s="14"/>
      <c r="V1264" s="14"/>
      <c r="W1264" s="14"/>
      <c r="X1264" s="14"/>
      <c r="Y1264" s="4"/>
      <c r="Z1264" s="4"/>
      <c r="AA1264" s="4"/>
      <c r="AB1264" s="4"/>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G1264" s="4"/>
      <c r="BH1264" s="4"/>
    </row>
    <row r="1265" spans="1:60" x14ac:dyDescent="0.35">
      <c r="A1265" s="4"/>
      <c r="B1265" s="8" t="str">
        <f t="shared" si="90"/>
        <v/>
      </c>
      <c r="D1265" s="6" t="str">
        <f t="shared" si="91"/>
        <v/>
      </c>
      <c r="E1265" s="6" t="str">
        <f t="shared" si="92"/>
        <v/>
      </c>
      <c r="F1265" s="6" t="str">
        <f t="shared" si="93"/>
        <v/>
      </c>
      <c r="G1265" s="4"/>
      <c r="H1265" s="4"/>
      <c r="I1265" s="4"/>
      <c r="J1265" s="4"/>
      <c r="K1265" s="4"/>
      <c r="L1265" s="4"/>
      <c r="M1265" s="4"/>
      <c r="N1265" s="4"/>
      <c r="O1265" s="4"/>
      <c r="P1265" s="4"/>
      <c r="Q1265" s="4"/>
      <c r="R1265" s="14"/>
      <c r="S1265" s="14"/>
      <c r="T1265" s="14"/>
      <c r="U1265" s="14"/>
      <c r="V1265" s="14"/>
      <c r="W1265" s="14"/>
      <c r="X1265" s="1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G1265" s="4"/>
      <c r="BH1265" s="4"/>
    </row>
    <row r="1266" spans="1:60" x14ac:dyDescent="0.35">
      <c r="A1266" s="4"/>
      <c r="B1266" s="8" t="str">
        <f t="shared" si="90"/>
        <v/>
      </c>
      <c r="D1266" s="6" t="str">
        <f t="shared" si="91"/>
        <v/>
      </c>
      <c r="E1266" s="6" t="str">
        <f t="shared" si="92"/>
        <v/>
      </c>
      <c r="F1266" s="6" t="str">
        <f t="shared" si="93"/>
        <v/>
      </c>
      <c r="G1266" s="4"/>
      <c r="H1266" s="4"/>
      <c r="I1266" s="4"/>
      <c r="J1266" s="4"/>
      <c r="K1266" s="4"/>
      <c r="L1266" s="4"/>
      <c r="M1266" s="4"/>
      <c r="N1266" s="4"/>
      <c r="O1266" s="4"/>
      <c r="P1266" s="4"/>
      <c r="Q1266" s="4"/>
      <c r="R1266" s="14"/>
      <c r="S1266" s="14"/>
      <c r="T1266" s="14"/>
      <c r="U1266" s="14"/>
      <c r="V1266" s="14"/>
      <c r="W1266" s="14"/>
      <c r="X1266" s="1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G1266" s="4"/>
      <c r="BH1266" s="4"/>
    </row>
    <row r="1267" spans="1:60" x14ac:dyDescent="0.35">
      <c r="A1267" s="4"/>
      <c r="B1267" s="8" t="str">
        <f t="shared" si="90"/>
        <v/>
      </c>
      <c r="D1267" s="6" t="str">
        <f t="shared" si="91"/>
        <v/>
      </c>
      <c r="E1267" s="6" t="str">
        <f t="shared" si="92"/>
        <v/>
      </c>
      <c r="F1267" s="6" t="str">
        <f t="shared" si="93"/>
        <v/>
      </c>
      <c r="G1267" s="4"/>
      <c r="H1267" s="4"/>
      <c r="I1267" s="4"/>
      <c r="J1267" s="4"/>
      <c r="K1267" s="4"/>
      <c r="L1267" s="4"/>
      <c r="M1267" s="4"/>
      <c r="N1267" s="4"/>
      <c r="O1267" s="4"/>
      <c r="P1267" s="4"/>
      <c r="Q1267" s="4"/>
      <c r="R1267" s="14"/>
      <c r="S1267" s="14"/>
      <c r="T1267" s="14"/>
      <c r="U1267" s="14"/>
      <c r="V1267" s="14"/>
      <c r="W1267" s="14"/>
      <c r="X1267" s="1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G1267" s="4"/>
      <c r="BH1267" s="4"/>
    </row>
    <row r="1268" spans="1:60" x14ac:dyDescent="0.35">
      <c r="A1268" s="4"/>
      <c r="B1268" s="8" t="str">
        <f t="shared" si="90"/>
        <v/>
      </c>
      <c r="D1268" s="6" t="str">
        <f t="shared" si="91"/>
        <v/>
      </c>
      <c r="E1268" s="6" t="str">
        <f t="shared" si="92"/>
        <v/>
      </c>
      <c r="F1268" s="6" t="str">
        <f t="shared" si="93"/>
        <v/>
      </c>
      <c r="G1268" s="4"/>
      <c r="H1268" s="4"/>
      <c r="I1268" s="4"/>
      <c r="J1268" s="4"/>
      <c r="K1268" s="4"/>
      <c r="L1268" s="4"/>
      <c r="M1268" s="4"/>
      <c r="N1268" s="4"/>
      <c r="O1268" s="4"/>
      <c r="P1268" s="4"/>
      <c r="Q1268" s="4"/>
      <c r="R1268" s="14"/>
      <c r="S1268" s="14"/>
      <c r="T1268" s="14"/>
      <c r="U1268" s="14"/>
      <c r="V1268" s="14"/>
      <c r="W1268" s="14"/>
      <c r="X1268" s="1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G1268" s="4"/>
      <c r="BH1268" s="4"/>
    </row>
    <row r="1269" spans="1:60" x14ac:dyDescent="0.35">
      <c r="A1269" s="4"/>
      <c r="B1269" s="8" t="str">
        <f t="shared" si="90"/>
        <v/>
      </c>
      <c r="D1269" s="6" t="str">
        <f t="shared" si="91"/>
        <v/>
      </c>
      <c r="E1269" s="6" t="str">
        <f t="shared" si="92"/>
        <v/>
      </c>
      <c r="F1269" s="6" t="str">
        <f t="shared" si="93"/>
        <v/>
      </c>
      <c r="G1269" s="4"/>
      <c r="H1269" s="4"/>
      <c r="I1269" s="4"/>
      <c r="J1269" s="4"/>
      <c r="K1269" s="4"/>
      <c r="L1269" s="4"/>
      <c r="M1269" s="4"/>
      <c r="N1269" s="4"/>
      <c r="O1269" s="4"/>
      <c r="P1269" s="4"/>
      <c r="Q1269" s="4"/>
      <c r="R1269" s="14"/>
      <c r="S1269" s="14"/>
      <c r="T1269" s="14"/>
      <c r="U1269" s="14"/>
      <c r="V1269" s="14"/>
      <c r="W1269" s="14"/>
      <c r="X1269" s="14"/>
      <c r="Y1269" s="4"/>
      <c r="Z1269" s="4"/>
      <c r="AA1269" s="4"/>
      <c r="AB1269" s="4"/>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G1269" s="4"/>
      <c r="BH1269" s="4"/>
    </row>
    <row r="1270" spans="1:60" x14ac:dyDescent="0.35">
      <c r="A1270" s="4"/>
      <c r="B1270" s="8" t="str">
        <f t="shared" si="90"/>
        <v/>
      </c>
      <c r="D1270" s="6" t="str">
        <f t="shared" si="91"/>
        <v/>
      </c>
      <c r="E1270" s="6" t="str">
        <f t="shared" si="92"/>
        <v/>
      </c>
      <c r="F1270" s="6" t="str">
        <f t="shared" si="93"/>
        <v/>
      </c>
      <c r="G1270" s="4"/>
      <c r="H1270" s="4"/>
      <c r="I1270" s="4"/>
      <c r="J1270" s="4"/>
      <c r="K1270" s="4"/>
      <c r="L1270" s="4"/>
      <c r="M1270" s="4"/>
      <c r="N1270" s="4"/>
      <c r="O1270" s="4"/>
      <c r="P1270" s="4"/>
      <c r="Q1270" s="4"/>
      <c r="R1270" s="14"/>
      <c r="S1270" s="14"/>
      <c r="T1270" s="14"/>
      <c r="U1270" s="14"/>
      <c r="V1270" s="14"/>
      <c r="W1270" s="14"/>
      <c r="X1270" s="1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G1270" s="4"/>
      <c r="BH1270" s="4"/>
    </row>
    <row r="1271" spans="1:60" x14ac:dyDescent="0.35">
      <c r="A1271" s="4"/>
      <c r="B1271" s="8" t="str">
        <f t="shared" si="90"/>
        <v/>
      </c>
      <c r="D1271" s="6" t="str">
        <f t="shared" si="91"/>
        <v/>
      </c>
      <c r="E1271" s="6" t="str">
        <f t="shared" si="92"/>
        <v/>
      </c>
      <c r="F1271" s="6" t="str">
        <f t="shared" si="93"/>
        <v/>
      </c>
      <c r="G1271" s="4"/>
      <c r="H1271" s="4"/>
      <c r="I1271" s="4"/>
      <c r="J1271" s="4"/>
      <c r="K1271" s="4"/>
      <c r="L1271" s="4"/>
      <c r="M1271" s="4"/>
      <c r="N1271" s="4"/>
      <c r="O1271" s="4"/>
      <c r="P1271" s="4"/>
      <c r="Q1271" s="4"/>
      <c r="R1271" s="14"/>
      <c r="S1271" s="14"/>
      <c r="T1271" s="14"/>
      <c r="U1271" s="14"/>
      <c r="V1271" s="14"/>
      <c r="W1271" s="14"/>
      <c r="X1271" s="1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G1271" s="4"/>
      <c r="BH1271" s="4"/>
    </row>
    <row r="1272" spans="1:60" x14ac:dyDescent="0.35">
      <c r="A1272" s="4"/>
      <c r="B1272" s="8" t="str">
        <f t="shared" si="90"/>
        <v/>
      </c>
      <c r="D1272" s="6" t="str">
        <f t="shared" si="91"/>
        <v/>
      </c>
      <c r="E1272" s="6" t="str">
        <f t="shared" si="92"/>
        <v/>
      </c>
      <c r="F1272" s="6" t="str">
        <f t="shared" si="93"/>
        <v/>
      </c>
      <c r="G1272" s="4"/>
      <c r="H1272" s="4"/>
      <c r="I1272" s="4"/>
      <c r="J1272" s="4"/>
      <c r="K1272" s="4"/>
      <c r="L1272" s="4"/>
      <c r="M1272" s="4"/>
      <c r="N1272" s="4"/>
      <c r="O1272" s="4"/>
      <c r="P1272" s="4"/>
      <c r="Q1272" s="4"/>
      <c r="R1272" s="14"/>
      <c r="S1272" s="14"/>
      <c r="T1272" s="14"/>
      <c r="U1272" s="14"/>
      <c r="V1272" s="14"/>
      <c r="W1272" s="14"/>
      <c r="X1272" s="1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G1272" s="4"/>
      <c r="BH1272" s="4"/>
    </row>
    <row r="1273" spans="1:60" x14ac:dyDescent="0.35">
      <c r="A1273" s="4"/>
      <c r="B1273" s="8" t="str">
        <f t="shared" si="90"/>
        <v/>
      </c>
      <c r="D1273" s="6" t="str">
        <f t="shared" si="91"/>
        <v/>
      </c>
      <c r="E1273" s="6" t="str">
        <f t="shared" si="92"/>
        <v/>
      </c>
      <c r="F1273" s="6" t="str">
        <f t="shared" si="93"/>
        <v/>
      </c>
      <c r="G1273" s="4"/>
      <c r="H1273" s="4"/>
      <c r="I1273" s="4"/>
      <c r="J1273" s="4"/>
      <c r="K1273" s="4"/>
      <c r="L1273" s="4"/>
      <c r="M1273" s="4"/>
      <c r="N1273" s="4"/>
      <c r="O1273" s="4"/>
      <c r="P1273" s="4"/>
      <c r="Q1273" s="4"/>
      <c r="R1273" s="14"/>
      <c r="S1273" s="14"/>
      <c r="T1273" s="14"/>
      <c r="U1273" s="14"/>
      <c r="V1273" s="14"/>
      <c r="W1273" s="14"/>
      <c r="X1273" s="1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G1273" s="4"/>
      <c r="BH1273" s="4"/>
    </row>
    <row r="1274" spans="1:60" x14ac:dyDescent="0.35">
      <c r="A1274" s="4"/>
      <c r="B1274" s="8" t="str">
        <f t="shared" si="90"/>
        <v/>
      </c>
      <c r="D1274" s="6" t="str">
        <f t="shared" si="91"/>
        <v/>
      </c>
      <c r="E1274" s="6" t="str">
        <f t="shared" si="92"/>
        <v/>
      </c>
      <c r="F1274" s="6" t="str">
        <f t="shared" si="93"/>
        <v/>
      </c>
      <c r="G1274" s="4"/>
      <c r="H1274" s="4"/>
      <c r="I1274" s="4"/>
      <c r="J1274" s="4"/>
      <c r="K1274" s="4"/>
      <c r="L1274" s="4"/>
      <c r="M1274" s="4"/>
      <c r="N1274" s="4"/>
      <c r="O1274" s="4"/>
      <c r="P1274" s="4"/>
      <c r="Q1274" s="4"/>
      <c r="R1274" s="14"/>
      <c r="S1274" s="14"/>
      <c r="T1274" s="14"/>
      <c r="U1274" s="14"/>
      <c r="V1274" s="14"/>
      <c r="W1274" s="14"/>
      <c r="X1274" s="14"/>
      <c r="Y1274" s="4"/>
      <c r="Z1274" s="4"/>
      <c r="AA1274" s="4"/>
      <c r="AB1274" s="4"/>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G1274" s="4"/>
      <c r="BH1274" s="4"/>
    </row>
    <row r="1275" spans="1:60" x14ac:dyDescent="0.35">
      <c r="A1275" s="4"/>
      <c r="B1275" s="8" t="str">
        <f t="shared" si="90"/>
        <v/>
      </c>
      <c r="D1275" s="6" t="str">
        <f t="shared" si="91"/>
        <v/>
      </c>
      <c r="E1275" s="6" t="str">
        <f t="shared" si="92"/>
        <v/>
      </c>
      <c r="F1275" s="6" t="str">
        <f t="shared" si="93"/>
        <v/>
      </c>
      <c r="G1275" s="4"/>
      <c r="H1275" s="4"/>
      <c r="I1275" s="4"/>
      <c r="J1275" s="4"/>
      <c r="K1275" s="4"/>
      <c r="L1275" s="4"/>
      <c r="M1275" s="4"/>
      <c r="N1275" s="4"/>
      <c r="O1275" s="4"/>
      <c r="P1275" s="4"/>
      <c r="Q1275" s="4"/>
      <c r="R1275" s="14"/>
      <c r="S1275" s="14"/>
      <c r="T1275" s="14"/>
      <c r="U1275" s="14"/>
      <c r="V1275" s="14"/>
      <c r="W1275" s="14"/>
      <c r="X1275" s="1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G1275" s="4"/>
      <c r="BH1275" s="4"/>
    </row>
    <row r="1276" spans="1:60" x14ac:dyDescent="0.35">
      <c r="A1276" s="4"/>
      <c r="B1276" s="8" t="str">
        <f t="shared" si="90"/>
        <v/>
      </c>
      <c r="D1276" s="6" t="str">
        <f t="shared" si="91"/>
        <v/>
      </c>
      <c r="E1276" s="6" t="str">
        <f t="shared" si="92"/>
        <v/>
      </c>
      <c r="F1276" s="6" t="str">
        <f t="shared" si="93"/>
        <v/>
      </c>
      <c r="G1276" s="4"/>
      <c r="H1276" s="4"/>
      <c r="I1276" s="4"/>
      <c r="J1276" s="4"/>
      <c r="K1276" s="4"/>
      <c r="L1276" s="4"/>
      <c r="M1276" s="4"/>
      <c r="N1276" s="4"/>
      <c r="O1276" s="4"/>
      <c r="P1276" s="4"/>
      <c r="Q1276" s="4"/>
      <c r="R1276" s="14"/>
      <c r="S1276" s="14"/>
      <c r="T1276" s="14"/>
      <c r="U1276" s="14"/>
      <c r="V1276" s="14"/>
      <c r="W1276" s="14"/>
      <c r="X1276" s="1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G1276" s="4"/>
      <c r="BH1276" s="4"/>
    </row>
    <row r="1277" spans="1:60" x14ac:dyDescent="0.35">
      <c r="A1277" s="4"/>
      <c r="B1277" s="8" t="str">
        <f t="shared" ref="B1277:B1340" si="94">RIGHT(A1277,4)</f>
        <v/>
      </c>
      <c r="D1277" s="6" t="str">
        <f t="shared" ref="D1277:D1340" si="95">IF(C1277="","",VLOOKUP(C1277,district_region,2,FALSE))</f>
        <v/>
      </c>
      <c r="E1277" s="6" t="str">
        <f t="shared" ref="E1277:E1340" si="96">IF(C1277="","",VLOOKUP(C1277,liste_pop,3,FALSE))</f>
        <v/>
      </c>
      <c r="F1277" s="6" t="str">
        <f t="shared" ref="F1277:F1340" si="97">IF(D1277="","",IF(D1277="Dakar",4042240,VLOOKUP(D1277,liste_pop,4,FALSE)))</f>
        <v/>
      </c>
      <c r="G1277" s="4"/>
      <c r="H1277" s="4"/>
      <c r="I1277" s="4"/>
      <c r="J1277" s="4"/>
      <c r="K1277" s="4"/>
      <c r="L1277" s="4"/>
      <c r="M1277" s="4"/>
      <c r="N1277" s="4"/>
      <c r="O1277" s="4"/>
      <c r="P1277" s="4"/>
      <c r="Q1277" s="4"/>
      <c r="R1277" s="14"/>
      <c r="S1277" s="14"/>
      <c r="T1277" s="14"/>
      <c r="U1277" s="14"/>
      <c r="V1277" s="14"/>
      <c r="W1277" s="14"/>
      <c r="X1277" s="1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G1277" s="4"/>
      <c r="BH1277" s="4"/>
    </row>
    <row r="1278" spans="1:60" x14ac:dyDescent="0.35">
      <c r="A1278" s="4"/>
      <c r="B1278" s="8" t="str">
        <f t="shared" si="94"/>
        <v/>
      </c>
      <c r="D1278" s="6" t="str">
        <f t="shared" si="95"/>
        <v/>
      </c>
      <c r="E1278" s="6" t="str">
        <f t="shared" si="96"/>
        <v/>
      </c>
      <c r="F1278" s="6" t="str">
        <f t="shared" si="97"/>
        <v/>
      </c>
      <c r="G1278" s="4"/>
      <c r="H1278" s="4"/>
      <c r="I1278" s="4"/>
      <c r="J1278" s="4"/>
      <c r="K1278" s="4"/>
      <c r="L1278" s="4"/>
      <c r="M1278" s="4"/>
      <c r="N1278" s="4"/>
      <c r="O1278" s="4"/>
      <c r="P1278" s="4"/>
      <c r="Q1278" s="4"/>
      <c r="R1278" s="14"/>
      <c r="S1278" s="14"/>
      <c r="T1278" s="14"/>
      <c r="U1278" s="14"/>
      <c r="V1278" s="14"/>
      <c r="W1278" s="14"/>
      <c r="X1278" s="1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G1278" s="4"/>
      <c r="BH1278" s="4"/>
    </row>
    <row r="1279" spans="1:60" x14ac:dyDescent="0.35">
      <c r="A1279" s="4"/>
      <c r="B1279" s="8" t="str">
        <f t="shared" si="94"/>
        <v/>
      </c>
      <c r="D1279" s="6" t="str">
        <f t="shared" si="95"/>
        <v/>
      </c>
      <c r="E1279" s="6" t="str">
        <f t="shared" si="96"/>
        <v/>
      </c>
      <c r="F1279" s="6" t="str">
        <f t="shared" si="97"/>
        <v/>
      </c>
      <c r="G1279" s="4"/>
      <c r="H1279" s="4"/>
      <c r="I1279" s="4"/>
      <c r="J1279" s="4"/>
      <c r="K1279" s="4"/>
      <c r="L1279" s="4"/>
      <c r="M1279" s="4"/>
      <c r="N1279" s="4"/>
      <c r="O1279" s="4"/>
      <c r="P1279" s="4"/>
      <c r="Q1279" s="4"/>
      <c r="R1279" s="14"/>
      <c r="S1279" s="14"/>
      <c r="T1279" s="14"/>
      <c r="U1279" s="14"/>
      <c r="V1279" s="14"/>
      <c r="W1279" s="14"/>
      <c r="X1279" s="1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G1279" s="4"/>
      <c r="BH1279" s="4"/>
    </row>
    <row r="1280" spans="1:60" x14ac:dyDescent="0.35">
      <c r="A1280" s="4"/>
      <c r="B1280" s="8" t="str">
        <f t="shared" si="94"/>
        <v/>
      </c>
      <c r="D1280" s="6" t="str">
        <f t="shared" si="95"/>
        <v/>
      </c>
      <c r="E1280" s="6" t="str">
        <f t="shared" si="96"/>
        <v/>
      </c>
      <c r="F1280" s="6" t="str">
        <f t="shared" si="97"/>
        <v/>
      </c>
      <c r="G1280" s="4"/>
      <c r="H1280" s="4"/>
      <c r="I1280" s="4"/>
      <c r="J1280" s="4"/>
      <c r="K1280" s="4"/>
      <c r="L1280" s="4"/>
      <c r="M1280" s="4"/>
      <c r="N1280" s="4"/>
      <c r="O1280" s="4"/>
      <c r="P1280" s="4"/>
      <c r="Q1280" s="4"/>
      <c r="R1280" s="14"/>
      <c r="S1280" s="14"/>
      <c r="T1280" s="14"/>
      <c r="U1280" s="14"/>
      <c r="V1280" s="14"/>
      <c r="W1280" s="14"/>
      <c r="X1280" s="1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G1280" s="4"/>
      <c r="BH1280" s="4"/>
    </row>
    <row r="1281" spans="1:60" x14ac:dyDescent="0.35">
      <c r="A1281" s="4"/>
      <c r="B1281" s="8" t="str">
        <f t="shared" si="94"/>
        <v/>
      </c>
      <c r="D1281" s="6" t="str">
        <f t="shared" si="95"/>
        <v/>
      </c>
      <c r="E1281" s="6" t="str">
        <f t="shared" si="96"/>
        <v/>
      </c>
      <c r="F1281" s="6" t="str">
        <f t="shared" si="97"/>
        <v/>
      </c>
      <c r="G1281" s="4"/>
      <c r="H1281" s="4"/>
      <c r="I1281" s="4"/>
      <c r="J1281" s="4"/>
      <c r="K1281" s="4"/>
      <c r="L1281" s="4"/>
      <c r="M1281" s="4"/>
      <c r="N1281" s="4"/>
      <c r="O1281" s="4"/>
      <c r="P1281" s="4"/>
      <c r="Q1281" s="4"/>
      <c r="R1281" s="14"/>
      <c r="S1281" s="14"/>
      <c r="T1281" s="14"/>
      <c r="U1281" s="14"/>
      <c r="V1281" s="14"/>
      <c r="W1281" s="14"/>
      <c r="X1281" s="1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G1281" s="4"/>
      <c r="BH1281" s="4"/>
    </row>
    <row r="1282" spans="1:60" x14ac:dyDescent="0.35">
      <c r="A1282" s="4"/>
      <c r="B1282" s="8" t="str">
        <f t="shared" si="94"/>
        <v/>
      </c>
      <c r="D1282" s="6" t="str">
        <f t="shared" si="95"/>
        <v/>
      </c>
      <c r="E1282" s="6" t="str">
        <f t="shared" si="96"/>
        <v/>
      </c>
      <c r="F1282" s="6" t="str">
        <f t="shared" si="97"/>
        <v/>
      </c>
      <c r="G1282" s="4"/>
      <c r="H1282" s="4"/>
      <c r="I1282" s="4"/>
      <c r="J1282" s="4"/>
      <c r="K1282" s="4"/>
      <c r="L1282" s="4"/>
      <c r="M1282" s="4"/>
      <c r="N1282" s="4"/>
      <c r="O1282" s="4"/>
      <c r="P1282" s="4"/>
      <c r="Q1282" s="4"/>
      <c r="R1282" s="14"/>
      <c r="S1282" s="14"/>
      <c r="T1282" s="14"/>
      <c r="U1282" s="14"/>
      <c r="V1282" s="14"/>
      <c r="W1282" s="14"/>
      <c r="X1282" s="1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G1282" s="4"/>
      <c r="BH1282" s="4"/>
    </row>
    <row r="1283" spans="1:60" x14ac:dyDescent="0.35">
      <c r="A1283" s="4"/>
      <c r="B1283" s="8" t="str">
        <f t="shared" si="94"/>
        <v/>
      </c>
      <c r="D1283" s="6" t="str">
        <f t="shared" si="95"/>
        <v/>
      </c>
      <c r="E1283" s="6" t="str">
        <f t="shared" si="96"/>
        <v/>
      </c>
      <c r="F1283" s="6" t="str">
        <f t="shared" si="97"/>
        <v/>
      </c>
      <c r="G1283" s="4"/>
      <c r="H1283" s="4"/>
      <c r="I1283" s="4"/>
      <c r="J1283" s="4"/>
      <c r="K1283" s="4"/>
      <c r="L1283" s="4"/>
      <c r="M1283" s="4"/>
      <c r="N1283" s="4"/>
      <c r="O1283" s="4"/>
      <c r="P1283" s="4"/>
      <c r="Q1283" s="4"/>
      <c r="R1283" s="14"/>
      <c r="S1283" s="14"/>
      <c r="T1283" s="14"/>
      <c r="U1283" s="14"/>
      <c r="V1283" s="14"/>
      <c r="W1283" s="14"/>
      <c r="X1283" s="1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G1283" s="4"/>
      <c r="BH1283" s="4"/>
    </row>
    <row r="1284" spans="1:60" x14ac:dyDescent="0.35">
      <c r="A1284" s="4"/>
      <c r="B1284" s="8" t="str">
        <f t="shared" si="94"/>
        <v/>
      </c>
      <c r="D1284" s="6" t="str">
        <f t="shared" si="95"/>
        <v/>
      </c>
      <c r="E1284" s="6" t="str">
        <f t="shared" si="96"/>
        <v/>
      </c>
      <c r="F1284" s="6" t="str">
        <f t="shared" si="97"/>
        <v/>
      </c>
      <c r="G1284" s="4"/>
      <c r="H1284" s="4"/>
      <c r="I1284" s="4"/>
      <c r="J1284" s="4"/>
      <c r="K1284" s="4"/>
      <c r="L1284" s="4"/>
      <c r="M1284" s="4"/>
      <c r="N1284" s="4"/>
      <c r="O1284" s="4"/>
      <c r="P1284" s="4"/>
      <c r="Q1284" s="4"/>
      <c r="R1284" s="14"/>
      <c r="S1284" s="14"/>
      <c r="T1284" s="14"/>
      <c r="U1284" s="14"/>
      <c r="V1284" s="14"/>
      <c r="W1284" s="14"/>
      <c r="X1284" s="1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G1284" s="4"/>
      <c r="BH1284" s="4"/>
    </row>
    <row r="1285" spans="1:60" x14ac:dyDescent="0.35">
      <c r="A1285" s="4"/>
      <c r="B1285" s="8" t="str">
        <f t="shared" si="94"/>
        <v/>
      </c>
      <c r="D1285" s="6" t="str">
        <f t="shared" si="95"/>
        <v/>
      </c>
      <c r="E1285" s="6" t="str">
        <f t="shared" si="96"/>
        <v/>
      </c>
      <c r="F1285" s="6" t="str">
        <f t="shared" si="97"/>
        <v/>
      </c>
      <c r="G1285" s="4"/>
      <c r="H1285" s="4"/>
      <c r="I1285" s="4"/>
      <c r="J1285" s="4"/>
      <c r="K1285" s="4"/>
      <c r="L1285" s="4"/>
      <c r="M1285" s="4"/>
      <c r="N1285" s="4"/>
      <c r="O1285" s="4"/>
      <c r="P1285" s="4"/>
      <c r="Q1285" s="4"/>
      <c r="R1285" s="14"/>
      <c r="S1285" s="14"/>
      <c r="T1285" s="14"/>
      <c r="U1285" s="14"/>
      <c r="V1285" s="14"/>
      <c r="W1285" s="14"/>
      <c r="X1285" s="1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G1285" s="4"/>
      <c r="BH1285" s="4"/>
    </row>
    <row r="1286" spans="1:60" x14ac:dyDescent="0.35">
      <c r="A1286" s="4"/>
      <c r="B1286" s="8" t="str">
        <f t="shared" si="94"/>
        <v/>
      </c>
      <c r="D1286" s="6" t="str">
        <f t="shared" si="95"/>
        <v/>
      </c>
      <c r="E1286" s="6" t="str">
        <f t="shared" si="96"/>
        <v/>
      </c>
      <c r="F1286" s="6" t="str">
        <f t="shared" si="97"/>
        <v/>
      </c>
      <c r="G1286" s="4"/>
      <c r="H1286" s="4"/>
      <c r="I1286" s="4"/>
      <c r="J1286" s="4"/>
      <c r="K1286" s="4"/>
      <c r="L1286" s="4"/>
      <c r="M1286" s="4"/>
      <c r="N1286" s="4"/>
      <c r="O1286" s="4"/>
      <c r="P1286" s="4"/>
      <c r="Q1286" s="4"/>
      <c r="R1286" s="14"/>
      <c r="S1286" s="14"/>
      <c r="T1286" s="14"/>
      <c r="U1286" s="14"/>
      <c r="V1286" s="14"/>
      <c r="W1286" s="14"/>
      <c r="X1286" s="1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G1286" s="4"/>
      <c r="BH1286" s="4"/>
    </row>
    <row r="1287" spans="1:60" x14ac:dyDescent="0.35">
      <c r="A1287" s="4"/>
      <c r="B1287" s="8" t="str">
        <f t="shared" si="94"/>
        <v/>
      </c>
      <c r="D1287" s="6" t="str">
        <f t="shared" si="95"/>
        <v/>
      </c>
      <c r="E1287" s="6" t="str">
        <f t="shared" si="96"/>
        <v/>
      </c>
      <c r="F1287" s="6" t="str">
        <f t="shared" si="97"/>
        <v/>
      </c>
      <c r="G1287" s="4"/>
      <c r="H1287" s="4"/>
      <c r="I1287" s="4"/>
      <c r="J1287" s="4"/>
      <c r="K1287" s="4"/>
      <c r="L1287" s="4"/>
      <c r="M1287" s="4"/>
      <c r="N1287" s="4"/>
      <c r="O1287" s="4"/>
      <c r="P1287" s="4"/>
      <c r="Q1287" s="4"/>
      <c r="R1287" s="14"/>
      <c r="S1287" s="14"/>
      <c r="T1287" s="14"/>
      <c r="U1287" s="14"/>
      <c r="V1287" s="14"/>
      <c r="W1287" s="14"/>
      <c r="X1287" s="1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G1287" s="4"/>
      <c r="BH1287" s="4"/>
    </row>
    <row r="1288" spans="1:60" x14ac:dyDescent="0.35">
      <c r="A1288" s="4"/>
      <c r="B1288" s="8" t="str">
        <f t="shared" si="94"/>
        <v/>
      </c>
      <c r="D1288" s="6" t="str">
        <f t="shared" si="95"/>
        <v/>
      </c>
      <c r="E1288" s="6" t="str">
        <f t="shared" si="96"/>
        <v/>
      </c>
      <c r="F1288" s="6" t="str">
        <f t="shared" si="97"/>
        <v/>
      </c>
      <c r="G1288" s="4"/>
      <c r="H1288" s="4"/>
      <c r="I1288" s="4"/>
      <c r="J1288" s="4"/>
      <c r="K1288" s="4"/>
      <c r="L1288" s="4"/>
      <c r="M1288" s="4"/>
      <c r="N1288" s="4"/>
      <c r="O1288" s="4"/>
      <c r="P1288" s="4"/>
      <c r="Q1288" s="4"/>
      <c r="R1288" s="14"/>
      <c r="S1288" s="14"/>
      <c r="T1288" s="14"/>
      <c r="U1288" s="14"/>
      <c r="V1288" s="14"/>
      <c r="W1288" s="14"/>
      <c r="X1288" s="1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G1288" s="4"/>
      <c r="BH1288" s="4"/>
    </row>
    <row r="1289" spans="1:60" x14ac:dyDescent="0.35">
      <c r="A1289" s="4"/>
      <c r="B1289" s="8" t="str">
        <f t="shared" si="94"/>
        <v/>
      </c>
      <c r="D1289" s="6" t="str">
        <f t="shared" si="95"/>
        <v/>
      </c>
      <c r="E1289" s="6" t="str">
        <f t="shared" si="96"/>
        <v/>
      </c>
      <c r="F1289" s="6" t="str">
        <f t="shared" si="97"/>
        <v/>
      </c>
      <c r="G1289" s="4"/>
      <c r="H1289" s="4"/>
      <c r="I1289" s="4"/>
      <c r="J1289" s="4"/>
      <c r="K1289" s="4"/>
      <c r="L1289" s="4"/>
      <c r="M1289" s="4"/>
      <c r="N1289" s="4"/>
      <c r="O1289" s="4"/>
      <c r="P1289" s="4"/>
      <c r="Q1289" s="4"/>
      <c r="R1289" s="14"/>
      <c r="S1289" s="14"/>
      <c r="T1289" s="14"/>
      <c r="U1289" s="14"/>
      <c r="V1289" s="14"/>
      <c r="W1289" s="14"/>
      <c r="X1289" s="1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G1289" s="4"/>
      <c r="BH1289" s="4"/>
    </row>
    <row r="1290" spans="1:60" x14ac:dyDescent="0.35">
      <c r="A1290" s="4"/>
      <c r="B1290" s="8" t="str">
        <f t="shared" si="94"/>
        <v/>
      </c>
      <c r="D1290" s="6" t="str">
        <f t="shared" si="95"/>
        <v/>
      </c>
      <c r="E1290" s="6" t="str">
        <f t="shared" si="96"/>
        <v/>
      </c>
      <c r="F1290" s="6" t="str">
        <f t="shared" si="97"/>
        <v/>
      </c>
      <c r="G1290" s="4"/>
      <c r="H1290" s="4"/>
      <c r="I1290" s="4"/>
      <c r="J1290" s="4"/>
      <c r="K1290" s="4"/>
      <c r="L1290" s="4"/>
      <c r="M1290" s="4"/>
      <c r="N1290" s="4"/>
      <c r="O1290" s="4"/>
      <c r="P1290" s="4"/>
      <c r="Q1290" s="4"/>
      <c r="R1290" s="14"/>
      <c r="S1290" s="14"/>
      <c r="T1290" s="14"/>
      <c r="U1290" s="14"/>
      <c r="V1290" s="14"/>
      <c r="W1290" s="14"/>
      <c r="X1290" s="14"/>
      <c r="Y1290" s="4"/>
      <c r="Z1290" s="4"/>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G1290" s="4"/>
      <c r="BH1290" s="4"/>
    </row>
    <row r="1291" spans="1:60" x14ac:dyDescent="0.35">
      <c r="A1291" s="4"/>
      <c r="B1291" s="8" t="str">
        <f t="shared" si="94"/>
        <v/>
      </c>
      <c r="D1291" s="6" t="str">
        <f t="shared" si="95"/>
        <v/>
      </c>
      <c r="E1291" s="6" t="str">
        <f t="shared" si="96"/>
        <v/>
      </c>
      <c r="F1291" s="6" t="str">
        <f t="shared" si="97"/>
        <v/>
      </c>
      <c r="G1291" s="4"/>
      <c r="H1291" s="4"/>
      <c r="I1291" s="4"/>
      <c r="J1291" s="4"/>
      <c r="K1291" s="4"/>
      <c r="L1291" s="4"/>
      <c r="M1291" s="4"/>
      <c r="N1291" s="4"/>
      <c r="O1291" s="4"/>
      <c r="P1291" s="4"/>
      <c r="Q1291" s="4"/>
      <c r="R1291" s="14"/>
      <c r="S1291" s="14"/>
      <c r="T1291" s="14"/>
      <c r="U1291" s="14"/>
      <c r="V1291" s="14"/>
      <c r="W1291" s="14"/>
      <c r="X1291" s="1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G1291" s="4"/>
      <c r="BH1291" s="4"/>
    </row>
    <row r="1292" spans="1:60" x14ac:dyDescent="0.35">
      <c r="A1292" s="4"/>
      <c r="B1292" s="8" t="str">
        <f t="shared" si="94"/>
        <v/>
      </c>
      <c r="D1292" s="6" t="str">
        <f t="shared" si="95"/>
        <v/>
      </c>
      <c r="E1292" s="6" t="str">
        <f t="shared" si="96"/>
        <v/>
      </c>
      <c r="F1292" s="6" t="str">
        <f t="shared" si="97"/>
        <v/>
      </c>
      <c r="G1292" s="4"/>
      <c r="H1292" s="4"/>
      <c r="I1292" s="4"/>
      <c r="J1292" s="4"/>
      <c r="K1292" s="4"/>
      <c r="L1292" s="4"/>
      <c r="M1292" s="4"/>
      <c r="N1292" s="4"/>
      <c r="O1292" s="4"/>
      <c r="P1292" s="4"/>
      <c r="Q1292" s="4"/>
      <c r="R1292" s="14"/>
      <c r="S1292" s="14"/>
      <c r="T1292" s="14"/>
      <c r="U1292" s="14"/>
      <c r="V1292" s="14"/>
      <c r="W1292" s="14"/>
      <c r="X1292" s="1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G1292" s="4"/>
      <c r="BH1292" s="4"/>
    </row>
    <row r="1293" spans="1:60" x14ac:dyDescent="0.35">
      <c r="A1293" s="4"/>
      <c r="B1293" s="8" t="str">
        <f t="shared" si="94"/>
        <v/>
      </c>
      <c r="D1293" s="6" t="str">
        <f t="shared" si="95"/>
        <v/>
      </c>
      <c r="E1293" s="6" t="str">
        <f t="shared" si="96"/>
        <v/>
      </c>
      <c r="F1293" s="6" t="str">
        <f t="shared" si="97"/>
        <v/>
      </c>
      <c r="G1293" s="4"/>
      <c r="H1293" s="4"/>
      <c r="I1293" s="4"/>
      <c r="J1293" s="4"/>
      <c r="K1293" s="4"/>
      <c r="L1293" s="4"/>
      <c r="M1293" s="4"/>
      <c r="N1293" s="4"/>
      <c r="O1293" s="4"/>
      <c r="P1293" s="4"/>
      <c r="Q1293" s="4"/>
      <c r="R1293" s="14"/>
      <c r="S1293" s="14"/>
      <c r="T1293" s="14"/>
      <c r="U1293" s="14"/>
      <c r="V1293" s="14"/>
      <c r="W1293" s="14"/>
      <c r="X1293" s="1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G1293" s="4"/>
      <c r="BH1293" s="4"/>
    </row>
    <row r="1294" spans="1:60" x14ac:dyDescent="0.35">
      <c r="A1294" s="4"/>
      <c r="B1294" s="8" t="str">
        <f t="shared" si="94"/>
        <v/>
      </c>
      <c r="D1294" s="6" t="str">
        <f t="shared" si="95"/>
        <v/>
      </c>
      <c r="E1294" s="6" t="str">
        <f t="shared" si="96"/>
        <v/>
      </c>
      <c r="F1294" s="6" t="str">
        <f t="shared" si="97"/>
        <v/>
      </c>
      <c r="G1294" s="4"/>
      <c r="H1294" s="4"/>
      <c r="I1294" s="4"/>
      <c r="J1294" s="4"/>
      <c r="K1294" s="4"/>
      <c r="L1294" s="4"/>
      <c r="M1294" s="4"/>
      <c r="N1294" s="4"/>
      <c r="O1294" s="4"/>
      <c r="P1294" s="4"/>
      <c r="Q1294" s="4"/>
      <c r="R1294" s="14"/>
      <c r="S1294" s="14"/>
      <c r="T1294" s="14"/>
      <c r="U1294" s="14"/>
      <c r="V1294" s="14"/>
      <c r="W1294" s="14"/>
      <c r="X1294" s="1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G1294" s="4"/>
      <c r="BH1294" s="4"/>
    </row>
    <row r="1295" spans="1:60" x14ac:dyDescent="0.35">
      <c r="A1295" s="4"/>
      <c r="B1295" s="8" t="str">
        <f t="shared" si="94"/>
        <v/>
      </c>
      <c r="D1295" s="6" t="str">
        <f t="shared" si="95"/>
        <v/>
      </c>
      <c r="E1295" s="6" t="str">
        <f t="shared" si="96"/>
        <v/>
      </c>
      <c r="F1295" s="6" t="str">
        <f t="shared" si="97"/>
        <v/>
      </c>
      <c r="G1295" s="4"/>
      <c r="H1295" s="4"/>
      <c r="I1295" s="4"/>
      <c r="J1295" s="4"/>
      <c r="K1295" s="4"/>
      <c r="L1295" s="4"/>
      <c r="M1295" s="4"/>
      <c r="N1295" s="4"/>
      <c r="O1295" s="4"/>
      <c r="P1295" s="4"/>
      <c r="Q1295" s="4"/>
      <c r="R1295" s="14"/>
      <c r="S1295" s="14"/>
      <c r="T1295" s="14"/>
      <c r="U1295" s="14"/>
      <c r="V1295" s="14"/>
      <c r="W1295" s="14"/>
      <c r="X1295" s="14"/>
      <c r="Y1295" s="4"/>
      <c r="Z1295" s="4"/>
      <c r="AA1295" s="4"/>
      <c r="AB1295" s="4"/>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G1295" s="4"/>
      <c r="BH1295" s="4"/>
    </row>
    <row r="1296" spans="1:60" x14ac:dyDescent="0.35">
      <c r="A1296" s="4"/>
      <c r="B1296" s="8" t="str">
        <f t="shared" si="94"/>
        <v/>
      </c>
      <c r="D1296" s="6" t="str">
        <f t="shared" si="95"/>
        <v/>
      </c>
      <c r="E1296" s="6" t="str">
        <f t="shared" si="96"/>
        <v/>
      </c>
      <c r="F1296" s="6" t="str">
        <f t="shared" si="97"/>
        <v/>
      </c>
      <c r="G1296" s="4"/>
      <c r="H1296" s="4"/>
      <c r="I1296" s="4"/>
      <c r="J1296" s="4"/>
      <c r="K1296" s="4"/>
      <c r="L1296" s="4"/>
      <c r="M1296" s="4"/>
      <c r="N1296" s="4"/>
      <c r="O1296" s="4"/>
      <c r="P1296" s="4"/>
      <c r="Q1296" s="4"/>
      <c r="R1296" s="14"/>
      <c r="S1296" s="14"/>
      <c r="T1296" s="14"/>
      <c r="U1296" s="14"/>
      <c r="V1296" s="14"/>
      <c r="W1296" s="14"/>
      <c r="X1296" s="1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G1296" s="4"/>
      <c r="BH1296" s="4"/>
    </row>
    <row r="1297" spans="1:60" x14ac:dyDescent="0.35">
      <c r="A1297" s="4"/>
      <c r="B1297" s="8" t="str">
        <f t="shared" si="94"/>
        <v/>
      </c>
      <c r="D1297" s="6" t="str">
        <f t="shared" si="95"/>
        <v/>
      </c>
      <c r="E1297" s="6" t="str">
        <f t="shared" si="96"/>
        <v/>
      </c>
      <c r="F1297" s="6" t="str">
        <f t="shared" si="97"/>
        <v/>
      </c>
      <c r="G1297" s="4"/>
      <c r="H1297" s="4"/>
      <c r="I1297" s="4"/>
      <c r="J1297" s="4"/>
      <c r="K1297" s="4"/>
      <c r="L1297" s="4"/>
      <c r="M1297" s="4"/>
      <c r="N1297" s="4"/>
      <c r="O1297" s="4"/>
      <c r="P1297" s="4"/>
      <c r="Q1297" s="4"/>
      <c r="R1297" s="14"/>
      <c r="S1297" s="14"/>
      <c r="T1297" s="14"/>
      <c r="U1297" s="14"/>
      <c r="V1297" s="14"/>
      <c r="W1297" s="14"/>
      <c r="X1297" s="1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G1297" s="4"/>
      <c r="BH1297" s="4"/>
    </row>
    <row r="1298" spans="1:60" x14ac:dyDescent="0.35">
      <c r="A1298" s="4"/>
      <c r="B1298" s="8" t="str">
        <f t="shared" si="94"/>
        <v/>
      </c>
      <c r="D1298" s="6" t="str">
        <f t="shared" si="95"/>
        <v/>
      </c>
      <c r="E1298" s="6" t="str">
        <f t="shared" si="96"/>
        <v/>
      </c>
      <c r="F1298" s="6" t="str">
        <f t="shared" si="97"/>
        <v/>
      </c>
      <c r="G1298" s="4"/>
      <c r="H1298" s="4"/>
      <c r="I1298" s="4"/>
      <c r="J1298" s="4"/>
      <c r="K1298" s="4"/>
      <c r="L1298" s="4"/>
      <c r="M1298" s="4"/>
      <c r="N1298" s="4"/>
      <c r="O1298" s="4"/>
      <c r="P1298" s="4"/>
      <c r="Q1298" s="4"/>
      <c r="R1298" s="14"/>
      <c r="S1298" s="14"/>
      <c r="T1298" s="14"/>
      <c r="U1298" s="14"/>
      <c r="V1298" s="14"/>
      <c r="W1298" s="14"/>
      <c r="X1298" s="1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G1298" s="4"/>
      <c r="BH1298" s="4"/>
    </row>
    <row r="1299" spans="1:60" x14ac:dyDescent="0.35">
      <c r="A1299" s="4"/>
      <c r="B1299" s="8" t="str">
        <f t="shared" si="94"/>
        <v/>
      </c>
      <c r="D1299" s="6" t="str">
        <f t="shared" si="95"/>
        <v/>
      </c>
      <c r="E1299" s="6" t="str">
        <f t="shared" si="96"/>
        <v/>
      </c>
      <c r="F1299" s="6" t="str">
        <f t="shared" si="97"/>
        <v/>
      </c>
      <c r="G1299" s="4"/>
      <c r="H1299" s="4"/>
      <c r="I1299" s="4"/>
      <c r="J1299" s="4"/>
      <c r="K1299" s="4"/>
      <c r="L1299" s="4"/>
      <c r="M1299" s="4"/>
      <c r="N1299" s="4"/>
      <c r="O1299" s="4"/>
      <c r="P1299" s="4"/>
      <c r="Q1299" s="4"/>
      <c r="R1299" s="14"/>
      <c r="S1299" s="14"/>
      <c r="T1299" s="14"/>
      <c r="U1299" s="14"/>
      <c r="V1299" s="14"/>
      <c r="W1299" s="14"/>
      <c r="X1299" s="1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G1299" s="4"/>
      <c r="BH1299" s="4"/>
    </row>
    <row r="1300" spans="1:60" x14ac:dyDescent="0.35">
      <c r="A1300" s="4"/>
      <c r="B1300" s="8" t="str">
        <f t="shared" si="94"/>
        <v/>
      </c>
      <c r="D1300" s="6" t="str">
        <f t="shared" si="95"/>
        <v/>
      </c>
      <c r="E1300" s="6" t="str">
        <f t="shared" si="96"/>
        <v/>
      </c>
      <c r="F1300" s="6" t="str">
        <f t="shared" si="97"/>
        <v/>
      </c>
      <c r="G1300" s="4"/>
      <c r="H1300" s="4"/>
      <c r="I1300" s="4"/>
      <c r="J1300" s="4"/>
      <c r="K1300" s="4"/>
      <c r="L1300" s="4"/>
      <c r="M1300" s="4"/>
      <c r="N1300" s="4"/>
      <c r="O1300" s="4"/>
      <c r="P1300" s="4"/>
      <c r="Q1300" s="4"/>
      <c r="R1300" s="14"/>
      <c r="S1300" s="14"/>
      <c r="T1300" s="14"/>
      <c r="U1300" s="14"/>
      <c r="V1300" s="14"/>
      <c r="W1300" s="14"/>
      <c r="X1300" s="1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G1300" s="4"/>
      <c r="BH1300" s="4"/>
    </row>
    <row r="1301" spans="1:60" x14ac:dyDescent="0.35">
      <c r="A1301" s="4"/>
      <c r="B1301" s="8" t="str">
        <f t="shared" si="94"/>
        <v/>
      </c>
      <c r="D1301" s="6" t="str">
        <f t="shared" si="95"/>
        <v/>
      </c>
      <c r="E1301" s="6" t="str">
        <f t="shared" si="96"/>
        <v/>
      </c>
      <c r="F1301" s="6" t="str">
        <f t="shared" si="97"/>
        <v/>
      </c>
      <c r="G1301" s="4"/>
      <c r="H1301" s="4"/>
      <c r="I1301" s="4"/>
      <c r="J1301" s="4"/>
      <c r="K1301" s="4"/>
      <c r="L1301" s="4"/>
      <c r="M1301" s="4"/>
      <c r="N1301" s="4"/>
      <c r="O1301" s="4"/>
      <c r="P1301" s="4"/>
      <c r="Q1301" s="4"/>
      <c r="R1301" s="14"/>
      <c r="S1301" s="14"/>
      <c r="T1301" s="14"/>
      <c r="U1301" s="14"/>
      <c r="V1301" s="14"/>
      <c r="W1301" s="14"/>
      <c r="X1301" s="1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G1301" s="4"/>
      <c r="BH1301" s="4"/>
    </row>
    <row r="1302" spans="1:60" x14ac:dyDescent="0.35">
      <c r="A1302" s="4"/>
      <c r="B1302" s="8" t="str">
        <f t="shared" si="94"/>
        <v/>
      </c>
      <c r="D1302" s="6" t="str">
        <f t="shared" si="95"/>
        <v/>
      </c>
      <c r="E1302" s="6" t="str">
        <f t="shared" si="96"/>
        <v/>
      </c>
      <c r="F1302" s="6" t="str">
        <f t="shared" si="97"/>
        <v/>
      </c>
      <c r="G1302" s="4"/>
      <c r="H1302" s="4"/>
      <c r="I1302" s="4"/>
      <c r="J1302" s="4"/>
      <c r="K1302" s="4"/>
      <c r="L1302" s="4"/>
      <c r="M1302" s="4"/>
      <c r="N1302" s="4"/>
      <c r="O1302" s="4"/>
      <c r="P1302" s="4"/>
      <c r="Q1302" s="4"/>
      <c r="R1302" s="14"/>
      <c r="S1302" s="14"/>
      <c r="T1302" s="14"/>
      <c r="U1302" s="14"/>
      <c r="V1302" s="14"/>
      <c r="W1302" s="14"/>
      <c r="X1302" s="1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G1302" s="4"/>
      <c r="BH1302" s="4"/>
    </row>
    <row r="1303" spans="1:60" x14ac:dyDescent="0.35">
      <c r="A1303" s="4"/>
      <c r="B1303" s="8" t="str">
        <f t="shared" si="94"/>
        <v/>
      </c>
      <c r="D1303" s="6" t="str">
        <f t="shared" si="95"/>
        <v/>
      </c>
      <c r="E1303" s="6" t="str">
        <f t="shared" si="96"/>
        <v/>
      </c>
      <c r="F1303" s="6" t="str">
        <f t="shared" si="97"/>
        <v/>
      </c>
      <c r="G1303" s="4"/>
      <c r="H1303" s="4"/>
      <c r="I1303" s="4"/>
      <c r="J1303" s="4"/>
      <c r="K1303" s="4"/>
      <c r="L1303" s="4"/>
      <c r="M1303" s="4"/>
      <c r="N1303" s="4"/>
      <c r="O1303" s="4"/>
      <c r="P1303" s="4"/>
      <c r="Q1303" s="4"/>
      <c r="R1303" s="14"/>
      <c r="S1303" s="14"/>
      <c r="T1303" s="14"/>
      <c r="U1303" s="14"/>
      <c r="V1303" s="14"/>
      <c r="W1303" s="14"/>
      <c r="X1303" s="1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G1303" s="4"/>
      <c r="BH1303" s="4"/>
    </row>
    <row r="1304" spans="1:60" x14ac:dyDescent="0.35">
      <c r="A1304" s="4"/>
      <c r="B1304" s="8" t="str">
        <f t="shared" si="94"/>
        <v/>
      </c>
      <c r="D1304" s="6" t="str">
        <f t="shared" si="95"/>
        <v/>
      </c>
      <c r="E1304" s="6" t="str">
        <f t="shared" si="96"/>
        <v/>
      </c>
      <c r="F1304" s="6" t="str">
        <f t="shared" si="97"/>
        <v/>
      </c>
      <c r="G1304" s="4"/>
      <c r="H1304" s="4"/>
      <c r="I1304" s="4"/>
      <c r="J1304" s="4"/>
      <c r="K1304" s="4"/>
      <c r="L1304" s="4"/>
      <c r="M1304" s="4"/>
      <c r="N1304" s="4"/>
      <c r="O1304" s="4"/>
      <c r="P1304" s="4"/>
      <c r="Q1304" s="4"/>
      <c r="R1304" s="14"/>
      <c r="S1304" s="14"/>
      <c r="T1304" s="14"/>
      <c r="U1304" s="14"/>
      <c r="V1304" s="14"/>
      <c r="W1304" s="14"/>
      <c r="X1304" s="1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G1304" s="4"/>
      <c r="BH1304" s="4"/>
    </row>
    <row r="1305" spans="1:60" x14ac:dyDescent="0.35">
      <c r="A1305" s="4"/>
      <c r="B1305" s="8" t="str">
        <f t="shared" si="94"/>
        <v/>
      </c>
      <c r="D1305" s="6" t="str">
        <f t="shared" si="95"/>
        <v/>
      </c>
      <c r="E1305" s="6" t="str">
        <f t="shared" si="96"/>
        <v/>
      </c>
      <c r="F1305" s="6" t="str">
        <f t="shared" si="97"/>
        <v/>
      </c>
      <c r="G1305" s="4"/>
      <c r="H1305" s="4"/>
      <c r="I1305" s="4"/>
      <c r="J1305" s="4"/>
      <c r="K1305" s="4"/>
      <c r="L1305" s="4"/>
      <c r="M1305" s="4"/>
      <c r="N1305" s="4"/>
      <c r="O1305" s="4"/>
      <c r="P1305" s="4"/>
      <c r="Q1305" s="4"/>
      <c r="R1305" s="14"/>
      <c r="S1305" s="14"/>
      <c r="T1305" s="14"/>
      <c r="U1305" s="14"/>
      <c r="V1305" s="14"/>
      <c r="W1305" s="14"/>
      <c r="X1305" s="1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G1305" s="4"/>
      <c r="BH1305" s="4"/>
    </row>
    <row r="1306" spans="1:60" x14ac:dyDescent="0.35">
      <c r="A1306" s="4"/>
      <c r="B1306" s="8" t="str">
        <f t="shared" si="94"/>
        <v/>
      </c>
      <c r="D1306" s="6" t="str">
        <f t="shared" si="95"/>
        <v/>
      </c>
      <c r="E1306" s="6" t="str">
        <f t="shared" si="96"/>
        <v/>
      </c>
      <c r="F1306" s="6" t="str">
        <f t="shared" si="97"/>
        <v/>
      </c>
      <c r="G1306" s="4"/>
      <c r="H1306" s="4"/>
      <c r="I1306" s="4"/>
      <c r="J1306" s="4"/>
      <c r="K1306" s="4"/>
      <c r="L1306" s="4"/>
      <c r="M1306" s="4"/>
      <c r="N1306" s="4"/>
      <c r="O1306" s="4"/>
      <c r="P1306" s="4"/>
      <c r="Q1306" s="4"/>
      <c r="R1306" s="14"/>
      <c r="S1306" s="14"/>
      <c r="T1306" s="14"/>
      <c r="U1306" s="14"/>
      <c r="V1306" s="14"/>
      <c r="W1306" s="14"/>
      <c r="X1306" s="1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G1306" s="4"/>
      <c r="BH1306" s="4"/>
    </row>
    <row r="1307" spans="1:60" x14ac:dyDescent="0.35">
      <c r="A1307" s="4"/>
      <c r="B1307" s="8" t="str">
        <f t="shared" si="94"/>
        <v/>
      </c>
      <c r="D1307" s="6" t="str">
        <f t="shared" si="95"/>
        <v/>
      </c>
      <c r="E1307" s="6" t="str">
        <f t="shared" si="96"/>
        <v/>
      </c>
      <c r="F1307" s="6" t="str">
        <f t="shared" si="97"/>
        <v/>
      </c>
      <c r="G1307" s="4"/>
      <c r="H1307" s="4"/>
      <c r="I1307" s="4"/>
      <c r="J1307" s="4"/>
      <c r="K1307" s="4"/>
      <c r="L1307" s="4"/>
      <c r="M1307" s="4"/>
      <c r="N1307" s="4"/>
      <c r="O1307" s="4"/>
      <c r="P1307" s="4"/>
      <c r="Q1307" s="4"/>
      <c r="R1307" s="14"/>
      <c r="S1307" s="14"/>
      <c r="T1307" s="14"/>
      <c r="U1307" s="14"/>
      <c r="V1307" s="14"/>
      <c r="W1307" s="14"/>
      <c r="X1307" s="1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G1307" s="4"/>
      <c r="BH1307" s="4"/>
    </row>
    <row r="1308" spans="1:60" x14ac:dyDescent="0.35">
      <c r="A1308" s="4"/>
      <c r="B1308" s="8" t="str">
        <f t="shared" si="94"/>
        <v/>
      </c>
      <c r="D1308" s="6" t="str">
        <f t="shared" si="95"/>
        <v/>
      </c>
      <c r="E1308" s="6" t="str">
        <f t="shared" si="96"/>
        <v/>
      </c>
      <c r="F1308" s="6" t="str">
        <f t="shared" si="97"/>
        <v/>
      </c>
      <c r="G1308" s="4"/>
      <c r="H1308" s="4"/>
      <c r="I1308" s="4"/>
      <c r="J1308" s="4"/>
      <c r="K1308" s="4"/>
      <c r="L1308" s="4"/>
      <c r="M1308" s="4"/>
      <c r="N1308" s="4"/>
      <c r="O1308" s="4"/>
      <c r="P1308" s="4"/>
      <c r="Q1308" s="4"/>
      <c r="R1308" s="14"/>
      <c r="S1308" s="14"/>
      <c r="T1308" s="14"/>
      <c r="U1308" s="14"/>
      <c r="V1308" s="14"/>
      <c r="W1308" s="14"/>
      <c r="X1308" s="1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G1308" s="4"/>
      <c r="BH1308" s="4"/>
    </row>
    <row r="1309" spans="1:60" x14ac:dyDescent="0.35">
      <c r="A1309" s="4"/>
      <c r="B1309" s="8" t="str">
        <f t="shared" si="94"/>
        <v/>
      </c>
      <c r="D1309" s="6" t="str">
        <f t="shared" si="95"/>
        <v/>
      </c>
      <c r="E1309" s="6" t="str">
        <f t="shared" si="96"/>
        <v/>
      </c>
      <c r="F1309" s="6" t="str">
        <f t="shared" si="97"/>
        <v/>
      </c>
      <c r="G1309" s="4"/>
      <c r="H1309" s="4"/>
      <c r="I1309" s="4"/>
      <c r="J1309" s="4"/>
      <c r="K1309" s="4"/>
      <c r="L1309" s="4"/>
      <c r="M1309" s="4"/>
      <c r="N1309" s="4"/>
      <c r="O1309" s="4"/>
      <c r="P1309" s="4"/>
      <c r="Q1309" s="4"/>
      <c r="R1309" s="14"/>
      <c r="S1309" s="14"/>
      <c r="T1309" s="14"/>
      <c r="U1309" s="14"/>
      <c r="V1309" s="14"/>
      <c r="W1309" s="14"/>
      <c r="X1309" s="1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G1309" s="4"/>
      <c r="BH1309" s="4"/>
    </row>
    <row r="1310" spans="1:60" x14ac:dyDescent="0.35">
      <c r="A1310" s="4"/>
      <c r="B1310" s="8" t="str">
        <f t="shared" si="94"/>
        <v/>
      </c>
      <c r="D1310" s="6" t="str">
        <f t="shared" si="95"/>
        <v/>
      </c>
      <c r="E1310" s="6" t="str">
        <f t="shared" si="96"/>
        <v/>
      </c>
      <c r="F1310" s="6" t="str">
        <f t="shared" si="97"/>
        <v/>
      </c>
      <c r="G1310" s="4"/>
      <c r="H1310" s="4"/>
      <c r="I1310" s="4"/>
      <c r="J1310" s="4"/>
      <c r="K1310" s="4"/>
      <c r="L1310" s="4"/>
      <c r="M1310" s="4"/>
      <c r="N1310" s="4"/>
      <c r="O1310" s="4"/>
      <c r="P1310" s="4"/>
      <c r="Q1310" s="4"/>
      <c r="R1310" s="14"/>
      <c r="S1310" s="14"/>
      <c r="T1310" s="14"/>
      <c r="U1310" s="14"/>
      <c r="V1310" s="14"/>
      <c r="W1310" s="14"/>
      <c r="X1310" s="1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G1310" s="4"/>
      <c r="BH1310" s="4"/>
    </row>
    <row r="1311" spans="1:60" x14ac:dyDescent="0.35">
      <c r="A1311" s="4"/>
      <c r="B1311" s="8" t="str">
        <f t="shared" si="94"/>
        <v/>
      </c>
      <c r="D1311" s="6" t="str">
        <f t="shared" si="95"/>
        <v/>
      </c>
      <c r="E1311" s="6" t="str">
        <f t="shared" si="96"/>
        <v/>
      </c>
      <c r="F1311" s="6" t="str">
        <f t="shared" si="97"/>
        <v/>
      </c>
      <c r="G1311" s="4"/>
      <c r="H1311" s="4"/>
      <c r="I1311" s="4"/>
      <c r="J1311" s="4"/>
      <c r="K1311" s="4"/>
      <c r="L1311" s="4"/>
      <c r="M1311" s="4"/>
      <c r="N1311" s="4"/>
      <c r="O1311" s="4"/>
      <c r="P1311" s="4"/>
      <c r="Q1311" s="4"/>
      <c r="R1311" s="14"/>
      <c r="S1311" s="14"/>
      <c r="T1311" s="14"/>
      <c r="U1311" s="14"/>
      <c r="V1311" s="14"/>
      <c r="W1311" s="14"/>
      <c r="X1311" s="1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G1311" s="4"/>
      <c r="BH1311" s="4"/>
    </row>
    <row r="1312" spans="1:60" x14ac:dyDescent="0.35">
      <c r="A1312" s="4"/>
      <c r="B1312" s="8" t="str">
        <f t="shared" si="94"/>
        <v/>
      </c>
      <c r="D1312" s="6" t="str">
        <f t="shared" si="95"/>
        <v/>
      </c>
      <c r="E1312" s="6" t="str">
        <f t="shared" si="96"/>
        <v/>
      </c>
      <c r="F1312" s="6" t="str">
        <f t="shared" si="97"/>
        <v/>
      </c>
      <c r="G1312" s="4"/>
      <c r="H1312" s="4"/>
      <c r="I1312" s="4"/>
      <c r="J1312" s="4"/>
      <c r="K1312" s="4"/>
      <c r="L1312" s="4"/>
      <c r="M1312" s="4"/>
      <c r="N1312" s="4"/>
      <c r="O1312" s="4"/>
      <c r="P1312" s="4"/>
      <c r="Q1312" s="4"/>
      <c r="R1312" s="14"/>
      <c r="S1312" s="14"/>
      <c r="T1312" s="14"/>
      <c r="U1312" s="14"/>
      <c r="V1312" s="14"/>
      <c r="W1312" s="14"/>
      <c r="X1312" s="1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G1312" s="4"/>
      <c r="BH1312" s="4"/>
    </row>
    <row r="1313" spans="1:60" x14ac:dyDescent="0.35">
      <c r="A1313" s="4"/>
      <c r="B1313" s="8" t="str">
        <f t="shared" si="94"/>
        <v/>
      </c>
      <c r="D1313" s="6" t="str">
        <f t="shared" si="95"/>
        <v/>
      </c>
      <c r="E1313" s="6" t="str">
        <f t="shared" si="96"/>
        <v/>
      </c>
      <c r="F1313" s="6" t="str">
        <f t="shared" si="97"/>
        <v/>
      </c>
      <c r="G1313" s="4"/>
      <c r="H1313" s="4"/>
      <c r="I1313" s="4"/>
      <c r="J1313" s="4"/>
      <c r="K1313" s="4"/>
      <c r="L1313" s="4"/>
      <c r="M1313" s="4"/>
      <c r="N1313" s="4"/>
      <c r="O1313" s="4"/>
      <c r="P1313" s="4"/>
      <c r="Q1313" s="4"/>
      <c r="R1313" s="14"/>
      <c r="S1313" s="14"/>
      <c r="T1313" s="14"/>
      <c r="U1313" s="14"/>
      <c r="V1313" s="14"/>
      <c r="W1313" s="14"/>
      <c r="X1313" s="1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G1313" s="4"/>
      <c r="BH1313" s="4"/>
    </row>
    <row r="1314" spans="1:60" x14ac:dyDescent="0.35">
      <c r="A1314" s="4"/>
      <c r="B1314" s="8" t="str">
        <f t="shared" si="94"/>
        <v/>
      </c>
      <c r="D1314" s="6" t="str">
        <f t="shared" si="95"/>
        <v/>
      </c>
      <c r="E1314" s="6" t="str">
        <f t="shared" si="96"/>
        <v/>
      </c>
      <c r="F1314" s="6" t="str">
        <f t="shared" si="97"/>
        <v/>
      </c>
      <c r="G1314" s="4"/>
      <c r="H1314" s="4"/>
      <c r="I1314" s="4"/>
      <c r="J1314" s="4"/>
      <c r="K1314" s="4"/>
      <c r="L1314" s="4"/>
      <c r="M1314" s="4"/>
      <c r="N1314" s="4"/>
      <c r="O1314" s="4"/>
      <c r="P1314" s="4"/>
      <c r="Q1314" s="4"/>
      <c r="R1314" s="14"/>
      <c r="S1314" s="14"/>
      <c r="T1314" s="14"/>
      <c r="U1314" s="14"/>
      <c r="V1314" s="14"/>
      <c r="W1314" s="14"/>
      <c r="X1314" s="1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G1314" s="4"/>
      <c r="BH1314" s="4"/>
    </row>
    <row r="1315" spans="1:60" x14ac:dyDescent="0.35">
      <c r="A1315" s="4"/>
      <c r="B1315" s="8" t="str">
        <f t="shared" si="94"/>
        <v/>
      </c>
      <c r="D1315" s="6" t="str">
        <f t="shared" si="95"/>
        <v/>
      </c>
      <c r="E1315" s="6" t="str">
        <f t="shared" si="96"/>
        <v/>
      </c>
      <c r="F1315" s="6" t="str">
        <f t="shared" si="97"/>
        <v/>
      </c>
      <c r="G1315" s="4"/>
      <c r="H1315" s="4"/>
      <c r="I1315" s="4"/>
      <c r="J1315" s="4"/>
      <c r="K1315" s="4"/>
      <c r="L1315" s="4"/>
      <c r="M1315" s="4"/>
      <c r="N1315" s="4"/>
      <c r="O1315" s="4"/>
      <c r="P1315" s="4"/>
      <c r="Q1315" s="4"/>
      <c r="R1315" s="14"/>
      <c r="S1315" s="14"/>
      <c r="T1315" s="14"/>
      <c r="U1315" s="14"/>
      <c r="V1315" s="14"/>
      <c r="W1315" s="14"/>
      <c r="X1315" s="1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G1315" s="4"/>
      <c r="BH1315" s="4"/>
    </row>
    <row r="1316" spans="1:60" x14ac:dyDescent="0.35">
      <c r="A1316" s="4"/>
      <c r="B1316" s="8" t="str">
        <f t="shared" si="94"/>
        <v/>
      </c>
      <c r="D1316" s="6" t="str">
        <f t="shared" si="95"/>
        <v/>
      </c>
      <c r="E1316" s="6" t="str">
        <f t="shared" si="96"/>
        <v/>
      </c>
      <c r="F1316" s="6" t="str">
        <f t="shared" si="97"/>
        <v/>
      </c>
      <c r="G1316" s="4"/>
      <c r="H1316" s="4"/>
      <c r="I1316" s="4"/>
      <c r="J1316" s="4"/>
      <c r="K1316" s="4"/>
      <c r="L1316" s="4"/>
      <c r="M1316" s="4"/>
      <c r="N1316" s="4"/>
      <c r="O1316" s="4"/>
      <c r="P1316" s="4"/>
      <c r="Q1316" s="4"/>
      <c r="R1316" s="14"/>
      <c r="S1316" s="14"/>
      <c r="T1316" s="14"/>
      <c r="U1316" s="14"/>
      <c r="V1316" s="14"/>
      <c r="W1316" s="14"/>
      <c r="X1316" s="1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G1316" s="4"/>
      <c r="BH1316" s="4"/>
    </row>
    <row r="1317" spans="1:60" x14ac:dyDescent="0.35">
      <c r="A1317" s="4"/>
      <c r="B1317" s="8" t="str">
        <f t="shared" si="94"/>
        <v/>
      </c>
      <c r="D1317" s="6" t="str">
        <f t="shared" si="95"/>
        <v/>
      </c>
      <c r="E1317" s="6" t="str">
        <f t="shared" si="96"/>
        <v/>
      </c>
      <c r="F1317" s="6" t="str">
        <f t="shared" si="97"/>
        <v/>
      </c>
      <c r="G1317" s="4"/>
      <c r="H1317" s="4"/>
      <c r="I1317" s="4"/>
      <c r="J1317" s="4"/>
      <c r="K1317" s="4"/>
      <c r="L1317" s="4"/>
      <c r="M1317" s="4"/>
      <c r="N1317" s="4"/>
      <c r="O1317" s="4"/>
      <c r="P1317" s="4"/>
      <c r="Q1317" s="4"/>
      <c r="R1317" s="14"/>
      <c r="S1317" s="14"/>
      <c r="T1317" s="14"/>
      <c r="U1317" s="14"/>
      <c r="V1317" s="14"/>
      <c r="W1317" s="14"/>
      <c r="X1317" s="1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G1317" s="4"/>
      <c r="BH1317" s="4"/>
    </row>
    <row r="1318" spans="1:60" x14ac:dyDescent="0.35">
      <c r="A1318" s="4"/>
      <c r="B1318" s="8" t="str">
        <f t="shared" si="94"/>
        <v/>
      </c>
      <c r="D1318" s="6" t="str">
        <f t="shared" si="95"/>
        <v/>
      </c>
      <c r="E1318" s="6" t="str">
        <f t="shared" si="96"/>
        <v/>
      </c>
      <c r="F1318" s="6" t="str">
        <f t="shared" si="97"/>
        <v/>
      </c>
      <c r="G1318" s="4"/>
      <c r="H1318" s="4"/>
      <c r="I1318" s="4"/>
      <c r="J1318" s="4"/>
      <c r="K1318" s="4"/>
      <c r="L1318" s="4"/>
      <c r="M1318" s="4"/>
      <c r="N1318" s="4"/>
      <c r="O1318" s="4"/>
      <c r="P1318" s="4"/>
      <c r="Q1318" s="4"/>
      <c r="R1318" s="14"/>
      <c r="S1318" s="14"/>
      <c r="T1318" s="14"/>
      <c r="U1318" s="14"/>
      <c r="V1318" s="14"/>
      <c r="W1318" s="14"/>
      <c r="X1318" s="1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G1318" s="4"/>
      <c r="BH1318" s="4"/>
    </row>
    <row r="1319" spans="1:60" x14ac:dyDescent="0.35">
      <c r="A1319" s="4"/>
      <c r="B1319" s="8" t="str">
        <f t="shared" si="94"/>
        <v/>
      </c>
      <c r="D1319" s="6" t="str">
        <f t="shared" si="95"/>
        <v/>
      </c>
      <c r="E1319" s="6" t="str">
        <f t="shared" si="96"/>
        <v/>
      </c>
      <c r="F1319" s="6" t="str">
        <f t="shared" si="97"/>
        <v/>
      </c>
      <c r="G1319" s="4"/>
      <c r="H1319" s="4"/>
      <c r="I1319" s="4"/>
      <c r="J1319" s="4"/>
      <c r="K1319" s="4"/>
      <c r="L1319" s="4"/>
      <c r="M1319" s="4"/>
      <c r="N1319" s="4"/>
      <c r="O1319" s="4"/>
      <c r="P1319" s="4"/>
      <c r="Q1319" s="4"/>
      <c r="R1319" s="14"/>
      <c r="S1319" s="14"/>
      <c r="T1319" s="14"/>
      <c r="U1319" s="14"/>
      <c r="V1319" s="14"/>
      <c r="W1319" s="14"/>
      <c r="X1319" s="1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G1319" s="4"/>
      <c r="BH1319" s="4"/>
    </row>
    <row r="1320" spans="1:60" x14ac:dyDescent="0.35">
      <c r="A1320" s="4"/>
      <c r="B1320" s="8" t="str">
        <f t="shared" si="94"/>
        <v/>
      </c>
      <c r="D1320" s="6" t="str">
        <f t="shared" si="95"/>
        <v/>
      </c>
      <c r="E1320" s="6" t="str">
        <f t="shared" si="96"/>
        <v/>
      </c>
      <c r="F1320" s="6" t="str">
        <f t="shared" si="97"/>
        <v/>
      </c>
      <c r="G1320" s="4"/>
      <c r="H1320" s="4"/>
      <c r="I1320" s="4"/>
      <c r="J1320" s="4"/>
      <c r="K1320" s="4"/>
      <c r="L1320" s="4"/>
      <c r="M1320" s="4"/>
      <c r="N1320" s="4"/>
      <c r="O1320" s="4"/>
      <c r="P1320" s="4"/>
      <c r="Q1320" s="4"/>
      <c r="R1320" s="14"/>
      <c r="S1320" s="14"/>
      <c r="T1320" s="14"/>
      <c r="U1320" s="14"/>
      <c r="V1320" s="14"/>
      <c r="W1320" s="14"/>
      <c r="X1320" s="1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G1320" s="4"/>
      <c r="BH1320" s="4"/>
    </row>
    <row r="1321" spans="1:60" x14ac:dyDescent="0.35">
      <c r="A1321" s="4"/>
      <c r="B1321" s="8" t="str">
        <f t="shared" si="94"/>
        <v/>
      </c>
      <c r="D1321" s="6" t="str">
        <f t="shared" si="95"/>
        <v/>
      </c>
      <c r="E1321" s="6" t="str">
        <f t="shared" si="96"/>
        <v/>
      </c>
      <c r="F1321" s="6" t="str">
        <f t="shared" si="97"/>
        <v/>
      </c>
      <c r="G1321" s="4"/>
      <c r="H1321" s="4"/>
      <c r="I1321" s="4"/>
      <c r="J1321" s="4"/>
      <c r="K1321" s="4"/>
      <c r="L1321" s="4"/>
      <c r="M1321" s="4"/>
      <c r="N1321" s="4"/>
      <c r="O1321" s="4"/>
      <c r="P1321" s="4"/>
      <c r="Q1321" s="4"/>
      <c r="R1321" s="14"/>
      <c r="S1321" s="14"/>
      <c r="T1321" s="14"/>
      <c r="U1321" s="14"/>
      <c r="V1321" s="14"/>
      <c r="W1321" s="14"/>
      <c r="X1321" s="14"/>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G1321" s="4"/>
      <c r="BH1321" s="4"/>
    </row>
    <row r="1322" spans="1:60" x14ac:dyDescent="0.35">
      <c r="A1322" s="4"/>
      <c r="B1322" s="8" t="str">
        <f t="shared" si="94"/>
        <v/>
      </c>
      <c r="D1322" s="6" t="str">
        <f t="shared" si="95"/>
        <v/>
      </c>
      <c r="E1322" s="6" t="str">
        <f t="shared" si="96"/>
        <v/>
      </c>
      <c r="F1322" s="6" t="str">
        <f t="shared" si="97"/>
        <v/>
      </c>
      <c r="G1322" s="4"/>
      <c r="H1322" s="4"/>
      <c r="I1322" s="4"/>
      <c r="J1322" s="4"/>
      <c r="K1322" s="4"/>
      <c r="L1322" s="4"/>
      <c r="M1322" s="4"/>
      <c r="N1322" s="4"/>
      <c r="O1322" s="4"/>
      <c r="P1322" s="4"/>
      <c r="Q1322" s="4"/>
      <c r="R1322" s="14"/>
      <c r="S1322" s="14"/>
      <c r="T1322" s="14"/>
      <c r="U1322" s="14"/>
      <c r="V1322" s="14"/>
      <c r="W1322" s="14"/>
      <c r="X1322" s="1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G1322" s="4"/>
      <c r="BH1322" s="4"/>
    </row>
    <row r="1323" spans="1:60" x14ac:dyDescent="0.35">
      <c r="A1323" s="4"/>
      <c r="B1323" s="8" t="str">
        <f t="shared" si="94"/>
        <v/>
      </c>
      <c r="D1323" s="6" t="str">
        <f t="shared" si="95"/>
        <v/>
      </c>
      <c r="E1323" s="6" t="str">
        <f t="shared" si="96"/>
        <v/>
      </c>
      <c r="F1323" s="6" t="str">
        <f t="shared" si="97"/>
        <v/>
      </c>
      <c r="G1323" s="4"/>
      <c r="H1323" s="4"/>
      <c r="I1323" s="4"/>
      <c r="J1323" s="4"/>
      <c r="K1323" s="4"/>
      <c r="L1323" s="4"/>
      <c r="M1323" s="4"/>
      <c r="N1323" s="4"/>
      <c r="O1323" s="4"/>
      <c r="P1323" s="4"/>
      <c r="Q1323" s="4"/>
      <c r="R1323" s="14"/>
      <c r="S1323" s="14"/>
      <c r="T1323" s="14"/>
      <c r="U1323" s="14"/>
      <c r="V1323" s="14"/>
      <c r="W1323" s="14"/>
      <c r="X1323" s="1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G1323" s="4"/>
      <c r="BH1323" s="4"/>
    </row>
    <row r="1324" spans="1:60" x14ac:dyDescent="0.35">
      <c r="A1324" s="4"/>
      <c r="B1324" s="8" t="str">
        <f t="shared" si="94"/>
        <v/>
      </c>
      <c r="D1324" s="6" t="str">
        <f t="shared" si="95"/>
        <v/>
      </c>
      <c r="E1324" s="6" t="str">
        <f t="shared" si="96"/>
        <v/>
      </c>
      <c r="F1324" s="6" t="str">
        <f t="shared" si="97"/>
        <v/>
      </c>
      <c r="G1324" s="4"/>
      <c r="H1324" s="4"/>
      <c r="I1324" s="4"/>
      <c r="J1324" s="4"/>
      <c r="K1324" s="4"/>
      <c r="L1324" s="4"/>
      <c r="M1324" s="4"/>
      <c r="N1324" s="4"/>
      <c r="O1324" s="4"/>
      <c r="P1324" s="4"/>
      <c r="Q1324" s="4"/>
      <c r="R1324" s="14"/>
      <c r="S1324" s="14"/>
      <c r="T1324" s="14"/>
      <c r="U1324" s="14"/>
      <c r="V1324" s="14"/>
      <c r="W1324" s="14"/>
      <c r="X1324" s="1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G1324" s="4"/>
      <c r="BH1324" s="4"/>
    </row>
    <row r="1325" spans="1:60" x14ac:dyDescent="0.35">
      <c r="A1325" s="4"/>
      <c r="B1325" s="8" t="str">
        <f t="shared" si="94"/>
        <v/>
      </c>
      <c r="D1325" s="6" t="str">
        <f t="shared" si="95"/>
        <v/>
      </c>
      <c r="E1325" s="6" t="str">
        <f t="shared" si="96"/>
        <v/>
      </c>
      <c r="F1325" s="6" t="str">
        <f t="shared" si="97"/>
        <v/>
      </c>
      <c r="G1325" s="4"/>
      <c r="H1325" s="4"/>
      <c r="I1325" s="4"/>
      <c r="J1325" s="4"/>
      <c r="K1325" s="4"/>
      <c r="L1325" s="4"/>
      <c r="M1325" s="4"/>
      <c r="N1325" s="4"/>
      <c r="O1325" s="4"/>
      <c r="P1325" s="4"/>
      <c r="Q1325" s="4"/>
      <c r="R1325" s="14"/>
      <c r="S1325" s="14"/>
      <c r="T1325" s="14"/>
      <c r="U1325" s="14"/>
      <c r="V1325" s="14"/>
      <c r="W1325" s="14"/>
      <c r="X1325" s="1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G1325" s="4"/>
      <c r="BH1325" s="4"/>
    </row>
    <row r="1326" spans="1:60" x14ac:dyDescent="0.35">
      <c r="A1326" s="4"/>
      <c r="B1326" s="8" t="str">
        <f t="shared" si="94"/>
        <v/>
      </c>
      <c r="D1326" s="6" t="str">
        <f t="shared" si="95"/>
        <v/>
      </c>
      <c r="E1326" s="6" t="str">
        <f t="shared" si="96"/>
        <v/>
      </c>
      <c r="F1326" s="6" t="str">
        <f t="shared" si="97"/>
        <v/>
      </c>
      <c r="G1326" s="4"/>
      <c r="H1326" s="4"/>
      <c r="I1326" s="4"/>
      <c r="J1326" s="4"/>
      <c r="K1326" s="4"/>
      <c r="L1326" s="4"/>
      <c r="M1326" s="4"/>
      <c r="N1326" s="4"/>
      <c r="O1326" s="4"/>
      <c r="P1326" s="4"/>
      <c r="Q1326" s="4"/>
      <c r="R1326" s="14"/>
      <c r="S1326" s="14"/>
      <c r="T1326" s="14"/>
      <c r="U1326" s="14"/>
      <c r="V1326" s="14"/>
      <c r="W1326" s="14"/>
      <c r="X1326" s="14"/>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G1326" s="4"/>
      <c r="BH1326" s="4"/>
    </row>
    <row r="1327" spans="1:60" x14ac:dyDescent="0.35">
      <c r="A1327" s="4"/>
      <c r="B1327" s="8" t="str">
        <f t="shared" si="94"/>
        <v/>
      </c>
      <c r="D1327" s="6" t="str">
        <f t="shared" si="95"/>
        <v/>
      </c>
      <c r="E1327" s="6" t="str">
        <f t="shared" si="96"/>
        <v/>
      </c>
      <c r="F1327" s="6" t="str">
        <f t="shared" si="97"/>
        <v/>
      </c>
      <c r="G1327" s="4"/>
      <c r="H1327" s="4"/>
      <c r="I1327" s="4"/>
      <c r="J1327" s="4"/>
      <c r="K1327" s="4"/>
      <c r="L1327" s="4"/>
      <c r="M1327" s="4"/>
      <c r="N1327" s="4"/>
      <c r="O1327" s="4"/>
      <c r="P1327" s="4"/>
      <c r="Q1327" s="4"/>
      <c r="R1327" s="14"/>
      <c r="S1327" s="14"/>
      <c r="T1327" s="14"/>
      <c r="U1327" s="14"/>
      <c r="V1327" s="14"/>
      <c r="W1327" s="14"/>
      <c r="X1327" s="1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G1327" s="4"/>
      <c r="BH1327" s="4"/>
    </row>
    <row r="1328" spans="1:60" x14ac:dyDescent="0.35">
      <c r="A1328" s="4"/>
      <c r="B1328" s="8" t="str">
        <f t="shared" si="94"/>
        <v/>
      </c>
      <c r="D1328" s="6" t="str">
        <f t="shared" si="95"/>
        <v/>
      </c>
      <c r="E1328" s="6" t="str">
        <f t="shared" si="96"/>
        <v/>
      </c>
      <c r="F1328" s="6" t="str">
        <f t="shared" si="97"/>
        <v/>
      </c>
      <c r="G1328" s="4"/>
      <c r="H1328" s="4"/>
      <c r="I1328" s="4"/>
      <c r="J1328" s="4"/>
      <c r="K1328" s="4"/>
      <c r="L1328" s="4"/>
      <c r="M1328" s="4"/>
      <c r="N1328" s="4"/>
      <c r="O1328" s="4"/>
      <c r="P1328" s="4"/>
      <c r="Q1328" s="4"/>
      <c r="R1328" s="14"/>
      <c r="S1328" s="14"/>
      <c r="T1328" s="14"/>
      <c r="U1328" s="14"/>
      <c r="V1328" s="14"/>
      <c r="W1328" s="14"/>
      <c r="X1328" s="1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G1328" s="4"/>
      <c r="BH1328" s="4"/>
    </row>
    <row r="1329" spans="1:60" x14ac:dyDescent="0.35">
      <c r="A1329" s="4"/>
      <c r="B1329" s="8" t="str">
        <f t="shared" si="94"/>
        <v/>
      </c>
      <c r="D1329" s="6" t="str">
        <f t="shared" si="95"/>
        <v/>
      </c>
      <c r="E1329" s="6" t="str">
        <f t="shared" si="96"/>
        <v/>
      </c>
      <c r="F1329" s="6" t="str">
        <f t="shared" si="97"/>
        <v/>
      </c>
      <c r="G1329" s="4"/>
      <c r="H1329" s="4"/>
      <c r="I1329" s="4"/>
      <c r="J1329" s="4"/>
      <c r="K1329" s="4"/>
      <c r="L1329" s="4"/>
      <c r="M1329" s="4"/>
      <c r="N1329" s="4"/>
      <c r="O1329" s="4"/>
      <c r="P1329" s="4"/>
      <c r="Q1329" s="4"/>
      <c r="R1329" s="14"/>
      <c r="S1329" s="14"/>
      <c r="T1329" s="14"/>
      <c r="U1329" s="14"/>
      <c r="V1329" s="14"/>
      <c r="W1329" s="14"/>
      <c r="X1329" s="1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G1329" s="4"/>
      <c r="BH1329" s="4"/>
    </row>
    <row r="1330" spans="1:60" x14ac:dyDescent="0.35">
      <c r="A1330" s="4"/>
      <c r="B1330" s="8" t="str">
        <f t="shared" si="94"/>
        <v/>
      </c>
      <c r="D1330" s="6" t="str">
        <f t="shared" si="95"/>
        <v/>
      </c>
      <c r="E1330" s="6" t="str">
        <f t="shared" si="96"/>
        <v/>
      </c>
      <c r="F1330" s="6" t="str">
        <f t="shared" si="97"/>
        <v/>
      </c>
      <c r="G1330" s="4"/>
      <c r="H1330" s="4"/>
      <c r="I1330" s="4"/>
      <c r="J1330" s="4"/>
      <c r="K1330" s="4"/>
      <c r="L1330" s="4"/>
      <c r="M1330" s="4"/>
      <c r="N1330" s="4"/>
      <c r="O1330" s="4"/>
      <c r="P1330" s="4"/>
      <c r="Q1330" s="4"/>
      <c r="R1330" s="14"/>
      <c r="S1330" s="14"/>
      <c r="T1330" s="14"/>
      <c r="U1330" s="14"/>
      <c r="V1330" s="14"/>
      <c r="W1330" s="14"/>
      <c r="X1330" s="1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G1330" s="4"/>
      <c r="BH1330" s="4"/>
    </row>
    <row r="1331" spans="1:60" x14ac:dyDescent="0.35">
      <c r="A1331" s="4"/>
      <c r="B1331" s="8" t="str">
        <f t="shared" si="94"/>
        <v/>
      </c>
      <c r="D1331" s="6" t="str">
        <f t="shared" si="95"/>
        <v/>
      </c>
      <c r="E1331" s="6" t="str">
        <f t="shared" si="96"/>
        <v/>
      </c>
      <c r="F1331" s="6" t="str">
        <f t="shared" si="97"/>
        <v/>
      </c>
      <c r="G1331" s="4"/>
      <c r="H1331" s="4"/>
      <c r="I1331" s="4"/>
      <c r="J1331" s="4"/>
      <c r="K1331" s="4"/>
      <c r="L1331" s="4"/>
      <c r="M1331" s="4"/>
      <c r="N1331" s="4"/>
      <c r="O1331" s="4"/>
      <c r="P1331" s="4"/>
      <c r="Q1331" s="4"/>
      <c r="R1331" s="14"/>
      <c r="S1331" s="14"/>
      <c r="T1331" s="14"/>
      <c r="U1331" s="14"/>
      <c r="V1331" s="14"/>
      <c r="W1331" s="14"/>
      <c r="X1331" s="1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G1331" s="4"/>
      <c r="BH1331" s="4"/>
    </row>
    <row r="1332" spans="1:60" x14ac:dyDescent="0.35">
      <c r="A1332" s="4"/>
      <c r="B1332" s="8" t="str">
        <f t="shared" si="94"/>
        <v/>
      </c>
      <c r="D1332" s="6" t="str">
        <f t="shared" si="95"/>
        <v/>
      </c>
      <c r="E1332" s="6" t="str">
        <f t="shared" si="96"/>
        <v/>
      </c>
      <c r="F1332" s="6" t="str">
        <f t="shared" si="97"/>
        <v/>
      </c>
      <c r="G1332" s="4"/>
      <c r="H1332" s="4"/>
      <c r="I1332" s="4"/>
      <c r="J1332" s="4"/>
      <c r="K1332" s="4"/>
      <c r="L1332" s="4"/>
      <c r="M1332" s="4"/>
      <c r="N1332" s="4"/>
      <c r="O1332" s="4"/>
      <c r="P1332" s="4"/>
      <c r="Q1332" s="4"/>
      <c r="R1332" s="14"/>
      <c r="S1332" s="14"/>
      <c r="T1332" s="14"/>
      <c r="U1332" s="14"/>
      <c r="V1332" s="14"/>
      <c r="W1332" s="14"/>
      <c r="X1332" s="1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G1332" s="4"/>
      <c r="BH1332" s="4"/>
    </row>
    <row r="1333" spans="1:60" x14ac:dyDescent="0.35">
      <c r="A1333" s="4"/>
      <c r="B1333" s="8" t="str">
        <f t="shared" si="94"/>
        <v/>
      </c>
      <c r="D1333" s="6" t="str">
        <f t="shared" si="95"/>
        <v/>
      </c>
      <c r="E1333" s="6" t="str">
        <f t="shared" si="96"/>
        <v/>
      </c>
      <c r="F1333" s="6" t="str">
        <f t="shared" si="97"/>
        <v/>
      </c>
      <c r="G1333" s="4"/>
      <c r="H1333" s="4"/>
      <c r="I1333" s="4"/>
      <c r="J1333" s="4"/>
      <c r="K1333" s="4"/>
      <c r="L1333" s="4"/>
      <c r="M1333" s="4"/>
      <c r="N1333" s="4"/>
      <c r="O1333" s="4"/>
      <c r="P1333" s="4"/>
      <c r="Q1333" s="4"/>
      <c r="R1333" s="14"/>
      <c r="S1333" s="14"/>
      <c r="T1333" s="14"/>
      <c r="U1333" s="14"/>
      <c r="V1333" s="14"/>
      <c r="W1333" s="14"/>
      <c r="X1333" s="1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G1333" s="4"/>
      <c r="BH1333" s="4"/>
    </row>
    <row r="1334" spans="1:60" x14ac:dyDescent="0.35">
      <c r="A1334" s="4"/>
      <c r="B1334" s="8" t="str">
        <f t="shared" si="94"/>
        <v/>
      </c>
      <c r="D1334" s="6" t="str">
        <f t="shared" si="95"/>
        <v/>
      </c>
      <c r="E1334" s="6" t="str">
        <f t="shared" si="96"/>
        <v/>
      </c>
      <c r="F1334" s="6" t="str">
        <f t="shared" si="97"/>
        <v/>
      </c>
      <c r="G1334" s="4"/>
      <c r="H1334" s="4"/>
      <c r="I1334" s="4"/>
      <c r="J1334" s="4"/>
      <c r="K1334" s="4"/>
      <c r="L1334" s="4"/>
      <c r="M1334" s="4"/>
      <c r="N1334" s="4"/>
      <c r="O1334" s="4"/>
      <c r="P1334" s="4"/>
      <c r="Q1334" s="4"/>
      <c r="R1334" s="14"/>
      <c r="S1334" s="14"/>
      <c r="T1334" s="14"/>
      <c r="U1334" s="14"/>
      <c r="V1334" s="14"/>
      <c r="W1334" s="14"/>
      <c r="X1334" s="1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G1334" s="4"/>
      <c r="BH1334" s="4"/>
    </row>
    <row r="1335" spans="1:60" x14ac:dyDescent="0.35">
      <c r="A1335" s="4"/>
      <c r="B1335" s="8" t="str">
        <f t="shared" si="94"/>
        <v/>
      </c>
      <c r="D1335" s="6" t="str">
        <f t="shared" si="95"/>
        <v/>
      </c>
      <c r="E1335" s="6" t="str">
        <f t="shared" si="96"/>
        <v/>
      </c>
      <c r="F1335" s="6" t="str">
        <f t="shared" si="97"/>
        <v/>
      </c>
      <c r="G1335" s="4"/>
      <c r="H1335" s="4"/>
      <c r="I1335" s="4"/>
      <c r="J1335" s="4"/>
      <c r="K1335" s="4"/>
      <c r="L1335" s="4"/>
      <c r="M1335" s="4"/>
      <c r="N1335" s="4"/>
      <c r="O1335" s="4"/>
      <c r="P1335" s="4"/>
      <c r="Q1335" s="4"/>
      <c r="R1335" s="14"/>
      <c r="S1335" s="14"/>
      <c r="T1335" s="14"/>
      <c r="U1335" s="14"/>
      <c r="V1335" s="14"/>
      <c r="W1335" s="14"/>
      <c r="X1335" s="1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G1335" s="4"/>
      <c r="BH1335" s="4"/>
    </row>
    <row r="1336" spans="1:60" x14ac:dyDescent="0.35">
      <c r="A1336" s="4"/>
      <c r="B1336" s="8" t="str">
        <f t="shared" si="94"/>
        <v/>
      </c>
      <c r="D1336" s="6" t="str">
        <f t="shared" si="95"/>
        <v/>
      </c>
      <c r="E1336" s="6" t="str">
        <f t="shared" si="96"/>
        <v/>
      </c>
      <c r="F1336" s="6" t="str">
        <f t="shared" si="97"/>
        <v/>
      </c>
      <c r="G1336" s="4"/>
      <c r="H1336" s="4"/>
      <c r="I1336" s="4"/>
      <c r="J1336" s="4"/>
      <c r="K1336" s="4"/>
      <c r="L1336" s="4"/>
      <c r="M1336" s="4"/>
      <c r="N1336" s="4"/>
      <c r="O1336" s="4"/>
      <c r="P1336" s="4"/>
      <c r="Q1336" s="4"/>
      <c r="R1336" s="14"/>
      <c r="S1336" s="14"/>
      <c r="T1336" s="14"/>
      <c r="U1336" s="14"/>
      <c r="V1336" s="14"/>
      <c r="W1336" s="14"/>
      <c r="X1336" s="1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G1336" s="4"/>
      <c r="BH1336" s="4"/>
    </row>
    <row r="1337" spans="1:60" x14ac:dyDescent="0.35">
      <c r="A1337" s="4"/>
      <c r="B1337" s="8" t="str">
        <f t="shared" si="94"/>
        <v/>
      </c>
      <c r="D1337" s="6" t="str">
        <f t="shared" si="95"/>
        <v/>
      </c>
      <c r="E1337" s="6" t="str">
        <f t="shared" si="96"/>
        <v/>
      </c>
      <c r="F1337" s="6" t="str">
        <f t="shared" si="97"/>
        <v/>
      </c>
      <c r="G1337" s="4"/>
      <c r="H1337" s="4"/>
      <c r="I1337" s="4"/>
      <c r="J1337" s="4"/>
      <c r="K1337" s="4"/>
      <c r="L1337" s="4"/>
      <c r="M1337" s="4"/>
      <c r="N1337" s="4"/>
      <c r="O1337" s="4"/>
      <c r="P1337" s="4"/>
      <c r="Q1337" s="4"/>
      <c r="R1337" s="14"/>
      <c r="S1337" s="14"/>
      <c r="T1337" s="14"/>
      <c r="U1337" s="14"/>
      <c r="V1337" s="14"/>
      <c r="W1337" s="14"/>
      <c r="X1337" s="1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G1337" s="4"/>
      <c r="BH1337" s="4"/>
    </row>
    <row r="1338" spans="1:60" x14ac:dyDescent="0.35">
      <c r="A1338" s="4"/>
      <c r="B1338" s="8" t="str">
        <f t="shared" si="94"/>
        <v/>
      </c>
      <c r="D1338" s="6" t="str">
        <f t="shared" si="95"/>
        <v/>
      </c>
      <c r="E1338" s="6" t="str">
        <f t="shared" si="96"/>
        <v/>
      </c>
      <c r="F1338" s="6" t="str">
        <f t="shared" si="97"/>
        <v/>
      </c>
      <c r="G1338" s="4"/>
      <c r="H1338" s="4"/>
      <c r="I1338" s="4"/>
      <c r="J1338" s="4"/>
      <c r="K1338" s="4"/>
      <c r="L1338" s="4"/>
      <c r="M1338" s="4"/>
      <c r="N1338" s="4"/>
      <c r="O1338" s="4"/>
      <c r="P1338" s="4"/>
      <c r="Q1338" s="4"/>
      <c r="R1338" s="14"/>
      <c r="S1338" s="14"/>
      <c r="T1338" s="14"/>
      <c r="U1338" s="14"/>
      <c r="V1338" s="14"/>
      <c r="W1338" s="14"/>
      <c r="X1338" s="1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G1338" s="4"/>
      <c r="BH1338" s="4"/>
    </row>
    <row r="1339" spans="1:60" x14ac:dyDescent="0.35">
      <c r="A1339" s="4"/>
      <c r="B1339" s="8" t="str">
        <f t="shared" si="94"/>
        <v/>
      </c>
      <c r="D1339" s="6" t="str">
        <f t="shared" si="95"/>
        <v/>
      </c>
      <c r="E1339" s="6" t="str">
        <f t="shared" si="96"/>
        <v/>
      </c>
      <c r="F1339" s="6" t="str">
        <f t="shared" si="97"/>
        <v/>
      </c>
      <c r="G1339" s="4"/>
      <c r="H1339" s="4"/>
      <c r="I1339" s="4"/>
      <c r="J1339" s="4"/>
      <c r="K1339" s="4"/>
      <c r="L1339" s="4"/>
      <c r="M1339" s="4"/>
      <c r="N1339" s="4"/>
      <c r="O1339" s="4"/>
      <c r="P1339" s="4"/>
      <c r="Q1339" s="4"/>
      <c r="R1339" s="14"/>
      <c r="S1339" s="14"/>
      <c r="T1339" s="14"/>
      <c r="U1339" s="14"/>
      <c r="V1339" s="14"/>
      <c r="W1339" s="14"/>
      <c r="X1339" s="1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G1339" s="4"/>
      <c r="BH1339" s="4"/>
    </row>
    <row r="1340" spans="1:60" x14ac:dyDescent="0.35">
      <c r="A1340" s="4"/>
      <c r="B1340" s="8" t="str">
        <f t="shared" si="94"/>
        <v/>
      </c>
      <c r="D1340" s="6" t="str">
        <f t="shared" si="95"/>
        <v/>
      </c>
      <c r="E1340" s="6" t="str">
        <f t="shared" si="96"/>
        <v/>
      </c>
      <c r="F1340" s="6" t="str">
        <f t="shared" si="97"/>
        <v/>
      </c>
      <c r="G1340" s="4"/>
      <c r="H1340" s="4"/>
      <c r="I1340" s="4"/>
      <c r="J1340" s="4"/>
      <c r="K1340" s="4"/>
      <c r="L1340" s="4"/>
      <c r="M1340" s="4"/>
      <c r="N1340" s="4"/>
      <c r="O1340" s="4"/>
      <c r="P1340" s="4"/>
      <c r="Q1340" s="4"/>
      <c r="R1340" s="14"/>
      <c r="S1340" s="14"/>
      <c r="T1340" s="14"/>
      <c r="U1340" s="14"/>
      <c r="V1340" s="14"/>
      <c r="W1340" s="14"/>
      <c r="X1340" s="1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G1340" s="4"/>
      <c r="BH1340" s="4"/>
    </row>
    <row r="1341" spans="1:60" x14ac:dyDescent="0.35">
      <c r="A1341" s="4"/>
      <c r="B1341" s="8" t="str">
        <f t="shared" ref="B1341:B1404" si="98">RIGHT(A1341,4)</f>
        <v/>
      </c>
      <c r="D1341" s="6" t="str">
        <f t="shared" ref="D1341:D1404" si="99">IF(C1341="","",VLOOKUP(C1341,district_region,2,FALSE))</f>
        <v/>
      </c>
      <c r="E1341" s="6" t="str">
        <f t="shared" ref="E1341:E1404" si="100">IF(C1341="","",VLOOKUP(C1341,liste_pop,3,FALSE))</f>
        <v/>
      </c>
      <c r="F1341" s="6" t="str">
        <f t="shared" ref="F1341:F1404" si="101">IF(D1341="","",IF(D1341="Dakar",4042240,VLOOKUP(D1341,liste_pop,4,FALSE)))</f>
        <v/>
      </c>
      <c r="G1341" s="4"/>
      <c r="H1341" s="4"/>
      <c r="I1341" s="4"/>
      <c r="J1341" s="4"/>
      <c r="K1341" s="4"/>
      <c r="L1341" s="4"/>
      <c r="M1341" s="4"/>
      <c r="N1341" s="4"/>
      <c r="O1341" s="4"/>
      <c r="P1341" s="4"/>
      <c r="Q1341" s="4"/>
      <c r="R1341" s="14"/>
      <c r="S1341" s="14"/>
      <c r="T1341" s="14"/>
      <c r="U1341" s="14"/>
      <c r="V1341" s="14"/>
      <c r="W1341" s="14"/>
      <c r="X1341" s="1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G1341" s="4"/>
      <c r="BH1341" s="4"/>
    </row>
    <row r="1342" spans="1:60" x14ac:dyDescent="0.35">
      <c r="A1342" s="4"/>
      <c r="B1342" s="8" t="str">
        <f t="shared" si="98"/>
        <v/>
      </c>
      <c r="D1342" s="6" t="str">
        <f t="shared" si="99"/>
        <v/>
      </c>
      <c r="E1342" s="6" t="str">
        <f t="shared" si="100"/>
        <v/>
      </c>
      <c r="F1342" s="6" t="str">
        <f t="shared" si="101"/>
        <v/>
      </c>
      <c r="G1342" s="4"/>
      <c r="H1342" s="4"/>
      <c r="I1342" s="4"/>
      <c r="J1342" s="4"/>
      <c r="K1342" s="4"/>
      <c r="L1342" s="4"/>
      <c r="M1342" s="4"/>
      <c r="N1342" s="4"/>
      <c r="O1342" s="4"/>
      <c r="P1342" s="4"/>
      <c r="Q1342" s="4"/>
      <c r="R1342" s="14"/>
      <c r="S1342" s="14"/>
      <c r="T1342" s="14"/>
      <c r="U1342" s="14"/>
      <c r="V1342" s="14"/>
      <c r="W1342" s="14"/>
      <c r="X1342" s="1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G1342" s="4"/>
      <c r="BH1342" s="4"/>
    </row>
    <row r="1343" spans="1:60" x14ac:dyDescent="0.35">
      <c r="A1343" s="4"/>
      <c r="B1343" s="8" t="str">
        <f t="shared" si="98"/>
        <v/>
      </c>
      <c r="D1343" s="6" t="str">
        <f t="shared" si="99"/>
        <v/>
      </c>
      <c r="E1343" s="6" t="str">
        <f t="shared" si="100"/>
        <v/>
      </c>
      <c r="F1343" s="6" t="str">
        <f t="shared" si="101"/>
        <v/>
      </c>
      <c r="G1343" s="4"/>
      <c r="H1343" s="4"/>
      <c r="I1343" s="4"/>
      <c r="J1343" s="4"/>
      <c r="K1343" s="4"/>
      <c r="L1343" s="4"/>
      <c r="M1343" s="4"/>
      <c r="N1343" s="4"/>
      <c r="O1343" s="4"/>
      <c r="P1343" s="4"/>
      <c r="Q1343" s="4"/>
      <c r="R1343" s="14"/>
      <c r="S1343" s="14"/>
      <c r="T1343" s="14"/>
      <c r="U1343" s="14"/>
      <c r="V1343" s="14"/>
      <c r="W1343" s="14"/>
      <c r="X1343" s="1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G1343" s="4"/>
      <c r="BH1343" s="4"/>
    </row>
    <row r="1344" spans="1:60" x14ac:dyDescent="0.35">
      <c r="A1344" s="4"/>
      <c r="B1344" s="8" t="str">
        <f t="shared" si="98"/>
        <v/>
      </c>
      <c r="D1344" s="6" t="str">
        <f t="shared" si="99"/>
        <v/>
      </c>
      <c r="E1344" s="6" t="str">
        <f t="shared" si="100"/>
        <v/>
      </c>
      <c r="F1344" s="6" t="str">
        <f t="shared" si="101"/>
        <v/>
      </c>
      <c r="G1344" s="4"/>
      <c r="H1344" s="4"/>
      <c r="I1344" s="4"/>
      <c r="J1344" s="4"/>
      <c r="K1344" s="4"/>
      <c r="L1344" s="4"/>
      <c r="M1344" s="4"/>
      <c r="N1344" s="4"/>
      <c r="O1344" s="4"/>
      <c r="P1344" s="4"/>
      <c r="Q1344" s="4"/>
      <c r="R1344" s="14"/>
      <c r="S1344" s="14"/>
      <c r="T1344" s="14"/>
      <c r="U1344" s="14"/>
      <c r="V1344" s="14"/>
      <c r="W1344" s="14"/>
      <c r="X1344" s="1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G1344" s="4"/>
      <c r="BH1344" s="4"/>
    </row>
    <row r="1345" spans="1:60" x14ac:dyDescent="0.35">
      <c r="A1345" s="4"/>
      <c r="B1345" s="8" t="str">
        <f t="shared" si="98"/>
        <v/>
      </c>
      <c r="D1345" s="6" t="str">
        <f t="shared" si="99"/>
        <v/>
      </c>
      <c r="E1345" s="6" t="str">
        <f t="shared" si="100"/>
        <v/>
      </c>
      <c r="F1345" s="6" t="str">
        <f t="shared" si="101"/>
        <v/>
      </c>
      <c r="G1345" s="4"/>
      <c r="H1345" s="4"/>
      <c r="I1345" s="4"/>
      <c r="J1345" s="4"/>
      <c r="K1345" s="4"/>
      <c r="L1345" s="4"/>
      <c r="M1345" s="4"/>
      <c r="N1345" s="4"/>
      <c r="O1345" s="4"/>
      <c r="P1345" s="4"/>
      <c r="Q1345" s="4"/>
      <c r="R1345" s="14"/>
      <c r="S1345" s="14"/>
      <c r="T1345" s="14"/>
      <c r="U1345" s="14"/>
      <c r="V1345" s="14"/>
      <c r="W1345" s="14"/>
      <c r="X1345" s="1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G1345" s="4"/>
      <c r="BH1345" s="4"/>
    </row>
    <row r="1346" spans="1:60" x14ac:dyDescent="0.35">
      <c r="A1346" s="4"/>
      <c r="B1346" s="8" t="str">
        <f t="shared" si="98"/>
        <v/>
      </c>
      <c r="D1346" s="6" t="str">
        <f t="shared" si="99"/>
        <v/>
      </c>
      <c r="E1346" s="6" t="str">
        <f t="shared" si="100"/>
        <v/>
      </c>
      <c r="F1346" s="6" t="str">
        <f t="shared" si="101"/>
        <v/>
      </c>
      <c r="G1346" s="4"/>
      <c r="H1346" s="4"/>
      <c r="I1346" s="4"/>
      <c r="J1346" s="4"/>
      <c r="K1346" s="4"/>
      <c r="L1346" s="4"/>
      <c r="M1346" s="4"/>
      <c r="N1346" s="4"/>
      <c r="O1346" s="4"/>
      <c r="P1346" s="4"/>
      <c r="Q1346" s="4"/>
      <c r="R1346" s="14"/>
      <c r="S1346" s="14"/>
      <c r="T1346" s="14"/>
      <c r="U1346" s="14"/>
      <c r="V1346" s="14"/>
      <c r="W1346" s="14"/>
      <c r="X1346" s="1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G1346" s="4"/>
      <c r="BH1346" s="4"/>
    </row>
    <row r="1347" spans="1:60" x14ac:dyDescent="0.35">
      <c r="A1347" s="4"/>
      <c r="B1347" s="8" t="str">
        <f t="shared" si="98"/>
        <v/>
      </c>
      <c r="D1347" s="6" t="str">
        <f t="shared" si="99"/>
        <v/>
      </c>
      <c r="E1347" s="6" t="str">
        <f t="shared" si="100"/>
        <v/>
      </c>
      <c r="F1347" s="6" t="str">
        <f t="shared" si="101"/>
        <v/>
      </c>
      <c r="G1347" s="4"/>
      <c r="H1347" s="4"/>
      <c r="I1347" s="4"/>
      <c r="J1347" s="4"/>
      <c r="K1347" s="4"/>
      <c r="L1347" s="4"/>
      <c r="M1347" s="4"/>
      <c r="N1347" s="4"/>
      <c r="O1347" s="4"/>
      <c r="P1347" s="4"/>
      <c r="Q1347" s="4"/>
      <c r="R1347" s="14"/>
      <c r="S1347" s="14"/>
      <c r="T1347" s="14"/>
      <c r="U1347" s="14"/>
      <c r="V1347" s="14"/>
      <c r="W1347" s="14"/>
      <c r="X1347" s="1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G1347" s="4"/>
      <c r="BH1347" s="4"/>
    </row>
    <row r="1348" spans="1:60" x14ac:dyDescent="0.35">
      <c r="A1348" s="4"/>
      <c r="B1348" s="8" t="str">
        <f t="shared" si="98"/>
        <v/>
      </c>
      <c r="D1348" s="6" t="str">
        <f t="shared" si="99"/>
        <v/>
      </c>
      <c r="E1348" s="6" t="str">
        <f t="shared" si="100"/>
        <v/>
      </c>
      <c r="F1348" s="6" t="str">
        <f t="shared" si="101"/>
        <v/>
      </c>
      <c r="G1348" s="4"/>
      <c r="H1348" s="4"/>
      <c r="I1348" s="4"/>
      <c r="J1348" s="4"/>
      <c r="K1348" s="4"/>
      <c r="L1348" s="4"/>
      <c r="M1348" s="4"/>
      <c r="N1348" s="4"/>
      <c r="O1348" s="4"/>
      <c r="P1348" s="4"/>
      <c r="Q1348" s="4"/>
      <c r="R1348" s="14"/>
      <c r="S1348" s="14"/>
      <c r="T1348" s="14"/>
      <c r="U1348" s="14"/>
      <c r="V1348" s="14"/>
      <c r="W1348" s="14"/>
      <c r="X1348" s="1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G1348" s="4"/>
      <c r="BH1348" s="4"/>
    </row>
    <row r="1349" spans="1:60" x14ac:dyDescent="0.35">
      <c r="A1349" s="4"/>
      <c r="B1349" s="8" t="str">
        <f t="shared" si="98"/>
        <v/>
      </c>
      <c r="D1349" s="6" t="str">
        <f t="shared" si="99"/>
        <v/>
      </c>
      <c r="E1349" s="6" t="str">
        <f t="shared" si="100"/>
        <v/>
      </c>
      <c r="F1349" s="6" t="str">
        <f t="shared" si="101"/>
        <v/>
      </c>
      <c r="G1349" s="4"/>
      <c r="H1349" s="4"/>
      <c r="I1349" s="4"/>
      <c r="J1349" s="4"/>
      <c r="K1349" s="4"/>
      <c r="L1349" s="4"/>
      <c r="M1349" s="4"/>
      <c r="N1349" s="4"/>
      <c r="O1349" s="4"/>
      <c r="P1349" s="4"/>
      <c r="Q1349" s="4"/>
      <c r="R1349" s="14"/>
      <c r="S1349" s="14"/>
      <c r="T1349" s="14"/>
      <c r="U1349" s="14"/>
      <c r="V1349" s="14"/>
      <c r="W1349" s="14"/>
      <c r="X1349" s="1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c r="BC1349" s="4"/>
      <c r="BD1349" s="4"/>
      <c r="BE1349" s="4"/>
      <c r="BG1349" s="4"/>
      <c r="BH1349" s="4"/>
    </row>
    <row r="1350" spans="1:60" x14ac:dyDescent="0.35">
      <c r="A1350" s="4"/>
      <c r="B1350" s="8" t="str">
        <f t="shared" si="98"/>
        <v/>
      </c>
      <c r="D1350" s="6" t="str">
        <f t="shared" si="99"/>
        <v/>
      </c>
      <c r="E1350" s="6" t="str">
        <f t="shared" si="100"/>
        <v/>
      </c>
      <c r="F1350" s="6" t="str">
        <f t="shared" si="101"/>
        <v/>
      </c>
      <c r="G1350" s="4"/>
      <c r="H1350" s="4"/>
      <c r="I1350" s="4"/>
      <c r="J1350" s="4"/>
      <c r="K1350" s="4"/>
      <c r="L1350" s="4"/>
      <c r="M1350" s="4"/>
      <c r="N1350" s="4"/>
      <c r="O1350" s="4"/>
      <c r="P1350" s="4"/>
      <c r="Q1350" s="4"/>
      <c r="R1350" s="14"/>
      <c r="S1350" s="14"/>
      <c r="T1350" s="14"/>
      <c r="U1350" s="14"/>
      <c r="V1350" s="14"/>
      <c r="W1350" s="14"/>
      <c r="X1350" s="1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c r="BC1350" s="4"/>
      <c r="BD1350" s="4"/>
      <c r="BE1350" s="4"/>
      <c r="BG1350" s="4"/>
      <c r="BH1350" s="4"/>
    </row>
    <row r="1351" spans="1:60" x14ac:dyDescent="0.35">
      <c r="A1351" s="4"/>
      <c r="B1351" s="8" t="str">
        <f t="shared" si="98"/>
        <v/>
      </c>
      <c r="D1351" s="6" t="str">
        <f t="shared" si="99"/>
        <v/>
      </c>
      <c r="E1351" s="6" t="str">
        <f t="shared" si="100"/>
        <v/>
      </c>
      <c r="F1351" s="6" t="str">
        <f t="shared" si="101"/>
        <v/>
      </c>
      <c r="G1351" s="4"/>
      <c r="H1351" s="4"/>
      <c r="I1351" s="4"/>
      <c r="J1351" s="4"/>
      <c r="K1351" s="4"/>
      <c r="L1351" s="4"/>
      <c r="M1351" s="4"/>
      <c r="N1351" s="4"/>
      <c r="O1351" s="4"/>
      <c r="P1351" s="4"/>
      <c r="Q1351" s="4"/>
      <c r="R1351" s="14"/>
      <c r="S1351" s="14"/>
      <c r="T1351" s="14"/>
      <c r="U1351" s="14"/>
      <c r="V1351" s="14"/>
      <c r="W1351" s="14"/>
      <c r="X1351" s="1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c r="BC1351" s="4"/>
      <c r="BD1351" s="4"/>
      <c r="BE1351" s="4"/>
      <c r="BG1351" s="4"/>
      <c r="BH1351" s="4"/>
    </row>
    <row r="1352" spans="1:60" x14ac:dyDescent="0.35">
      <c r="A1352" s="4"/>
      <c r="B1352" s="8" t="str">
        <f t="shared" si="98"/>
        <v/>
      </c>
      <c r="D1352" s="6" t="str">
        <f t="shared" si="99"/>
        <v/>
      </c>
      <c r="E1352" s="6" t="str">
        <f t="shared" si="100"/>
        <v/>
      </c>
      <c r="F1352" s="6" t="str">
        <f t="shared" si="101"/>
        <v/>
      </c>
      <c r="G1352" s="4"/>
      <c r="H1352" s="4"/>
      <c r="I1352" s="4"/>
      <c r="J1352" s="4"/>
      <c r="K1352" s="4"/>
      <c r="L1352" s="4"/>
      <c r="M1352" s="4"/>
      <c r="N1352" s="4"/>
      <c r="O1352" s="4"/>
      <c r="P1352" s="4"/>
      <c r="Q1352" s="4"/>
      <c r="R1352" s="14"/>
      <c r="S1352" s="14"/>
      <c r="T1352" s="14"/>
      <c r="U1352" s="14"/>
      <c r="V1352" s="14"/>
      <c r="W1352" s="14"/>
      <c r="X1352" s="1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G1352" s="4"/>
      <c r="BH1352" s="4"/>
    </row>
    <row r="1353" spans="1:60" x14ac:dyDescent="0.35">
      <c r="A1353" s="4"/>
      <c r="B1353" s="8" t="str">
        <f t="shared" si="98"/>
        <v/>
      </c>
      <c r="D1353" s="6" t="str">
        <f t="shared" si="99"/>
        <v/>
      </c>
      <c r="E1353" s="6" t="str">
        <f t="shared" si="100"/>
        <v/>
      </c>
      <c r="F1353" s="6" t="str">
        <f t="shared" si="101"/>
        <v/>
      </c>
      <c r="G1353" s="4"/>
      <c r="H1353" s="4"/>
      <c r="I1353" s="4"/>
      <c r="J1353" s="4"/>
      <c r="K1353" s="4"/>
      <c r="L1353" s="4"/>
      <c r="M1353" s="4"/>
      <c r="N1353" s="4"/>
      <c r="O1353" s="4"/>
      <c r="P1353" s="4"/>
      <c r="Q1353" s="4"/>
      <c r="R1353" s="14"/>
      <c r="S1353" s="14"/>
      <c r="T1353" s="14"/>
      <c r="U1353" s="14"/>
      <c r="V1353" s="14"/>
      <c r="W1353" s="14"/>
      <c r="X1353" s="1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c r="BD1353" s="4"/>
      <c r="BE1353" s="4"/>
      <c r="BG1353" s="4"/>
      <c r="BH1353" s="4"/>
    </row>
    <row r="1354" spans="1:60" x14ac:dyDescent="0.35">
      <c r="A1354" s="4"/>
      <c r="B1354" s="8" t="str">
        <f t="shared" si="98"/>
        <v/>
      </c>
      <c r="D1354" s="6" t="str">
        <f t="shared" si="99"/>
        <v/>
      </c>
      <c r="E1354" s="6" t="str">
        <f t="shared" si="100"/>
        <v/>
      </c>
      <c r="F1354" s="6" t="str">
        <f t="shared" si="101"/>
        <v/>
      </c>
      <c r="G1354" s="4"/>
      <c r="H1354" s="4"/>
      <c r="I1354" s="4"/>
      <c r="J1354" s="4"/>
      <c r="K1354" s="4"/>
      <c r="L1354" s="4"/>
      <c r="M1354" s="4"/>
      <c r="N1354" s="4"/>
      <c r="O1354" s="4"/>
      <c r="P1354" s="4"/>
      <c r="Q1354" s="4"/>
      <c r="R1354" s="14"/>
      <c r="S1354" s="14"/>
      <c r="T1354" s="14"/>
      <c r="U1354" s="14"/>
      <c r="V1354" s="14"/>
      <c r="W1354" s="14"/>
      <c r="X1354" s="1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c r="BC1354" s="4"/>
      <c r="BD1354" s="4"/>
      <c r="BE1354" s="4"/>
      <c r="BG1354" s="4"/>
      <c r="BH1354" s="4"/>
    </row>
    <row r="1355" spans="1:60" x14ac:dyDescent="0.35">
      <c r="A1355" s="4"/>
      <c r="B1355" s="8" t="str">
        <f t="shared" si="98"/>
        <v/>
      </c>
      <c r="D1355" s="6" t="str">
        <f t="shared" si="99"/>
        <v/>
      </c>
      <c r="E1355" s="6" t="str">
        <f t="shared" si="100"/>
        <v/>
      </c>
      <c r="F1355" s="6" t="str">
        <f t="shared" si="101"/>
        <v/>
      </c>
      <c r="G1355" s="4"/>
      <c r="H1355" s="4"/>
      <c r="I1355" s="4"/>
      <c r="J1355" s="4"/>
      <c r="K1355" s="4"/>
      <c r="L1355" s="4"/>
      <c r="M1355" s="4"/>
      <c r="N1355" s="4"/>
      <c r="O1355" s="4"/>
      <c r="P1355" s="4"/>
      <c r="Q1355" s="4"/>
      <c r="R1355" s="14"/>
      <c r="S1355" s="14"/>
      <c r="T1355" s="14"/>
      <c r="U1355" s="14"/>
      <c r="V1355" s="14"/>
      <c r="W1355" s="14"/>
      <c r="X1355" s="1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G1355" s="4"/>
      <c r="BH1355" s="4"/>
    </row>
    <row r="1356" spans="1:60" x14ac:dyDescent="0.35">
      <c r="A1356" s="4"/>
      <c r="B1356" s="8" t="str">
        <f t="shared" si="98"/>
        <v/>
      </c>
      <c r="D1356" s="6" t="str">
        <f t="shared" si="99"/>
        <v/>
      </c>
      <c r="E1356" s="6" t="str">
        <f t="shared" si="100"/>
        <v/>
      </c>
      <c r="F1356" s="6" t="str">
        <f t="shared" si="101"/>
        <v/>
      </c>
      <c r="G1356" s="4"/>
      <c r="H1356" s="4"/>
      <c r="I1356" s="4"/>
      <c r="J1356" s="4"/>
      <c r="K1356" s="4"/>
      <c r="L1356" s="4"/>
      <c r="M1356" s="4"/>
      <c r="N1356" s="4"/>
      <c r="O1356" s="4"/>
      <c r="P1356" s="4"/>
      <c r="Q1356" s="4"/>
      <c r="R1356" s="14"/>
      <c r="S1356" s="14"/>
      <c r="T1356" s="14"/>
      <c r="U1356" s="14"/>
      <c r="V1356" s="14"/>
      <c r="W1356" s="14"/>
      <c r="X1356" s="1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c r="BC1356" s="4"/>
      <c r="BD1356" s="4"/>
      <c r="BE1356" s="4"/>
      <c r="BG1356" s="4"/>
      <c r="BH1356" s="4"/>
    </row>
    <row r="1357" spans="1:60" x14ac:dyDescent="0.35">
      <c r="A1357" s="4"/>
      <c r="B1357" s="8" t="str">
        <f t="shared" si="98"/>
        <v/>
      </c>
      <c r="D1357" s="6" t="str">
        <f t="shared" si="99"/>
        <v/>
      </c>
      <c r="E1357" s="6" t="str">
        <f t="shared" si="100"/>
        <v/>
      </c>
      <c r="F1357" s="6" t="str">
        <f t="shared" si="101"/>
        <v/>
      </c>
      <c r="G1357" s="4"/>
      <c r="H1357" s="4"/>
      <c r="I1357" s="4"/>
      <c r="J1357" s="4"/>
      <c r="K1357" s="4"/>
      <c r="L1357" s="4"/>
      <c r="M1357" s="4"/>
      <c r="N1357" s="4"/>
      <c r="O1357" s="4"/>
      <c r="P1357" s="4"/>
      <c r="Q1357" s="4"/>
      <c r="R1357" s="14"/>
      <c r="S1357" s="14"/>
      <c r="T1357" s="14"/>
      <c r="U1357" s="14"/>
      <c r="V1357" s="14"/>
      <c r="W1357" s="14"/>
      <c r="X1357" s="14"/>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c r="BC1357" s="4"/>
      <c r="BD1357" s="4"/>
      <c r="BE1357" s="4"/>
      <c r="BG1357" s="4"/>
      <c r="BH1357" s="4"/>
    </row>
    <row r="1358" spans="1:60" x14ac:dyDescent="0.35">
      <c r="A1358" s="4"/>
      <c r="B1358" s="8" t="str">
        <f t="shared" si="98"/>
        <v/>
      </c>
      <c r="D1358" s="6" t="str">
        <f t="shared" si="99"/>
        <v/>
      </c>
      <c r="E1358" s="6" t="str">
        <f t="shared" si="100"/>
        <v/>
      </c>
      <c r="F1358" s="6" t="str">
        <f t="shared" si="101"/>
        <v/>
      </c>
      <c r="G1358" s="4"/>
      <c r="H1358" s="4"/>
      <c r="I1358" s="4"/>
      <c r="J1358" s="4"/>
      <c r="K1358" s="4"/>
      <c r="L1358" s="4"/>
      <c r="M1358" s="4"/>
      <c r="N1358" s="4"/>
      <c r="O1358" s="4"/>
      <c r="P1358" s="4"/>
      <c r="Q1358" s="4"/>
      <c r="R1358" s="14"/>
      <c r="S1358" s="14"/>
      <c r="T1358" s="14"/>
      <c r="U1358" s="14"/>
      <c r="V1358" s="14"/>
      <c r="W1358" s="14"/>
      <c r="X1358" s="1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c r="BC1358" s="4"/>
      <c r="BD1358" s="4"/>
      <c r="BE1358" s="4"/>
      <c r="BG1358" s="4"/>
      <c r="BH1358" s="4"/>
    </row>
    <row r="1359" spans="1:60" x14ac:dyDescent="0.35">
      <c r="A1359" s="4"/>
      <c r="B1359" s="8" t="str">
        <f t="shared" si="98"/>
        <v/>
      </c>
      <c r="D1359" s="6" t="str">
        <f t="shared" si="99"/>
        <v/>
      </c>
      <c r="E1359" s="6" t="str">
        <f t="shared" si="100"/>
        <v/>
      </c>
      <c r="F1359" s="6" t="str">
        <f t="shared" si="101"/>
        <v/>
      </c>
      <c r="G1359" s="4"/>
      <c r="H1359" s="4"/>
      <c r="I1359" s="4"/>
      <c r="J1359" s="4"/>
      <c r="K1359" s="4"/>
      <c r="L1359" s="4"/>
      <c r="M1359" s="4"/>
      <c r="N1359" s="4"/>
      <c r="O1359" s="4"/>
      <c r="P1359" s="4"/>
      <c r="Q1359" s="4"/>
      <c r="R1359" s="14"/>
      <c r="S1359" s="14"/>
      <c r="T1359" s="14"/>
      <c r="U1359" s="14"/>
      <c r="V1359" s="14"/>
      <c r="W1359" s="14"/>
      <c r="X1359" s="1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G1359" s="4"/>
      <c r="BH1359" s="4"/>
    </row>
    <row r="1360" spans="1:60" x14ac:dyDescent="0.35">
      <c r="A1360" s="4"/>
      <c r="B1360" s="8" t="str">
        <f t="shared" si="98"/>
        <v/>
      </c>
      <c r="D1360" s="6" t="str">
        <f t="shared" si="99"/>
        <v/>
      </c>
      <c r="E1360" s="6" t="str">
        <f t="shared" si="100"/>
        <v/>
      </c>
      <c r="F1360" s="6" t="str">
        <f t="shared" si="101"/>
        <v/>
      </c>
      <c r="G1360" s="4"/>
      <c r="H1360" s="4"/>
      <c r="I1360" s="4"/>
      <c r="J1360" s="4"/>
      <c r="K1360" s="4"/>
      <c r="L1360" s="4"/>
      <c r="M1360" s="4"/>
      <c r="N1360" s="4"/>
      <c r="O1360" s="4"/>
      <c r="P1360" s="4"/>
      <c r="Q1360" s="4"/>
      <c r="R1360" s="14"/>
      <c r="S1360" s="14"/>
      <c r="T1360" s="14"/>
      <c r="U1360" s="14"/>
      <c r="V1360" s="14"/>
      <c r="W1360" s="14"/>
      <c r="X1360" s="1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G1360" s="4"/>
      <c r="BH1360" s="4"/>
    </row>
    <row r="1361" spans="1:60" x14ac:dyDescent="0.35">
      <c r="A1361" s="4"/>
      <c r="B1361" s="8" t="str">
        <f t="shared" si="98"/>
        <v/>
      </c>
      <c r="D1361" s="6" t="str">
        <f t="shared" si="99"/>
        <v/>
      </c>
      <c r="E1361" s="6" t="str">
        <f t="shared" si="100"/>
        <v/>
      </c>
      <c r="F1361" s="6" t="str">
        <f t="shared" si="101"/>
        <v/>
      </c>
      <c r="G1361" s="4"/>
      <c r="H1361" s="4"/>
      <c r="I1361" s="4"/>
      <c r="J1361" s="4"/>
      <c r="K1361" s="4"/>
      <c r="L1361" s="4"/>
      <c r="M1361" s="4"/>
      <c r="N1361" s="4"/>
      <c r="O1361" s="4"/>
      <c r="P1361" s="4"/>
      <c r="Q1361" s="4"/>
      <c r="R1361" s="14"/>
      <c r="S1361" s="14"/>
      <c r="T1361" s="14"/>
      <c r="U1361" s="14"/>
      <c r="V1361" s="14"/>
      <c r="W1361" s="14"/>
      <c r="X1361" s="1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G1361" s="4"/>
      <c r="BH1361" s="4"/>
    </row>
    <row r="1362" spans="1:60" x14ac:dyDescent="0.35">
      <c r="A1362" s="4"/>
      <c r="B1362" s="8" t="str">
        <f t="shared" si="98"/>
        <v/>
      </c>
      <c r="D1362" s="6" t="str">
        <f t="shared" si="99"/>
        <v/>
      </c>
      <c r="E1362" s="6" t="str">
        <f t="shared" si="100"/>
        <v/>
      </c>
      <c r="F1362" s="6" t="str">
        <f t="shared" si="101"/>
        <v/>
      </c>
      <c r="G1362" s="4"/>
      <c r="H1362" s="4"/>
      <c r="I1362" s="4"/>
      <c r="J1362" s="4"/>
      <c r="K1362" s="4"/>
      <c r="L1362" s="4"/>
      <c r="M1362" s="4"/>
      <c r="N1362" s="4"/>
      <c r="O1362" s="4"/>
      <c r="P1362" s="4"/>
      <c r="Q1362" s="4"/>
      <c r="R1362" s="14"/>
      <c r="S1362" s="14"/>
      <c r="T1362" s="14"/>
      <c r="U1362" s="14"/>
      <c r="V1362" s="14"/>
      <c r="W1362" s="14"/>
      <c r="X1362" s="1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G1362" s="4"/>
      <c r="BH1362" s="4"/>
    </row>
    <row r="1363" spans="1:60" x14ac:dyDescent="0.35">
      <c r="A1363" s="4"/>
      <c r="B1363" s="8" t="str">
        <f t="shared" si="98"/>
        <v/>
      </c>
      <c r="D1363" s="6" t="str">
        <f t="shared" si="99"/>
        <v/>
      </c>
      <c r="E1363" s="6" t="str">
        <f t="shared" si="100"/>
        <v/>
      </c>
      <c r="F1363" s="6" t="str">
        <f t="shared" si="101"/>
        <v/>
      </c>
      <c r="G1363" s="4"/>
      <c r="H1363" s="4"/>
      <c r="I1363" s="4"/>
      <c r="J1363" s="4"/>
      <c r="K1363" s="4"/>
      <c r="L1363" s="4"/>
      <c r="M1363" s="4"/>
      <c r="N1363" s="4"/>
      <c r="O1363" s="4"/>
      <c r="P1363" s="4"/>
      <c r="Q1363" s="4"/>
      <c r="R1363" s="14"/>
      <c r="S1363" s="14"/>
      <c r="T1363" s="14"/>
      <c r="U1363" s="14"/>
      <c r="V1363" s="14"/>
      <c r="W1363" s="14"/>
      <c r="X1363" s="1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G1363" s="4"/>
      <c r="BH1363" s="4"/>
    </row>
    <row r="1364" spans="1:60" x14ac:dyDescent="0.35">
      <c r="A1364" s="4"/>
      <c r="B1364" s="8" t="str">
        <f t="shared" si="98"/>
        <v/>
      </c>
      <c r="D1364" s="6" t="str">
        <f t="shared" si="99"/>
        <v/>
      </c>
      <c r="E1364" s="6" t="str">
        <f t="shared" si="100"/>
        <v/>
      </c>
      <c r="F1364" s="6" t="str">
        <f t="shared" si="101"/>
        <v/>
      </c>
      <c r="G1364" s="4"/>
      <c r="H1364" s="4"/>
      <c r="I1364" s="4"/>
      <c r="J1364" s="4"/>
      <c r="K1364" s="4"/>
      <c r="L1364" s="4"/>
      <c r="M1364" s="4"/>
      <c r="N1364" s="4"/>
      <c r="O1364" s="4"/>
      <c r="P1364" s="4"/>
      <c r="Q1364" s="4"/>
      <c r="R1364" s="14"/>
      <c r="S1364" s="14"/>
      <c r="T1364" s="14"/>
      <c r="U1364" s="14"/>
      <c r="V1364" s="14"/>
      <c r="W1364" s="14"/>
      <c r="X1364" s="1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G1364" s="4"/>
      <c r="BH1364" s="4"/>
    </row>
    <row r="1365" spans="1:60" x14ac:dyDescent="0.35">
      <c r="A1365" s="4"/>
      <c r="B1365" s="8" t="str">
        <f t="shared" si="98"/>
        <v/>
      </c>
      <c r="D1365" s="6" t="str">
        <f t="shared" si="99"/>
        <v/>
      </c>
      <c r="E1365" s="6" t="str">
        <f t="shared" si="100"/>
        <v/>
      </c>
      <c r="F1365" s="6" t="str">
        <f t="shared" si="101"/>
        <v/>
      </c>
      <c r="G1365" s="4"/>
      <c r="H1365" s="4"/>
      <c r="I1365" s="4"/>
      <c r="J1365" s="4"/>
      <c r="K1365" s="4"/>
      <c r="L1365" s="4"/>
      <c r="M1365" s="4"/>
      <c r="N1365" s="4"/>
      <c r="O1365" s="4"/>
      <c r="P1365" s="4"/>
      <c r="Q1365" s="4"/>
      <c r="R1365" s="14"/>
      <c r="S1365" s="14"/>
      <c r="T1365" s="14"/>
      <c r="U1365" s="14"/>
      <c r="V1365" s="14"/>
      <c r="W1365" s="14"/>
      <c r="X1365" s="1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G1365" s="4"/>
      <c r="BH1365" s="4"/>
    </row>
    <row r="1366" spans="1:60" x14ac:dyDescent="0.35">
      <c r="A1366" s="4"/>
      <c r="B1366" s="8" t="str">
        <f t="shared" si="98"/>
        <v/>
      </c>
      <c r="D1366" s="6" t="str">
        <f t="shared" si="99"/>
        <v/>
      </c>
      <c r="E1366" s="6" t="str">
        <f t="shared" si="100"/>
        <v/>
      </c>
      <c r="F1366" s="6" t="str">
        <f t="shared" si="101"/>
        <v/>
      </c>
      <c r="G1366" s="4"/>
      <c r="H1366" s="4"/>
      <c r="I1366" s="4"/>
      <c r="J1366" s="4"/>
      <c r="K1366" s="4"/>
      <c r="L1366" s="4"/>
      <c r="M1366" s="4"/>
      <c r="N1366" s="4"/>
      <c r="O1366" s="4"/>
      <c r="P1366" s="4"/>
      <c r="Q1366" s="4"/>
      <c r="R1366" s="14"/>
      <c r="S1366" s="14"/>
      <c r="T1366" s="14"/>
      <c r="U1366" s="14"/>
      <c r="V1366" s="14"/>
      <c r="W1366" s="14"/>
      <c r="X1366" s="1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G1366" s="4"/>
      <c r="BH1366" s="4"/>
    </row>
    <row r="1367" spans="1:60" x14ac:dyDescent="0.35">
      <c r="A1367" s="4"/>
      <c r="B1367" s="8" t="str">
        <f t="shared" si="98"/>
        <v/>
      </c>
      <c r="D1367" s="6" t="str">
        <f t="shared" si="99"/>
        <v/>
      </c>
      <c r="E1367" s="6" t="str">
        <f t="shared" si="100"/>
        <v/>
      </c>
      <c r="F1367" s="6" t="str">
        <f t="shared" si="101"/>
        <v/>
      </c>
      <c r="G1367" s="4"/>
      <c r="H1367" s="4"/>
      <c r="I1367" s="4"/>
      <c r="J1367" s="4"/>
      <c r="K1367" s="4"/>
      <c r="L1367" s="4"/>
      <c r="M1367" s="4"/>
      <c r="N1367" s="4"/>
      <c r="O1367" s="4"/>
      <c r="P1367" s="4"/>
      <c r="Q1367" s="4"/>
      <c r="R1367" s="14"/>
      <c r="S1367" s="14"/>
      <c r="T1367" s="14"/>
      <c r="U1367" s="14"/>
      <c r="V1367" s="14"/>
      <c r="W1367" s="14"/>
      <c r="X1367" s="14"/>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c r="BC1367" s="4"/>
      <c r="BD1367" s="4"/>
      <c r="BE1367" s="4"/>
      <c r="BG1367" s="4"/>
      <c r="BH1367" s="4"/>
    </row>
    <row r="1368" spans="1:60" x14ac:dyDescent="0.35">
      <c r="A1368" s="4"/>
      <c r="B1368" s="8" t="str">
        <f t="shared" si="98"/>
        <v/>
      </c>
      <c r="D1368" s="6" t="str">
        <f t="shared" si="99"/>
        <v/>
      </c>
      <c r="E1368" s="6" t="str">
        <f t="shared" si="100"/>
        <v/>
      </c>
      <c r="F1368" s="6" t="str">
        <f t="shared" si="101"/>
        <v/>
      </c>
      <c r="G1368" s="4"/>
      <c r="H1368" s="4"/>
      <c r="I1368" s="4"/>
      <c r="J1368" s="4"/>
      <c r="K1368" s="4"/>
      <c r="L1368" s="4"/>
      <c r="M1368" s="4"/>
      <c r="N1368" s="4"/>
      <c r="O1368" s="4"/>
      <c r="P1368" s="4"/>
      <c r="Q1368" s="4"/>
      <c r="R1368" s="14"/>
      <c r="S1368" s="14"/>
      <c r="T1368" s="14"/>
      <c r="U1368" s="14"/>
      <c r="V1368" s="14"/>
      <c r="W1368" s="14"/>
      <c r="X1368" s="1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c r="BC1368" s="4"/>
      <c r="BD1368" s="4"/>
      <c r="BE1368" s="4"/>
      <c r="BG1368" s="4"/>
      <c r="BH1368" s="4"/>
    </row>
    <row r="1369" spans="1:60" x14ac:dyDescent="0.35">
      <c r="A1369" s="4"/>
      <c r="B1369" s="8" t="str">
        <f t="shared" si="98"/>
        <v/>
      </c>
      <c r="D1369" s="6" t="str">
        <f t="shared" si="99"/>
        <v/>
      </c>
      <c r="E1369" s="6" t="str">
        <f t="shared" si="100"/>
        <v/>
      </c>
      <c r="F1369" s="6" t="str">
        <f t="shared" si="101"/>
        <v/>
      </c>
      <c r="G1369" s="4"/>
      <c r="H1369" s="4"/>
      <c r="I1369" s="4"/>
      <c r="J1369" s="4"/>
      <c r="K1369" s="4"/>
      <c r="L1369" s="4"/>
      <c r="M1369" s="4"/>
      <c r="N1369" s="4"/>
      <c r="O1369" s="4"/>
      <c r="P1369" s="4"/>
      <c r="Q1369" s="4"/>
      <c r="R1369" s="14"/>
      <c r="S1369" s="14"/>
      <c r="T1369" s="14"/>
      <c r="U1369" s="14"/>
      <c r="V1369" s="14"/>
      <c r="W1369" s="14"/>
      <c r="X1369" s="1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c r="BC1369" s="4"/>
      <c r="BD1369" s="4"/>
      <c r="BE1369" s="4"/>
      <c r="BG1369" s="4"/>
      <c r="BH1369" s="4"/>
    </row>
    <row r="1370" spans="1:60" x14ac:dyDescent="0.35">
      <c r="A1370" s="4"/>
      <c r="B1370" s="8" t="str">
        <f t="shared" si="98"/>
        <v/>
      </c>
      <c r="D1370" s="6" t="str">
        <f t="shared" si="99"/>
        <v/>
      </c>
      <c r="E1370" s="6" t="str">
        <f t="shared" si="100"/>
        <v/>
      </c>
      <c r="F1370" s="6" t="str">
        <f t="shared" si="101"/>
        <v/>
      </c>
      <c r="G1370" s="4"/>
      <c r="H1370" s="4"/>
      <c r="I1370" s="4"/>
      <c r="J1370" s="4"/>
      <c r="K1370" s="4"/>
      <c r="L1370" s="4"/>
      <c r="M1370" s="4"/>
      <c r="N1370" s="4"/>
      <c r="O1370" s="4"/>
      <c r="P1370" s="4"/>
      <c r="Q1370" s="4"/>
      <c r="R1370" s="14"/>
      <c r="S1370" s="14"/>
      <c r="T1370" s="14"/>
      <c r="U1370" s="14"/>
      <c r="V1370" s="14"/>
      <c r="W1370" s="14"/>
      <c r="X1370" s="1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G1370" s="4"/>
      <c r="BH1370" s="4"/>
    </row>
    <row r="1371" spans="1:60" x14ac:dyDescent="0.35">
      <c r="A1371" s="4"/>
      <c r="B1371" s="8" t="str">
        <f t="shared" si="98"/>
        <v/>
      </c>
      <c r="D1371" s="6" t="str">
        <f t="shared" si="99"/>
        <v/>
      </c>
      <c r="E1371" s="6" t="str">
        <f t="shared" si="100"/>
        <v/>
      </c>
      <c r="F1371" s="6" t="str">
        <f t="shared" si="101"/>
        <v/>
      </c>
      <c r="G1371" s="4"/>
      <c r="H1371" s="4"/>
      <c r="I1371" s="4"/>
      <c r="J1371" s="4"/>
      <c r="K1371" s="4"/>
      <c r="L1371" s="4"/>
      <c r="M1371" s="4"/>
      <c r="N1371" s="4"/>
      <c r="O1371" s="4"/>
      <c r="P1371" s="4"/>
      <c r="Q1371" s="4"/>
      <c r="R1371" s="14"/>
      <c r="S1371" s="14"/>
      <c r="T1371" s="14"/>
      <c r="U1371" s="14"/>
      <c r="V1371" s="14"/>
      <c r="W1371" s="14"/>
      <c r="X1371" s="1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G1371" s="4"/>
      <c r="BH1371" s="4"/>
    </row>
    <row r="1372" spans="1:60" x14ac:dyDescent="0.35">
      <c r="A1372" s="4"/>
      <c r="B1372" s="8" t="str">
        <f t="shared" si="98"/>
        <v/>
      </c>
      <c r="D1372" s="6" t="str">
        <f t="shared" si="99"/>
        <v/>
      </c>
      <c r="E1372" s="6" t="str">
        <f t="shared" si="100"/>
        <v/>
      </c>
      <c r="F1372" s="6" t="str">
        <f t="shared" si="101"/>
        <v/>
      </c>
      <c r="G1372" s="4"/>
      <c r="H1372" s="4"/>
      <c r="I1372" s="4"/>
      <c r="J1372" s="4"/>
      <c r="K1372" s="4"/>
      <c r="L1372" s="4"/>
      <c r="M1372" s="4"/>
      <c r="N1372" s="4"/>
      <c r="O1372" s="4"/>
      <c r="P1372" s="4"/>
      <c r="Q1372" s="4"/>
      <c r="R1372" s="14"/>
      <c r="S1372" s="14"/>
      <c r="T1372" s="14"/>
      <c r="U1372" s="14"/>
      <c r="V1372" s="14"/>
      <c r="W1372" s="14"/>
      <c r="X1372" s="1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G1372" s="4"/>
      <c r="BH1372" s="4"/>
    </row>
    <row r="1373" spans="1:60" x14ac:dyDescent="0.35">
      <c r="A1373" s="4"/>
      <c r="B1373" s="8" t="str">
        <f t="shared" si="98"/>
        <v/>
      </c>
      <c r="D1373" s="6" t="str">
        <f t="shared" si="99"/>
        <v/>
      </c>
      <c r="E1373" s="6" t="str">
        <f t="shared" si="100"/>
        <v/>
      </c>
      <c r="F1373" s="6" t="str">
        <f t="shared" si="101"/>
        <v/>
      </c>
      <c r="G1373" s="4"/>
      <c r="H1373" s="4"/>
      <c r="I1373" s="4"/>
      <c r="J1373" s="4"/>
      <c r="K1373" s="4"/>
      <c r="L1373" s="4"/>
      <c r="M1373" s="4"/>
      <c r="N1373" s="4"/>
      <c r="O1373" s="4"/>
      <c r="P1373" s="4"/>
      <c r="Q1373" s="4"/>
      <c r="R1373" s="14"/>
      <c r="S1373" s="14"/>
      <c r="T1373" s="14"/>
      <c r="U1373" s="14"/>
      <c r="V1373" s="14"/>
      <c r="W1373" s="14"/>
      <c r="X1373" s="1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G1373" s="4"/>
      <c r="BH1373" s="4"/>
    </row>
    <row r="1374" spans="1:60" x14ac:dyDescent="0.35">
      <c r="A1374" s="4"/>
      <c r="B1374" s="8" t="str">
        <f t="shared" si="98"/>
        <v/>
      </c>
      <c r="D1374" s="6" t="str">
        <f t="shared" si="99"/>
        <v/>
      </c>
      <c r="E1374" s="6" t="str">
        <f t="shared" si="100"/>
        <v/>
      </c>
      <c r="F1374" s="6" t="str">
        <f t="shared" si="101"/>
        <v/>
      </c>
      <c r="G1374" s="4"/>
      <c r="H1374" s="4"/>
      <c r="I1374" s="4"/>
      <c r="J1374" s="4"/>
      <c r="K1374" s="4"/>
      <c r="L1374" s="4"/>
      <c r="M1374" s="4"/>
      <c r="N1374" s="4"/>
      <c r="O1374" s="4"/>
      <c r="P1374" s="4"/>
      <c r="Q1374" s="4"/>
      <c r="R1374" s="14"/>
      <c r="S1374" s="14"/>
      <c r="T1374" s="14"/>
      <c r="U1374" s="14"/>
      <c r="V1374" s="14"/>
      <c r="W1374" s="14"/>
      <c r="X1374" s="1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G1374" s="4"/>
      <c r="BH1374" s="4"/>
    </row>
    <row r="1375" spans="1:60" x14ac:dyDescent="0.35">
      <c r="A1375" s="4"/>
      <c r="B1375" s="8" t="str">
        <f t="shared" si="98"/>
        <v/>
      </c>
      <c r="D1375" s="6" t="str">
        <f t="shared" si="99"/>
        <v/>
      </c>
      <c r="E1375" s="6" t="str">
        <f t="shared" si="100"/>
        <v/>
      </c>
      <c r="F1375" s="6" t="str">
        <f t="shared" si="101"/>
        <v/>
      </c>
      <c r="G1375" s="4"/>
      <c r="H1375" s="4"/>
      <c r="I1375" s="4"/>
      <c r="J1375" s="4"/>
      <c r="K1375" s="4"/>
      <c r="L1375" s="4"/>
      <c r="M1375" s="4"/>
      <c r="N1375" s="4"/>
      <c r="O1375" s="4"/>
      <c r="P1375" s="4"/>
      <c r="Q1375" s="4"/>
      <c r="R1375" s="14"/>
      <c r="S1375" s="14"/>
      <c r="T1375" s="14"/>
      <c r="U1375" s="14"/>
      <c r="V1375" s="14"/>
      <c r="W1375" s="14"/>
      <c r="X1375" s="1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G1375" s="4"/>
      <c r="BH1375" s="4"/>
    </row>
    <row r="1376" spans="1:60" x14ac:dyDescent="0.35">
      <c r="A1376" s="4"/>
      <c r="B1376" s="8" t="str">
        <f t="shared" si="98"/>
        <v/>
      </c>
      <c r="D1376" s="6" t="str">
        <f t="shared" si="99"/>
        <v/>
      </c>
      <c r="E1376" s="6" t="str">
        <f t="shared" si="100"/>
        <v/>
      </c>
      <c r="F1376" s="6" t="str">
        <f t="shared" si="101"/>
        <v/>
      </c>
      <c r="G1376" s="4"/>
      <c r="H1376" s="4"/>
      <c r="I1376" s="4"/>
      <c r="J1376" s="4"/>
      <c r="K1376" s="4"/>
      <c r="L1376" s="4"/>
      <c r="M1376" s="4"/>
      <c r="N1376" s="4"/>
      <c r="O1376" s="4"/>
      <c r="P1376" s="4"/>
      <c r="Q1376" s="4"/>
      <c r="R1376" s="14"/>
      <c r="S1376" s="14"/>
      <c r="T1376" s="14"/>
      <c r="U1376" s="14"/>
      <c r="V1376" s="14"/>
      <c r="W1376" s="14"/>
      <c r="X1376" s="1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G1376" s="4"/>
      <c r="BH1376" s="4"/>
    </row>
    <row r="1377" spans="1:60" x14ac:dyDescent="0.35">
      <c r="A1377" s="4"/>
      <c r="B1377" s="8" t="str">
        <f t="shared" si="98"/>
        <v/>
      </c>
      <c r="D1377" s="6" t="str">
        <f t="shared" si="99"/>
        <v/>
      </c>
      <c r="E1377" s="6" t="str">
        <f t="shared" si="100"/>
        <v/>
      </c>
      <c r="F1377" s="6" t="str">
        <f t="shared" si="101"/>
        <v/>
      </c>
      <c r="G1377" s="4"/>
      <c r="H1377" s="4"/>
      <c r="I1377" s="4"/>
      <c r="J1377" s="4"/>
      <c r="K1377" s="4"/>
      <c r="L1377" s="4"/>
      <c r="M1377" s="4"/>
      <c r="N1377" s="4"/>
      <c r="O1377" s="4"/>
      <c r="P1377" s="4"/>
      <c r="Q1377" s="4"/>
      <c r="R1377" s="14"/>
      <c r="S1377" s="14"/>
      <c r="T1377" s="14"/>
      <c r="U1377" s="14"/>
      <c r="V1377" s="14"/>
      <c r="W1377" s="14"/>
      <c r="X1377" s="1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G1377" s="4"/>
      <c r="BH1377" s="4"/>
    </row>
    <row r="1378" spans="1:60" x14ac:dyDescent="0.35">
      <c r="A1378" s="4"/>
      <c r="B1378" s="8" t="str">
        <f t="shared" si="98"/>
        <v/>
      </c>
      <c r="D1378" s="6" t="str">
        <f t="shared" si="99"/>
        <v/>
      </c>
      <c r="E1378" s="6" t="str">
        <f t="shared" si="100"/>
        <v/>
      </c>
      <c r="F1378" s="6" t="str">
        <f t="shared" si="101"/>
        <v/>
      </c>
      <c r="G1378" s="4"/>
      <c r="H1378" s="4"/>
      <c r="I1378" s="4"/>
      <c r="J1378" s="4"/>
      <c r="K1378" s="4"/>
      <c r="L1378" s="4"/>
      <c r="M1378" s="4"/>
      <c r="N1378" s="4"/>
      <c r="O1378" s="4"/>
      <c r="P1378" s="4"/>
      <c r="Q1378" s="4"/>
      <c r="R1378" s="14"/>
      <c r="S1378" s="14"/>
      <c r="T1378" s="14"/>
      <c r="U1378" s="14"/>
      <c r="V1378" s="14"/>
      <c r="W1378" s="14"/>
      <c r="X1378" s="1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G1378" s="4"/>
      <c r="BH1378" s="4"/>
    </row>
    <row r="1379" spans="1:60" x14ac:dyDescent="0.35">
      <c r="A1379" s="4"/>
      <c r="B1379" s="8" t="str">
        <f t="shared" si="98"/>
        <v/>
      </c>
      <c r="D1379" s="6" t="str">
        <f t="shared" si="99"/>
        <v/>
      </c>
      <c r="E1379" s="6" t="str">
        <f t="shared" si="100"/>
        <v/>
      </c>
      <c r="F1379" s="6" t="str">
        <f t="shared" si="101"/>
        <v/>
      </c>
      <c r="G1379" s="4"/>
      <c r="H1379" s="4"/>
      <c r="I1379" s="4"/>
      <c r="J1379" s="4"/>
      <c r="K1379" s="4"/>
      <c r="L1379" s="4"/>
      <c r="M1379" s="4"/>
      <c r="N1379" s="4"/>
      <c r="O1379" s="4"/>
      <c r="P1379" s="4"/>
      <c r="Q1379" s="4"/>
      <c r="R1379" s="14"/>
      <c r="S1379" s="14"/>
      <c r="T1379" s="14"/>
      <c r="U1379" s="14"/>
      <c r="V1379" s="14"/>
      <c r="W1379" s="14"/>
      <c r="X1379" s="1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G1379" s="4"/>
      <c r="BH1379" s="4"/>
    </row>
    <row r="1380" spans="1:60" x14ac:dyDescent="0.35">
      <c r="A1380" s="4"/>
      <c r="B1380" s="8" t="str">
        <f t="shared" si="98"/>
        <v/>
      </c>
      <c r="D1380" s="6" t="str">
        <f t="shared" si="99"/>
        <v/>
      </c>
      <c r="E1380" s="6" t="str">
        <f t="shared" si="100"/>
        <v/>
      </c>
      <c r="F1380" s="6" t="str">
        <f t="shared" si="101"/>
        <v/>
      </c>
      <c r="G1380" s="4"/>
      <c r="H1380" s="4"/>
      <c r="I1380" s="4"/>
      <c r="J1380" s="4"/>
      <c r="K1380" s="4"/>
      <c r="L1380" s="4"/>
      <c r="M1380" s="4"/>
      <c r="N1380" s="4"/>
      <c r="O1380" s="4"/>
      <c r="P1380" s="4"/>
      <c r="Q1380" s="4"/>
      <c r="R1380" s="14"/>
      <c r="S1380" s="14"/>
      <c r="T1380" s="14"/>
      <c r="U1380" s="14"/>
      <c r="V1380" s="14"/>
      <c r="W1380" s="14"/>
      <c r="X1380" s="1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G1380" s="4"/>
      <c r="BH1380" s="4"/>
    </row>
    <row r="1381" spans="1:60" x14ac:dyDescent="0.35">
      <c r="A1381" s="4"/>
      <c r="B1381" s="8" t="str">
        <f t="shared" si="98"/>
        <v/>
      </c>
      <c r="D1381" s="6" t="str">
        <f t="shared" si="99"/>
        <v/>
      </c>
      <c r="E1381" s="6" t="str">
        <f t="shared" si="100"/>
        <v/>
      </c>
      <c r="F1381" s="6" t="str">
        <f t="shared" si="101"/>
        <v/>
      </c>
      <c r="G1381" s="4"/>
      <c r="H1381" s="4"/>
      <c r="I1381" s="4"/>
      <c r="J1381" s="4"/>
      <c r="K1381" s="4"/>
      <c r="L1381" s="4"/>
      <c r="M1381" s="4"/>
      <c r="N1381" s="4"/>
      <c r="O1381" s="4"/>
      <c r="P1381" s="4"/>
      <c r="Q1381" s="4"/>
      <c r="R1381" s="14"/>
      <c r="S1381" s="14"/>
      <c r="T1381" s="14"/>
      <c r="U1381" s="14"/>
      <c r="V1381" s="14"/>
      <c r="W1381" s="14"/>
      <c r="X1381" s="1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c r="BC1381" s="4"/>
      <c r="BD1381" s="4"/>
      <c r="BE1381" s="4"/>
      <c r="BG1381" s="4"/>
      <c r="BH1381" s="4"/>
    </row>
    <row r="1382" spans="1:60" x14ac:dyDescent="0.35">
      <c r="A1382" s="4"/>
      <c r="B1382" s="8" t="str">
        <f t="shared" si="98"/>
        <v/>
      </c>
      <c r="D1382" s="6" t="str">
        <f t="shared" si="99"/>
        <v/>
      </c>
      <c r="E1382" s="6" t="str">
        <f t="shared" si="100"/>
        <v/>
      </c>
      <c r="F1382" s="6" t="str">
        <f t="shared" si="101"/>
        <v/>
      </c>
      <c r="G1382" s="4"/>
      <c r="H1382" s="4"/>
      <c r="I1382" s="4"/>
      <c r="J1382" s="4"/>
      <c r="K1382" s="4"/>
      <c r="L1382" s="4"/>
      <c r="M1382" s="4"/>
      <c r="N1382" s="4"/>
      <c r="O1382" s="4"/>
      <c r="P1382" s="4"/>
      <c r="Q1382" s="4"/>
      <c r="R1382" s="14"/>
      <c r="S1382" s="14"/>
      <c r="T1382" s="14"/>
      <c r="U1382" s="14"/>
      <c r="V1382" s="14"/>
      <c r="W1382" s="14"/>
      <c r="X1382" s="1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G1382" s="4"/>
      <c r="BH1382" s="4"/>
    </row>
    <row r="1383" spans="1:60" x14ac:dyDescent="0.35">
      <c r="A1383" s="4"/>
      <c r="B1383" s="8" t="str">
        <f t="shared" si="98"/>
        <v/>
      </c>
      <c r="D1383" s="6" t="str">
        <f t="shared" si="99"/>
        <v/>
      </c>
      <c r="E1383" s="6" t="str">
        <f t="shared" si="100"/>
        <v/>
      </c>
      <c r="F1383" s="6" t="str">
        <f t="shared" si="101"/>
        <v/>
      </c>
      <c r="G1383" s="4"/>
      <c r="H1383" s="4"/>
      <c r="I1383" s="4"/>
      <c r="J1383" s="4"/>
      <c r="K1383" s="4"/>
      <c r="L1383" s="4"/>
      <c r="M1383" s="4"/>
      <c r="N1383" s="4"/>
      <c r="O1383" s="4"/>
      <c r="P1383" s="4"/>
      <c r="Q1383" s="4"/>
      <c r="R1383" s="14"/>
      <c r="S1383" s="14"/>
      <c r="T1383" s="14"/>
      <c r="U1383" s="14"/>
      <c r="V1383" s="14"/>
      <c r="W1383" s="14"/>
      <c r="X1383" s="1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G1383" s="4"/>
      <c r="BH1383" s="4"/>
    </row>
    <row r="1384" spans="1:60" x14ac:dyDescent="0.35">
      <c r="A1384" s="4"/>
      <c r="B1384" s="8" t="str">
        <f t="shared" si="98"/>
        <v/>
      </c>
      <c r="D1384" s="6" t="str">
        <f t="shared" si="99"/>
        <v/>
      </c>
      <c r="E1384" s="6" t="str">
        <f t="shared" si="100"/>
        <v/>
      </c>
      <c r="F1384" s="6" t="str">
        <f t="shared" si="101"/>
        <v/>
      </c>
      <c r="G1384" s="4"/>
      <c r="H1384" s="4"/>
      <c r="I1384" s="4"/>
      <c r="J1384" s="4"/>
      <c r="K1384" s="4"/>
      <c r="L1384" s="4"/>
      <c r="M1384" s="4"/>
      <c r="N1384" s="4"/>
      <c r="O1384" s="4"/>
      <c r="P1384" s="4"/>
      <c r="Q1384" s="4"/>
      <c r="R1384" s="14"/>
      <c r="S1384" s="14"/>
      <c r="T1384" s="14"/>
      <c r="U1384" s="14"/>
      <c r="V1384" s="14"/>
      <c r="W1384" s="14"/>
      <c r="X1384" s="1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c r="BC1384" s="4"/>
      <c r="BD1384" s="4"/>
      <c r="BE1384" s="4"/>
      <c r="BG1384" s="4"/>
      <c r="BH1384" s="4"/>
    </row>
    <row r="1385" spans="1:60" x14ac:dyDescent="0.35">
      <c r="A1385" s="4"/>
      <c r="B1385" s="8" t="str">
        <f t="shared" si="98"/>
        <v/>
      </c>
      <c r="D1385" s="6" t="str">
        <f t="shared" si="99"/>
        <v/>
      </c>
      <c r="E1385" s="6" t="str">
        <f t="shared" si="100"/>
        <v/>
      </c>
      <c r="F1385" s="6" t="str">
        <f t="shared" si="101"/>
        <v/>
      </c>
      <c r="G1385" s="4"/>
      <c r="H1385" s="4"/>
      <c r="I1385" s="4"/>
      <c r="J1385" s="4"/>
      <c r="K1385" s="4"/>
      <c r="L1385" s="4"/>
      <c r="M1385" s="4"/>
      <c r="N1385" s="4"/>
      <c r="O1385" s="4"/>
      <c r="P1385" s="4"/>
      <c r="Q1385" s="4"/>
      <c r="R1385" s="14"/>
      <c r="S1385" s="14"/>
      <c r="T1385" s="14"/>
      <c r="U1385" s="14"/>
      <c r="V1385" s="14"/>
      <c r="W1385" s="14"/>
      <c r="X1385" s="1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G1385" s="4"/>
      <c r="BH1385" s="4"/>
    </row>
    <row r="1386" spans="1:60" x14ac:dyDescent="0.35">
      <c r="A1386" s="4"/>
      <c r="B1386" s="8" t="str">
        <f t="shared" si="98"/>
        <v/>
      </c>
      <c r="D1386" s="6" t="str">
        <f t="shared" si="99"/>
        <v/>
      </c>
      <c r="E1386" s="6" t="str">
        <f t="shared" si="100"/>
        <v/>
      </c>
      <c r="F1386" s="6" t="str">
        <f t="shared" si="101"/>
        <v/>
      </c>
      <c r="G1386" s="4"/>
      <c r="H1386" s="4"/>
      <c r="I1386" s="4"/>
      <c r="J1386" s="4"/>
      <c r="K1386" s="4"/>
      <c r="L1386" s="4"/>
      <c r="M1386" s="4"/>
      <c r="N1386" s="4"/>
      <c r="O1386" s="4"/>
      <c r="P1386" s="4"/>
      <c r="Q1386" s="4"/>
      <c r="R1386" s="14"/>
      <c r="S1386" s="14"/>
      <c r="T1386" s="14"/>
      <c r="U1386" s="14"/>
      <c r="V1386" s="14"/>
      <c r="W1386" s="14"/>
      <c r="X1386" s="1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c r="BC1386" s="4"/>
      <c r="BD1386" s="4"/>
      <c r="BE1386" s="4"/>
      <c r="BG1386" s="4"/>
      <c r="BH1386" s="4"/>
    </row>
    <row r="1387" spans="1:60" x14ac:dyDescent="0.35">
      <c r="A1387" s="4"/>
      <c r="B1387" s="8" t="str">
        <f t="shared" si="98"/>
        <v/>
      </c>
      <c r="D1387" s="6" t="str">
        <f t="shared" si="99"/>
        <v/>
      </c>
      <c r="E1387" s="6" t="str">
        <f t="shared" si="100"/>
        <v/>
      </c>
      <c r="F1387" s="6" t="str">
        <f t="shared" si="101"/>
        <v/>
      </c>
      <c r="G1387" s="4"/>
      <c r="H1387" s="4"/>
      <c r="I1387" s="4"/>
      <c r="J1387" s="4"/>
      <c r="K1387" s="4"/>
      <c r="L1387" s="4"/>
      <c r="M1387" s="4"/>
      <c r="N1387" s="4"/>
      <c r="O1387" s="4"/>
      <c r="P1387" s="4"/>
      <c r="Q1387" s="4"/>
      <c r="R1387" s="14"/>
      <c r="S1387" s="14"/>
      <c r="T1387" s="14"/>
      <c r="U1387" s="14"/>
      <c r="V1387" s="14"/>
      <c r="W1387" s="14"/>
      <c r="X1387" s="1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G1387" s="4"/>
      <c r="BH1387" s="4"/>
    </row>
    <row r="1388" spans="1:60" x14ac:dyDescent="0.35">
      <c r="A1388" s="4"/>
      <c r="B1388" s="8" t="str">
        <f t="shared" si="98"/>
        <v/>
      </c>
      <c r="D1388" s="6" t="str">
        <f t="shared" si="99"/>
        <v/>
      </c>
      <c r="E1388" s="6" t="str">
        <f t="shared" si="100"/>
        <v/>
      </c>
      <c r="F1388" s="6" t="str">
        <f t="shared" si="101"/>
        <v/>
      </c>
      <c r="G1388" s="4"/>
      <c r="H1388" s="4"/>
      <c r="I1388" s="4"/>
      <c r="J1388" s="4"/>
      <c r="K1388" s="4"/>
      <c r="L1388" s="4"/>
      <c r="M1388" s="4"/>
      <c r="N1388" s="4"/>
      <c r="O1388" s="4"/>
      <c r="P1388" s="4"/>
      <c r="Q1388" s="4"/>
      <c r="R1388" s="14"/>
      <c r="S1388" s="14"/>
      <c r="T1388" s="14"/>
      <c r="U1388" s="14"/>
      <c r="V1388" s="14"/>
      <c r="W1388" s="14"/>
      <c r="X1388" s="1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c r="BC1388" s="4"/>
      <c r="BD1388" s="4"/>
      <c r="BE1388" s="4"/>
      <c r="BG1388" s="4"/>
      <c r="BH1388" s="4"/>
    </row>
    <row r="1389" spans="1:60" x14ac:dyDescent="0.35">
      <c r="A1389" s="4"/>
      <c r="B1389" s="8" t="str">
        <f t="shared" si="98"/>
        <v/>
      </c>
      <c r="D1389" s="6" t="str">
        <f t="shared" si="99"/>
        <v/>
      </c>
      <c r="E1389" s="6" t="str">
        <f t="shared" si="100"/>
        <v/>
      </c>
      <c r="F1389" s="6" t="str">
        <f t="shared" si="101"/>
        <v/>
      </c>
      <c r="G1389" s="4"/>
      <c r="H1389" s="4"/>
      <c r="I1389" s="4"/>
      <c r="J1389" s="4"/>
      <c r="K1389" s="4"/>
      <c r="L1389" s="4"/>
      <c r="M1389" s="4"/>
      <c r="N1389" s="4"/>
      <c r="O1389" s="4"/>
      <c r="P1389" s="4"/>
      <c r="Q1389" s="4"/>
      <c r="R1389" s="14"/>
      <c r="S1389" s="14"/>
      <c r="T1389" s="14"/>
      <c r="U1389" s="14"/>
      <c r="V1389" s="14"/>
      <c r="W1389" s="14"/>
      <c r="X1389" s="1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G1389" s="4"/>
      <c r="BH1389" s="4"/>
    </row>
    <row r="1390" spans="1:60" x14ac:dyDescent="0.35">
      <c r="A1390" s="4"/>
      <c r="B1390" s="8" t="str">
        <f t="shared" si="98"/>
        <v/>
      </c>
      <c r="D1390" s="6" t="str">
        <f t="shared" si="99"/>
        <v/>
      </c>
      <c r="E1390" s="6" t="str">
        <f t="shared" si="100"/>
        <v/>
      </c>
      <c r="F1390" s="6" t="str">
        <f t="shared" si="101"/>
        <v/>
      </c>
      <c r="G1390" s="4"/>
      <c r="H1390" s="4"/>
      <c r="I1390" s="4"/>
      <c r="J1390" s="4"/>
      <c r="K1390" s="4"/>
      <c r="L1390" s="4"/>
      <c r="M1390" s="4"/>
      <c r="N1390" s="4"/>
      <c r="O1390" s="4"/>
      <c r="P1390" s="4"/>
      <c r="Q1390" s="4"/>
      <c r="R1390" s="14"/>
      <c r="S1390" s="14"/>
      <c r="T1390" s="14"/>
      <c r="U1390" s="14"/>
      <c r="V1390" s="14"/>
      <c r="W1390" s="14"/>
      <c r="X1390" s="1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c r="BC1390" s="4"/>
      <c r="BD1390" s="4"/>
      <c r="BE1390" s="4"/>
      <c r="BG1390" s="4"/>
      <c r="BH1390" s="4"/>
    </row>
    <row r="1391" spans="1:60" x14ac:dyDescent="0.35">
      <c r="A1391" s="4"/>
      <c r="B1391" s="8" t="str">
        <f t="shared" si="98"/>
        <v/>
      </c>
      <c r="D1391" s="6" t="str">
        <f t="shared" si="99"/>
        <v/>
      </c>
      <c r="E1391" s="6" t="str">
        <f t="shared" si="100"/>
        <v/>
      </c>
      <c r="F1391" s="6" t="str">
        <f t="shared" si="101"/>
        <v/>
      </c>
      <c r="G1391" s="4"/>
      <c r="H1391" s="4"/>
      <c r="I1391" s="4"/>
      <c r="J1391" s="4"/>
      <c r="K1391" s="4"/>
      <c r="L1391" s="4"/>
      <c r="M1391" s="4"/>
      <c r="N1391" s="4"/>
      <c r="O1391" s="4"/>
      <c r="P1391" s="4"/>
      <c r="Q1391" s="4"/>
      <c r="R1391" s="14"/>
      <c r="S1391" s="14"/>
      <c r="T1391" s="14"/>
      <c r="U1391" s="14"/>
      <c r="V1391" s="14"/>
      <c r="W1391" s="14"/>
      <c r="X1391" s="1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c r="BC1391" s="4"/>
      <c r="BD1391" s="4"/>
      <c r="BE1391" s="4"/>
      <c r="BG1391" s="4"/>
      <c r="BH1391" s="4"/>
    </row>
    <row r="1392" spans="1:60" x14ac:dyDescent="0.35">
      <c r="A1392" s="4"/>
      <c r="B1392" s="8" t="str">
        <f t="shared" si="98"/>
        <v/>
      </c>
      <c r="D1392" s="6" t="str">
        <f t="shared" si="99"/>
        <v/>
      </c>
      <c r="E1392" s="6" t="str">
        <f t="shared" si="100"/>
        <v/>
      </c>
      <c r="F1392" s="6" t="str">
        <f t="shared" si="101"/>
        <v/>
      </c>
      <c r="G1392" s="4"/>
      <c r="H1392" s="4"/>
      <c r="I1392" s="4"/>
      <c r="J1392" s="4"/>
      <c r="K1392" s="4"/>
      <c r="L1392" s="4"/>
      <c r="M1392" s="4"/>
      <c r="N1392" s="4"/>
      <c r="O1392" s="4"/>
      <c r="P1392" s="4"/>
      <c r="Q1392" s="4"/>
      <c r="R1392" s="14"/>
      <c r="S1392" s="14"/>
      <c r="T1392" s="14"/>
      <c r="U1392" s="14"/>
      <c r="V1392" s="14"/>
      <c r="W1392" s="14"/>
      <c r="X1392" s="1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c r="BC1392" s="4"/>
      <c r="BD1392" s="4"/>
      <c r="BE1392" s="4"/>
      <c r="BG1392" s="4"/>
      <c r="BH1392" s="4"/>
    </row>
    <row r="1393" spans="1:60" x14ac:dyDescent="0.35">
      <c r="A1393" s="4"/>
      <c r="B1393" s="8" t="str">
        <f t="shared" si="98"/>
        <v/>
      </c>
      <c r="D1393" s="6" t="str">
        <f t="shared" si="99"/>
        <v/>
      </c>
      <c r="E1393" s="6" t="str">
        <f t="shared" si="100"/>
        <v/>
      </c>
      <c r="F1393" s="6" t="str">
        <f t="shared" si="101"/>
        <v/>
      </c>
      <c r="G1393" s="4"/>
      <c r="H1393" s="4"/>
      <c r="I1393" s="4"/>
      <c r="J1393" s="4"/>
      <c r="K1393" s="4"/>
      <c r="L1393" s="4"/>
      <c r="M1393" s="4"/>
      <c r="N1393" s="4"/>
      <c r="O1393" s="4"/>
      <c r="P1393" s="4"/>
      <c r="Q1393" s="4"/>
      <c r="R1393" s="14"/>
      <c r="S1393" s="14"/>
      <c r="T1393" s="14"/>
      <c r="U1393" s="14"/>
      <c r="V1393" s="14"/>
      <c r="W1393" s="14"/>
      <c r="X1393" s="14"/>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c r="BC1393" s="4"/>
      <c r="BD1393" s="4"/>
      <c r="BE1393" s="4"/>
      <c r="BG1393" s="4"/>
      <c r="BH1393" s="4"/>
    </row>
    <row r="1394" spans="1:60" x14ac:dyDescent="0.35">
      <c r="A1394" s="4"/>
      <c r="B1394" s="8" t="str">
        <f t="shared" si="98"/>
        <v/>
      </c>
      <c r="D1394" s="6" t="str">
        <f t="shared" si="99"/>
        <v/>
      </c>
      <c r="E1394" s="6" t="str">
        <f t="shared" si="100"/>
        <v/>
      </c>
      <c r="F1394" s="6" t="str">
        <f t="shared" si="101"/>
        <v/>
      </c>
      <c r="G1394" s="4"/>
      <c r="H1394" s="4"/>
      <c r="I1394" s="4"/>
      <c r="J1394" s="4"/>
      <c r="K1394" s="4"/>
      <c r="L1394" s="4"/>
      <c r="M1394" s="4"/>
      <c r="N1394" s="4"/>
      <c r="O1394" s="4"/>
      <c r="P1394" s="4"/>
      <c r="Q1394" s="4"/>
      <c r="R1394" s="14"/>
      <c r="S1394" s="14"/>
      <c r="T1394" s="14"/>
      <c r="U1394" s="14"/>
      <c r="V1394" s="14"/>
      <c r="W1394" s="14"/>
      <c r="X1394" s="1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c r="BC1394" s="4"/>
      <c r="BD1394" s="4"/>
      <c r="BE1394" s="4"/>
      <c r="BG1394" s="4"/>
      <c r="BH1394" s="4"/>
    </row>
    <row r="1395" spans="1:60" x14ac:dyDescent="0.35">
      <c r="A1395" s="4"/>
      <c r="B1395" s="8" t="str">
        <f t="shared" si="98"/>
        <v/>
      </c>
      <c r="D1395" s="6" t="str">
        <f t="shared" si="99"/>
        <v/>
      </c>
      <c r="E1395" s="6" t="str">
        <f t="shared" si="100"/>
        <v/>
      </c>
      <c r="F1395" s="6" t="str">
        <f t="shared" si="101"/>
        <v/>
      </c>
      <c r="G1395" s="4"/>
      <c r="H1395" s="4"/>
      <c r="I1395" s="4"/>
      <c r="J1395" s="4"/>
      <c r="K1395" s="4"/>
      <c r="L1395" s="4"/>
      <c r="M1395" s="4"/>
      <c r="N1395" s="4"/>
      <c r="O1395" s="4"/>
      <c r="P1395" s="4"/>
      <c r="Q1395" s="4"/>
      <c r="R1395" s="14"/>
      <c r="S1395" s="14"/>
      <c r="T1395" s="14"/>
      <c r="U1395" s="14"/>
      <c r="V1395" s="14"/>
      <c r="W1395" s="14"/>
      <c r="X1395" s="1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c r="BC1395" s="4"/>
      <c r="BD1395" s="4"/>
      <c r="BE1395" s="4"/>
      <c r="BG1395" s="4"/>
      <c r="BH1395" s="4"/>
    </row>
    <row r="1396" spans="1:60" x14ac:dyDescent="0.35">
      <c r="A1396" s="4"/>
      <c r="B1396" s="8" t="str">
        <f t="shared" si="98"/>
        <v/>
      </c>
      <c r="D1396" s="6" t="str">
        <f t="shared" si="99"/>
        <v/>
      </c>
      <c r="E1396" s="6" t="str">
        <f t="shared" si="100"/>
        <v/>
      </c>
      <c r="F1396" s="6" t="str">
        <f t="shared" si="101"/>
        <v/>
      </c>
      <c r="G1396" s="4"/>
      <c r="H1396" s="4"/>
      <c r="I1396" s="4"/>
      <c r="J1396" s="4"/>
      <c r="K1396" s="4"/>
      <c r="L1396" s="4"/>
      <c r="M1396" s="4"/>
      <c r="N1396" s="4"/>
      <c r="O1396" s="4"/>
      <c r="P1396" s="4"/>
      <c r="Q1396" s="4"/>
      <c r="R1396" s="14"/>
      <c r="S1396" s="14"/>
      <c r="T1396" s="14"/>
      <c r="U1396" s="14"/>
      <c r="V1396" s="14"/>
      <c r="W1396" s="14"/>
      <c r="X1396" s="1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G1396" s="4"/>
      <c r="BH1396" s="4"/>
    </row>
    <row r="1397" spans="1:60" x14ac:dyDescent="0.35">
      <c r="A1397" s="4"/>
      <c r="B1397" s="8" t="str">
        <f t="shared" si="98"/>
        <v/>
      </c>
      <c r="D1397" s="6" t="str">
        <f t="shared" si="99"/>
        <v/>
      </c>
      <c r="E1397" s="6" t="str">
        <f t="shared" si="100"/>
        <v/>
      </c>
      <c r="F1397" s="6" t="str">
        <f t="shared" si="101"/>
        <v/>
      </c>
      <c r="G1397" s="4"/>
      <c r="H1397" s="4"/>
      <c r="I1397" s="4"/>
      <c r="J1397" s="4"/>
      <c r="K1397" s="4"/>
      <c r="L1397" s="4"/>
      <c r="M1397" s="4"/>
      <c r="N1397" s="4"/>
      <c r="O1397" s="4"/>
      <c r="P1397" s="4"/>
      <c r="Q1397" s="4"/>
      <c r="R1397" s="14"/>
      <c r="S1397" s="14"/>
      <c r="T1397" s="14"/>
      <c r="U1397" s="14"/>
      <c r="V1397" s="14"/>
      <c r="W1397" s="14"/>
      <c r="X1397" s="1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G1397" s="4"/>
      <c r="BH1397" s="4"/>
    </row>
    <row r="1398" spans="1:60" x14ac:dyDescent="0.35">
      <c r="A1398" s="4"/>
      <c r="B1398" s="8" t="str">
        <f t="shared" si="98"/>
        <v/>
      </c>
      <c r="D1398" s="6" t="str">
        <f t="shared" si="99"/>
        <v/>
      </c>
      <c r="E1398" s="6" t="str">
        <f t="shared" si="100"/>
        <v/>
      </c>
      <c r="F1398" s="6" t="str">
        <f t="shared" si="101"/>
        <v/>
      </c>
      <c r="G1398" s="4"/>
      <c r="H1398" s="4"/>
      <c r="I1398" s="4"/>
      <c r="J1398" s="4"/>
      <c r="K1398" s="4"/>
      <c r="L1398" s="4"/>
      <c r="M1398" s="4"/>
      <c r="N1398" s="4"/>
      <c r="O1398" s="4"/>
      <c r="P1398" s="4"/>
      <c r="Q1398" s="4"/>
      <c r="R1398" s="14"/>
      <c r="S1398" s="14"/>
      <c r="T1398" s="14"/>
      <c r="U1398" s="14"/>
      <c r="V1398" s="14"/>
      <c r="W1398" s="14"/>
      <c r="X1398" s="1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G1398" s="4"/>
      <c r="BH1398" s="4"/>
    </row>
    <row r="1399" spans="1:60" x14ac:dyDescent="0.35">
      <c r="A1399" s="4"/>
      <c r="B1399" s="8" t="str">
        <f t="shared" si="98"/>
        <v/>
      </c>
      <c r="D1399" s="6" t="str">
        <f t="shared" si="99"/>
        <v/>
      </c>
      <c r="E1399" s="6" t="str">
        <f t="shared" si="100"/>
        <v/>
      </c>
      <c r="F1399" s="6" t="str">
        <f t="shared" si="101"/>
        <v/>
      </c>
      <c r="G1399" s="4"/>
      <c r="H1399" s="4"/>
      <c r="I1399" s="4"/>
      <c r="J1399" s="4"/>
      <c r="K1399" s="4"/>
      <c r="L1399" s="4"/>
      <c r="M1399" s="4"/>
      <c r="N1399" s="4"/>
      <c r="O1399" s="4"/>
      <c r="P1399" s="4"/>
      <c r="Q1399" s="4"/>
      <c r="R1399" s="14"/>
      <c r="S1399" s="14"/>
      <c r="T1399" s="14"/>
      <c r="U1399" s="14"/>
      <c r="V1399" s="14"/>
      <c r="W1399" s="14"/>
      <c r="X1399" s="1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c r="BC1399" s="4"/>
      <c r="BD1399" s="4"/>
      <c r="BE1399" s="4"/>
      <c r="BG1399" s="4"/>
      <c r="BH1399" s="4"/>
    </row>
    <row r="1400" spans="1:60" x14ac:dyDescent="0.35">
      <c r="A1400" s="4"/>
      <c r="B1400" s="8" t="str">
        <f t="shared" si="98"/>
        <v/>
      </c>
      <c r="D1400" s="6" t="str">
        <f t="shared" si="99"/>
        <v/>
      </c>
      <c r="E1400" s="6" t="str">
        <f t="shared" si="100"/>
        <v/>
      </c>
      <c r="F1400" s="6" t="str">
        <f t="shared" si="101"/>
        <v/>
      </c>
      <c r="G1400" s="4"/>
      <c r="H1400" s="4"/>
      <c r="I1400" s="4"/>
      <c r="J1400" s="4"/>
      <c r="K1400" s="4"/>
      <c r="L1400" s="4"/>
      <c r="M1400" s="4"/>
      <c r="N1400" s="4"/>
      <c r="O1400" s="4"/>
      <c r="P1400" s="4"/>
      <c r="Q1400" s="4"/>
      <c r="R1400" s="14"/>
      <c r="S1400" s="14"/>
      <c r="T1400" s="14"/>
      <c r="U1400" s="14"/>
      <c r="V1400" s="14"/>
      <c r="W1400" s="14"/>
      <c r="X1400" s="1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c r="BC1400" s="4"/>
      <c r="BD1400" s="4"/>
      <c r="BE1400" s="4"/>
      <c r="BG1400" s="4"/>
      <c r="BH1400" s="4"/>
    </row>
    <row r="1401" spans="1:60" x14ac:dyDescent="0.35">
      <c r="A1401" s="4"/>
      <c r="B1401" s="8" t="str">
        <f t="shared" si="98"/>
        <v/>
      </c>
      <c r="D1401" s="6" t="str">
        <f t="shared" si="99"/>
        <v/>
      </c>
      <c r="E1401" s="6" t="str">
        <f t="shared" si="100"/>
        <v/>
      </c>
      <c r="F1401" s="6" t="str">
        <f t="shared" si="101"/>
        <v/>
      </c>
      <c r="G1401" s="4"/>
      <c r="H1401" s="4"/>
      <c r="I1401" s="4"/>
      <c r="J1401" s="4"/>
      <c r="K1401" s="4"/>
      <c r="L1401" s="4"/>
      <c r="M1401" s="4"/>
      <c r="N1401" s="4"/>
      <c r="O1401" s="4"/>
      <c r="P1401" s="4"/>
      <c r="Q1401" s="4"/>
      <c r="R1401" s="14"/>
      <c r="S1401" s="14"/>
      <c r="T1401" s="14"/>
      <c r="U1401" s="14"/>
      <c r="V1401" s="14"/>
      <c r="W1401" s="14"/>
      <c r="X1401" s="1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c r="BC1401" s="4"/>
      <c r="BD1401" s="4"/>
      <c r="BE1401" s="4"/>
      <c r="BG1401" s="4"/>
      <c r="BH1401" s="4"/>
    </row>
    <row r="1402" spans="1:60" x14ac:dyDescent="0.35">
      <c r="A1402" s="4"/>
      <c r="B1402" s="8" t="str">
        <f t="shared" si="98"/>
        <v/>
      </c>
      <c r="D1402" s="6" t="str">
        <f t="shared" si="99"/>
        <v/>
      </c>
      <c r="E1402" s="6" t="str">
        <f t="shared" si="100"/>
        <v/>
      </c>
      <c r="F1402" s="6" t="str">
        <f t="shared" si="101"/>
        <v/>
      </c>
      <c r="G1402" s="4"/>
      <c r="H1402" s="4"/>
      <c r="I1402" s="4"/>
      <c r="J1402" s="4"/>
      <c r="K1402" s="4"/>
      <c r="L1402" s="4"/>
      <c r="M1402" s="4"/>
      <c r="N1402" s="4"/>
      <c r="O1402" s="4"/>
      <c r="P1402" s="4"/>
      <c r="Q1402" s="4"/>
      <c r="R1402" s="14"/>
      <c r="S1402" s="14"/>
      <c r="T1402" s="14"/>
      <c r="U1402" s="14"/>
      <c r="V1402" s="14"/>
      <c r="W1402" s="14"/>
      <c r="X1402" s="1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c r="BB1402" s="4"/>
      <c r="BC1402" s="4"/>
      <c r="BD1402" s="4"/>
      <c r="BE1402" s="4"/>
      <c r="BG1402" s="4"/>
      <c r="BH1402" s="4"/>
    </row>
    <row r="1403" spans="1:60" x14ac:dyDescent="0.35">
      <c r="A1403" s="4"/>
      <c r="B1403" s="8" t="str">
        <f t="shared" si="98"/>
        <v/>
      </c>
      <c r="D1403" s="6" t="str">
        <f t="shared" si="99"/>
        <v/>
      </c>
      <c r="E1403" s="6" t="str">
        <f t="shared" si="100"/>
        <v/>
      </c>
      <c r="F1403" s="6" t="str">
        <f t="shared" si="101"/>
        <v/>
      </c>
      <c r="G1403" s="4"/>
      <c r="H1403" s="4"/>
      <c r="I1403" s="4"/>
      <c r="J1403" s="4"/>
      <c r="K1403" s="4"/>
      <c r="L1403" s="4"/>
      <c r="M1403" s="4"/>
      <c r="N1403" s="4"/>
      <c r="O1403" s="4"/>
      <c r="P1403" s="4"/>
      <c r="Q1403" s="4"/>
      <c r="R1403" s="14"/>
      <c r="S1403" s="14"/>
      <c r="T1403" s="14"/>
      <c r="U1403" s="14"/>
      <c r="V1403" s="14"/>
      <c r="W1403" s="14"/>
      <c r="X1403" s="1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c r="BB1403" s="4"/>
      <c r="BC1403" s="4"/>
      <c r="BD1403" s="4"/>
      <c r="BE1403" s="4"/>
      <c r="BG1403" s="4"/>
      <c r="BH1403" s="4"/>
    </row>
    <row r="1404" spans="1:60" x14ac:dyDescent="0.35">
      <c r="A1404" s="4"/>
      <c r="B1404" s="8" t="str">
        <f t="shared" si="98"/>
        <v/>
      </c>
      <c r="D1404" s="6" t="str">
        <f t="shared" si="99"/>
        <v/>
      </c>
      <c r="E1404" s="6" t="str">
        <f t="shared" si="100"/>
        <v/>
      </c>
      <c r="F1404" s="6" t="str">
        <f t="shared" si="101"/>
        <v/>
      </c>
      <c r="G1404" s="4"/>
      <c r="H1404" s="4"/>
      <c r="I1404" s="4"/>
      <c r="J1404" s="4"/>
      <c r="K1404" s="4"/>
      <c r="L1404" s="4"/>
      <c r="M1404" s="4"/>
      <c r="N1404" s="4"/>
      <c r="O1404" s="4"/>
      <c r="P1404" s="4"/>
      <c r="Q1404" s="4"/>
      <c r="R1404" s="14"/>
      <c r="S1404" s="14"/>
      <c r="T1404" s="14"/>
      <c r="U1404" s="14"/>
      <c r="V1404" s="14"/>
      <c r="W1404" s="14"/>
      <c r="X1404" s="1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c r="BB1404" s="4"/>
      <c r="BC1404" s="4"/>
      <c r="BD1404" s="4"/>
      <c r="BE1404" s="4"/>
      <c r="BG1404" s="4"/>
      <c r="BH1404" s="4"/>
    </row>
    <row r="1405" spans="1:60" x14ac:dyDescent="0.35">
      <c r="A1405" s="4"/>
      <c r="B1405" s="8" t="str">
        <f t="shared" ref="B1405:B1468" si="102">RIGHT(A1405,4)</f>
        <v/>
      </c>
      <c r="D1405" s="6" t="str">
        <f t="shared" ref="D1405:D1468" si="103">IF(C1405="","",VLOOKUP(C1405,district_region,2,FALSE))</f>
        <v/>
      </c>
      <c r="E1405" s="6" t="str">
        <f t="shared" ref="E1405:E1468" si="104">IF(C1405="","",VLOOKUP(C1405,liste_pop,3,FALSE))</f>
        <v/>
      </c>
      <c r="F1405" s="6" t="str">
        <f t="shared" ref="F1405:F1468" si="105">IF(D1405="","",IF(D1405="Dakar",4042240,VLOOKUP(D1405,liste_pop,4,FALSE)))</f>
        <v/>
      </c>
      <c r="G1405" s="4"/>
      <c r="H1405" s="4"/>
      <c r="I1405" s="4"/>
      <c r="J1405" s="4"/>
      <c r="K1405" s="4"/>
      <c r="L1405" s="4"/>
      <c r="M1405" s="4"/>
      <c r="N1405" s="4"/>
      <c r="O1405" s="4"/>
      <c r="P1405" s="4"/>
      <c r="Q1405" s="4"/>
      <c r="R1405" s="14"/>
      <c r="S1405" s="14"/>
      <c r="T1405" s="14"/>
      <c r="U1405" s="14"/>
      <c r="V1405" s="14"/>
      <c r="W1405" s="14"/>
      <c r="X1405" s="1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c r="BC1405" s="4"/>
      <c r="BD1405" s="4"/>
      <c r="BE1405" s="4"/>
      <c r="BG1405" s="4"/>
      <c r="BH1405" s="4"/>
    </row>
    <row r="1406" spans="1:60" x14ac:dyDescent="0.35">
      <c r="A1406" s="4"/>
      <c r="B1406" s="8" t="str">
        <f t="shared" si="102"/>
        <v/>
      </c>
      <c r="D1406" s="6" t="str">
        <f t="shared" si="103"/>
        <v/>
      </c>
      <c r="E1406" s="6" t="str">
        <f t="shared" si="104"/>
        <v/>
      </c>
      <c r="F1406" s="6" t="str">
        <f t="shared" si="105"/>
        <v/>
      </c>
      <c r="G1406" s="4"/>
      <c r="H1406" s="4"/>
      <c r="I1406" s="4"/>
      <c r="J1406" s="4"/>
      <c r="K1406" s="4"/>
      <c r="L1406" s="4"/>
      <c r="M1406" s="4"/>
      <c r="N1406" s="4"/>
      <c r="O1406" s="4"/>
      <c r="P1406" s="4"/>
      <c r="Q1406" s="4"/>
      <c r="R1406" s="14"/>
      <c r="S1406" s="14"/>
      <c r="T1406" s="14"/>
      <c r="U1406" s="14"/>
      <c r="V1406" s="14"/>
      <c r="W1406" s="14"/>
      <c r="X1406" s="1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c r="BC1406" s="4"/>
      <c r="BD1406" s="4"/>
      <c r="BE1406" s="4"/>
      <c r="BG1406" s="4"/>
      <c r="BH1406" s="4"/>
    </row>
    <row r="1407" spans="1:60" x14ac:dyDescent="0.35">
      <c r="A1407" s="4"/>
      <c r="B1407" s="8" t="str">
        <f t="shared" si="102"/>
        <v/>
      </c>
      <c r="D1407" s="6" t="str">
        <f t="shared" si="103"/>
        <v/>
      </c>
      <c r="E1407" s="6" t="str">
        <f t="shared" si="104"/>
        <v/>
      </c>
      <c r="F1407" s="6" t="str">
        <f t="shared" si="105"/>
        <v/>
      </c>
      <c r="G1407" s="4"/>
      <c r="H1407" s="4"/>
      <c r="I1407" s="4"/>
      <c r="J1407" s="4"/>
      <c r="K1407" s="4"/>
      <c r="L1407" s="4"/>
      <c r="M1407" s="4"/>
      <c r="N1407" s="4"/>
      <c r="O1407" s="4"/>
      <c r="P1407" s="4"/>
      <c r="Q1407" s="4"/>
      <c r="R1407" s="14"/>
      <c r="S1407" s="14"/>
      <c r="T1407" s="14"/>
      <c r="U1407" s="14"/>
      <c r="V1407" s="14"/>
      <c r="W1407" s="14"/>
      <c r="X1407" s="1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c r="BD1407" s="4"/>
      <c r="BE1407" s="4"/>
      <c r="BG1407" s="4"/>
      <c r="BH1407" s="4"/>
    </row>
    <row r="1408" spans="1:60" x14ac:dyDescent="0.35">
      <c r="A1408" s="4"/>
      <c r="B1408" s="8" t="str">
        <f t="shared" si="102"/>
        <v/>
      </c>
      <c r="D1408" s="6" t="str">
        <f t="shared" si="103"/>
        <v/>
      </c>
      <c r="E1408" s="6" t="str">
        <f t="shared" si="104"/>
        <v/>
      </c>
      <c r="F1408" s="6" t="str">
        <f t="shared" si="105"/>
        <v/>
      </c>
      <c r="G1408" s="4"/>
      <c r="H1408" s="4"/>
      <c r="I1408" s="4"/>
      <c r="J1408" s="4"/>
      <c r="K1408" s="4"/>
      <c r="L1408" s="4"/>
      <c r="M1408" s="4"/>
      <c r="N1408" s="4"/>
      <c r="O1408" s="4"/>
      <c r="P1408" s="4"/>
      <c r="Q1408" s="4"/>
      <c r="R1408" s="14"/>
      <c r="S1408" s="14"/>
      <c r="T1408" s="14"/>
      <c r="U1408" s="14"/>
      <c r="V1408" s="14"/>
      <c r="W1408" s="14"/>
      <c r="X1408" s="1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c r="BC1408" s="4"/>
      <c r="BD1408" s="4"/>
      <c r="BE1408" s="4"/>
      <c r="BG1408" s="4"/>
      <c r="BH1408" s="4"/>
    </row>
    <row r="1409" spans="1:60" x14ac:dyDescent="0.35">
      <c r="A1409" s="4"/>
      <c r="B1409" s="8" t="str">
        <f t="shared" si="102"/>
        <v/>
      </c>
      <c r="D1409" s="6" t="str">
        <f t="shared" si="103"/>
        <v/>
      </c>
      <c r="E1409" s="6" t="str">
        <f t="shared" si="104"/>
        <v/>
      </c>
      <c r="F1409" s="6" t="str">
        <f t="shared" si="105"/>
        <v/>
      </c>
      <c r="G1409" s="4"/>
      <c r="H1409" s="4"/>
      <c r="I1409" s="4"/>
      <c r="J1409" s="4"/>
      <c r="K1409" s="4"/>
      <c r="L1409" s="4"/>
      <c r="M1409" s="4"/>
      <c r="N1409" s="4"/>
      <c r="O1409" s="4"/>
      <c r="P1409" s="4"/>
      <c r="Q1409" s="4"/>
      <c r="R1409" s="14"/>
      <c r="S1409" s="14"/>
      <c r="T1409" s="14"/>
      <c r="U1409" s="14"/>
      <c r="V1409" s="14"/>
      <c r="W1409" s="14"/>
      <c r="X1409" s="1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c r="BC1409" s="4"/>
      <c r="BD1409" s="4"/>
      <c r="BE1409" s="4"/>
      <c r="BG1409" s="4"/>
      <c r="BH1409" s="4"/>
    </row>
    <row r="1410" spans="1:60" x14ac:dyDescent="0.35">
      <c r="A1410" s="4"/>
      <c r="B1410" s="8" t="str">
        <f t="shared" si="102"/>
        <v/>
      </c>
      <c r="D1410" s="6" t="str">
        <f t="shared" si="103"/>
        <v/>
      </c>
      <c r="E1410" s="6" t="str">
        <f t="shared" si="104"/>
        <v/>
      </c>
      <c r="F1410" s="6" t="str">
        <f t="shared" si="105"/>
        <v/>
      </c>
      <c r="G1410" s="4"/>
      <c r="H1410" s="4"/>
      <c r="I1410" s="4"/>
      <c r="J1410" s="4"/>
      <c r="K1410" s="4"/>
      <c r="L1410" s="4"/>
      <c r="M1410" s="4"/>
      <c r="N1410" s="4"/>
      <c r="O1410" s="4"/>
      <c r="P1410" s="4"/>
      <c r="Q1410" s="4"/>
      <c r="R1410" s="14"/>
      <c r="S1410" s="14"/>
      <c r="T1410" s="14"/>
      <c r="U1410" s="14"/>
      <c r="V1410" s="14"/>
      <c r="W1410" s="14"/>
      <c r="X1410" s="1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c r="BB1410" s="4"/>
      <c r="BC1410" s="4"/>
      <c r="BD1410" s="4"/>
      <c r="BE1410" s="4"/>
      <c r="BG1410" s="4"/>
      <c r="BH1410" s="4"/>
    </row>
    <row r="1411" spans="1:60" x14ac:dyDescent="0.35">
      <c r="A1411" s="4"/>
      <c r="B1411" s="8" t="str">
        <f t="shared" si="102"/>
        <v/>
      </c>
      <c r="D1411" s="6" t="str">
        <f t="shared" si="103"/>
        <v/>
      </c>
      <c r="E1411" s="6" t="str">
        <f t="shared" si="104"/>
        <v/>
      </c>
      <c r="F1411" s="6" t="str">
        <f t="shared" si="105"/>
        <v/>
      </c>
      <c r="G1411" s="4"/>
      <c r="H1411" s="4"/>
      <c r="I1411" s="4"/>
      <c r="J1411" s="4"/>
      <c r="K1411" s="4"/>
      <c r="L1411" s="4"/>
      <c r="M1411" s="4"/>
      <c r="N1411" s="4"/>
      <c r="O1411" s="4"/>
      <c r="P1411" s="4"/>
      <c r="Q1411" s="4"/>
      <c r="R1411" s="14"/>
      <c r="S1411" s="14"/>
      <c r="T1411" s="14"/>
      <c r="U1411" s="14"/>
      <c r="V1411" s="14"/>
      <c r="W1411" s="14"/>
      <c r="X1411" s="1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G1411" s="4"/>
      <c r="BH1411" s="4"/>
    </row>
    <row r="1412" spans="1:60" x14ac:dyDescent="0.35">
      <c r="A1412" s="4"/>
      <c r="B1412" s="8" t="str">
        <f t="shared" si="102"/>
        <v/>
      </c>
      <c r="D1412" s="6" t="str">
        <f t="shared" si="103"/>
        <v/>
      </c>
      <c r="E1412" s="6" t="str">
        <f t="shared" si="104"/>
        <v/>
      </c>
      <c r="F1412" s="6" t="str">
        <f t="shared" si="105"/>
        <v/>
      </c>
      <c r="G1412" s="4"/>
      <c r="H1412" s="4"/>
      <c r="I1412" s="4"/>
      <c r="J1412" s="4"/>
      <c r="K1412" s="4"/>
      <c r="L1412" s="4"/>
      <c r="M1412" s="4"/>
      <c r="N1412" s="4"/>
      <c r="O1412" s="4"/>
      <c r="P1412" s="4"/>
      <c r="Q1412" s="4"/>
      <c r="R1412" s="14"/>
      <c r="S1412" s="14"/>
      <c r="T1412" s="14"/>
      <c r="U1412" s="14"/>
      <c r="V1412" s="14"/>
      <c r="W1412" s="14"/>
      <c r="X1412" s="1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c r="BC1412" s="4"/>
      <c r="BD1412" s="4"/>
      <c r="BE1412" s="4"/>
      <c r="BG1412" s="4"/>
      <c r="BH1412" s="4"/>
    </row>
    <row r="1413" spans="1:60" x14ac:dyDescent="0.35">
      <c r="A1413" s="4"/>
      <c r="B1413" s="8" t="str">
        <f t="shared" si="102"/>
        <v/>
      </c>
      <c r="D1413" s="6" t="str">
        <f t="shared" si="103"/>
        <v/>
      </c>
      <c r="E1413" s="6" t="str">
        <f t="shared" si="104"/>
        <v/>
      </c>
      <c r="F1413" s="6" t="str">
        <f t="shared" si="105"/>
        <v/>
      </c>
      <c r="G1413" s="4"/>
      <c r="H1413" s="4"/>
      <c r="I1413" s="4"/>
      <c r="J1413" s="4"/>
      <c r="K1413" s="4"/>
      <c r="L1413" s="4"/>
      <c r="M1413" s="4"/>
      <c r="N1413" s="4"/>
      <c r="O1413" s="4"/>
      <c r="P1413" s="4"/>
      <c r="Q1413" s="4"/>
      <c r="R1413" s="14"/>
      <c r="S1413" s="14"/>
      <c r="T1413" s="14"/>
      <c r="U1413" s="14"/>
      <c r="V1413" s="14"/>
      <c r="W1413" s="14"/>
      <c r="X1413" s="1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G1413" s="4"/>
      <c r="BH1413" s="4"/>
    </row>
    <row r="1414" spans="1:60" x14ac:dyDescent="0.35">
      <c r="A1414" s="4"/>
      <c r="B1414" s="8" t="str">
        <f t="shared" si="102"/>
        <v/>
      </c>
      <c r="D1414" s="6" t="str">
        <f t="shared" si="103"/>
        <v/>
      </c>
      <c r="E1414" s="6" t="str">
        <f t="shared" si="104"/>
        <v/>
      </c>
      <c r="F1414" s="6" t="str">
        <f t="shared" si="105"/>
        <v/>
      </c>
      <c r="G1414" s="4"/>
      <c r="H1414" s="4"/>
      <c r="I1414" s="4"/>
      <c r="J1414" s="4"/>
      <c r="K1414" s="4"/>
      <c r="L1414" s="4"/>
      <c r="M1414" s="4"/>
      <c r="N1414" s="4"/>
      <c r="O1414" s="4"/>
      <c r="P1414" s="4"/>
      <c r="Q1414" s="4"/>
      <c r="R1414" s="14"/>
      <c r="S1414" s="14"/>
      <c r="T1414" s="14"/>
      <c r="U1414" s="14"/>
      <c r="V1414" s="14"/>
      <c r="W1414" s="14"/>
      <c r="X1414" s="1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G1414" s="4"/>
      <c r="BH1414" s="4"/>
    </row>
    <row r="1415" spans="1:60" x14ac:dyDescent="0.35">
      <c r="A1415" s="4"/>
      <c r="B1415" s="8" t="str">
        <f t="shared" si="102"/>
        <v/>
      </c>
      <c r="D1415" s="6" t="str">
        <f t="shared" si="103"/>
        <v/>
      </c>
      <c r="E1415" s="6" t="str">
        <f t="shared" si="104"/>
        <v/>
      </c>
      <c r="F1415" s="6" t="str">
        <f t="shared" si="105"/>
        <v/>
      </c>
      <c r="G1415" s="4"/>
      <c r="H1415" s="4"/>
      <c r="I1415" s="4"/>
      <c r="J1415" s="4"/>
      <c r="K1415" s="4"/>
      <c r="L1415" s="4"/>
      <c r="M1415" s="4"/>
      <c r="N1415" s="4"/>
      <c r="O1415" s="4"/>
      <c r="P1415" s="4"/>
      <c r="Q1415" s="4"/>
      <c r="R1415" s="14"/>
      <c r="S1415" s="14"/>
      <c r="T1415" s="14"/>
      <c r="U1415" s="14"/>
      <c r="V1415" s="14"/>
      <c r="W1415" s="14"/>
      <c r="X1415" s="1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c r="BC1415" s="4"/>
      <c r="BD1415" s="4"/>
      <c r="BE1415" s="4"/>
      <c r="BG1415" s="4"/>
      <c r="BH1415" s="4"/>
    </row>
    <row r="1416" spans="1:60" x14ac:dyDescent="0.35">
      <c r="A1416" s="4"/>
      <c r="B1416" s="8" t="str">
        <f t="shared" si="102"/>
        <v/>
      </c>
      <c r="D1416" s="6" t="str">
        <f t="shared" si="103"/>
        <v/>
      </c>
      <c r="E1416" s="6" t="str">
        <f t="shared" si="104"/>
        <v/>
      </c>
      <c r="F1416" s="6" t="str">
        <f t="shared" si="105"/>
        <v/>
      </c>
      <c r="G1416" s="4"/>
      <c r="H1416" s="4"/>
      <c r="I1416" s="4"/>
      <c r="J1416" s="4"/>
      <c r="K1416" s="4"/>
      <c r="L1416" s="4"/>
      <c r="M1416" s="4"/>
      <c r="N1416" s="4"/>
      <c r="O1416" s="4"/>
      <c r="P1416" s="4"/>
      <c r="Q1416" s="4"/>
      <c r="R1416" s="14"/>
      <c r="S1416" s="14"/>
      <c r="T1416" s="14"/>
      <c r="U1416" s="14"/>
      <c r="V1416" s="14"/>
      <c r="W1416" s="14"/>
      <c r="X1416" s="1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c r="BB1416" s="4"/>
      <c r="BC1416" s="4"/>
      <c r="BD1416" s="4"/>
      <c r="BE1416" s="4"/>
      <c r="BG1416" s="4"/>
      <c r="BH1416" s="4"/>
    </row>
    <row r="1417" spans="1:60" x14ac:dyDescent="0.35">
      <c r="A1417" s="4"/>
      <c r="B1417" s="8" t="str">
        <f t="shared" si="102"/>
        <v/>
      </c>
      <c r="D1417" s="6" t="str">
        <f t="shared" si="103"/>
        <v/>
      </c>
      <c r="E1417" s="6" t="str">
        <f t="shared" si="104"/>
        <v/>
      </c>
      <c r="F1417" s="6" t="str">
        <f t="shared" si="105"/>
        <v/>
      </c>
      <c r="G1417" s="4"/>
      <c r="H1417" s="4"/>
      <c r="I1417" s="4"/>
      <c r="J1417" s="4"/>
      <c r="K1417" s="4"/>
      <c r="L1417" s="4"/>
      <c r="M1417" s="4"/>
      <c r="N1417" s="4"/>
      <c r="O1417" s="4"/>
      <c r="P1417" s="4"/>
      <c r="Q1417" s="4"/>
      <c r="R1417" s="14"/>
      <c r="S1417" s="14"/>
      <c r="T1417" s="14"/>
      <c r="U1417" s="14"/>
      <c r="V1417" s="14"/>
      <c r="W1417" s="14"/>
      <c r="X1417" s="1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G1417" s="4"/>
      <c r="BH1417" s="4"/>
    </row>
    <row r="1418" spans="1:60" x14ac:dyDescent="0.35">
      <c r="A1418" s="4"/>
      <c r="B1418" s="8" t="str">
        <f t="shared" si="102"/>
        <v/>
      </c>
      <c r="D1418" s="6" t="str">
        <f t="shared" si="103"/>
        <v/>
      </c>
      <c r="E1418" s="6" t="str">
        <f t="shared" si="104"/>
        <v/>
      </c>
      <c r="F1418" s="6" t="str">
        <f t="shared" si="105"/>
        <v/>
      </c>
      <c r="G1418" s="4"/>
      <c r="H1418" s="4"/>
      <c r="I1418" s="4"/>
      <c r="J1418" s="4"/>
      <c r="K1418" s="4"/>
      <c r="L1418" s="4"/>
      <c r="M1418" s="4"/>
      <c r="N1418" s="4"/>
      <c r="O1418" s="4"/>
      <c r="P1418" s="4"/>
      <c r="Q1418" s="4"/>
      <c r="R1418" s="14"/>
      <c r="S1418" s="14"/>
      <c r="T1418" s="14"/>
      <c r="U1418" s="14"/>
      <c r="V1418" s="14"/>
      <c r="W1418" s="14"/>
      <c r="X1418" s="1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G1418" s="4"/>
      <c r="BH1418" s="4"/>
    </row>
    <row r="1419" spans="1:60" x14ac:dyDescent="0.35">
      <c r="A1419" s="4"/>
      <c r="B1419" s="8" t="str">
        <f t="shared" si="102"/>
        <v/>
      </c>
      <c r="D1419" s="6" t="str">
        <f t="shared" si="103"/>
        <v/>
      </c>
      <c r="E1419" s="6" t="str">
        <f t="shared" si="104"/>
        <v/>
      </c>
      <c r="F1419" s="6" t="str">
        <f t="shared" si="105"/>
        <v/>
      </c>
      <c r="G1419" s="4"/>
      <c r="H1419" s="4"/>
      <c r="I1419" s="4"/>
      <c r="J1419" s="4"/>
      <c r="K1419" s="4"/>
      <c r="L1419" s="4"/>
      <c r="M1419" s="4"/>
      <c r="N1419" s="4"/>
      <c r="O1419" s="4"/>
      <c r="P1419" s="4"/>
      <c r="Q1419" s="4"/>
      <c r="R1419" s="14"/>
      <c r="S1419" s="14"/>
      <c r="T1419" s="14"/>
      <c r="U1419" s="14"/>
      <c r="V1419" s="14"/>
      <c r="W1419" s="14"/>
      <c r="X1419" s="1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G1419" s="4"/>
      <c r="BH1419" s="4"/>
    </row>
    <row r="1420" spans="1:60" x14ac:dyDescent="0.35">
      <c r="A1420" s="4"/>
      <c r="B1420" s="8" t="str">
        <f t="shared" si="102"/>
        <v/>
      </c>
      <c r="D1420" s="6" t="str">
        <f t="shared" si="103"/>
        <v/>
      </c>
      <c r="E1420" s="6" t="str">
        <f t="shared" si="104"/>
        <v/>
      </c>
      <c r="F1420" s="6" t="str">
        <f t="shared" si="105"/>
        <v/>
      </c>
      <c r="G1420" s="4"/>
      <c r="H1420" s="4"/>
      <c r="I1420" s="4"/>
      <c r="J1420" s="4"/>
      <c r="K1420" s="4"/>
      <c r="L1420" s="4"/>
      <c r="M1420" s="4"/>
      <c r="N1420" s="4"/>
      <c r="O1420" s="4"/>
      <c r="P1420" s="4"/>
      <c r="Q1420" s="4"/>
      <c r="R1420" s="14"/>
      <c r="S1420" s="14"/>
      <c r="T1420" s="14"/>
      <c r="U1420" s="14"/>
      <c r="V1420" s="14"/>
      <c r="W1420" s="14"/>
      <c r="X1420" s="1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G1420" s="4"/>
      <c r="BH1420" s="4"/>
    </row>
    <row r="1421" spans="1:60" x14ac:dyDescent="0.35">
      <c r="A1421" s="4"/>
      <c r="B1421" s="8" t="str">
        <f t="shared" si="102"/>
        <v/>
      </c>
      <c r="D1421" s="6" t="str">
        <f t="shared" si="103"/>
        <v/>
      </c>
      <c r="E1421" s="6" t="str">
        <f t="shared" si="104"/>
        <v/>
      </c>
      <c r="F1421" s="6" t="str">
        <f t="shared" si="105"/>
        <v/>
      </c>
      <c r="G1421" s="4"/>
      <c r="H1421" s="4"/>
      <c r="I1421" s="4"/>
      <c r="J1421" s="4"/>
      <c r="K1421" s="4"/>
      <c r="L1421" s="4"/>
      <c r="M1421" s="4"/>
      <c r="N1421" s="4"/>
      <c r="O1421" s="4"/>
      <c r="P1421" s="4"/>
      <c r="Q1421" s="4"/>
      <c r="R1421" s="14"/>
      <c r="S1421" s="14"/>
      <c r="T1421" s="14"/>
      <c r="U1421" s="14"/>
      <c r="V1421" s="14"/>
      <c r="W1421" s="14"/>
      <c r="X1421" s="1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c r="BC1421" s="4"/>
      <c r="BD1421" s="4"/>
      <c r="BE1421" s="4"/>
      <c r="BG1421" s="4"/>
      <c r="BH1421" s="4"/>
    </row>
    <row r="1422" spans="1:60" x14ac:dyDescent="0.35">
      <c r="A1422" s="4"/>
      <c r="B1422" s="8" t="str">
        <f t="shared" si="102"/>
        <v/>
      </c>
      <c r="D1422" s="6" t="str">
        <f t="shared" si="103"/>
        <v/>
      </c>
      <c r="E1422" s="6" t="str">
        <f t="shared" si="104"/>
        <v/>
      </c>
      <c r="F1422" s="6" t="str">
        <f t="shared" si="105"/>
        <v/>
      </c>
      <c r="G1422" s="4"/>
      <c r="H1422" s="4"/>
      <c r="I1422" s="4"/>
      <c r="J1422" s="4"/>
      <c r="K1422" s="4"/>
      <c r="L1422" s="4"/>
      <c r="M1422" s="4"/>
      <c r="N1422" s="4"/>
      <c r="O1422" s="4"/>
      <c r="P1422" s="4"/>
      <c r="Q1422" s="4"/>
      <c r="R1422" s="14"/>
      <c r="S1422" s="14"/>
      <c r="T1422" s="14"/>
      <c r="U1422" s="14"/>
      <c r="V1422" s="14"/>
      <c r="W1422" s="14"/>
      <c r="X1422" s="1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c r="BC1422" s="4"/>
      <c r="BD1422" s="4"/>
      <c r="BE1422" s="4"/>
      <c r="BG1422" s="4"/>
      <c r="BH1422" s="4"/>
    </row>
    <row r="1423" spans="1:60" x14ac:dyDescent="0.35">
      <c r="A1423" s="4"/>
      <c r="B1423" s="8" t="str">
        <f t="shared" si="102"/>
        <v/>
      </c>
      <c r="D1423" s="6" t="str">
        <f t="shared" si="103"/>
        <v/>
      </c>
      <c r="E1423" s="6" t="str">
        <f t="shared" si="104"/>
        <v/>
      </c>
      <c r="F1423" s="6" t="str">
        <f t="shared" si="105"/>
        <v/>
      </c>
      <c r="G1423" s="4"/>
      <c r="H1423" s="4"/>
      <c r="I1423" s="4"/>
      <c r="J1423" s="4"/>
      <c r="K1423" s="4"/>
      <c r="L1423" s="4"/>
      <c r="M1423" s="4"/>
      <c r="N1423" s="4"/>
      <c r="O1423" s="4"/>
      <c r="P1423" s="4"/>
      <c r="Q1423" s="4"/>
      <c r="R1423" s="14"/>
      <c r="S1423" s="14"/>
      <c r="T1423" s="14"/>
      <c r="U1423" s="14"/>
      <c r="V1423" s="14"/>
      <c r="W1423" s="14"/>
      <c r="X1423" s="1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c r="BB1423" s="4"/>
      <c r="BC1423" s="4"/>
      <c r="BD1423" s="4"/>
      <c r="BE1423" s="4"/>
      <c r="BG1423" s="4"/>
      <c r="BH1423" s="4"/>
    </row>
    <row r="1424" spans="1:60" x14ac:dyDescent="0.35">
      <c r="A1424" s="4"/>
      <c r="B1424" s="8" t="str">
        <f t="shared" si="102"/>
        <v/>
      </c>
      <c r="D1424" s="6" t="str">
        <f t="shared" si="103"/>
        <v/>
      </c>
      <c r="E1424" s="6" t="str">
        <f t="shared" si="104"/>
        <v/>
      </c>
      <c r="F1424" s="6" t="str">
        <f t="shared" si="105"/>
        <v/>
      </c>
      <c r="G1424" s="4"/>
      <c r="H1424" s="4"/>
      <c r="I1424" s="4"/>
      <c r="J1424" s="4"/>
      <c r="K1424" s="4"/>
      <c r="L1424" s="4"/>
      <c r="M1424" s="4"/>
      <c r="N1424" s="4"/>
      <c r="O1424" s="4"/>
      <c r="P1424" s="4"/>
      <c r="Q1424" s="4"/>
      <c r="R1424" s="14"/>
      <c r="S1424" s="14"/>
      <c r="T1424" s="14"/>
      <c r="U1424" s="14"/>
      <c r="V1424" s="14"/>
      <c r="W1424" s="14"/>
      <c r="X1424" s="1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G1424" s="4"/>
      <c r="BH1424" s="4"/>
    </row>
    <row r="1425" spans="1:60" x14ac:dyDescent="0.35">
      <c r="A1425" s="4"/>
      <c r="B1425" s="8" t="str">
        <f t="shared" si="102"/>
        <v/>
      </c>
      <c r="D1425" s="6" t="str">
        <f t="shared" si="103"/>
        <v/>
      </c>
      <c r="E1425" s="6" t="str">
        <f t="shared" si="104"/>
        <v/>
      </c>
      <c r="F1425" s="6" t="str">
        <f t="shared" si="105"/>
        <v/>
      </c>
      <c r="G1425" s="4"/>
      <c r="H1425" s="4"/>
      <c r="I1425" s="4"/>
      <c r="J1425" s="4"/>
      <c r="K1425" s="4"/>
      <c r="L1425" s="4"/>
      <c r="M1425" s="4"/>
      <c r="N1425" s="4"/>
      <c r="O1425" s="4"/>
      <c r="P1425" s="4"/>
      <c r="Q1425" s="4"/>
      <c r="R1425" s="14"/>
      <c r="S1425" s="14"/>
      <c r="T1425" s="14"/>
      <c r="U1425" s="14"/>
      <c r="V1425" s="14"/>
      <c r="W1425" s="14"/>
      <c r="X1425" s="1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G1425" s="4"/>
      <c r="BH1425" s="4"/>
    </row>
    <row r="1426" spans="1:60" x14ac:dyDescent="0.35">
      <c r="A1426" s="4"/>
      <c r="B1426" s="8" t="str">
        <f t="shared" si="102"/>
        <v/>
      </c>
      <c r="D1426" s="6" t="str">
        <f t="shared" si="103"/>
        <v/>
      </c>
      <c r="E1426" s="6" t="str">
        <f t="shared" si="104"/>
        <v/>
      </c>
      <c r="F1426" s="6" t="str">
        <f t="shared" si="105"/>
        <v/>
      </c>
      <c r="G1426" s="4"/>
      <c r="H1426" s="4"/>
      <c r="I1426" s="4"/>
      <c r="J1426" s="4"/>
      <c r="K1426" s="4"/>
      <c r="L1426" s="4"/>
      <c r="M1426" s="4"/>
      <c r="N1426" s="4"/>
      <c r="O1426" s="4"/>
      <c r="P1426" s="4"/>
      <c r="Q1426" s="4"/>
      <c r="R1426" s="14"/>
      <c r="S1426" s="14"/>
      <c r="T1426" s="14"/>
      <c r="U1426" s="14"/>
      <c r="V1426" s="14"/>
      <c r="W1426" s="14"/>
      <c r="X1426" s="1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c r="BC1426" s="4"/>
      <c r="BD1426" s="4"/>
      <c r="BE1426" s="4"/>
      <c r="BG1426" s="4"/>
      <c r="BH1426" s="4"/>
    </row>
    <row r="1427" spans="1:60" x14ac:dyDescent="0.35">
      <c r="A1427" s="4"/>
      <c r="B1427" s="8" t="str">
        <f t="shared" si="102"/>
        <v/>
      </c>
      <c r="D1427" s="6" t="str">
        <f t="shared" si="103"/>
        <v/>
      </c>
      <c r="E1427" s="6" t="str">
        <f t="shared" si="104"/>
        <v/>
      </c>
      <c r="F1427" s="6" t="str">
        <f t="shared" si="105"/>
        <v/>
      </c>
      <c r="G1427" s="4"/>
      <c r="H1427" s="4"/>
      <c r="I1427" s="4"/>
      <c r="J1427" s="4"/>
      <c r="K1427" s="4"/>
      <c r="L1427" s="4"/>
      <c r="M1427" s="4"/>
      <c r="N1427" s="4"/>
      <c r="O1427" s="4"/>
      <c r="P1427" s="4"/>
      <c r="Q1427" s="4"/>
      <c r="R1427" s="14"/>
      <c r="S1427" s="14"/>
      <c r="T1427" s="14"/>
      <c r="U1427" s="14"/>
      <c r="V1427" s="14"/>
      <c r="W1427" s="14"/>
      <c r="X1427" s="1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c r="BC1427" s="4"/>
      <c r="BD1427" s="4"/>
      <c r="BE1427" s="4"/>
      <c r="BG1427" s="4"/>
      <c r="BH1427" s="4"/>
    </row>
    <row r="1428" spans="1:60" x14ac:dyDescent="0.35">
      <c r="A1428" s="4"/>
      <c r="B1428" s="8" t="str">
        <f t="shared" si="102"/>
        <v/>
      </c>
      <c r="D1428" s="6" t="str">
        <f t="shared" si="103"/>
        <v/>
      </c>
      <c r="E1428" s="6" t="str">
        <f t="shared" si="104"/>
        <v/>
      </c>
      <c r="F1428" s="6" t="str">
        <f t="shared" si="105"/>
        <v/>
      </c>
      <c r="G1428" s="4"/>
      <c r="H1428" s="4"/>
      <c r="I1428" s="4"/>
      <c r="J1428" s="4"/>
      <c r="K1428" s="4"/>
      <c r="L1428" s="4"/>
      <c r="M1428" s="4"/>
      <c r="N1428" s="4"/>
      <c r="O1428" s="4"/>
      <c r="P1428" s="4"/>
      <c r="Q1428" s="4"/>
      <c r="R1428" s="14"/>
      <c r="S1428" s="14"/>
      <c r="T1428" s="14"/>
      <c r="U1428" s="14"/>
      <c r="V1428" s="14"/>
      <c r="W1428" s="14"/>
      <c r="X1428" s="1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c r="BC1428" s="4"/>
      <c r="BD1428" s="4"/>
      <c r="BE1428" s="4"/>
      <c r="BG1428" s="4"/>
      <c r="BH1428" s="4"/>
    </row>
    <row r="1429" spans="1:60" x14ac:dyDescent="0.35">
      <c r="A1429" s="4"/>
      <c r="B1429" s="8" t="str">
        <f t="shared" si="102"/>
        <v/>
      </c>
      <c r="D1429" s="6" t="str">
        <f t="shared" si="103"/>
        <v/>
      </c>
      <c r="E1429" s="6" t="str">
        <f t="shared" si="104"/>
        <v/>
      </c>
      <c r="F1429" s="6" t="str">
        <f t="shared" si="105"/>
        <v/>
      </c>
      <c r="G1429" s="4"/>
      <c r="H1429" s="4"/>
      <c r="I1429" s="4"/>
      <c r="J1429" s="4"/>
      <c r="K1429" s="4"/>
      <c r="L1429" s="4"/>
      <c r="M1429" s="4"/>
      <c r="N1429" s="4"/>
      <c r="O1429" s="4"/>
      <c r="P1429" s="4"/>
      <c r="Q1429" s="4"/>
      <c r="R1429" s="14"/>
      <c r="S1429" s="14"/>
      <c r="T1429" s="14"/>
      <c r="U1429" s="14"/>
      <c r="V1429" s="14"/>
      <c r="W1429" s="14"/>
      <c r="X1429" s="1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c r="BC1429" s="4"/>
      <c r="BD1429" s="4"/>
      <c r="BE1429" s="4"/>
      <c r="BG1429" s="4"/>
      <c r="BH1429" s="4"/>
    </row>
    <row r="1430" spans="1:60" x14ac:dyDescent="0.35">
      <c r="A1430" s="4"/>
      <c r="B1430" s="8" t="str">
        <f t="shared" si="102"/>
        <v/>
      </c>
      <c r="D1430" s="6" t="str">
        <f t="shared" si="103"/>
        <v/>
      </c>
      <c r="E1430" s="6" t="str">
        <f t="shared" si="104"/>
        <v/>
      </c>
      <c r="F1430" s="6" t="str">
        <f t="shared" si="105"/>
        <v/>
      </c>
      <c r="G1430" s="4"/>
      <c r="H1430" s="4"/>
      <c r="I1430" s="4"/>
      <c r="J1430" s="4"/>
      <c r="K1430" s="4"/>
      <c r="L1430" s="4"/>
      <c r="M1430" s="4"/>
      <c r="N1430" s="4"/>
      <c r="O1430" s="4"/>
      <c r="P1430" s="4"/>
      <c r="Q1430" s="4"/>
      <c r="R1430" s="14"/>
      <c r="S1430" s="14"/>
      <c r="T1430" s="14"/>
      <c r="U1430" s="14"/>
      <c r="V1430" s="14"/>
      <c r="W1430" s="14"/>
      <c r="X1430" s="1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c r="BC1430" s="4"/>
      <c r="BD1430" s="4"/>
      <c r="BE1430" s="4"/>
      <c r="BG1430" s="4"/>
      <c r="BH1430" s="4"/>
    </row>
    <row r="1431" spans="1:60" x14ac:dyDescent="0.35">
      <c r="A1431" s="4"/>
      <c r="B1431" s="8" t="str">
        <f t="shared" si="102"/>
        <v/>
      </c>
      <c r="D1431" s="6" t="str">
        <f t="shared" si="103"/>
        <v/>
      </c>
      <c r="E1431" s="6" t="str">
        <f t="shared" si="104"/>
        <v/>
      </c>
      <c r="F1431" s="6" t="str">
        <f t="shared" si="105"/>
        <v/>
      </c>
      <c r="G1431" s="4"/>
      <c r="H1431" s="4"/>
      <c r="I1431" s="4"/>
      <c r="J1431" s="4"/>
      <c r="K1431" s="4"/>
      <c r="L1431" s="4"/>
      <c r="M1431" s="4"/>
      <c r="N1431" s="4"/>
      <c r="O1431" s="4"/>
      <c r="P1431" s="4"/>
      <c r="Q1431" s="4"/>
      <c r="R1431" s="14"/>
      <c r="S1431" s="14"/>
      <c r="T1431" s="14"/>
      <c r="U1431" s="14"/>
      <c r="V1431" s="14"/>
      <c r="W1431" s="14"/>
      <c r="X1431" s="1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G1431" s="4"/>
      <c r="BH1431" s="4"/>
    </row>
    <row r="1432" spans="1:60" x14ac:dyDescent="0.35">
      <c r="A1432" s="4"/>
      <c r="B1432" s="8" t="str">
        <f t="shared" si="102"/>
        <v/>
      </c>
      <c r="D1432" s="6" t="str">
        <f t="shared" si="103"/>
        <v/>
      </c>
      <c r="E1432" s="6" t="str">
        <f t="shared" si="104"/>
        <v/>
      </c>
      <c r="F1432" s="6" t="str">
        <f t="shared" si="105"/>
        <v/>
      </c>
      <c r="G1432" s="4"/>
      <c r="H1432" s="4"/>
      <c r="I1432" s="4"/>
      <c r="J1432" s="4"/>
      <c r="K1432" s="4"/>
      <c r="L1432" s="4"/>
      <c r="M1432" s="4"/>
      <c r="N1432" s="4"/>
      <c r="O1432" s="4"/>
      <c r="P1432" s="4"/>
      <c r="Q1432" s="4"/>
      <c r="R1432" s="14"/>
      <c r="S1432" s="14"/>
      <c r="T1432" s="14"/>
      <c r="U1432" s="14"/>
      <c r="V1432" s="14"/>
      <c r="W1432" s="14"/>
      <c r="X1432" s="1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c r="BC1432" s="4"/>
      <c r="BD1432" s="4"/>
      <c r="BE1432" s="4"/>
      <c r="BG1432" s="4"/>
      <c r="BH1432" s="4"/>
    </row>
    <row r="1433" spans="1:60" x14ac:dyDescent="0.35">
      <c r="A1433" s="4"/>
      <c r="B1433" s="8" t="str">
        <f t="shared" si="102"/>
        <v/>
      </c>
      <c r="D1433" s="6" t="str">
        <f t="shared" si="103"/>
        <v/>
      </c>
      <c r="E1433" s="6" t="str">
        <f t="shared" si="104"/>
        <v/>
      </c>
      <c r="F1433" s="6" t="str">
        <f t="shared" si="105"/>
        <v/>
      </c>
      <c r="G1433" s="4"/>
      <c r="H1433" s="4"/>
      <c r="I1433" s="4"/>
      <c r="J1433" s="4"/>
      <c r="K1433" s="4"/>
      <c r="L1433" s="4"/>
      <c r="M1433" s="4"/>
      <c r="N1433" s="4"/>
      <c r="O1433" s="4"/>
      <c r="P1433" s="4"/>
      <c r="Q1433" s="4"/>
      <c r="R1433" s="14"/>
      <c r="S1433" s="14"/>
      <c r="T1433" s="14"/>
      <c r="U1433" s="14"/>
      <c r="V1433" s="14"/>
      <c r="W1433" s="14"/>
      <c r="X1433" s="1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G1433" s="4"/>
      <c r="BH1433" s="4"/>
    </row>
    <row r="1434" spans="1:60" x14ac:dyDescent="0.35">
      <c r="A1434" s="4"/>
      <c r="B1434" s="8" t="str">
        <f t="shared" si="102"/>
        <v/>
      </c>
      <c r="D1434" s="6" t="str">
        <f t="shared" si="103"/>
        <v/>
      </c>
      <c r="E1434" s="6" t="str">
        <f t="shared" si="104"/>
        <v/>
      </c>
      <c r="F1434" s="6" t="str">
        <f t="shared" si="105"/>
        <v/>
      </c>
      <c r="G1434" s="4"/>
      <c r="H1434" s="4"/>
      <c r="I1434" s="4"/>
      <c r="J1434" s="4"/>
      <c r="K1434" s="4"/>
      <c r="L1434" s="4"/>
      <c r="M1434" s="4"/>
      <c r="N1434" s="4"/>
      <c r="O1434" s="4"/>
      <c r="P1434" s="4"/>
      <c r="Q1434" s="4"/>
      <c r="R1434" s="14"/>
      <c r="S1434" s="14"/>
      <c r="T1434" s="14"/>
      <c r="U1434" s="14"/>
      <c r="V1434" s="14"/>
      <c r="W1434" s="14"/>
      <c r="X1434" s="1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G1434" s="4"/>
      <c r="BH1434" s="4"/>
    </row>
    <row r="1435" spans="1:60" x14ac:dyDescent="0.35">
      <c r="A1435" s="4"/>
      <c r="B1435" s="8" t="str">
        <f t="shared" si="102"/>
        <v/>
      </c>
      <c r="D1435" s="6" t="str">
        <f t="shared" si="103"/>
        <v/>
      </c>
      <c r="E1435" s="6" t="str">
        <f t="shared" si="104"/>
        <v/>
      </c>
      <c r="F1435" s="6" t="str">
        <f t="shared" si="105"/>
        <v/>
      </c>
      <c r="G1435" s="4"/>
      <c r="H1435" s="4"/>
      <c r="I1435" s="4"/>
      <c r="J1435" s="4"/>
      <c r="K1435" s="4"/>
      <c r="L1435" s="4"/>
      <c r="M1435" s="4"/>
      <c r="N1435" s="4"/>
      <c r="O1435" s="4"/>
      <c r="P1435" s="4"/>
      <c r="Q1435" s="4"/>
      <c r="R1435" s="14"/>
      <c r="S1435" s="14"/>
      <c r="T1435" s="14"/>
      <c r="U1435" s="14"/>
      <c r="V1435" s="14"/>
      <c r="W1435" s="14"/>
      <c r="X1435" s="1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G1435" s="4"/>
      <c r="BH1435" s="4"/>
    </row>
    <row r="1436" spans="1:60" x14ac:dyDescent="0.35">
      <c r="A1436" s="4"/>
      <c r="B1436" s="8" t="str">
        <f t="shared" si="102"/>
        <v/>
      </c>
      <c r="D1436" s="6" t="str">
        <f t="shared" si="103"/>
        <v/>
      </c>
      <c r="E1436" s="6" t="str">
        <f t="shared" si="104"/>
        <v/>
      </c>
      <c r="F1436" s="6" t="str">
        <f t="shared" si="105"/>
        <v/>
      </c>
      <c r="G1436" s="4"/>
      <c r="H1436" s="4"/>
      <c r="I1436" s="4"/>
      <c r="J1436" s="4"/>
      <c r="K1436" s="4"/>
      <c r="L1436" s="4"/>
      <c r="M1436" s="4"/>
      <c r="N1436" s="4"/>
      <c r="O1436" s="4"/>
      <c r="P1436" s="4"/>
      <c r="Q1436" s="4"/>
      <c r="R1436" s="14"/>
      <c r="S1436" s="14"/>
      <c r="T1436" s="14"/>
      <c r="U1436" s="14"/>
      <c r="V1436" s="14"/>
      <c r="W1436" s="14"/>
      <c r="X1436" s="1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G1436" s="4"/>
      <c r="BH1436" s="4"/>
    </row>
    <row r="1437" spans="1:60" x14ac:dyDescent="0.35">
      <c r="A1437" s="4"/>
      <c r="B1437" s="8" t="str">
        <f t="shared" si="102"/>
        <v/>
      </c>
      <c r="D1437" s="6" t="str">
        <f t="shared" si="103"/>
        <v/>
      </c>
      <c r="E1437" s="6" t="str">
        <f t="shared" si="104"/>
        <v/>
      </c>
      <c r="F1437" s="6" t="str">
        <f t="shared" si="105"/>
        <v/>
      </c>
      <c r="G1437" s="4"/>
      <c r="H1437" s="4"/>
      <c r="I1437" s="4"/>
      <c r="J1437" s="4"/>
      <c r="K1437" s="4"/>
      <c r="L1437" s="4"/>
      <c r="M1437" s="4"/>
      <c r="N1437" s="4"/>
      <c r="O1437" s="4"/>
      <c r="P1437" s="4"/>
      <c r="Q1437" s="4"/>
      <c r="R1437" s="14"/>
      <c r="S1437" s="14"/>
      <c r="T1437" s="14"/>
      <c r="U1437" s="14"/>
      <c r="V1437" s="14"/>
      <c r="W1437" s="14"/>
      <c r="X1437" s="1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G1437" s="4"/>
      <c r="BH1437" s="4"/>
    </row>
    <row r="1438" spans="1:60" x14ac:dyDescent="0.35">
      <c r="A1438" s="4"/>
      <c r="B1438" s="8" t="str">
        <f t="shared" si="102"/>
        <v/>
      </c>
      <c r="D1438" s="6" t="str">
        <f t="shared" si="103"/>
        <v/>
      </c>
      <c r="E1438" s="6" t="str">
        <f t="shared" si="104"/>
        <v/>
      </c>
      <c r="F1438" s="6" t="str">
        <f t="shared" si="105"/>
        <v/>
      </c>
      <c r="G1438" s="4"/>
      <c r="H1438" s="4"/>
      <c r="I1438" s="4"/>
      <c r="J1438" s="4"/>
      <c r="K1438" s="4"/>
      <c r="L1438" s="4"/>
      <c r="M1438" s="4"/>
      <c r="N1438" s="4"/>
      <c r="O1438" s="4"/>
      <c r="P1438" s="4"/>
      <c r="Q1438" s="4"/>
      <c r="R1438" s="14"/>
      <c r="S1438" s="14"/>
      <c r="T1438" s="14"/>
      <c r="U1438" s="14"/>
      <c r="V1438" s="14"/>
      <c r="W1438" s="14"/>
      <c r="X1438" s="1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G1438" s="4"/>
      <c r="BH1438" s="4"/>
    </row>
    <row r="1439" spans="1:60" x14ac:dyDescent="0.35">
      <c r="A1439" s="4"/>
      <c r="B1439" s="8" t="str">
        <f t="shared" si="102"/>
        <v/>
      </c>
      <c r="D1439" s="6" t="str">
        <f t="shared" si="103"/>
        <v/>
      </c>
      <c r="E1439" s="6" t="str">
        <f t="shared" si="104"/>
        <v/>
      </c>
      <c r="F1439" s="6" t="str">
        <f t="shared" si="105"/>
        <v/>
      </c>
      <c r="G1439" s="4"/>
      <c r="H1439" s="4"/>
      <c r="I1439" s="4"/>
      <c r="J1439" s="4"/>
      <c r="K1439" s="4"/>
      <c r="L1439" s="4"/>
      <c r="M1439" s="4"/>
      <c r="N1439" s="4"/>
      <c r="O1439" s="4"/>
      <c r="P1439" s="4"/>
      <c r="Q1439" s="4"/>
      <c r="R1439" s="14"/>
      <c r="S1439" s="14"/>
      <c r="T1439" s="14"/>
      <c r="U1439" s="14"/>
      <c r="V1439" s="14"/>
      <c r="W1439" s="14"/>
      <c r="X1439" s="1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G1439" s="4"/>
      <c r="BH1439" s="4"/>
    </row>
    <row r="1440" spans="1:60" x14ac:dyDescent="0.35">
      <c r="A1440" s="4"/>
      <c r="B1440" s="8" t="str">
        <f t="shared" si="102"/>
        <v/>
      </c>
      <c r="D1440" s="6" t="str">
        <f t="shared" si="103"/>
        <v/>
      </c>
      <c r="E1440" s="6" t="str">
        <f t="shared" si="104"/>
        <v/>
      </c>
      <c r="F1440" s="6" t="str">
        <f t="shared" si="105"/>
        <v/>
      </c>
      <c r="G1440" s="4"/>
      <c r="H1440" s="4"/>
      <c r="I1440" s="4"/>
      <c r="J1440" s="4"/>
      <c r="K1440" s="4"/>
      <c r="L1440" s="4"/>
      <c r="M1440" s="4"/>
      <c r="N1440" s="4"/>
      <c r="O1440" s="4"/>
      <c r="P1440" s="4"/>
      <c r="Q1440" s="4"/>
      <c r="R1440" s="14"/>
      <c r="S1440" s="14"/>
      <c r="T1440" s="14"/>
      <c r="U1440" s="14"/>
      <c r="V1440" s="14"/>
      <c r="W1440" s="14"/>
      <c r="X1440" s="1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c r="BC1440" s="4"/>
      <c r="BD1440" s="4"/>
      <c r="BE1440" s="4"/>
      <c r="BG1440" s="4"/>
      <c r="BH1440" s="4"/>
    </row>
    <row r="1441" spans="1:60" x14ac:dyDescent="0.35">
      <c r="A1441" s="4"/>
      <c r="B1441" s="8" t="str">
        <f t="shared" si="102"/>
        <v/>
      </c>
      <c r="D1441" s="6" t="str">
        <f t="shared" si="103"/>
        <v/>
      </c>
      <c r="E1441" s="6" t="str">
        <f t="shared" si="104"/>
        <v/>
      </c>
      <c r="F1441" s="6" t="str">
        <f t="shared" si="105"/>
        <v/>
      </c>
      <c r="G1441" s="4"/>
      <c r="H1441" s="4"/>
      <c r="I1441" s="4"/>
      <c r="J1441" s="4"/>
      <c r="K1441" s="4"/>
      <c r="L1441" s="4"/>
      <c r="M1441" s="4"/>
      <c r="N1441" s="4"/>
      <c r="O1441" s="4"/>
      <c r="P1441" s="4"/>
      <c r="Q1441" s="4"/>
      <c r="R1441" s="14"/>
      <c r="S1441" s="14"/>
      <c r="T1441" s="14"/>
      <c r="U1441" s="14"/>
      <c r="V1441" s="14"/>
      <c r="W1441" s="14"/>
      <c r="X1441" s="1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G1441" s="4"/>
      <c r="BH1441" s="4"/>
    </row>
    <row r="1442" spans="1:60" x14ac:dyDescent="0.35">
      <c r="A1442" s="4"/>
      <c r="B1442" s="8" t="str">
        <f t="shared" si="102"/>
        <v/>
      </c>
      <c r="D1442" s="6" t="str">
        <f t="shared" si="103"/>
        <v/>
      </c>
      <c r="E1442" s="6" t="str">
        <f t="shared" si="104"/>
        <v/>
      </c>
      <c r="F1442" s="6" t="str">
        <f t="shared" si="105"/>
        <v/>
      </c>
      <c r="G1442" s="4"/>
      <c r="H1442" s="4"/>
      <c r="I1442" s="4"/>
      <c r="J1442" s="4"/>
      <c r="K1442" s="4"/>
      <c r="L1442" s="4"/>
      <c r="M1442" s="4"/>
      <c r="N1442" s="4"/>
      <c r="O1442" s="4"/>
      <c r="P1442" s="4"/>
      <c r="Q1442" s="4"/>
      <c r="R1442" s="14"/>
      <c r="S1442" s="14"/>
      <c r="T1442" s="14"/>
      <c r="U1442" s="14"/>
      <c r="V1442" s="14"/>
      <c r="W1442" s="14"/>
      <c r="X1442" s="14"/>
      <c r="Y1442" s="4"/>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G1442" s="4"/>
      <c r="BH1442" s="4"/>
    </row>
    <row r="1443" spans="1:60" x14ac:dyDescent="0.35">
      <c r="A1443" s="4"/>
      <c r="B1443" s="8" t="str">
        <f t="shared" si="102"/>
        <v/>
      </c>
      <c r="D1443" s="6" t="str">
        <f t="shared" si="103"/>
        <v/>
      </c>
      <c r="E1443" s="6" t="str">
        <f t="shared" si="104"/>
        <v/>
      </c>
      <c r="F1443" s="6" t="str">
        <f t="shared" si="105"/>
        <v/>
      </c>
      <c r="G1443" s="4"/>
      <c r="H1443" s="4"/>
      <c r="I1443" s="4"/>
      <c r="J1443" s="4"/>
      <c r="K1443" s="4"/>
      <c r="L1443" s="4"/>
      <c r="M1443" s="4"/>
      <c r="N1443" s="4"/>
      <c r="O1443" s="4"/>
      <c r="P1443" s="4"/>
      <c r="Q1443" s="4"/>
      <c r="R1443" s="14"/>
      <c r="S1443" s="14"/>
      <c r="T1443" s="14"/>
      <c r="U1443" s="14"/>
      <c r="V1443" s="14"/>
      <c r="W1443" s="14"/>
      <c r="X1443" s="1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G1443" s="4"/>
      <c r="BH1443" s="4"/>
    </row>
    <row r="1444" spans="1:60" x14ac:dyDescent="0.35">
      <c r="A1444" s="4"/>
      <c r="B1444" s="8" t="str">
        <f t="shared" si="102"/>
        <v/>
      </c>
      <c r="D1444" s="6" t="str">
        <f t="shared" si="103"/>
        <v/>
      </c>
      <c r="E1444" s="6" t="str">
        <f t="shared" si="104"/>
        <v/>
      </c>
      <c r="F1444" s="6" t="str">
        <f t="shared" si="105"/>
        <v/>
      </c>
      <c r="G1444" s="4"/>
      <c r="H1444" s="4"/>
      <c r="I1444" s="4"/>
      <c r="J1444" s="4"/>
      <c r="K1444" s="4"/>
      <c r="L1444" s="4"/>
      <c r="M1444" s="4"/>
      <c r="N1444" s="4"/>
      <c r="O1444" s="4"/>
      <c r="P1444" s="4"/>
      <c r="Q1444" s="4"/>
      <c r="R1444" s="14"/>
      <c r="S1444" s="14"/>
      <c r="T1444" s="14"/>
      <c r="U1444" s="14"/>
      <c r="V1444" s="14"/>
      <c r="W1444" s="14"/>
      <c r="X1444" s="1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G1444" s="4"/>
      <c r="BH1444" s="4"/>
    </row>
    <row r="1445" spans="1:60" x14ac:dyDescent="0.35">
      <c r="A1445" s="4"/>
      <c r="B1445" s="8" t="str">
        <f t="shared" si="102"/>
        <v/>
      </c>
      <c r="D1445" s="6" t="str">
        <f t="shared" si="103"/>
        <v/>
      </c>
      <c r="E1445" s="6" t="str">
        <f t="shared" si="104"/>
        <v/>
      </c>
      <c r="F1445" s="6" t="str">
        <f t="shared" si="105"/>
        <v/>
      </c>
      <c r="G1445" s="4"/>
      <c r="H1445" s="4"/>
      <c r="I1445" s="4"/>
      <c r="J1445" s="4"/>
      <c r="K1445" s="4"/>
      <c r="L1445" s="4"/>
      <c r="M1445" s="4"/>
      <c r="N1445" s="4"/>
      <c r="O1445" s="4"/>
      <c r="P1445" s="4"/>
      <c r="Q1445" s="4"/>
      <c r="R1445" s="14"/>
      <c r="S1445" s="14"/>
      <c r="T1445" s="14"/>
      <c r="U1445" s="14"/>
      <c r="V1445" s="14"/>
      <c r="W1445" s="14"/>
      <c r="X1445" s="1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G1445" s="4"/>
      <c r="BH1445" s="4"/>
    </row>
    <row r="1446" spans="1:60" x14ac:dyDescent="0.35">
      <c r="A1446" s="4"/>
      <c r="B1446" s="8" t="str">
        <f t="shared" si="102"/>
        <v/>
      </c>
      <c r="D1446" s="6" t="str">
        <f t="shared" si="103"/>
        <v/>
      </c>
      <c r="E1446" s="6" t="str">
        <f t="shared" si="104"/>
        <v/>
      </c>
      <c r="F1446" s="6" t="str">
        <f t="shared" si="105"/>
        <v/>
      </c>
      <c r="G1446" s="4"/>
      <c r="H1446" s="4"/>
      <c r="I1446" s="4"/>
      <c r="J1446" s="4"/>
      <c r="K1446" s="4"/>
      <c r="L1446" s="4"/>
      <c r="M1446" s="4"/>
      <c r="N1446" s="4"/>
      <c r="O1446" s="4"/>
      <c r="P1446" s="4"/>
      <c r="Q1446" s="4"/>
      <c r="R1446" s="14"/>
      <c r="S1446" s="14"/>
      <c r="T1446" s="14"/>
      <c r="U1446" s="14"/>
      <c r="V1446" s="14"/>
      <c r="W1446" s="14"/>
      <c r="X1446" s="1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G1446" s="4"/>
      <c r="BH1446" s="4"/>
    </row>
    <row r="1447" spans="1:60" x14ac:dyDescent="0.35">
      <c r="A1447" s="4"/>
      <c r="B1447" s="8" t="str">
        <f t="shared" si="102"/>
        <v/>
      </c>
      <c r="D1447" s="6" t="str">
        <f t="shared" si="103"/>
        <v/>
      </c>
      <c r="E1447" s="6" t="str">
        <f t="shared" si="104"/>
        <v/>
      </c>
      <c r="F1447" s="6" t="str">
        <f t="shared" si="105"/>
        <v/>
      </c>
      <c r="G1447" s="4"/>
      <c r="H1447" s="4"/>
      <c r="I1447" s="4"/>
      <c r="J1447" s="4"/>
      <c r="K1447" s="4"/>
      <c r="L1447" s="4"/>
      <c r="M1447" s="4"/>
      <c r="N1447" s="4"/>
      <c r="O1447" s="4"/>
      <c r="P1447" s="4"/>
      <c r="Q1447" s="4"/>
      <c r="R1447" s="14"/>
      <c r="S1447" s="14"/>
      <c r="T1447" s="14"/>
      <c r="U1447" s="14"/>
      <c r="V1447" s="14"/>
      <c r="W1447" s="14"/>
      <c r="X1447" s="1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G1447" s="4"/>
      <c r="BH1447" s="4"/>
    </row>
    <row r="1448" spans="1:60" x14ac:dyDescent="0.35">
      <c r="A1448" s="4"/>
      <c r="B1448" s="8" t="str">
        <f t="shared" si="102"/>
        <v/>
      </c>
      <c r="D1448" s="6" t="str">
        <f t="shared" si="103"/>
        <v/>
      </c>
      <c r="E1448" s="6" t="str">
        <f t="shared" si="104"/>
        <v/>
      </c>
      <c r="F1448" s="6" t="str">
        <f t="shared" si="105"/>
        <v/>
      </c>
      <c r="G1448" s="4"/>
      <c r="H1448" s="4"/>
      <c r="I1448" s="4"/>
      <c r="J1448" s="4"/>
      <c r="K1448" s="4"/>
      <c r="L1448" s="4"/>
      <c r="M1448" s="4"/>
      <c r="N1448" s="4"/>
      <c r="O1448" s="4"/>
      <c r="P1448" s="4"/>
      <c r="Q1448" s="4"/>
      <c r="R1448" s="14"/>
      <c r="S1448" s="14"/>
      <c r="T1448" s="14"/>
      <c r="U1448" s="14"/>
      <c r="V1448" s="14"/>
      <c r="W1448" s="14"/>
      <c r="X1448" s="1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G1448" s="4"/>
      <c r="BH1448" s="4"/>
    </row>
    <row r="1449" spans="1:60" x14ac:dyDescent="0.35">
      <c r="A1449" s="4"/>
      <c r="B1449" s="8" t="str">
        <f t="shared" si="102"/>
        <v/>
      </c>
      <c r="D1449" s="6" t="str">
        <f t="shared" si="103"/>
        <v/>
      </c>
      <c r="E1449" s="6" t="str">
        <f t="shared" si="104"/>
        <v/>
      </c>
      <c r="F1449" s="6" t="str">
        <f t="shared" si="105"/>
        <v/>
      </c>
      <c r="G1449" s="4"/>
      <c r="H1449" s="4"/>
      <c r="I1449" s="4"/>
      <c r="J1449" s="4"/>
      <c r="K1449" s="4"/>
      <c r="L1449" s="4"/>
      <c r="M1449" s="4"/>
      <c r="N1449" s="4"/>
      <c r="O1449" s="4"/>
      <c r="P1449" s="4"/>
      <c r="Q1449" s="4"/>
      <c r="R1449" s="14"/>
      <c r="S1449" s="14"/>
      <c r="T1449" s="14"/>
      <c r="U1449" s="14"/>
      <c r="V1449" s="14"/>
      <c r="W1449" s="14"/>
      <c r="X1449" s="1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G1449" s="4"/>
      <c r="BH1449" s="4"/>
    </row>
    <row r="1450" spans="1:60" x14ac:dyDescent="0.35">
      <c r="A1450" s="4"/>
      <c r="B1450" s="8" t="str">
        <f t="shared" si="102"/>
        <v/>
      </c>
      <c r="D1450" s="6" t="str">
        <f t="shared" si="103"/>
        <v/>
      </c>
      <c r="E1450" s="6" t="str">
        <f t="shared" si="104"/>
        <v/>
      </c>
      <c r="F1450" s="6" t="str">
        <f t="shared" si="105"/>
        <v/>
      </c>
      <c r="G1450" s="4"/>
      <c r="H1450" s="4"/>
      <c r="I1450" s="4"/>
      <c r="J1450" s="4"/>
      <c r="K1450" s="4"/>
      <c r="L1450" s="4"/>
      <c r="M1450" s="4"/>
      <c r="N1450" s="4"/>
      <c r="O1450" s="4"/>
      <c r="P1450" s="4"/>
      <c r="Q1450" s="4"/>
      <c r="R1450" s="14"/>
      <c r="S1450" s="14"/>
      <c r="T1450" s="14"/>
      <c r="U1450" s="14"/>
      <c r="V1450" s="14"/>
      <c r="W1450" s="14"/>
      <c r="X1450" s="1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G1450" s="4"/>
      <c r="BH1450" s="4"/>
    </row>
    <row r="1451" spans="1:60" x14ac:dyDescent="0.35">
      <c r="A1451" s="4"/>
      <c r="B1451" s="8" t="str">
        <f t="shared" si="102"/>
        <v/>
      </c>
      <c r="D1451" s="6" t="str">
        <f t="shared" si="103"/>
        <v/>
      </c>
      <c r="E1451" s="6" t="str">
        <f t="shared" si="104"/>
        <v/>
      </c>
      <c r="F1451" s="6" t="str">
        <f t="shared" si="105"/>
        <v/>
      </c>
      <c r="G1451" s="4"/>
      <c r="H1451" s="4"/>
      <c r="I1451" s="4"/>
      <c r="J1451" s="4"/>
      <c r="K1451" s="4"/>
      <c r="L1451" s="4"/>
      <c r="M1451" s="4"/>
      <c r="N1451" s="4"/>
      <c r="O1451" s="4"/>
      <c r="P1451" s="4"/>
      <c r="Q1451" s="4"/>
      <c r="R1451" s="14"/>
      <c r="S1451" s="14"/>
      <c r="T1451" s="14"/>
      <c r="U1451" s="14"/>
      <c r="V1451" s="14"/>
      <c r="W1451" s="14"/>
      <c r="X1451" s="1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G1451" s="4"/>
      <c r="BH1451" s="4"/>
    </row>
    <row r="1452" spans="1:60" x14ac:dyDescent="0.35">
      <c r="A1452" s="4"/>
      <c r="B1452" s="8" t="str">
        <f t="shared" si="102"/>
        <v/>
      </c>
      <c r="D1452" s="6" t="str">
        <f t="shared" si="103"/>
        <v/>
      </c>
      <c r="E1452" s="6" t="str">
        <f t="shared" si="104"/>
        <v/>
      </c>
      <c r="F1452" s="6" t="str">
        <f t="shared" si="105"/>
        <v/>
      </c>
      <c r="G1452" s="4"/>
      <c r="H1452" s="4"/>
      <c r="I1452" s="4"/>
      <c r="J1452" s="4"/>
      <c r="K1452" s="4"/>
      <c r="L1452" s="4"/>
      <c r="M1452" s="4"/>
      <c r="N1452" s="4"/>
      <c r="O1452" s="4"/>
      <c r="P1452" s="4"/>
      <c r="Q1452" s="4"/>
      <c r="R1452" s="14"/>
      <c r="S1452" s="14"/>
      <c r="T1452" s="14"/>
      <c r="U1452" s="14"/>
      <c r="V1452" s="14"/>
      <c r="W1452" s="14"/>
      <c r="X1452" s="1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G1452" s="4"/>
      <c r="BH1452" s="4"/>
    </row>
    <row r="1453" spans="1:60" x14ac:dyDescent="0.35">
      <c r="A1453" s="4"/>
      <c r="B1453" s="8" t="str">
        <f t="shared" si="102"/>
        <v/>
      </c>
      <c r="D1453" s="6" t="str">
        <f t="shared" si="103"/>
        <v/>
      </c>
      <c r="E1453" s="6" t="str">
        <f t="shared" si="104"/>
        <v/>
      </c>
      <c r="F1453" s="6" t="str">
        <f t="shared" si="105"/>
        <v/>
      </c>
      <c r="G1453" s="4"/>
      <c r="H1453" s="4"/>
      <c r="I1453" s="4"/>
      <c r="J1453" s="4"/>
      <c r="K1453" s="4"/>
      <c r="L1453" s="4"/>
      <c r="M1453" s="4"/>
      <c r="N1453" s="4"/>
      <c r="O1453" s="4"/>
      <c r="P1453" s="4"/>
      <c r="Q1453" s="4"/>
      <c r="R1453" s="14"/>
      <c r="S1453" s="14"/>
      <c r="T1453" s="14"/>
      <c r="U1453" s="14"/>
      <c r="V1453" s="14"/>
      <c r="W1453" s="14"/>
      <c r="X1453" s="1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G1453" s="4"/>
      <c r="BH1453" s="4"/>
    </row>
    <row r="1454" spans="1:60" x14ac:dyDescent="0.35">
      <c r="A1454" s="4"/>
      <c r="B1454" s="8" t="str">
        <f t="shared" si="102"/>
        <v/>
      </c>
      <c r="D1454" s="6" t="str">
        <f t="shared" si="103"/>
        <v/>
      </c>
      <c r="E1454" s="6" t="str">
        <f t="shared" si="104"/>
        <v/>
      </c>
      <c r="F1454" s="6" t="str">
        <f t="shared" si="105"/>
        <v/>
      </c>
      <c r="G1454" s="4"/>
      <c r="H1454" s="4"/>
      <c r="I1454" s="4"/>
      <c r="J1454" s="4"/>
      <c r="K1454" s="4"/>
      <c r="L1454" s="4"/>
      <c r="M1454" s="4"/>
      <c r="N1454" s="4"/>
      <c r="O1454" s="4"/>
      <c r="P1454" s="4"/>
      <c r="Q1454" s="4"/>
      <c r="R1454" s="14"/>
      <c r="S1454" s="14"/>
      <c r="T1454" s="14"/>
      <c r="U1454" s="14"/>
      <c r="V1454" s="14"/>
      <c r="W1454" s="14"/>
      <c r="X1454" s="1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G1454" s="4"/>
      <c r="BH1454" s="4"/>
    </row>
    <row r="1455" spans="1:60" x14ac:dyDescent="0.35">
      <c r="A1455" s="4"/>
      <c r="B1455" s="8" t="str">
        <f t="shared" si="102"/>
        <v/>
      </c>
      <c r="D1455" s="6" t="str">
        <f t="shared" si="103"/>
        <v/>
      </c>
      <c r="E1455" s="6" t="str">
        <f t="shared" si="104"/>
        <v/>
      </c>
      <c r="F1455" s="6" t="str">
        <f t="shared" si="105"/>
        <v/>
      </c>
      <c r="G1455" s="4"/>
      <c r="H1455" s="4"/>
      <c r="I1455" s="4"/>
      <c r="J1455" s="4"/>
      <c r="K1455" s="4"/>
      <c r="L1455" s="4"/>
      <c r="M1455" s="4"/>
      <c r="N1455" s="4"/>
      <c r="O1455" s="4"/>
      <c r="P1455" s="4"/>
      <c r="Q1455" s="4"/>
      <c r="R1455" s="14"/>
      <c r="S1455" s="14"/>
      <c r="T1455" s="14"/>
      <c r="U1455" s="14"/>
      <c r="V1455" s="14"/>
      <c r="W1455" s="14"/>
      <c r="X1455" s="1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G1455" s="4"/>
      <c r="BH1455" s="4"/>
    </row>
    <row r="1456" spans="1:60" x14ac:dyDescent="0.35">
      <c r="A1456" s="4"/>
      <c r="B1456" s="8" t="str">
        <f t="shared" si="102"/>
        <v/>
      </c>
      <c r="D1456" s="6" t="str">
        <f t="shared" si="103"/>
        <v/>
      </c>
      <c r="E1456" s="6" t="str">
        <f t="shared" si="104"/>
        <v/>
      </c>
      <c r="F1456" s="6" t="str">
        <f t="shared" si="105"/>
        <v/>
      </c>
      <c r="G1456" s="4"/>
      <c r="H1456" s="4"/>
      <c r="I1456" s="4"/>
      <c r="J1456" s="4"/>
      <c r="K1456" s="4"/>
      <c r="L1456" s="4"/>
      <c r="M1456" s="4"/>
      <c r="N1456" s="4"/>
      <c r="O1456" s="4"/>
      <c r="P1456" s="4"/>
      <c r="Q1456" s="4"/>
      <c r="R1456" s="14"/>
      <c r="S1456" s="14"/>
      <c r="T1456" s="14"/>
      <c r="U1456" s="14"/>
      <c r="V1456" s="14"/>
      <c r="W1456" s="14"/>
      <c r="X1456" s="1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G1456" s="4"/>
      <c r="BH1456" s="4"/>
    </row>
    <row r="1457" spans="1:60" x14ac:dyDescent="0.35">
      <c r="A1457" s="4"/>
      <c r="B1457" s="8" t="str">
        <f t="shared" si="102"/>
        <v/>
      </c>
      <c r="D1457" s="6" t="str">
        <f t="shared" si="103"/>
        <v/>
      </c>
      <c r="E1457" s="6" t="str">
        <f t="shared" si="104"/>
        <v/>
      </c>
      <c r="F1457" s="6" t="str">
        <f t="shared" si="105"/>
        <v/>
      </c>
      <c r="G1457" s="4"/>
      <c r="H1457" s="4"/>
      <c r="I1457" s="4"/>
      <c r="J1457" s="4"/>
      <c r="K1457" s="4"/>
      <c r="L1457" s="4"/>
      <c r="M1457" s="4"/>
      <c r="N1457" s="4"/>
      <c r="O1457" s="4"/>
      <c r="P1457" s="4"/>
      <c r="Q1457" s="4"/>
      <c r="R1457" s="14"/>
      <c r="S1457" s="14"/>
      <c r="T1457" s="14"/>
      <c r="U1457" s="14"/>
      <c r="V1457" s="14"/>
      <c r="W1457" s="14"/>
      <c r="X1457" s="1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G1457" s="4"/>
      <c r="BH1457" s="4"/>
    </row>
    <row r="1458" spans="1:60" x14ac:dyDescent="0.35">
      <c r="A1458" s="4"/>
      <c r="B1458" s="8" t="str">
        <f t="shared" si="102"/>
        <v/>
      </c>
      <c r="D1458" s="6" t="str">
        <f t="shared" si="103"/>
        <v/>
      </c>
      <c r="E1458" s="6" t="str">
        <f t="shared" si="104"/>
        <v/>
      </c>
      <c r="F1458" s="6" t="str">
        <f t="shared" si="105"/>
        <v/>
      </c>
      <c r="G1458" s="4"/>
      <c r="H1458" s="4"/>
      <c r="I1458" s="4"/>
      <c r="J1458" s="4"/>
      <c r="K1458" s="4"/>
      <c r="L1458" s="4"/>
      <c r="M1458" s="4"/>
      <c r="N1458" s="4"/>
      <c r="O1458" s="4"/>
      <c r="P1458" s="4"/>
      <c r="Q1458" s="4"/>
      <c r="R1458" s="14"/>
      <c r="S1458" s="14"/>
      <c r="T1458" s="14"/>
      <c r="U1458" s="14"/>
      <c r="V1458" s="14"/>
      <c r="W1458" s="14"/>
      <c r="X1458" s="1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G1458" s="4"/>
      <c r="BH1458" s="4"/>
    </row>
    <row r="1459" spans="1:60" x14ac:dyDescent="0.35">
      <c r="A1459" s="4"/>
      <c r="B1459" s="8" t="str">
        <f t="shared" si="102"/>
        <v/>
      </c>
      <c r="D1459" s="6" t="str">
        <f t="shared" si="103"/>
        <v/>
      </c>
      <c r="E1459" s="6" t="str">
        <f t="shared" si="104"/>
        <v/>
      </c>
      <c r="F1459" s="6" t="str">
        <f t="shared" si="105"/>
        <v/>
      </c>
      <c r="G1459" s="4"/>
      <c r="H1459" s="4"/>
      <c r="I1459" s="4"/>
      <c r="J1459" s="4"/>
      <c r="K1459" s="4"/>
      <c r="L1459" s="4"/>
      <c r="M1459" s="4"/>
      <c r="N1459" s="4"/>
      <c r="O1459" s="4"/>
      <c r="P1459" s="4"/>
      <c r="Q1459" s="4"/>
      <c r="R1459" s="14"/>
      <c r="S1459" s="14"/>
      <c r="T1459" s="14"/>
      <c r="U1459" s="14"/>
      <c r="V1459" s="14"/>
      <c r="W1459" s="14"/>
      <c r="X1459" s="1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G1459" s="4"/>
      <c r="BH1459" s="4"/>
    </row>
    <row r="1460" spans="1:60" x14ac:dyDescent="0.35">
      <c r="A1460" s="4"/>
      <c r="B1460" s="8" t="str">
        <f t="shared" si="102"/>
        <v/>
      </c>
      <c r="D1460" s="6" t="str">
        <f t="shared" si="103"/>
        <v/>
      </c>
      <c r="E1460" s="6" t="str">
        <f t="shared" si="104"/>
        <v/>
      </c>
      <c r="F1460" s="6" t="str">
        <f t="shared" si="105"/>
        <v/>
      </c>
      <c r="G1460" s="4"/>
      <c r="H1460" s="4"/>
      <c r="I1460" s="4"/>
      <c r="J1460" s="4"/>
      <c r="K1460" s="4"/>
      <c r="L1460" s="4"/>
      <c r="M1460" s="4"/>
      <c r="N1460" s="4"/>
      <c r="O1460" s="4"/>
      <c r="P1460" s="4"/>
      <c r="Q1460" s="4"/>
      <c r="R1460" s="14"/>
      <c r="S1460" s="14"/>
      <c r="T1460" s="14"/>
      <c r="U1460" s="14"/>
      <c r="V1460" s="14"/>
      <c r="W1460" s="14"/>
      <c r="X1460" s="1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G1460" s="4"/>
      <c r="BH1460" s="4"/>
    </row>
    <row r="1461" spans="1:60" x14ac:dyDescent="0.35">
      <c r="A1461" s="4"/>
      <c r="B1461" s="8" t="str">
        <f t="shared" si="102"/>
        <v/>
      </c>
      <c r="D1461" s="6" t="str">
        <f t="shared" si="103"/>
        <v/>
      </c>
      <c r="E1461" s="6" t="str">
        <f t="shared" si="104"/>
        <v/>
      </c>
      <c r="F1461" s="6" t="str">
        <f t="shared" si="105"/>
        <v/>
      </c>
      <c r="G1461" s="4"/>
      <c r="H1461" s="4"/>
      <c r="I1461" s="4"/>
      <c r="J1461" s="4"/>
      <c r="K1461" s="4"/>
      <c r="L1461" s="4"/>
      <c r="M1461" s="4"/>
      <c r="N1461" s="4"/>
      <c r="O1461" s="4"/>
      <c r="P1461" s="4"/>
      <c r="Q1461" s="4"/>
      <c r="R1461" s="14"/>
      <c r="S1461" s="14"/>
      <c r="T1461" s="14"/>
      <c r="U1461" s="14"/>
      <c r="V1461" s="14"/>
      <c r="W1461" s="14"/>
      <c r="X1461" s="1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G1461" s="4"/>
      <c r="BH1461" s="4"/>
    </row>
    <row r="1462" spans="1:60" x14ac:dyDescent="0.35">
      <c r="A1462" s="4"/>
      <c r="B1462" s="8" t="str">
        <f t="shared" si="102"/>
        <v/>
      </c>
      <c r="D1462" s="6" t="str">
        <f t="shared" si="103"/>
        <v/>
      </c>
      <c r="E1462" s="6" t="str">
        <f t="shared" si="104"/>
        <v/>
      </c>
      <c r="F1462" s="6" t="str">
        <f t="shared" si="105"/>
        <v/>
      </c>
      <c r="G1462" s="4"/>
      <c r="H1462" s="4"/>
      <c r="I1462" s="4"/>
      <c r="J1462" s="4"/>
      <c r="K1462" s="4"/>
      <c r="L1462" s="4"/>
      <c r="M1462" s="4"/>
      <c r="N1462" s="4"/>
      <c r="O1462" s="4"/>
      <c r="P1462" s="4"/>
      <c r="Q1462" s="4"/>
      <c r="R1462" s="14"/>
      <c r="S1462" s="14"/>
      <c r="T1462" s="14"/>
      <c r="U1462" s="14"/>
      <c r="V1462" s="14"/>
      <c r="W1462" s="14"/>
      <c r="X1462" s="1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G1462" s="4"/>
      <c r="BH1462" s="4"/>
    </row>
    <row r="1463" spans="1:60" x14ac:dyDescent="0.35">
      <c r="A1463" s="4"/>
      <c r="B1463" s="8" t="str">
        <f t="shared" si="102"/>
        <v/>
      </c>
      <c r="D1463" s="6" t="str">
        <f t="shared" si="103"/>
        <v/>
      </c>
      <c r="E1463" s="6" t="str">
        <f t="shared" si="104"/>
        <v/>
      </c>
      <c r="F1463" s="6" t="str">
        <f t="shared" si="105"/>
        <v/>
      </c>
      <c r="G1463" s="4"/>
      <c r="H1463" s="4"/>
      <c r="I1463" s="4"/>
      <c r="J1463" s="4"/>
      <c r="K1463" s="4"/>
      <c r="L1463" s="4"/>
      <c r="M1463" s="4"/>
      <c r="N1463" s="4"/>
      <c r="O1463" s="4"/>
      <c r="P1463" s="4"/>
      <c r="Q1463" s="4"/>
      <c r="R1463" s="14"/>
      <c r="S1463" s="14"/>
      <c r="T1463" s="14"/>
      <c r="U1463" s="14"/>
      <c r="V1463" s="14"/>
      <c r="W1463" s="14"/>
      <c r="X1463" s="1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G1463" s="4"/>
      <c r="BH1463" s="4"/>
    </row>
    <row r="1464" spans="1:60" x14ac:dyDescent="0.35">
      <c r="A1464" s="4"/>
      <c r="B1464" s="8" t="str">
        <f t="shared" si="102"/>
        <v/>
      </c>
      <c r="D1464" s="6" t="str">
        <f t="shared" si="103"/>
        <v/>
      </c>
      <c r="E1464" s="6" t="str">
        <f t="shared" si="104"/>
        <v/>
      </c>
      <c r="F1464" s="6" t="str">
        <f t="shared" si="105"/>
        <v/>
      </c>
      <c r="G1464" s="4"/>
      <c r="H1464" s="4"/>
      <c r="I1464" s="4"/>
      <c r="J1464" s="4"/>
      <c r="K1464" s="4"/>
      <c r="L1464" s="4"/>
      <c r="M1464" s="4"/>
      <c r="N1464" s="4"/>
      <c r="O1464" s="4"/>
      <c r="P1464" s="4"/>
      <c r="Q1464" s="4"/>
      <c r="R1464" s="14"/>
      <c r="S1464" s="14"/>
      <c r="T1464" s="14"/>
      <c r="U1464" s="14"/>
      <c r="V1464" s="14"/>
      <c r="W1464" s="14"/>
      <c r="X1464" s="1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c r="BC1464" s="4"/>
      <c r="BD1464" s="4"/>
      <c r="BE1464" s="4"/>
      <c r="BG1464" s="4"/>
      <c r="BH1464" s="4"/>
    </row>
    <row r="1465" spans="1:60" x14ac:dyDescent="0.35">
      <c r="A1465" s="4"/>
      <c r="B1465" s="8" t="str">
        <f t="shared" si="102"/>
        <v/>
      </c>
      <c r="D1465" s="6" t="str">
        <f t="shared" si="103"/>
        <v/>
      </c>
      <c r="E1465" s="6" t="str">
        <f t="shared" si="104"/>
        <v/>
      </c>
      <c r="F1465" s="6" t="str">
        <f t="shared" si="105"/>
        <v/>
      </c>
      <c r="G1465" s="4"/>
      <c r="H1465" s="4"/>
      <c r="I1465" s="4"/>
      <c r="J1465" s="4"/>
      <c r="K1465" s="4"/>
      <c r="L1465" s="4"/>
      <c r="M1465" s="4"/>
      <c r="N1465" s="4"/>
      <c r="O1465" s="4"/>
      <c r="P1465" s="4"/>
      <c r="Q1465" s="4"/>
      <c r="R1465" s="14"/>
      <c r="S1465" s="14"/>
      <c r="T1465" s="14"/>
      <c r="U1465" s="14"/>
      <c r="V1465" s="14"/>
      <c r="W1465" s="14"/>
      <c r="X1465" s="1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c r="BC1465" s="4"/>
      <c r="BD1465" s="4"/>
      <c r="BE1465" s="4"/>
      <c r="BG1465" s="4"/>
      <c r="BH1465" s="4"/>
    </row>
    <row r="1466" spans="1:60" x14ac:dyDescent="0.35">
      <c r="A1466" s="4"/>
      <c r="B1466" s="8" t="str">
        <f t="shared" si="102"/>
        <v/>
      </c>
      <c r="D1466" s="6" t="str">
        <f t="shared" si="103"/>
        <v/>
      </c>
      <c r="E1466" s="6" t="str">
        <f t="shared" si="104"/>
        <v/>
      </c>
      <c r="F1466" s="6" t="str">
        <f t="shared" si="105"/>
        <v/>
      </c>
      <c r="G1466" s="4"/>
      <c r="H1466" s="4"/>
      <c r="I1466" s="4"/>
      <c r="J1466" s="4"/>
      <c r="K1466" s="4"/>
      <c r="L1466" s="4"/>
      <c r="M1466" s="4"/>
      <c r="N1466" s="4"/>
      <c r="O1466" s="4"/>
      <c r="P1466" s="4"/>
      <c r="Q1466" s="4"/>
      <c r="R1466" s="14"/>
      <c r="S1466" s="14"/>
      <c r="T1466" s="14"/>
      <c r="U1466" s="14"/>
      <c r="V1466" s="14"/>
      <c r="W1466" s="14"/>
      <c r="X1466" s="1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c r="BC1466" s="4"/>
      <c r="BD1466" s="4"/>
      <c r="BE1466" s="4"/>
      <c r="BG1466" s="4"/>
      <c r="BH1466" s="4"/>
    </row>
    <row r="1467" spans="1:60" x14ac:dyDescent="0.35">
      <c r="A1467" s="4"/>
      <c r="B1467" s="8" t="str">
        <f t="shared" si="102"/>
        <v/>
      </c>
      <c r="D1467" s="6" t="str">
        <f t="shared" si="103"/>
        <v/>
      </c>
      <c r="E1467" s="6" t="str">
        <f t="shared" si="104"/>
        <v/>
      </c>
      <c r="F1467" s="6" t="str">
        <f t="shared" si="105"/>
        <v/>
      </c>
      <c r="G1467" s="4"/>
      <c r="H1467" s="4"/>
      <c r="I1467" s="4"/>
      <c r="J1467" s="4"/>
      <c r="K1467" s="4"/>
      <c r="L1467" s="4"/>
      <c r="M1467" s="4"/>
      <c r="N1467" s="4"/>
      <c r="O1467" s="4"/>
      <c r="P1467" s="4"/>
      <c r="Q1467" s="4"/>
      <c r="R1467" s="14"/>
      <c r="S1467" s="14"/>
      <c r="T1467" s="14"/>
      <c r="U1467" s="14"/>
      <c r="V1467" s="14"/>
      <c r="W1467" s="14"/>
      <c r="X1467" s="1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c r="BC1467" s="4"/>
      <c r="BD1467" s="4"/>
      <c r="BE1467" s="4"/>
      <c r="BG1467" s="4"/>
      <c r="BH1467" s="4"/>
    </row>
    <row r="1468" spans="1:60" x14ac:dyDescent="0.35">
      <c r="A1468" s="4"/>
      <c r="B1468" s="8" t="str">
        <f t="shared" si="102"/>
        <v/>
      </c>
      <c r="D1468" s="6" t="str">
        <f t="shared" si="103"/>
        <v/>
      </c>
      <c r="E1468" s="6" t="str">
        <f t="shared" si="104"/>
        <v/>
      </c>
      <c r="F1468" s="6" t="str">
        <f t="shared" si="105"/>
        <v/>
      </c>
      <c r="G1468" s="4"/>
      <c r="H1468" s="4"/>
      <c r="I1468" s="4"/>
      <c r="J1468" s="4"/>
      <c r="K1468" s="4"/>
      <c r="L1468" s="4"/>
      <c r="M1468" s="4"/>
      <c r="N1468" s="4"/>
      <c r="O1468" s="4"/>
      <c r="P1468" s="4"/>
      <c r="Q1468" s="4"/>
      <c r="R1468" s="14"/>
      <c r="S1468" s="14"/>
      <c r="T1468" s="14"/>
      <c r="U1468" s="14"/>
      <c r="V1468" s="14"/>
      <c r="W1468" s="14"/>
      <c r="X1468" s="1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G1468" s="4"/>
      <c r="BH1468" s="4"/>
    </row>
    <row r="1469" spans="1:60" x14ac:dyDescent="0.35">
      <c r="A1469" s="4"/>
      <c r="B1469" s="8" t="str">
        <f t="shared" ref="B1469:B1532" si="106">RIGHT(A1469,4)</f>
        <v/>
      </c>
      <c r="D1469" s="6" t="str">
        <f t="shared" ref="D1469:D1532" si="107">IF(C1469="","",VLOOKUP(C1469,district_region,2,FALSE))</f>
        <v/>
      </c>
      <c r="E1469" s="6" t="str">
        <f t="shared" ref="E1469:E1532" si="108">IF(C1469="","",VLOOKUP(C1469,liste_pop,3,FALSE))</f>
        <v/>
      </c>
      <c r="F1469" s="6" t="str">
        <f t="shared" ref="F1469:F1532" si="109">IF(D1469="","",IF(D1469="Dakar",4042240,VLOOKUP(D1469,liste_pop,4,FALSE)))</f>
        <v/>
      </c>
      <c r="G1469" s="4"/>
      <c r="H1469" s="4"/>
      <c r="I1469" s="4"/>
      <c r="J1469" s="4"/>
      <c r="K1469" s="4"/>
      <c r="L1469" s="4"/>
      <c r="M1469" s="4"/>
      <c r="N1469" s="4"/>
      <c r="O1469" s="4"/>
      <c r="P1469" s="4"/>
      <c r="Q1469" s="4"/>
      <c r="R1469" s="14"/>
      <c r="S1469" s="14"/>
      <c r="T1469" s="14"/>
      <c r="U1469" s="14"/>
      <c r="V1469" s="14"/>
      <c r="W1469" s="14"/>
      <c r="X1469" s="1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c r="BC1469" s="4"/>
      <c r="BD1469" s="4"/>
      <c r="BE1469" s="4"/>
      <c r="BG1469" s="4"/>
      <c r="BH1469" s="4"/>
    </row>
    <row r="1470" spans="1:60" x14ac:dyDescent="0.35">
      <c r="A1470" s="4"/>
      <c r="B1470" s="8" t="str">
        <f t="shared" si="106"/>
        <v/>
      </c>
      <c r="D1470" s="6" t="str">
        <f t="shared" si="107"/>
        <v/>
      </c>
      <c r="E1470" s="6" t="str">
        <f t="shared" si="108"/>
        <v/>
      </c>
      <c r="F1470" s="6" t="str">
        <f t="shared" si="109"/>
        <v/>
      </c>
      <c r="G1470" s="4"/>
      <c r="H1470" s="4"/>
      <c r="I1470" s="4"/>
      <c r="J1470" s="4"/>
      <c r="K1470" s="4"/>
      <c r="L1470" s="4"/>
      <c r="M1470" s="4"/>
      <c r="N1470" s="4"/>
      <c r="O1470" s="4"/>
      <c r="P1470" s="4"/>
      <c r="Q1470" s="4"/>
      <c r="R1470" s="14"/>
      <c r="S1470" s="14"/>
      <c r="T1470" s="14"/>
      <c r="U1470" s="14"/>
      <c r="V1470" s="14"/>
      <c r="W1470" s="14"/>
      <c r="X1470" s="1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G1470" s="4"/>
      <c r="BH1470" s="4"/>
    </row>
    <row r="1471" spans="1:60" x14ac:dyDescent="0.35">
      <c r="A1471" s="4"/>
      <c r="B1471" s="8" t="str">
        <f t="shared" si="106"/>
        <v/>
      </c>
      <c r="D1471" s="6" t="str">
        <f t="shared" si="107"/>
        <v/>
      </c>
      <c r="E1471" s="6" t="str">
        <f t="shared" si="108"/>
        <v/>
      </c>
      <c r="F1471" s="6" t="str">
        <f t="shared" si="109"/>
        <v/>
      </c>
      <c r="G1471" s="4"/>
      <c r="H1471" s="4"/>
      <c r="I1471" s="4"/>
      <c r="J1471" s="4"/>
      <c r="K1471" s="4"/>
      <c r="L1471" s="4"/>
      <c r="M1471" s="4"/>
      <c r="N1471" s="4"/>
      <c r="O1471" s="4"/>
      <c r="P1471" s="4"/>
      <c r="Q1471" s="4"/>
      <c r="R1471" s="14"/>
      <c r="S1471" s="14"/>
      <c r="T1471" s="14"/>
      <c r="U1471" s="14"/>
      <c r="V1471" s="14"/>
      <c r="W1471" s="14"/>
      <c r="X1471" s="1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c r="BC1471" s="4"/>
      <c r="BD1471" s="4"/>
      <c r="BE1471" s="4"/>
      <c r="BG1471" s="4"/>
      <c r="BH1471" s="4"/>
    </row>
    <row r="1472" spans="1:60" x14ac:dyDescent="0.35">
      <c r="A1472" s="4"/>
      <c r="B1472" s="8" t="str">
        <f t="shared" si="106"/>
        <v/>
      </c>
      <c r="D1472" s="6" t="str">
        <f t="shared" si="107"/>
        <v/>
      </c>
      <c r="E1472" s="6" t="str">
        <f t="shared" si="108"/>
        <v/>
      </c>
      <c r="F1472" s="6" t="str">
        <f t="shared" si="109"/>
        <v/>
      </c>
      <c r="G1472" s="4"/>
      <c r="H1472" s="4"/>
      <c r="I1472" s="4"/>
      <c r="J1472" s="4"/>
      <c r="K1472" s="4"/>
      <c r="L1472" s="4"/>
      <c r="M1472" s="4"/>
      <c r="N1472" s="4"/>
      <c r="O1472" s="4"/>
      <c r="P1472" s="4"/>
      <c r="Q1472" s="4"/>
      <c r="R1472" s="14"/>
      <c r="S1472" s="14"/>
      <c r="T1472" s="14"/>
      <c r="U1472" s="14"/>
      <c r="V1472" s="14"/>
      <c r="W1472" s="14"/>
      <c r="X1472" s="1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G1472" s="4"/>
      <c r="BH1472" s="4"/>
    </row>
    <row r="1473" spans="1:60" x14ac:dyDescent="0.35">
      <c r="A1473" s="4"/>
      <c r="B1473" s="8" t="str">
        <f t="shared" si="106"/>
        <v/>
      </c>
      <c r="D1473" s="6" t="str">
        <f t="shared" si="107"/>
        <v/>
      </c>
      <c r="E1473" s="6" t="str">
        <f t="shared" si="108"/>
        <v/>
      </c>
      <c r="F1473" s="6" t="str">
        <f t="shared" si="109"/>
        <v/>
      </c>
      <c r="G1473" s="4"/>
      <c r="H1473" s="4"/>
      <c r="I1473" s="4"/>
      <c r="J1473" s="4"/>
      <c r="K1473" s="4"/>
      <c r="L1473" s="4"/>
      <c r="M1473" s="4"/>
      <c r="N1473" s="4"/>
      <c r="O1473" s="4"/>
      <c r="P1473" s="4"/>
      <c r="Q1473" s="4"/>
      <c r="R1473" s="14"/>
      <c r="S1473" s="14"/>
      <c r="T1473" s="14"/>
      <c r="U1473" s="14"/>
      <c r="V1473" s="14"/>
      <c r="W1473" s="14"/>
      <c r="X1473" s="1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G1473" s="4"/>
      <c r="BH1473" s="4"/>
    </row>
    <row r="1474" spans="1:60" x14ac:dyDescent="0.35">
      <c r="A1474" s="4"/>
      <c r="B1474" s="8" t="str">
        <f t="shared" si="106"/>
        <v/>
      </c>
      <c r="D1474" s="6" t="str">
        <f t="shared" si="107"/>
        <v/>
      </c>
      <c r="E1474" s="6" t="str">
        <f t="shared" si="108"/>
        <v/>
      </c>
      <c r="F1474" s="6" t="str">
        <f t="shared" si="109"/>
        <v/>
      </c>
      <c r="G1474" s="4"/>
      <c r="H1474" s="4"/>
      <c r="I1474" s="4"/>
      <c r="J1474" s="4"/>
      <c r="K1474" s="4"/>
      <c r="L1474" s="4"/>
      <c r="M1474" s="4"/>
      <c r="N1474" s="4"/>
      <c r="O1474" s="4"/>
      <c r="P1474" s="4"/>
      <c r="Q1474" s="4"/>
      <c r="R1474" s="14"/>
      <c r="S1474" s="14"/>
      <c r="T1474" s="14"/>
      <c r="U1474" s="14"/>
      <c r="V1474" s="14"/>
      <c r="W1474" s="14"/>
      <c r="X1474" s="1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G1474" s="4"/>
      <c r="BH1474" s="4"/>
    </row>
    <row r="1475" spans="1:60" x14ac:dyDescent="0.35">
      <c r="A1475" s="4"/>
      <c r="B1475" s="8" t="str">
        <f t="shared" si="106"/>
        <v/>
      </c>
      <c r="D1475" s="6" t="str">
        <f t="shared" si="107"/>
        <v/>
      </c>
      <c r="E1475" s="6" t="str">
        <f t="shared" si="108"/>
        <v/>
      </c>
      <c r="F1475" s="6" t="str">
        <f t="shared" si="109"/>
        <v/>
      </c>
      <c r="G1475" s="4"/>
      <c r="H1475" s="4"/>
      <c r="I1475" s="4"/>
      <c r="J1475" s="4"/>
      <c r="K1475" s="4"/>
      <c r="L1475" s="4"/>
      <c r="M1475" s="4"/>
      <c r="N1475" s="4"/>
      <c r="O1475" s="4"/>
      <c r="P1475" s="4"/>
      <c r="Q1475" s="4"/>
      <c r="R1475" s="14"/>
      <c r="S1475" s="14"/>
      <c r="T1475" s="14"/>
      <c r="U1475" s="14"/>
      <c r="V1475" s="14"/>
      <c r="W1475" s="14"/>
      <c r="X1475" s="1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G1475" s="4"/>
      <c r="BH1475" s="4"/>
    </row>
    <row r="1476" spans="1:60" x14ac:dyDescent="0.35">
      <c r="A1476" s="4"/>
      <c r="B1476" s="8" t="str">
        <f t="shared" si="106"/>
        <v/>
      </c>
      <c r="D1476" s="6" t="str">
        <f t="shared" si="107"/>
        <v/>
      </c>
      <c r="E1476" s="6" t="str">
        <f t="shared" si="108"/>
        <v/>
      </c>
      <c r="F1476" s="6" t="str">
        <f t="shared" si="109"/>
        <v/>
      </c>
      <c r="G1476" s="4"/>
      <c r="H1476" s="4"/>
      <c r="I1476" s="4"/>
      <c r="J1476" s="4"/>
      <c r="K1476" s="4"/>
      <c r="L1476" s="4"/>
      <c r="M1476" s="4"/>
      <c r="N1476" s="4"/>
      <c r="O1476" s="4"/>
      <c r="P1476" s="4"/>
      <c r="Q1476" s="4"/>
      <c r="R1476" s="14"/>
      <c r="S1476" s="14"/>
      <c r="T1476" s="14"/>
      <c r="U1476" s="14"/>
      <c r="V1476" s="14"/>
      <c r="W1476" s="14"/>
      <c r="X1476" s="1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G1476" s="4"/>
      <c r="BH1476" s="4"/>
    </row>
    <row r="1477" spans="1:60" x14ac:dyDescent="0.35">
      <c r="A1477" s="4"/>
      <c r="B1477" s="8" t="str">
        <f t="shared" si="106"/>
        <v/>
      </c>
      <c r="D1477" s="6" t="str">
        <f t="shared" si="107"/>
        <v/>
      </c>
      <c r="E1477" s="6" t="str">
        <f t="shared" si="108"/>
        <v/>
      </c>
      <c r="F1477" s="6" t="str">
        <f t="shared" si="109"/>
        <v/>
      </c>
      <c r="G1477" s="4"/>
      <c r="H1477" s="4"/>
      <c r="I1477" s="4"/>
      <c r="J1477" s="4"/>
      <c r="K1477" s="4"/>
      <c r="L1477" s="4"/>
      <c r="M1477" s="4"/>
      <c r="N1477" s="4"/>
      <c r="O1477" s="4"/>
      <c r="P1477" s="4"/>
      <c r="Q1477" s="4"/>
      <c r="R1477" s="14"/>
      <c r="S1477" s="14"/>
      <c r="T1477" s="14"/>
      <c r="U1477" s="14"/>
      <c r="V1477" s="14"/>
      <c r="W1477" s="14"/>
      <c r="X1477" s="1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c r="BC1477" s="4"/>
      <c r="BD1477" s="4"/>
      <c r="BE1477" s="4"/>
      <c r="BG1477" s="4"/>
      <c r="BH1477" s="4"/>
    </row>
    <row r="1478" spans="1:60" x14ac:dyDescent="0.35">
      <c r="A1478" s="4"/>
      <c r="B1478" s="8" t="str">
        <f t="shared" si="106"/>
        <v/>
      </c>
      <c r="D1478" s="6" t="str">
        <f t="shared" si="107"/>
        <v/>
      </c>
      <c r="E1478" s="6" t="str">
        <f t="shared" si="108"/>
        <v/>
      </c>
      <c r="F1478" s="6" t="str">
        <f t="shared" si="109"/>
        <v/>
      </c>
      <c r="G1478" s="4"/>
      <c r="H1478" s="4"/>
      <c r="I1478" s="4"/>
      <c r="J1478" s="4"/>
      <c r="K1478" s="4"/>
      <c r="L1478" s="4"/>
      <c r="M1478" s="4"/>
      <c r="N1478" s="4"/>
      <c r="O1478" s="4"/>
      <c r="P1478" s="4"/>
      <c r="Q1478" s="4"/>
      <c r="R1478" s="14"/>
      <c r="S1478" s="14"/>
      <c r="T1478" s="14"/>
      <c r="U1478" s="14"/>
      <c r="V1478" s="14"/>
      <c r="W1478" s="14"/>
      <c r="X1478" s="1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c r="BC1478" s="4"/>
      <c r="BD1478" s="4"/>
      <c r="BE1478" s="4"/>
      <c r="BG1478" s="4"/>
      <c r="BH1478" s="4"/>
    </row>
    <row r="1479" spans="1:60" x14ac:dyDescent="0.35">
      <c r="A1479" s="4"/>
      <c r="B1479" s="8" t="str">
        <f t="shared" si="106"/>
        <v/>
      </c>
      <c r="D1479" s="6" t="str">
        <f t="shared" si="107"/>
        <v/>
      </c>
      <c r="E1479" s="6" t="str">
        <f t="shared" si="108"/>
        <v/>
      </c>
      <c r="F1479" s="6" t="str">
        <f t="shared" si="109"/>
        <v/>
      </c>
      <c r="G1479" s="4"/>
      <c r="H1479" s="4"/>
      <c r="I1479" s="4"/>
      <c r="J1479" s="4"/>
      <c r="K1479" s="4"/>
      <c r="L1479" s="4"/>
      <c r="M1479" s="4"/>
      <c r="N1479" s="4"/>
      <c r="O1479" s="4"/>
      <c r="P1479" s="4"/>
      <c r="Q1479" s="4"/>
      <c r="R1479" s="14"/>
      <c r="S1479" s="14"/>
      <c r="T1479" s="14"/>
      <c r="U1479" s="14"/>
      <c r="V1479" s="14"/>
      <c r="W1479" s="14"/>
      <c r="X1479" s="1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c r="BC1479" s="4"/>
      <c r="BD1479" s="4"/>
      <c r="BE1479" s="4"/>
      <c r="BG1479" s="4"/>
      <c r="BH1479" s="4"/>
    </row>
    <row r="1480" spans="1:60" x14ac:dyDescent="0.35">
      <c r="A1480" s="4"/>
      <c r="B1480" s="8" t="str">
        <f t="shared" si="106"/>
        <v/>
      </c>
      <c r="D1480" s="6" t="str">
        <f t="shared" si="107"/>
        <v/>
      </c>
      <c r="E1480" s="6" t="str">
        <f t="shared" si="108"/>
        <v/>
      </c>
      <c r="F1480" s="6" t="str">
        <f t="shared" si="109"/>
        <v/>
      </c>
      <c r="G1480" s="4"/>
      <c r="H1480" s="4"/>
      <c r="I1480" s="4"/>
      <c r="J1480" s="4"/>
      <c r="K1480" s="4"/>
      <c r="L1480" s="4"/>
      <c r="M1480" s="4"/>
      <c r="N1480" s="4"/>
      <c r="O1480" s="4"/>
      <c r="P1480" s="4"/>
      <c r="Q1480" s="4"/>
      <c r="R1480" s="14"/>
      <c r="S1480" s="14"/>
      <c r="T1480" s="14"/>
      <c r="U1480" s="14"/>
      <c r="V1480" s="14"/>
      <c r="W1480" s="14"/>
      <c r="X1480" s="1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c r="BC1480" s="4"/>
      <c r="BD1480" s="4"/>
      <c r="BE1480" s="4"/>
      <c r="BG1480" s="4"/>
      <c r="BH1480" s="4"/>
    </row>
    <row r="1481" spans="1:60" x14ac:dyDescent="0.35">
      <c r="A1481" s="4"/>
      <c r="B1481" s="8" t="str">
        <f t="shared" si="106"/>
        <v/>
      </c>
      <c r="D1481" s="6" t="str">
        <f t="shared" si="107"/>
        <v/>
      </c>
      <c r="E1481" s="6" t="str">
        <f t="shared" si="108"/>
        <v/>
      </c>
      <c r="F1481" s="6" t="str">
        <f t="shared" si="109"/>
        <v/>
      </c>
      <c r="G1481" s="4"/>
      <c r="H1481" s="4"/>
      <c r="I1481" s="4"/>
      <c r="J1481" s="4"/>
      <c r="K1481" s="4"/>
      <c r="L1481" s="4"/>
      <c r="M1481" s="4"/>
      <c r="N1481" s="4"/>
      <c r="O1481" s="4"/>
      <c r="P1481" s="4"/>
      <c r="Q1481" s="4"/>
      <c r="R1481" s="14"/>
      <c r="S1481" s="14"/>
      <c r="T1481" s="14"/>
      <c r="U1481" s="14"/>
      <c r="V1481" s="14"/>
      <c r="W1481" s="14"/>
      <c r="X1481" s="1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c r="BC1481" s="4"/>
      <c r="BD1481" s="4"/>
      <c r="BE1481" s="4"/>
      <c r="BG1481" s="4"/>
      <c r="BH1481" s="4"/>
    </row>
    <row r="1482" spans="1:60" x14ac:dyDescent="0.35">
      <c r="A1482" s="4"/>
      <c r="B1482" s="8" t="str">
        <f t="shared" si="106"/>
        <v/>
      </c>
      <c r="D1482" s="6" t="str">
        <f t="shared" si="107"/>
        <v/>
      </c>
      <c r="E1482" s="6" t="str">
        <f t="shared" si="108"/>
        <v/>
      </c>
      <c r="F1482" s="6" t="str">
        <f t="shared" si="109"/>
        <v/>
      </c>
      <c r="G1482" s="4"/>
      <c r="H1482" s="4"/>
      <c r="I1482" s="4"/>
      <c r="J1482" s="4"/>
      <c r="K1482" s="4"/>
      <c r="L1482" s="4"/>
      <c r="M1482" s="4"/>
      <c r="N1482" s="4"/>
      <c r="O1482" s="4"/>
      <c r="P1482" s="4"/>
      <c r="Q1482" s="4"/>
      <c r="R1482" s="14"/>
      <c r="S1482" s="14"/>
      <c r="T1482" s="14"/>
      <c r="U1482" s="14"/>
      <c r="V1482" s="14"/>
      <c r="W1482" s="14"/>
      <c r="X1482" s="1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c r="BB1482" s="4"/>
      <c r="BC1482" s="4"/>
      <c r="BD1482" s="4"/>
      <c r="BE1482" s="4"/>
      <c r="BG1482" s="4"/>
      <c r="BH1482" s="4"/>
    </row>
    <row r="1483" spans="1:60" x14ac:dyDescent="0.35">
      <c r="A1483" s="4"/>
      <c r="B1483" s="8" t="str">
        <f t="shared" si="106"/>
        <v/>
      </c>
      <c r="D1483" s="6" t="str">
        <f t="shared" si="107"/>
        <v/>
      </c>
      <c r="E1483" s="6" t="str">
        <f t="shared" si="108"/>
        <v/>
      </c>
      <c r="F1483" s="6" t="str">
        <f t="shared" si="109"/>
        <v/>
      </c>
      <c r="G1483" s="4"/>
      <c r="H1483" s="4"/>
      <c r="I1483" s="4"/>
      <c r="J1483" s="4"/>
      <c r="K1483" s="4"/>
      <c r="L1483" s="4"/>
      <c r="M1483" s="4"/>
      <c r="N1483" s="4"/>
      <c r="O1483" s="4"/>
      <c r="P1483" s="4"/>
      <c r="Q1483" s="4"/>
      <c r="R1483" s="14"/>
      <c r="S1483" s="14"/>
      <c r="T1483" s="14"/>
      <c r="U1483" s="14"/>
      <c r="V1483" s="14"/>
      <c r="W1483" s="14"/>
      <c r="X1483" s="1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c r="BC1483" s="4"/>
      <c r="BD1483" s="4"/>
      <c r="BE1483" s="4"/>
      <c r="BG1483" s="4"/>
      <c r="BH1483" s="4"/>
    </row>
    <row r="1484" spans="1:60" x14ac:dyDescent="0.35">
      <c r="A1484" s="4"/>
      <c r="B1484" s="8" t="str">
        <f t="shared" si="106"/>
        <v/>
      </c>
      <c r="D1484" s="6" t="str">
        <f t="shared" si="107"/>
        <v/>
      </c>
      <c r="E1484" s="6" t="str">
        <f t="shared" si="108"/>
        <v/>
      </c>
      <c r="F1484" s="6" t="str">
        <f t="shared" si="109"/>
        <v/>
      </c>
      <c r="G1484" s="4"/>
      <c r="H1484" s="4"/>
      <c r="I1484" s="4"/>
      <c r="J1484" s="4"/>
      <c r="K1484" s="4"/>
      <c r="L1484" s="4"/>
      <c r="M1484" s="4"/>
      <c r="N1484" s="4"/>
      <c r="O1484" s="4"/>
      <c r="P1484" s="4"/>
      <c r="Q1484" s="4"/>
      <c r="R1484" s="14"/>
      <c r="S1484" s="14"/>
      <c r="T1484" s="14"/>
      <c r="U1484" s="14"/>
      <c r="V1484" s="14"/>
      <c r="W1484" s="14"/>
      <c r="X1484" s="1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c r="BB1484" s="4"/>
      <c r="BC1484" s="4"/>
      <c r="BD1484" s="4"/>
      <c r="BE1484" s="4"/>
      <c r="BG1484" s="4"/>
      <c r="BH1484" s="4"/>
    </row>
    <row r="1485" spans="1:60" x14ac:dyDescent="0.35">
      <c r="A1485" s="4"/>
      <c r="B1485" s="8" t="str">
        <f t="shared" si="106"/>
        <v/>
      </c>
      <c r="D1485" s="6" t="str">
        <f t="shared" si="107"/>
        <v/>
      </c>
      <c r="E1485" s="6" t="str">
        <f t="shared" si="108"/>
        <v/>
      </c>
      <c r="F1485" s="6" t="str">
        <f t="shared" si="109"/>
        <v/>
      </c>
      <c r="G1485" s="4"/>
      <c r="H1485" s="4"/>
      <c r="I1485" s="4"/>
      <c r="J1485" s="4"/>
      <c r="K1485" s="4"/>
      <c r="L1485" s="4"/>
      <c r="M1485" s="4"/>
      <c r="N1485" s="4"/>
      <c r="O1485" s="4"/>
      <c r="P1485" s="4"/>
      <c r="Q1485" s="4"/>
      <c r="R1485" s="14"/>
      <c r="S1485" s="14"/>
      <c r="T1485" s="14"/>
      <c r="U1485" s="14"/>
      <c r="V1485" s="14"/>
      <c r="W1485" s="14"/>
      <c r="X1485" s="1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c r="BB1485" s="4"/>
      <c r="BC1485" s="4"/>
      <c r="BD1485" s="4"/>
      <c r="BE1485" s="4"/>
      <c r="BG1485" s="4"/>
      <c r="BH1485" s="4"/>
    </row>
    <row r="1486" spans="1:60" x14ac:dyDescent="0.35">
      <c r="A1486" s="4"/>
      <c r="B1486" s="8" t="str">
        <f t="shared" si="106"/>
        <v/>
      </c>
      <c r="D1486" s="6" t="str">
        <f t="shared" si="107"/>
        <v/>
      </c>
      <c r="E1486" s="6" t="str">
        <f t="shared" si="108"/>
        <v/>
      </c>
      <c r="F1486" s="6" t="str">
        <f t="shared" si="109"/>
        <v/>
      </c>
      <c r="G1486" s="4"/>
      <c r="H1486" s="4"/>
      <c r="I1486" s="4"/>
      <c r="J1486" s="4"/>
      <c r="K1486" s="4"/>
      <c r="L1486" s="4"/>
      <c r="M1486" s="4"/>
      <c r="N1486" s="4"/>
      <c r="O1486" s="4"/>
      <c r="P1486" s="4"/>
      <c r="Q1486" s="4"/>
      <c r="R1486" s="14"/>
      <c r="S1486" s="14"/>
      <c r="T1486" s="14"/>
      <c r="U1486" s="14"/>
      <c r="V1486" s="14"/>
      <c r="W1486" s="14"/>
      <c r="X1486" s="1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c r="BD1486" s="4"/>
      <c r="BE1486" s="4"/>
      <c r="BG1486" s="4"/>
      <c r="BH1486" s="4"/>
    </row>
    <row r="1487" spans="1:60" x14ac:dyDescent="0.35">
      <c r="A1487" s="4"/>
      <c r="B1487" s="8" t="str">
        <f t="shared" si="106"/>
        <v/>
      </c>
      <c r="D1487" s="6" t="str">
        <f t="shared" si="107"/>
        <v/>
      </c>
      <c r="E1487" s="6" t="str">
        <f t="shared" si="108"/>
        <v/>
      </c>
      <c r="F1487" s="6" t="str">
        <f t="shared" si="109"/>
        <v/>
      </c>
      <c r="G1487" s="4"/>
      <c r="H1487" s="4"/>
      <c r="I1487" s="4"/>
      <c r="J1487" s="4"/>
      <c r="K1487" s="4"/>
      <c r="L1487" s="4"/>
      <c r="M1487" s="4"/>
      <c r="N1487" s="4"/>
      <c r="O1487" s="4"/>
      <c r="P1487" s="4"/>
      <c r="Q1487" s="4"/>
      <c r="R1487" s="14"/>
      <c r="S1487" s="14"/>
      <c r="T1487" s="14"/>
      <c r="U1487" s="14"/>
      <c r="V1487" s="14"/>
      <c r="W1487" s="14"/>
      <c r="X1487" s="1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c r="BB1487" s="4"/>
      <c r="BC1487" s="4"/>
      <c r="BD1487" s="4"/>
      <c r="BE1487" s="4"/>
      <c r="BG1487" s="4"/>
      <c r="BH1487" s="4"/>
    </row>
    <row r="1488" spans="1:60" x14ac:dyDescent="0.35">
      <c r="A1488" s="4"/>
      <c r="B1488" s="8" t="str">
        <f t="shared" si="106"/>
        <v/>
      </c>
      <c r="D1488" s="6" t="str">
        <f t="shared" si="107"/>
        <v/>
      </c>
      <c r="E1488" s="6" t="str">
        <f t="shared" si="108"/>
        <v/>
      </c>
      <c r="F1488" s="6" t="str">
        <f t="shared" si="109"/>
        <v/>
      </c>
      <c r="G1488" s="4"/>
      <c r="H1488" s="4"/>
      <c r="I1488" s="4"/>
      <c r="J1488" s="4"/>
      <c r="K1488" s="4"/>
      <c r="L1488" s="4"/>
      <c r="M1488" s="4"/>
      <c r="N1488" s="4"/>
      <c r="O1488" s="4"/>
      <c r="P1488" s="4"/>
      <c r="Q1488" s="4"/>
      <c r="R1488" s="14"/>
      <c r="S1488" s="14"/>
      <c r="T1488" s="14"/>
      <c r="U1488" s="14"/>
      <c r="V1488" s="14"/>
      <c r="W1488" s="14"/>
      <c r="X1488" s="1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c r="BC1488" s="4"/>
      <c r="BD1488" s="4"/>
      <c r="BE1488" s="4"/>
      <c r="BG1488" s="4"/>
      <c r="BH1488" s="4"/>
    </row>
    <row r="1489" spans="1:60" x14ac:dyDescent="0.35">
      <c r="A1489" s="4"/>
      <c r="B1489" s="8" t="str">
        <f t="shared" si="106"/>
        <v/>
      </c>
      <c r="D1489" s="6" t="str">
        <f t="shared" si="107"/>
        <v/>
      </c>
      <c r="E1489" s="6" t="str">
        <f t="shared" si="108"/>
        <v/>
      </c>
      <c r="F1489" s="6" t="str">
        <f t="shared" si="109"/>
        <v/>
      </c>
      <c r="G1489" s="4"/>
      <c r="H1489" s="4"/>
      <c r="I1489" s="4"/>
      <c r="J1489" s="4"/>
      <c r="K1489" s="4"/>
      <c r="L1489" s="4"/>
      <c r="M1489" s="4"/>
      <c r="N1489" s="4"/>
      <c r="O1489" s="4"/>
      <c r="P1489" s="4"/>
      <c r="Q1489" s="4"/>
      <c r="R1489" s="14"/>
      <c r="S1489" s="14"/>
      <c r="T1489" s="14"/>
      <c r="U1489" s="14"/>
      <c r="V1489" s="14"/>
      <c r="W1489" s="14"/>
      <c r="X1489" s="1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c r="BB1489" s="4"/>
      <c r="BC1489" s="4"/>
      <c r="BD1489" s="4"/>
      <c r="BE1489" s="4"/>
      <c r="BG1489" s="4"/>
      <c r="BH1489" s="4"/>
    </row>
    <row r="1490" spans="1:60" x14ac:dyDescent="0.35">
      <c r="A1490" s="4"/>
      <c r="B1490" s="8" t="str">
        <f t="shared" si="106"/>
        <v/>
      </c>
      <c r="D1490" s="6" t="str">
        <f t="shared" si="107"/>
        <v/>
      </c>
      <c r="E1490" s="6" t="str">
        <f t="shared" si="108"/>
        <v/>
      </c>
      <c r="F1490" s="6" t="str">
        <f t="shared" si="109"/>
        <v/>
      </c>
      <c r="G1490" s="4"/>
      <c r="H1490" s="4"/>
      <c r="I1490" s="4"/>
      <c r="J1490" s="4"/>
      <c r="K1490" s="4"/>
      <c r="L1490" s="4"/>
      <c r="M1490" s="4"/>
      <c r="N1490" s="4"/>
      <c r="O1490" s="4"/>
      <c r="P1490" s="4"/>
      <c r="Q1490" s="4"/>
      <c r="R1490" s="14"/>
      <c r="S1490" s="14"/>
      <c r="T1490" s="14"/>
      <c r="U1490" s="14"/>
      <c r="V1490" s="14"/>
      <c r="W1490" s="14"/>
      <c r="X1490" s="1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c r="BB1490" s="4"/>
      <c r="BC1490" s="4"/>
      <c r="BD1490" s="4"/>
      <c r="BE1490" s="4"/>
      <c r="BG1490" s="4"/>
      <c r="BH1490" s="4"/>
    </row>
    <row r="1491" spans="1:60" x14ac:dyDescent="0.35">
      <c r="A1491" s="4"/>
      <c r="B1491" s="8" t="str">
        <f t="shared" si="106"/>
        <v/>
      </c>
      <c r="D1491" s="6" t="str">
        <f t="shared" si="107"/>
        <v/>
      </c>
      <c r="E1491" s="6" t="str">
        <f t="shared" si="108"/>
        <v/>
      </c>
      <c r="F1491" s="6" t="str">
        <f t="shared" si="109"/>
        <v/>
      </c>
      <c r="G1491" s="4"/>
      <c r="H1491" s="4"/>
      <c r="I1491" s="4"/>
      <c r="J1491" s="4"/>
      <c r="K1491" s="4"/>
      <c r="L1491" s="4"/>
      <c r="M1491" s="4"/>
      <c r="N1491" s="4"/>
      <c r="O1491" s="4"/>
      <c r="P1491" s="4"/>
      <c r="Q1491" s="4"/>
      <c r="R1491" s="14"/>
      <c r="S1491" s="14"/>
      <c r="T1491" s="14"/>
      <c r="U1491" s="14"/>
      <c r="V1491" s="14"/>
      <c r="W1491" s="14"/>
      <c r="X1491" s="1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c r="BB1491" s="4"/>
      <c r="BC1491" s="4"/>
      <c r="BD1491" s="4"/>
      <c r="BE1491" s="4"/>
      <c r="BG1491" s="4"/>
      <c r="BH1491" s="4"/>
    </row>
    <row r="1492" spans="1:60" x14ac:dyDescent="0.35">
      <c r="A1492" s="4"/>
      <c r="B1492" s="8" t="str">
        <f t="shared" si="106"/>
        <v/>
      </c>
      <c r="D1492" s="6" t="str">
        <f t="shared" si="107"/>
        <v/>
      </c>
      <c r="E1492" s="6" t="str">
        <f t="shared" si="108"/>
        <v/>
      </c>
      <c r="F1492" s="6" t="str">
        <f t="shared" si="109"/>
        <v/>
      </c>
      <c r="G1492" s="4"/>
      <c r="H1492" s="4"/>
      <c r="I1492" s="4"/>
      <c r="J1492" s="4"/>
      <c r="K1492" s="4"/>
      <c r="L1492" s="4"/>
      <c r="M1492" s="4"/>
      <c r="N1492" s="4"/>
      <c r="O1492" s="4"/>
      <c r="P1492" s="4"/>
      <c r="Q1492" s="4"/>
      <c r="R1492" s="14"/>
      <c r="S1492" s="14"/>
      <c r="T1492" s="14"/>
      <c r="U1492" s="14"/>
      <c r="V1492" s="14"/>
      <c r="W1492" s="14"/>
      <c r="X1492" s="1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G1492" s="4"/>
      <c r="BH1492" s="4"/>
    </row>
    <row r="1493" spans="1:60" x14ac:dyDescent="0.35">
      <c r="A1493" s="4"/>
      <c r="B1493" s="8" t="str">
        <f t="shared" si="106"/>
        <v/>
      </c>
      <c r="D1493" s="6" t="str">
        <f t="shared" si="107"/>
        <v/>
      </c>
      <c r="E1493" s="6" t="str">
        <f t="shared" si="108"/>
        <v/>
      </c>
      <c r="F1493" s="6" t="str">
        <f t="shared" si="109"/>
        <v/>
      </c>
      <c r="G1493" s="4"/>
      <c r="H1493" s="4"/>
      <c r="I1493" s="4"/>
      <c r="J1493" s="4"/>
      <c r="K1493" s="4"/>
      <c r="L1493" s="4"/>
      <c r="M1493" s="4"/>
      <c r="N1493" s="4"/>
      <c r="O1493" s="4"/>
      <c r="P1493" s="4"/>
      <c r="Q1493" s="4"/>
      <c r="R1493" s="14"/>
      <c r="S1493" s="14"/>
      <c r="T1493" s="14"/>
      <c r="U1493" s="14"/>
      <c r="V1493" s="14"/>
      <c r="W1493" s="14"/>
      <c r="X1493" s="1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c r="BB1493" s="4"/>
      <c r="BC1493" s="4"/>
      <c r="BD1493" s="4"/>
      <c r="BE1493" s="4"/>
      <c r="BG1493" s="4"/>
      <c r="BH1493" s="4"/>
    </row>
    <row r="1494" spans="1:60" x14ac:dyDescent="0.35">
      <c r="A1494" s="4"/>
      <c r="B1494" s="8" t="str">
        <f t="shared" si="106"/>
        <v/>
      </c>
      <c r="D1494" s="6" t="str">
        <f t="shared" si="107"/>
        <v/>
      </c>
      <c r="E1494" s="6" t="str">
        <f t="shared" si="108"/>
        <v/>
      </c>
      <c r="F1494" s="6" t="str">
        <f t="shared" si="109"/>
        <v/>
      </c>
      <c r="G1494" s="4"/>
      <c r="H1494" s="4"/>
      <c r="I1494" s="4"/>
      <c r="J1494" s="4"/>
      <c r="K1494" s="4"/>
      <c r="L1494" s="4"/>
      <c r="M1494" s="4"/>
      <c r="N1494" s="4"/>
      <c r="O1494" s="4"/>
      <c r="P1494" s="4"/>
      <c r="Q1494" s="4"/>
      <c r="R1494" s="14"/>
      <c r="S1494" s="14"/>
      <c r="T1494" s="14"/>
      <c r="U1494" s="14"/>
      <c r="V1494" s="14"/>
      <c r="W1494" s="14"/>
      <c r="X1494" s="1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c r="BB1494" s="4"/>
      <c r="BC1494" s="4"/>
      <c r="BD1494" s="4"/>
      <c r="BE1494" s="4"/>
      <c r="BG1494" s="4"/>
      <c r="BH1494" s="4"/>
    </row>
    <row r="1495" spans="1:60" x14ac:dyDescent="0.35">
      <c r="A1495" s="4"/>
      <c r="B1495" s="8" t="str">
        <f t="shared" si="106"/>
        <v/>
      </c>
      <c r="D1495" s="6" t="str">
        <f t="shared" si="107"/>
        <v/>
      </c>
      <c r="E1495" s="6" t="str">
        <f t="shared" si="108"/>
        <v/>
      </c>
      <c r="F1495" s="6" t="str">
        <f t="shared" si="109"/>
        <v/>
      </c>
      <c r="G1495" s="4"/>
      <c r="H1495" s="4"/>
      <c r="I1495" s="4"/>
      <c r="J1495" s="4"/>
      <c r="K1495" s="4"/>
      <c r="L1495" s="4"/>
      <c r="M1495" s="4"/>
      <c r="N1495" s="4"/>
      <c r="O1495" s="4"/>
      <c r="P1495" s="4"/>
      <c r="Q1495" s="4"/>
      <c r="R1495" s="14"/>
      <c r="S1495" s="14"/>
      <c r="T1495" s="14"/>
      <c r="U1495" s="14"/>
      <c r="V1495" s="14"/>
      <c r="W1495" s="14"/>
      <c r="X1495" s="1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c r="BB1495" s="4"/>
      <c r="BC1495" s="4"/>
      <c r="BD1495" s="4"/>
      <c r="BE1495" s="4"/>
      <c r="BG1495" s="4"/>
      <c r="BH1495" s="4"/>
    </row>
    <row r="1496" spans="1:60" x14ac:dyDescent="0.35">
      <c r="A1496" s="4"/>
      <c r="B1496" s="8" t="str">
        <f t="shared" si="106"/>
        <v/>
      </c>
      <c r="D1496" s="6" t="str">
        <f t="shared" si="107"/>
        <v/>
      </c>
      <c r="E1496" s="6" t="str">
        <f t="shared" si="108"/>
        <v/>
      </c>
      <c r="F1496" s="6" t="str">
        <f t="shared" si="109"/>
        <v/>
      </c>
      <c r="G1496" s="4"/>
      <c r="H1496" s="4"/>
      <c r="I1496" s="4"/>
      <c r="J1496" s="4"/>
      <c r="K1496" s="4"/>
      <c r="L1496" s="4"/>
      <c r="M1496" s="4"/>
      <c r="N1496" s="4"/>
      <c r="O1496" s="4"/>
      <c r="P1496" s="4"/>
      <c r="Q1496" s="4"/>
      <c r="R1496" s="14"/>
      <c r="S1496" s="14"/>
      <c r="T1496" s="14"/>
      <c r="U1496" s="14"/>
      <c r="V1496" s="14"/>
      <c r="W1496" s="14"/>
      <c r="X1496" s="1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c r="BC1496" s="4"/>
      <c r="BD1496" s="4"/>
      <c r="BE1496" s="4"/>
      <c r="BG1496" s="4"/>
      <c r="BH1496" s="4"/>
    </row>
    <row r="1497" spans="1:60" x14ac:dyDescent="0.35">
      <c r="A1497" s="4"/>
      <c r="B1497" s="8" t="str">
        <f t="shared" si="106"/>
        <v/>
      </c>
      <c r="D1497" s="6" t="str">
        <f t="shared" si="107"/>
        <v/>
      </c>
      <c r="E1497" s="6" t="str">
        <f t="shared" si="108"/>
        <v/>
      </c>
      <c r="F1497" s="6" t="str">
        <f t="shared" si="109"/>
        <v/>
      </c>
      <c r="G1497" s="4"/>
      <c r="H1497" s="4"/>
      <c r="I1497" s="4"/>
      <c r="J1497" s="4"/>
      <c r="K1497" s="4"/>
      <c r="L1497" s="4"/>
      <c r="M1497" s="4"/>
      <c r="N1497" s="4"/>
      <c r="O1497" s="4"/>
      <c r="P1497" s="4"/>
      <c r="Q1497" s="4"/>
      <c r="R1497" s="14"/>
      <c r="S1497" s="14"/>
      <c r="T1497" s="14"/>
      <c r="U1497" s="14"/>
      <c r="V1497" s="14"/>
      <c r="W1497" s="14"/>
      <c r="X1497" s="1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c r="BB1497" s="4"/>
      <c r="BC1497" s="4"/>
      <c r="BD1497" s="4"/>
      <c r="BE1497" s="4"/>
      <c r="BG1497" s="4"/>
      <c r="BH1497" s="4"/>
    </row>
    <row r="1498" spans="1:60" x14ac:dyDescent="0.35">
      <c r="A1498" s="4"/>
      <c r="B1498" s="8" t="str">
        <f t="shared" si="106"/>
        <v/>
      </c>
      <c r="D1498" s="6" t="str">
        <f t="shared" si="107"/>
        <v/>
      </c>
      <c r="E1498" s="6" t="str">
        <f t="shared" si="108"/>
        <v/>
      </c>
      <c r="F1498" s="6" t="str">
        <f t="shared" si="109"/>
        <v/>
      </c>
      <c r="G1498" s="4"/>
      <c r="H1498" s="4"/>
      <c r="I1498" s="4"/>
      <c r="J1498" s="4"/>
      <c r="K1498" s="4"/>
      <c r="L1498" s="4"/>
      <c r="M1498" s="4"/>
      <c r="N1498" s="4"/>
      <c r="O1498" s="4"/>
      <c r="P1498" s="4"/>
      <c r="Q1498" s="4"/>
      <c r="R1498" s="14"/>
      <c r="S1498" s="14"/>
      <c r="T1498" s="14"/>
      <c r="U1498" s="14"/>
      <c r="V1498" s="14"/>
      <c r="W1498" s="14"/>
      <c r="X1498" s="1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c r="BC1498" s="4"/>
      <c r="BD1498" s="4"/>
      <c r="BE1498" s="4"/>
      <c r="BG1498" s="4"/>
      <c r="BH1498" s="4"/>
    </row>
    <row r="1499" spans="1:60" x14ac:dyDescent="0.35">
      <c r="A1499" s="4"/>
      <c r="B1499" s="8" t="str">
        <f t="shared" si="106"/>
        <v/>
      </c>
      <c r="D1499" s="6" t="str">
        <f t="shared" si="107"/>
        <v/>
      </c>
      <c r="E1499" s="6" t="str">
        <f t="shared" si="108"/>
        <v/>
      </c>
      <c r="F1499" s="6" t="str">
        <f t="shared" si="109"/>
        <v/>
      </c>
      <c r="G1499" s="4"/>
      <c r="H1499" s="4"/>
      <c r="I1499" s="4"/>
      <c r="J1499" s="4"/>
      <c r="K1499" s="4"/>
      <c r="L1499" s="4"/>
      <c r="M1499" s="4"/>
      <c r="N1499" s="4"/>
      <c r="O1499" s="4"/>
      <c r="P1499" s="4"/>
      <c r="Q1499" s="4"/>
      <c r="R1499" s="14"/>
      <c r="S1499" s="14"/>
      <c r="T1499" s="14"/>
      <c r="U1499" s="14"/>
      <c r="V1499" s="14"/>
      <c r="W1499" s="14"/>
      <c r="X1499" s="1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c r="BB1499" s="4"/>
      <c r="BC1499" s="4"/>
      <c r="BD1499" s="4"/>
      <c r="BE1499" s="4"/>
      <c r="BG1499" s="4"/>
      <c r="BH1499" s="4"/>
    </row>
    <row r="1500" spans="1:60" x14ac:dyDescent="0.35">
      <c r="A1500" s="4"/>
      <c r="B1500" s="8" t="str">
        <f t="shared" si="106"/>
        <v/>
      </c>
      <c r="D1500" s="6" t="str">
        <f t="shared" si="107"/>
        <v/>
      </c>
      <c r="E1500" s="6" t="str">
        <f t="shared" si="108"/>
        <v/>
      </c>
      <c r="F1500" s="6" t="str">
        <f t="shared" si="109"/>
        <v/>
      </c>
      <c r="G1500" s="4"/>
      <c r="H1500" s="4"/>
      <c r="I1500" s="4"/>
      <c r="J1500" s="4"/>
      <c r="K1500" s="4"/>
      <c r="L1500" s="4"/>
      <c r="M1500" s="4"/>
      <c r="N1500" s="4"/>
      <c r="O1500" s="4"/>
      <c r="P1500" s="4"/>
      <c r="Q1500" s="4"/>
      <c r="R1500" s="14"/>
      <c r="S1500" s="14"/>
      <c r="T1500" s="14"/>
      <c r="U1500" s="14"/>
      <c r="V1500" s="14"/>
      <c r="W1500" s="14"/>
      <c r="X1500" s="1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c r="BB1500" s="4"/>
      <c r="BC1500" s="4"/>
      <c r="BD1500" s="4"/>
      <c r="BE1500" s="4"/>
      <c r="BG1500" s="4"/>
      <c r="BH1500" s="4"/>
    </row>
    <row r="1501" spans="1:60" x14ac:dyDescent="0.35">
      <c r="A1501" s="4"/>
      <c r="B1501" s="8" t="str">
        <f t="shared" si="106"/>
        <v/>
      </c>
      <c r="D1501" s="6" t="str">
        <f t="shared" si="107"/>
        <v/>
      </c>
      <c r="E1501" s="6" t="str">
        <f t="shared" si="108"/>
        <v/>
      </c>
      <c r="F1501" s="6" t="str">
        <f t="shared" si="109"/>
        <v/>
      </c>
      <c r="G1501" s="4"/>
      <c r="H1501" s="4"/>
      <c r="I1501" s="4"/>
      <c r="J1501" s="4"/>
      <c r="K1501" s="4"/>
      <c r="L1501" s="4"/>
      <c r="M1501" s="4"/>
      <c r="N1501" s="4"/>
      <c r="O1501" s="4"/>
      <c r="P1501" s="4"/>
      <c r="Q1501" s="4"/>
      <c r="R1501" s="14"/>
      <c r="S1501" s="14"/>
      <c r="T1501" s="14"/>
      <c r="U1501" s="14"/>
      <c r="V1501" s="14"/>
      <c r="W1501" s="14"/>
      <c r="X1501" s="1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c r="BB1501" s="4"/>
      <c r="BC1501" s="4"/>
      <c r="BD1501" s="4"/>
      <c r="BE1501" s="4"/>
      <c r="BG1501" s="4"/>
      <c r="BH1501" s="4"/>
    </row>
    <row r="1502" spans="1:60" x14ac:dyDescent="0.35">
      <c r="A1502" s="4"/>
      <c r="B1502" s="8" t="str">
        <f t="shared" si="106"/>
        <v/>
      </c>
      <c r="D1502" s="6" t="str">
        <f t="shared" si="107"/>
        <v/>
      </c>
      <c r="E1502" s="6" t="str">
        <f t="shared" si="108"/>
        <v/>
      </c>
      <c r="F1502" s="6" t="str">
        <f t="shared" si="109"/>
        <v/>
      </c>
      <c r="G1502" s="4"/>
      <c r="H1502" s="4"/>
      <c r="I1502" s="4"/>
      <c r="J1502" s="4"/>
      <c r="K1502" s="4"/>
      <c r="L1502" s="4"/>
      <c r="M1502" s="4"/>
      <c r="N1502" s="4"/>
      <c r="O1502" s="4"/>
      <c r="P1502" s="4"/>
      <c r="Q1502" s="4"/>
      <c r="R1502" s="14"/>
      <c r="S1502" s="14"/>
      <c r="T1502" s="14"/>
      <c r="U1502" s="14"/>
      <c r="V1502" s="14"/>
      <c r="W1502" s="14"/>
      <c r="X1502" s="1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c r="BB1502" s="4"/>
      <c r="BC1502" s="4"/>
      <c r="BD1502" s="4"/>
      <c r="BE1502" s="4"/>
      <c r="BG1502" s="4"/>
      <c r="BH1502" s="4"/>
    </row>
    <row r="1503" spans="1:60" x14ac:dyDescent="0.35">
      <c r="A1503" s="4"/>
      <c r="B1503" s="8" t="str">
        <f t="shared" si="106"/>
        <v/>
      </c>
      <c r="D1503" s="6" t="str">
        <f t="shared" si="107"/>
        <v/>
      </c>
      <c r="E1503" s="6" t="str">
        <f t="shared" si="108"/>
        <v/>
      </c>
      <c r="F1503" s="6" t="str">
        <f t="shared" si="109"/>
        <v/>
      </c>
      <c r="G1503" s="4"/>
      <c r="H1503" s="4"/>
      <c r="I1503" s="4"/>
      <c r="J1503" s="4"/>
      <c r="K1503" s="4"/>
      <c r="L1503" s="4"/>
      <c r="M1503" s="4"/>
      <c r="N1503" s="4"/>
      <c r="O1503" s="4"/>
      <c r="P1503" s="4"/>
      <c r="Q1503" s="4"/>
      <c r="R1503" s="14"/>
      <c r="S1503" s="14"/>
      <c r="T1503" s="14"/>
      <c r="U1503" s="14"/>
      <c r="V1503" s="14"/>
      <c r="W1503" s="14"/>
      <c r="X1503" s="1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c r="BB1503" s="4"/>
      <c r="BC1503" s="4"/>
      <c r="BD1503" s="4"/>
      <c r="BE1503" s="4"/>
      <c r="BG1503" s="4"/>
      <c r="BH1503" s="4"/>
    </row>
    <row r="1504" spans="1:60" x14ac:dyDescent="0.35">
      <c r="A1504" s="4"/>
      <c r="B1504" s="8" t="str">
        <f t="shared" si="106"/>
        <v/>
      </c>
      <c r="D1504" s="6" t="str">
        <f t="shared" si="107"/>
        <v/>
      </c>
      <c r="E1504" s="6" t="str">
        <f t="shared" si="108"/>
        <v/>
      </c>
      <c r="F1504" s="6" t="str">
        <f t="shared" si="109"/>
        <v/>
      </c>
      <c r="G1504" s="4"/>
      <c r="H1504" s="4"/>
      <c r="I1504" s="4"/>
      <c r="J1504" s="4"/>
      <c r="K1504" s="4"/>
      <c r="L1504" s="4"/>
      <c r="M1504" s="4"/>
      <c r="N1504" s="4"/>
      <c r="O1504" s="4"/>
      <c r="P1504" s="4"/>
      <c r="Q1504" s="4"/>
      <c r="R1504" s="14"/>
      <c r="S1504" s="14"/>
      <c r="T1504" s="14"/>
      <c r="U1504" s="14"/>
      <c r="V1504" s="14"/>
      <c r="W1504" s="14"/>
      <c r="X1504" s="1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c r="BC1504" s="4"/>
      <c r="BD1504" s="4"/>
      <c r="BE1504" s="4"/>
      <c r="BG1504" s="4"/>
      <c r="BH1504" s="4"/>
    </row>
    <row r="1505" spans="1:60" x14ac:dyDescent="0.35">
      <c r="A1505" s="4"/>
      <c r="B1505" s="8" t="str">
        <f t="shared" si="106"/>
        <v/>
      </c>
      <c r="D1505" s="6" t="str">
        <f t="shared" si="107"/>
        <v/>
      </c>
      <c r="E1505" s="6" t="str">
        <f t="shared" si="108"/>
        <v/>
      </c>
      <c r="F1505" s="6" t="str">
        <f t="shared" si="109"/>
        <v/>
      </c>
      <c r="G1505" s="4"/>
      <c r="H1505" s="4"/>
      <c r="I1505" s="4"/>
      <c r="J1505" s="4"/>
      <c r="K1505" s="4"/>
      <c r="L1505" s="4"/>
      <c r="M1505" s="4"/>
      <c r="N1505" s="4"/>
      <c r="O1505" s="4"/>
      <c r="P1505" s="4"/>
      <c r="Q1505" s="4"/>
      <c r="R1505" s="14"/>
      <c r="S1505" s="14"/>
      <c r="T1505" s="14"/>
      <c r="U1505" s="14"/>
      <c r="V1505" s="14"/>
      <c r="W1505" s="14"/>
      <c r="X1505" s="1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c r="BC1505" s="4"/>
      <c r="BD1505" s="4"/>
      <c r="BE1505" s="4"/>
      <c r="BG1505" s="4"/>
      <c r="BH1505" s="4"/>
    </row>
    <row r="1506" spans="1:60" x14ac:dyDescent="0.35">
      <c r="A1506" s="4"/>
      <c r="B1506" s="8" t="str">
        <f t="shared" si="106"/>
        <v/>
      </c>
      <c r="D1506" s="6" t="str">
        <f t="shared" si="107"/>
        <v/>
      </c>
      <c r="E1506" s="6" t="str">
        <f t="shared" si="108"/>
        <v/>
      </c>
      <c r="F1506" s="6" t="str">
        <f t="shared" si="109"/>
        <v/>
      </c>
      <c r="G1506" s="4"/>
      <c r="H1506" s="4"/>
      <c r="I1506" s="4"/>
      <c r="J1506" s="4"/>
      <c r="K1506" s="4"/>
      <c r="L1506" s="4"/>
      <c r="M1506" s="4"/>
      <c r="N1506" s="4"/>
      <c r="O1506" s="4"/>
      <c r="P1506" s="4"/>
      <c r="Q1506" s="4"/>
      <c r="R1506" s="14"/>
      <c r="S1506" s="14"/>
      <c r="T1506" s="14"/>
      <c r="U1506" s="14"/>
      <c r="V1506" s="14"/>
      <c r="W1506" s="14"/>
      <c r="X1506" s="1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c r="BB1506" s="4"/>
      <c r="BC1506" s="4"/>
      <c r="BD1506" s="4"/>
      <c r="BE1506" s="4"/>
      <c r="BG1506" s="4"/>
      <c r="BH1506" s="4"/>
    </row>
    <row r="1507" spans="1:60" x14ac:dyDescent="0.35">
      <c r="A1507" s="4"/>
      <c r="B1507" s="8" t="str">
        <f t="shared" si="106"/>
        <v/>
      </c>
      <c r="D1507" s="6" t="str">
        <f t="shared" si="107"/>
        <v/>
      </c>
      <c r="E1507" s="6" t="str">
        <f t="shared" si="108"/>
        <v/>
      </c>
      <c r="F1507" s="6" t="str">
        <f t="shared" si="109"/>
        <v/>
      </c>
      <c r="G1507" s="4"/>
      <c r="H1507" s="4"/>
      <c r="I1507" s="4"/>
      <c r="J1507" s="4"/>
      <c r="K1507" s="4"/>
      <c r="L1507" s="4"/>
      <c r="M1507" s="4"/>
      <c r="N1507" s="4"/>
      <c r="O1507" s="4"/>
      <c r="P1507" s="4"/>
      <c r="Q1507" s="4"/>
      <c r="R1507" s="14"/>
      <c r="S1507" s="14"/>
      <c r="T1507" s="14"/>
      <c r="U1507" s="14"/>
      <c r="V1507" s="14"/>
      <c r="W1507" s="14"/>
      <c r="X1507" s="1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c r="BC1507" s="4"/>
      <c r="BD1507" s="4"/>
      <c r="BE1507" s="4"/>
      <c r="BG1507" s="4"/>
      <c r="BH1507" s="4"/>
    </row>
    <row r="1508" spans="1:60" x14ac:dyDescent="0.35">
      <c r="A1508" s="4"/>
      <c r="B1508" s="8" t="str">
        <f t="shared" si="106"/>
        <v/>
      </c>
      <c r="D1508" s="6" t="str">
        <f t="shared" si="107"/>
        <v/>
      </c>
      <c r="E1508" s="6" t="str">
        <f t="shared" si="108"/>
        <v/>
      </c>
      <c r="F1508" s="6" t="str">
        <f t="shared" si="109"/>
        <v/>
      </c>
      <c r="G1508" s="4"/>
      <c r="H1508" s="4"/>
      <c r="I1508" s="4"/>
      <c r="J1508" s="4"/>
      <c r="K1508" s="4"/>
      <c r="L1508" s="4"/>
      <c r="M1508" s="4"/>
      <c r="N1508" s="4"/>
      <c r="O1508" s="4"/>
      <c r="P1508" s="4"/>
      <c r="Q1508" s="4"/>
      <c r="R1508" s="14"/>
      <c r="S1508" s="14"/>
      <c r="T1508" s="14"/>
      <c r="U1508" s="14"/>
      <c r="V1508" s="14"/>
      <c r="W1508" s="14"/>
      <c r="X1508" s="1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c r="BB1508" s="4"/>
      <c r="BC1508" s="4"/>
      <c r="BD1508" s="4"/>
      <c r="BE1508" s="4"/>
      <c r="BG1508" s="4"/>
      <c r="BH1508" s="4"/>
    </row>
    <row r="1509" spans="1:60" x14ac:dyDescent="0.35">
      <c r="A1509" s="4"/>
      <c r="B1509" s="8" t="str">
        <f t="shared" si="106"/>
        <v/>
      </c>
      <c r="D1509" s="6" t="str">
        <f t="shared" si="107"/>
        <v/>
      </c>
      <c r="E1509" s="6" t="str">
        <f t="shared" si="108"/>
        <v/>
      </c>
      <c r="F1509" s="6" t="str">
        <f t="shared" si="109"/>
        <v/>
      </c>
      <c r="G1509" s="4"/>
      <c r="H1509" s="4"/>
      <c r="I1509" s="4"/>
      <c r="J1509" s="4"/>
      <c r="K1509" s="4"/>
      <c r="L1509" s="4"/>
      <c r="M1509" s="4"/>
      <c r="N1509" s="4"/>
      <c r="O1509" s="4"/>
      <c r="P1509" s="4"/>
      <c r="Q1509" s="4"/>
      <c r="R1509" s="14"/>
      <c r="S1509" s="14"/>
      <c r="T1509" s="14"/>
      <c r="U1509" s="14"/>
      <c r="V1509" s="14"/>
      <c r="W1509" s="14"/>
      <c r="X1509" s="1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c r="BB1509" s="4"/>
      <c r="BC1509" s="4"/>
      <c r="BD1509" s="4"/>
      <c r="BE1509" s="4"/>
      <c r="BG1509" s="4"/>
      <c r="BH1509" s="4"/>
    </row>
    <row r="1510" spans="1:60" x14ac:dyDescent="0.35">
      <c r="A1510" s="4"/>
      <c r="B1510" s="8" t="str">
        <f t="shared" si="106"/>
        <v/>
      </c>
      <c r="D1510" s="6" t="str">
        <f t="shared" si="107"/>
        <v/>
      </c>
      <c r="E1510" s="6" t="str">
        <f t="shared" si="108"/>
        <v/>
      </c>
      <c r="F1510" s="6" t="str">
        <f t="shared" si="109"/>
        <v/>
      </c>
      <c r="G1510" s="4"/>
      <c r="H1510" s="4"/>
      <c r="I1510" s="4"/>
      <c r="J1510" s="4"/>
      <c r="K1510" s="4"/>
      <c r="L1510" s="4"/>
      <c r="M1510" s="4"/>
      <c r="N1510" s="4"/>
      <c r="O1510" s="4"/>
      <c r="P1510" s="4"/>
      <c r="Q1510" s="4"/>
      <c r="R1510" s="14"/>
      <c r="S1510" s="14"/>
      <c r="T1510" s="14"/>
      <c r="U1510" s="14"/>
      <c r="V1510" s="14"/>
      <c r="W1510" s="14"/>
      <c r="X1510" s="1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G1510" s="4"/>
      <c r="BH1510" s="4"/>
    </row>
    <row r="1511" spans="1:60" x14ac:dyDescent="0.35">
      <c r="A1511" s="4"/>
      <c r="B1511" s="8" t="str">
        <f t="shared" si="106"/>
        <v/>
      </c>
      <c r="D1511" s="6" t="str">
        <f t="shared" si="107"/>
        <v/>
      </c>
      <c r="E1511" s="6" t="str">
        <f t="shared" si="108"/>
        <v/>
      </c>
      <c r="F1511" s="6" t="str">
        <f t="shared" si="109"/>
        <v/>
      </c>
      <c r="G1511" s="4"/>
      <c r="H1511" s="4"/>
      <c r="I1511" s="4"/>
      <c r="J1511" s="4"/>
      <c r="K1511" s="4"/>
      <c r="L1511" s="4"/>
      <c r="M1511" s="4"/>
      <c r="N1511" s="4"/>
      <c r="O1511" s="4"/>
      <c r="P1511" s="4"/>
      <c r="Q1511" s="4"/>
      <c r="R1511" s="14"/>
      <c r="S1511" s="14"/>
      <c r="T1511" s="14"/>
      <c r="U1511" s="14"/>
      <c r="V1511" s="14"/>
      <c r="W1511" s="14"/>
      <c r="X1511" s="1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c r="BB1511" s="4"/>
      <c r="BC1511" s="4"/>
      <c r="BD1511" s="4"/>
      <c r="BE1511" s="4"/>
      <c r="BG1511" s="4"/>
      <c r="BH1511" s="4"/>
    </row>
    <row r="1512" spans="1:60" x14ac:dyDescent="0.35">
      <c r="A1512" s="4"/>
      <c r="B1512" s="8" t="str">
        <f t="shared" si="106"/>
        <v/>
      </c>
      <c r="D1512" s="6" t="str">
        <f t="shared" si="107"/>
        <v/>
      </c>
      <c r="E1512" s="6" t="str">
        <f t="shared" si="108"/>
        <v/>
      </c>
      <c r="F1512" s="6" t="str">
        <f t="shared" si="109"/>
        <v/>
      </c>
      <c r="G1512" s="4"/>
      <c r="H1512" s="4"/>
      <c r="I1512" s="4"/>
      <c r="J1512" s="4"/>
      <c r="K1512" s="4"/>
      <c r="L1512" s="4"/>
      <c r="M1512" s="4"/>
      <c r="N1512" s="4"/>
      <c r="O1512" s="4"/>
      <c r="P1512" s="4"/>
      <c r="Q1512" s="4"/>
      <c r="R1512" s="14"/>
      <c r="S1512" s="14"/>
      <c r="T1512" s="14"/>
      <c r="U1512" s="14"/>
      <c r="V1512" s="14"/>
      <c r="W1512" s="14"/>
      <c r="X1512" s="1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c r="BB1512" s="4"/>
      <c r="BC1512" s="4"/>
      <c r="BD1512" s="4"/>
      <c r="BE1512" s="4"/>
      <c r="BG1512" s="4"/>
      <c r="BH1512" s="4"/>
    </row>
    <row r="1513" spans="1:60" x14ac:dyDescent="0.35">
      <c r="A1513" s="4"/>
      <c r="B1513" s="8" t="str">
        <f t="shared" si="106"/>
        <v/>
      </c>
      <c r="D1513" s="6" t="str">
        <f t="shared" si="107"/>
        <v/>
      </c>
      <c r="E1513" s="6" t="str">
        <f t="shared" si="108"/>
        <v/>
      </c>
      <c r="F1513" s="6" t="str">
        <f t="shared" si="109"/>
        <v/>
      </c>
      <c r="G1513" s="4"/>
      <c r="H1513" s="4"/>
      <c r="I1513" s="4"/>
      <c r="J1513" s="4"/>
      <c r="K1513" s="4"/>
      <c r="L1513" s="4"/>
      <c r="M1513" s="4"/>
      <c r="N1513" s="4"/>
      <c r="O1513" s="4"/>
      <c r="P1513" s="4"/>
      <c r="Q1513" s="4"/>
      <c r="R1513" s="14"/>
      <c r="S1513" s="14"/>
      <c r="T1513" s="14"/>
      <c r="U1513" s="14"/>
      <c r="V1513" s="14"/>
      <c r="W1513" s="14"/>
      <c r="X1513" s="1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c r="BC1513" s="4"/>
      <c r="BD1513" s="4"/>
      <c r="BE1513" s="4"/>
      <c r="BG1513" s="4"/>
      <c r="BH1513" s="4"/>
    </row>
    <row r="1514" spans="1:60" x14ac:dyDescent="0.35">
      <c r="A1514" s="4"/>
      <c r="B1514" s="8" t="str">
        <f t="shared" si="106"/>
        <v/>
      </c>
      <c r="D1514" s="6" t="str">
        <f t="shared" si="107"/>
        <v/>
      </c>
      <c r="E1514" s="6" t="str">
        <f t="shared" si="108"/>
        <v/>
      </c>
      <c r="F1514" s="6" t="str">
        <f t="shared" si="109"/>
        <v/>
      </c>
      <c r="G1514" s="4"/>
      <c r="H1514" s="4"/>
      <c r="I1514" s="4"/>
      <c r="J1514" s="4"/>
      <c r="K1514" s="4"/>
      <c r="L1514" s="4"/>
      <c r="M1514" s="4"/>
      <c r="N1514" s="4"/>
      <c r="O1514" s="4"/>
      <c r="P1514" s="4"/>
      <c r="Q1514" s="4"/>
      <c r="R1514" s="14"/>
      <c r="S1514" s="14"/>
      <c r="T1514" s="14"/>
      <c r="U1514" s="14"/>
      <c r="V1514" s="14"/>
      <c r="W1514" s="14"/>
      <c r="X1514" s="1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c r="BC1514" s="4"/>
      <c r="BD1514" s="4"/>
      <c r="BE1514" s="4"/>
      <c r="BG1514" s="4"/>
      <c r="BH1514" s="4"/>
    </row>
    <row r="1515" spans="1:60" x14ac:dyDescent="0.35">
      <c r="A1515" s="4"/>
      <c r="B1515" s="8" t="str">
        <f t="shared" si="106"/>
        <v/>
      </c>
      <c r="D1515" s="6" t="str">
        <f t="shared" si="107"/>
        <v/>
      </c>
      <c r="E1515" s="6" t="str">
        <f t="shared" si="108"/>
        <v/>
      </c>
      <c r="F1515" s="6" t="str">
        <f t="shared" si="109"/>
        <v/>
      </c>
      <c r="G1515" s="4"/>
      <c r="H1515" s="4"/>
      <c r="I1515" s="4"/>
      <c r="J1515" s="4"/>
      <c r="K1515" s="4"/>
      <c r="L1515" s="4"/>
      <c r="M1515" s="4"/>
      <c r="N1515" s="4"/>
      <c r="O1515" s="4"/>
      <c r="P1515" s="4"/>
      <c r="Q1515" s="4"/>
      <c r="R1515" s="14"/>
      <c r="S1515" s="14"/>
      <c r="T1515" s="14"/>
      <c r="U1515" s="14"/>
      <c r="V1515" s="14"/>
      <c r="W1515" s="14"/>
      <c r="X1515" s="1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c r="BB1515" s="4"/>
      <c r="BC1515" s="4"/>
      <c r="BD1515" s="4"/>
      <c r="BE1515" s="4"/>
      <c r="BG1515" s="4"/>
      <c r="BH1515" s="4"/>
    </row>
    <row r="1516" spans="1:60" x14ac:dyDescent="0.35">
      <c r="A1516" s="4"/>
      <c r="B1516" s="8" t="str">
        <f t="shared" si="106"/>
        <v/>
      </c>
      <c r="D1516" s="6" t="str">
        <f t="shared" si="107"/>
        <v/>
      </c>
      <c r="E1516" s="6" t="str">
        <f t="shared" si="108"/>
        <v/>
      </c>
      <c r="F1516" s="6" t="str">
        <f t="shared" si="109"/>
        <v/>
      </c>
      <c r="G1516" s="4"/>
      <c r="H1516" s="4"/>
      <c r="I1516" s="4"/>
      <c r="J1516" s="4"/>
      <c r="K1516" s="4"/>
      <c r="L1516" s="4"/>
      <c r="M1516" s="4"/>
      <c r="N1516" s="4"/>
      <c r="O1516" s="4"/>
      <c r="P1516" s="4"/>
      <c r="Q1516" s="4"/>
      <c r="R1516" s="14"/>
      <c r="S1516" s="14"/>
      <c r="T1516" s="14"/>
      <c r="U1516" s="14"/>
      <c r="V1516" s="14"/>
      <c r="W1516" s="14"/>
      <c r="X1516" s="1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G1516" s="4"/>
      <c r="BH1516" s="4"/>
    </row>
    <row r="1517" spans="1:60" x14ac:dyDescent="0.35">
      <c r="A1517" s="4"/>
      <c r="B1517" s="8" t="str">
        <f t="shared" si="106"/>
        <v/>
      </c>
      <c r="D1517" s="6" t="str">
        <f t="shared" si="107"/>
        <v/>
      </c>
      <c r="E1517" s="6" t="str">
        <f t="shared" si="108"/>
        <v/>
      </c>
      <c r="F1517" s="6" t="str">
        <f t="shared" si="109"/>
        <v/>
      </c>
      <c r="G1517" s="4"/>
      <c r="H1517" s="4"/>
      <c r="I1517" s="4"/>
      <c r="J1517" s="4"/>
      <c r="K1517" s="4"/>
      <c r="L1517" s="4"/>
      <c r="M1517" s="4"/>
      <c r="N1517" s="4"/>
      <c r="O1517" s="4"/>
      <c r="P1517" s="4"/>
      <c r="Q1517" s="4"/>
      <c r="R1517" s="14"/>
      <c r="S1517" s="14"/>
      <c r="T1517" s="14"/>
      <c r="U1517" s="14"/>
      <c r="V1517" s="14"/>
      <c r="W1517" s="14"/>
      <c r="X1517" s="1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c r="BB1517" s="4"/>
      <c r="BC1517" s="4"/>
      <c r="BD1517" s="4"/>
      <c r="BE1517" s="4"/>
      <c r="BG1517" s="4"/>
      <c r="BH1517" s="4"/>
    </row>
    <row r="1518" spans="1:60" x14ac:dyDescent="0.35">
      <c r="A1518" s="4"/>
      <c r="B1518" s="8" t="str">
        <f t="shared" si="106"/>
        <v/>
      </c>
      <c r="D1518" s="6" t="str">
        <f t="shared" si="107"/>
        <v/>
      </c>
      <c r="E1518" s="6" t="str">
        <f t="shared" si="108"/>
        <v/>
      </c>
      <c r="F1518" s="6" t="str">
        <f t="shared" si="109"/>
        <v/>
      </c>
      <c r="G1518" s="4"/>
      <c r="H1518" s="4"/>
      <c r="I1518" s="4"/>
      <c r="J1518" s="4"/>
      <c r="K1518" s="4"/>
      <c r="L1518" s="4"/>
      <c r="M1518" s="4"/>
      <c r="N1518" s="4"/>
      <c r="O1518" s="4"/>
      <c r="P1518" s="4"/>
      <c r="Q1518" s="4"/>
      <c r="R1518" s="14"/>
      <c r="S1518" s="14"/>
      <c r="T1518" s="14"/>
      <c r="U1518" s="14"/>
      <c r="V1518" s="14"/>
      <c r="W1518" s="14"/>
      <c r="X1518" s="1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c r="BB1518" s="4"/>
      <c r="BC1518" s="4"/>
      <c r="BD1518" s="4"/>
      <c r="BE1518" s="4"/>
      <c r="BG1518" s="4"/>
      <c r="BH1518" s="4"/>
    </row>
    <row r="1519" spans="1:60" x14ac:dyDescent="0.35">
      <c r="A1519" s="4"/>
      <c r="B1519" s="8" t="str">
        <f t="shared" si="106"/>
        <v/>
      </c>
      <c r="D1519" s="6" t="str">
        <f t="shared" si="107"/>
        <v/>
      </c>
      <c r="E1519" s="6" t="str">
        <f t="shared" si="108"/>
        <v/>
      </c>
      <c r="F1519" s="6" t="str">
        <f t="shared" si="109"/>
        <v/>
      </c>
      <c r="G1519" s="4"/>
      <c r="H1519" s="4"/>
      <c r="I1519" s="4"/>
      <c r="J1519" s="4"/>
      <c r="K1519" s="4"/>
      <c r="L1519" s="4"/>
      <c r="M1519" s="4"/>
      <c r="N1519" s="4"/>
      <c r="O1519" s="4"/>
      <c r="P1519" s="4"/>
      <c r="Q1519" s="4"/>
      <c r="R1519" s="14"/>
      <c r="S1519" s="14"/>
      <c r="T1519" s="14"/>
      <c r="U1519" s="14"/>
      <c r="V1519" s="14"/>
      <c r="W1519" s="14"/>
      <c r="X1519" s="1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c r="BB1519" s="4"/>
      <c r="BC1519" s="4"/>
      <c r="BD1519" s="4"/>
      <c r="BE1519" s="4"/>
      <c r="BG1519" s="4"/>
      <c r="BH1519" s="4"/>
    </row>
    <row r="1520" spans="1:60" x14ac:dyDescent="0.35">
      <c r="A1520" s="4"/>
      <c r="B1520" s="8" t="str">
        <f t="shared" si="106"/>
        <v/>
      </c>
      <c r="D1520" s="6" t="str">
        <f t="shared" si="107"/>
        <v/>
      </c>
      <c r="E1520" s="6" t="str">
        <f t="shared" si="108"/>
        <v/>
      </c>
      <c r="F1520" s="6" t="str">
        <f t="shared" si="109"/>
        <v/>
      </c>
      <c r="G1520" s="4"/>
      <c r="H1520" s="4"/>
      <c r="I1520" s="4"/>
      <c r="J1520" s="4"/>
      <c r="K1520" s="4"/>
      <c r="L1520" s="4"/>
      <c r="M1520" s="4"/>
      <c r="N1520" s="4"/>
      <c r="O1520" s="4"/>
      <c r="P1520" s="4"/>
      <c r="Q1520" s="4"/>
      <c r="R1520" s="14"/>
      <c r="S1520" s="14"/>
      <c r="T1520" s="14"/>
      <c r="U1520" s="14"/>
      <c r="V1520" s="14"/>
      <c r="W1520" s="14"/>
      <c r="X1520" s="1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c r="BC1520" s="4"/>
      <c r="BD1520" s="4"/>
      <c r="BE1520" s="4"/>
      <c r="BG1520" s="4"/>
      <c r="BH1520" s="4"/>
    </row>
    <row r="1521" spans="1:60" x14ac:dyDescent="0.35">
      <c r="A1521" s="4"/>
      <c r="B1521" s="8" t="str">
        <f t="shared" si="106"/>
        <v/>
      </c>
      <c r="D1521" s="6" t="str">
        <f t="shared" si="107"/>
        <v/>
      </c>
      <c r="E1521" s="6" t="str">
        <f t="shared" si="108"/>
        <v/>
      </c>
      <c r="F1521" s="6" t="str">
        <f t="shared" si="109"/>
        <v/>
      </c>
      <c r="G1521" s="4"/>
      <c r="H1521" s="4"/>
      <c r="I1521" s="4"/>
      <c r="J1521" s="4"/>
      <c r="K1521" s="4"/>
      <c r="L1521" s="4"/>
      <c r="M1521" s="4"/>
      <c r="N1521" s="4"/>
      <c r="O1521" s="4"/>
      <c r="P1521" s="4"/>
      <c r="Q1521" s="4"/>
      <c r="R1521" s="14"/>
      <c r="S1521" s="14"/>
      <c r="T1521" s="14"/>
      <c r="U1521" s="14"/>
      <c r="V1521" s="14"/>
      <c r="W1521" s="14"/>
      <c r="X1521" s="1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c r="BB1521" s="4"/>
      <c r="BC1521" s="4"/>
      <c r="BD1521" s="4"/>
      <c r="BE1521" s="4"/>
      <c r="BG1521" s="4"/>
      <c r="BH1521" s="4"/>
    </row>
    <row r="1522" spans="1:60" x14ac:dyDescent="0.35">
      <c r="A1522" s="4"/>
      <c r="B1522" s="8" t="str">
        <f t="shared" si="106"/>
        <v/>
      </c>
      <c r="D1522" s="6" t="str">
        <f t="shared" si="107"/>
        <v/>
      </c>
      <c r="E1522" s="6" t="str">
        <f t="shared" si="108"/>
        <v/>
      </c>
      <c r="F1522" s="6" t="str">
        <f t="shared" si="109"/>
        <v/>
      </c>
      <c r="G1522" s="4"/>
      <c r="H1522" s="4"/>
      <c r="I1522" s="4"/>
      <c r="J1522" s="4"/>
      <c r="K1522" s="4"/>
      <c r="L1522" s="4"/>
      <c r="M1522" s="4"/>
      <c r="N1522" s="4"/>
      <c r="O1522" s="4"/>
      <c r="P1522" s="4"/>
      <c r="Q1522" s="4"/>
      <c r="R1522" s="14"/>
      <c r="S1522" s="14"/>
      <c r="T1522" s="14"/>
      <c r="U1522" s="14"/>
      <c r="V1522" s="14"/>
      <c r="W1522" s="14"/>
      <c r="X1522" s="1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c r="BC1522" s="4"/>
      <c r="BD1522" s="4"/>
      <c r="BE1522" s="4"/>
      <c r="BG1522" s="4"/>
      <c r="BH1522" s="4"/>
    </row>
    <row r="1523" spans="1:60" x14ac:dyDescent="0.35">
      <c r="A1523" s="4"/>
      <c r="B1523" s="8" t="str">
        <f t="shared" si="106"/>
        <v/>
      </c>
      <c r="D1523" s="6" t="str">
        <f t="shared" si="107"/>
        <v/>
      </c>
      <c r="E1523" s="6" t="str">
        <f t="shared" si="108"/>
        <v/>
      </c>
      <c r="F1523" s="6" t="str">
        <f t="shared" si="109"/>
        <v/>
      </c>
      <c r="G1523" s="4"/>
      <c r="H1523" s="4"/>
      <c r="I1523" s="4"/>
      <c r="J1523" s="4"/>
      <c r="K1523" s="4"/>
      <c r="L1523" s="4"/>
      <c r="M1523" s="4"/>
      <c r="N1523" s="4"/>
      <c r="O1523" s="4"/>
      <c r="P1523" s="4"/>
      <c r="Q1523" s="4"/>
      <c r="R1523" s="14"/>
      <c r="S1523" s="14"/>
      <c r="T1523" s="14"/>
      <c r="U1523" s="14"/>
      <c r="V1523" s="14"/>
      <c r="W1523" s="14"/>
      <c r="X1523" s="1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c r="BB1523" s="4"/>
      <c r="BC1523" s="4"/>
      <c r="BD1523" s="4"/>
      <c r="BE1523" s="4"/>
      <c r="BG1523" s="4"/>
      <c r="BH1523" s="4"/>
    </row>
    <row r="1524" spans="1:60" x14ac:dyDescent="0.35">
      <c r="A1524" s="4"/>
      <c r="B1524" s="8" t="str">
        <f t="shared" si="106"/>
        <v/>
      </c>
      <c r="D1524" s="6" t="str">
        <f t="shared" si="107"/>
        <v/>
      </c>
      <c r="E1524" s="6" t="str">
        <f t="shared" si="108"/>
        <v/>
      </c>
      <c r="F1524" s="6" t="str">
        <f t="shared" si="109"/>
        <v/>
      </c>
      <c r="G1524" s="4"/>
      <c r="H1524" s="4"/>
      <c r="I1524" s="4"/>
      <c r="J1524" s="4"/>
      <c r="K1524" s="4"/>
      <c r="L1524" s="4"/>
      <c r="M1524" s="4"/>
      <c r="N1524" s="4"/>
      <c r="O1524" s="4"/>
      <c r="P1524" s="4"/>
      <c r="Q1524" s="4"/>
      <c r="R1524" s="14"/>
      <c r="S1524" s="14"/>
      <c r="T1524" s="14"/>
      <c r="U1524" s="14"/>
      <c r="V1524" s="14"/>
      <c r="W1524" s="14"/>
      <c r="X1524" s="1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c r="BB1524" s="4"/>
      <c r="BC1524" s="4"/>
      <c r="BD1524" s="4"/>
      <c r="BE1524" s="4"/>
      <c r="BG1524" s="4"/>
      <c r="BH1524" s="4"/>
    </row>
    <row r="1525" spans="1:60" x14ac:dyDescent="0.35">
      <c r="A1525" s="4"/>
      <c r="B1525" s="8" t="str">
        <f t="shared" si="106"/>
        <v/>
      </c>
      <c r="D1525" s="6" t="str">
        <f t="shared" si="107"/>
        <v/>
      </c>
      <c r="E1525" s="6" t="str">
        <f t="shared" si="108"/>
        <v/>
      </c>
      <c r="F1525" s="6" t="str">
        <f t="shared" si="109"/>
        <v/>
      </c>
      <c r="G1525" s="4"/>
      <c r="H1525" s="4"/>
      <c r="I1525" s="4"/>
      <c r="J1525" s="4"/>
      <c r="K1525" s="4"/>
      <c r="L1525" s="4"/>
      <c r="M1525" s="4"/>
      <c r="N1525" s="4"/>
      <c r="O1525" s="4"/>
      <c r="P1525" s="4"/>
      <c r="Q1525" s="4"/>
      <c r="R1525" s="14"/>
      <c r="S1525" s="14"/>
      <c r="T1525" s="14"/>
      <c r="U1525" s="14"/>
      <c r="V1525" s="14"/>
      <c r="W1525" s="14"/>
      <c r="X1525" s="14"/>
      <c r="Y1525" s="4"/>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c r="BB1525" s="4"/>
      <c r="BC1525" s="4"/>
      <c r="BD1525" s="4"/>
      <c r="BE1525" s="4"/>
      <c r="BG1525" s="4"/>
      <c r="BH1525" s="4"/>
    </row>
    <row r="1526" spans="1:60" x14ac:dyDescent="0.35">
      <c r="A1526" s="4"/>
      <c r="B1526" s="8" t="str">
        <f t="shared" si="106"/>
        <v/>
      </c>
      <c r="D1526" s="6" t="str">
        <f t="shared" si="107"/>
        <v/>
      </c>
      <c r="E1526" s="6" t="str">
        <f t="shared" si="108"/>
        <v/>
      </c>
      <c r="F1526" s="6" t="str">
        <f t="shared" si="109"/>
        <v/>
      </c>
      <c r="G1526" s="4"/>
      <c r="H1526" s="4"/>
      <c r="I1526" s="4"/>
      <c r="J1526" s="4"/>
      <c r="K1526" s="4"/>
      <c r="L1526" s="4"/>
      <c r="M1526" s="4"/>
      <c r="N1526" s="4"/>
      <c r="O1526" s="4"/>
      <c r="P1526" s="4"/>
      <c r="Q1526" s="4"/>
      <c r="R1526" s="14"/>
      <c r="S1526" s="14"/>
      <c r="T1526" s="14"/>
      <c r="U1526" s="14"/>
      <c r="V1526" s="14"/>
      <c r="W1526" s="14"/>
      <c r="X1526" s="1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c r="BB1526" s="4"/>
      <c r="BC1526" s="4"/>
      <c r="BD1526" s="4"/>
      <c r="BE1526" s="4"/>
      <c r="BG1526" s="4"/>
      <c r="BH1526" s="4"/>
    </row>
    <row r="1527" spans="1:60" x14ac:dyDescent="0.35">
      <c r="A1527" s="4"/>
      <c r="B1527" s="8" t="str">
        <f t="shared" si="106"/>
        <v/>
      </c>
      <c r="D1527" s="6" t="str">
        <f t="shared" si="107"/>
        <v/>
      </c>
      <c r="E1527" s="6" t="str">
        <f t="shared" si="108"/>
        <v/>
      </c>
      <c r="F1527" s="6" t="str">
        <f t="shared" si="109"/>
        <v/>
      </c>
      <c r="G1527" s="4"/>
      <c r="H1527" s="4"/>
      <c r="I1527" s="4"/>
      <c r="J1527" s="4"/>
      <c r="K1527" s="4"/>
      <c r="L1527" s="4"/>
      <c r="M1527" s="4"/>
      <c r="N1527" s="4"/>
      <c r="O1527" s="4"/>
      <c r="P1527" s="4"/>
      <c r="Q1527" s="4"/>
      <c r="R1527" s="14"/>
      <c r="S1527" s="14"/>
      <c r="T1527" s="14"/>
      <c r="U1527" s="14"/>
      <c r="V1527" s="14"/>
      <c r="W1527" s="14"/>
      <c r="X1527" s="1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c r="BB1527" s="4"/>
      <c r="BC1527" s="4"/>
      <c r="BD1527" s="4"/>
      <c r="BE1527" s="4"/>
      <c r="BG1527" s="4"/>
      <c r="BH1527" s="4"/>
    </row>
    <row r="1528" spans="1:60" x14ac:dyDescent="0.35">
      <c r="A1528" s="4"/>
      <c r="B1528" s="8" t="str">
        <f t="shared" si="106"/>
        <v/>
      </c>
      <c r="D1528" s="6" t="str">
        <f t="shared" si="107"/>
        <v/>
      </c>
      <c r="E1528" s="6" t="str">
        <f t="shared" si="108"/>
        <v/>
      </c>
      <c r="F1528" s="6" t="str">
        <f t="shared" si="109"/>
        <v/>
      </c>
      <c r="G1528" s="4"/>
      <c r="H1528" s="4"/>
      <c r="I1528" s="4"/>
      <c r="J1528" s="4"/>
      <c r="K1528" s="4"/>
      <c r="L1528" s="4"/>
      <c r="M1528" s="4"/>
      <c r="N1528" s="4"/>
      <c r="O1528" s="4"/>
      <c r="P1528" s="4"/>
      <c r="Q1528" s="4"/>
      <c r="R1528" s="14"/>
      <c r="S1528" s="14"/>
      <c r="T1528" s="14"/>
      <c r="U1528" s="14"/>
      <c r="V1528" s="14"/>
      <c r="W1528" s="14"/>
      <c r="X1528" s="1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c r="BC1528" s="4"/>
      <c r="BD1528" s="4"/>
      <c r="BE1528" s="4"/>
      <c r="BG1528" s="4"/>
      <c r="BH1528" s="4"/>
    </row>
    <row r="1529" spans="1:60" x14ac:dyDescent="0.35">
      <c r="A1529" s="4"/>
      <c r="B1529" s="8" t="str">
        <f t="shared" si="106"/>
        <v/>
      </c>
      <c r="D1529" s="6" t="str">
        <f t="shared" si="107"/>
        <v/>
      </c>
      <c r="E1529" s="6" t="str">
        <f t="shared" si="108"/>
        <v/>
      </c>
      <c r="F1529" s="6" t="str">
        <f t="shared" si="109"/>
        <v/>
      </c>
      <c r="G1529" s="4"/>
      <c r="H1529" s="4"/>
      <c r="I1529" s="4"/>
      <c r="J1529" s="4"/>
      <c r="K1529" s="4"/>
      <c r="L1529" s="4"/>
      <c r="M1529" s="4"/>
      <c r="N1529" s="4"/>
      <c r="O1529" s="4"/>
      <c r="P1529" s="4"/>
      <c r="Q1529" s="4"/>
      <c r="R1529" s="14"/>
      <c r="S1529" s="14"/>
      <c r="T1529" s="14"/>
      <c r="U1529" s="14"/>
      <c r="V1529" s="14"/>
      <c r="W1529" s="14"/>
      <c r="X1529" s="1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c r="BC1529" s="4"/>
      <c r="BD1529" s="4"/>
      <c r="BE1529" s="4"/>
      <c r="BG1529" s="4"/>
      <c r="BH1529" s="4"/>
    </row>
    <row r="1530" spans="1:60" x14ac:dyDescent="0.35">
      <c r="A1530" s="4"/>
      <c r="B1530" s="8" t="str">
        <f t="shared" si="106"/>
        <v/>
      </c>
      <c r="D1530" s="6" t="str">
        <f t="shared" si="107"/>
        <v/>
      </c>
      <c r="E1530" s="6" t="str">
        <f t="shared" si="108"/>
        <v/>
      </c>
      <c r="F1530" s="6" t="str">
        <f t="shared" si="109"/>
        <v/>
      </c>
      <c r="G1530" s="4"/>
      <c r="H1530" s="4"/>
      <c r="I1530" s="4"/>
      <c r="J1530" s="4"/>
      <c r="K1530" s="4"/>
      <c r="L1530" s="4"/>
      <c r="M1530" s="4"/>
      <c r="N1530" s="4"/>
      <c r="O1530" s="4"/>
      <c r="P1530" s="4"/>
      <c r="Q1530" s="4"/>
      <c r="R1530" s="14"/>
      <c r="S1530" s="14"/>
      <c r="T1530" s="14"/>
      <c r="U1530" s="14"/>
      <c r="V1530" s="14"/>
      <c r="W1530" s="14"/>
      <c r="X1530" s="14"/>
      <c r="Y1530" s="4"/>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c r="BB1530" s="4"/>
      <c r="BC1530" s="4"/>
      <c r="BD1530" s="4"/>
      <c r="BE1530" s="4"/>
      <c r="BG1530" s="4"/>
      <c r="BH1530" s="4"/>
    </row>
    <row r="1531" spans="1:60" x14ac:dyDescent="0.35">
      <c r="A1531" s="4"/>
      <c r="B1531" s="8" t="str">
        <f t="shared" si="106"/>
        <v/>
      </c>
      <c r="D1531" s="6" t="str">
        <f t="shared" si="107"/>
        <v/>
      </c>
      <c r="E1531" s="6" t="str">
        <f t="shared" si="108"/>
        <v/>
      </c>
      <c r="F1531" s="6" t="str">
        <f t="shared" si="109"/>
        <v/>
      </c>
      <c r="G1531" s="4"/>
      <c r="H1531" s="4"/>
      <c r="I1531" s="4"/>
      <c r="J1531" s="4"/>
      <c r="K1531" s="4"/>
      <c r="L1531" s="4"/>
      <c r="M1531" s="4"/>
      <c r="N1531" s="4"/>
      <c r="O1531" s="4"/>
      <c r="P1531" s="4"/>
      <c r="Q1531" s="4"/>
      <c r="R1531" s="14"/>
      <c r="S1531" s="14"/>
      <c r="T1531" s="14"/>
      <c r="U1531" s="14"/>
      <c r="V1531" s="14"/>
      <c r="W1531" s="14"/>
      <c r="X1531" s="1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c r="BC1531" s="4"/>
      <c r="BD1531" s="4"/>
      <c r="BE1531" s="4"/>
      <c r="BG1531" s="4"/>
      <c r="BH1531" s="4"/>
    </row>
    <row r="1532" spans="1:60" x14ac:dyDescent="0.35">
      <c r="A1532" s="4"/>
      <c r="B1532" s="8" t="str">
        <f t="shared" si="106"/>
        <v/>
      </c>
      <c r="D1532" s="6" t="str">
        <f t="shared" si="107"/>
        <v/>
      </c>
      <c r="E1532" s="6" t="str">
        <f t="shared" si="108"/>
        <v/>
      </c>
      <c r="F1532" s="6" t="str">
        <f t="shared" si="109"/>
        <v/>
      </c>
      <c r="G1532" s="4"/>
      <c r="H1532" s="4"/>
      <c r="I1532" s="4"/>
      <c r="J1532" s="4"/>
      <c r="K1532" s="4"/>
      <c r="L1532" s="4"/>
      <c r="M1532" s="4"/>
      <c r="N1532" s="4"/>
      <c r="O1532" s="4"/>
      <c r="P1532" s="4"/>
      <c r="Q1532" s="4"/>
      <c r="R1532" s="14"/>
      <c r="S1532" s="14"/>
      <c r="T1532" s="14"/>
      <c r="U1532" s="14"/>
      <c r="V1532" s="14"/>
      <c r="W1532" s="14"/>
      <c r="X1532" s="1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c r="BB1532" s="4"/>
      <c r="BC1532" s="4"/>
      <c r="BD1532" s="4"/>
      <c r="BE1532" s="4"/>
      <c r="BG1532" s="4"/>
      <c r="BH1532" s="4"/>
    </row>
    <row r="1533" spans="1:60" x14ac:dyDescent="0.35">
      <c r="A1533" s="4"/>
      <c r="B1533" s="8" t="str">
        <f t="shared" ref="B1533:B1596" si="110">RIGHT(A1533,4)</f>
        <v/>
      </c>
      <c r="D1533" s="6" t="str">
        <f t="shared" ref="D1533:D1596" si="111">IF(C1533="","",VLOOKUP(C1533,district_region,2,FALSE))</f>
        <v/>
      </c>
      <c r="E1533" s="6" t="str">
        <f t="shared" ref="E1533:E1596" si="112">IF(C1533="","",VLOOKUP(C1533,liste_pop,3,FALSE))</f>
        <v/>
      </c>
      <c r="F1533" s="6" t="str">
        <f t="shared" ref="F1533:F1596" si="113">IF(D1533="","",IF(D1533="Dakar",4042240,VLOOKUP(D1533,liste_pop,4,FALSE)))</f>
        <v/>
      </c>
      <c r="G1533" s="4"/>
      <c r="H1533" s="4"/>
      <c r="I1533" s="4"/>
      <c r="J1533" s="4"/>
      <c r="K1533" s="4"/>
      <c r="L1533" s="4"/>
      <c r="M1533" s="4"/>
      <c r="N1533" s="4"/>
      <c r="O1533" s="4"/>
      <c r="P1533" s="4"/>
      <c r="Q1533" s="4"/>
      <c r="R1533" s="14"/>
      <c r="S1533" s="14"/>
      <c r="T1533" s="14"/>
      <c r="U1533" s="14"/>
      <c r="V1533" s="14"/>
      <c r="W1533" s="14"/>
      <c r="X1533" s="1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c r="BB1533" s="4"/>
      <c r="BC1533" s="4"/>
      <c r="BD1533" s="4"/>
      <c r="BE1533" s="4"/>
      <c r="BG1533" s="4"/>
      <c r="BH1533" s="4"/>
    </row>
    <row r="1534" spans="1:60" x14ac:dyDescent="0.35">
      <c r="A1534" s="4"/>
      <c r="B1534" s="8" t="str">
        <f t="shared" si="110"/>
        <v/>
      </c>
      <c r="D1534" s="6" t="str">
        <f t="shared" si="111"/>
        <v/>
      </c>
      <c r="E1534" s="6" t="str">
        <f t="shared" si="112"/>
        <v/>
      </c>
      <c r="F1534" s="6" t="str">
        <f t="shared" si="113"/>
        <v/>
      </c>
      <c r="G1534" s="4"/>
      <c r="H1534" s="4"/>
      <c r="I1534" s="4"/>
      <c r="J1534" s="4"/>
      <c r="K1534" s="4"/>
      <c r="L1534" s="4"/>
      <c r="M1534" s="4"/>
      <c r="N1534" s="4"/>
      <c r="O1534" s="4"/>
      <c r="P1534" s="4"/>
      <c r="Q1534" s="4"/>
      <c r="R1534" s="14"/>
      <c r="S1534" s="14"/>
      <c r="T1534" s="14"/>
      <c r="U1534" s="14"/>
      <c r="V1534" s="14"/>
      <c r="W1534" s="14"/>
      <c r="X1534" s="1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G1534" s="4"/>
      <c r="BH1534" s="4"/>
    </row>
    <row r="1535" spans="1:60" x14ac:dyDescent="0.35">
      <c r="A1535" s="4"/>
      <c r="B1535" s="8" t="str">
        <f t="shared" si="110"/>
        <v/>
      </c>
      <c r="D1535" s="6" t="str">
        <f t="shared" si="111"/>
        <v/>
      </c>
      <c r="E1535" s="6" t="str">
        <f t="shared" si="112"/>
        <v/>
      </c>
      <c r="F1535" s="6" t="str">
        <f t="shared" si="113"/>
        <v/>
      </c>
      <c r="G1535" s="4"/>
      <c r="H1535" s="4"/>
      <c r="I1535" s="4"/>
      <c r="J1535" s="4"/>
      <c r="K1535" s="4"/>
      <c r="L1535" s="4"/>
      <c r="M1535" s="4"/>
      <c r="N1535" s="4"/>
      <c r="O1535" s="4"/>
      <c r="P1535" s="4"/>
      <c r="Q1535" s="4"/>
      <c r="R1535" s="14"/>
      <c r="S1535" s="14"/>
      <c r="T1535" s="14"/>
      <c r="U1535" s="14"/>
      <c r="V1535" s="14"/>
      <c r="W1535" s="14"/>
      <c r="X1535" s="1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c r="BC1535" s="4"/>
      <c r="BD1535" s="4"/>
      <c r="BE1535" s="4"/>
      <c r="BG1535" s="4"/>
      <c r="BH1535" s="4"/>
    </row>
    <row r="1536" spans="1:60" x14ac:dyDescent="0.35">
      <c r="A1536" s="4"/>
      <c r="B1536" s="8" t="str">
        <f t="shared" si="110"/>
        <v/>
      </c>
      <c r="D1536" s="6" t="str">
        <f t="shared" si="111"/>
        <v/>
      </c>
      <c r="E1536" s="6" t="str">
        <f t="shared" si="112"/>
        <v/>
      </c>
      <c r="F1536" s="6" t="str">
        <f t="shared" si="113"/>
        <v/>
      </c>
      <c r="G1536" s="4"/>
      <c r="H1536" s="4"/>
      <c r="I1536" s="4"/>
      <c r="J1536" s="4"/>
      <c r="K1536" s="4"/>
      <c r="L1536" s="4"/>
      <c r="M1536" s="4"/>
      <c r="N1536" s="4"/>
      <c r="O1536" s="4"/>
      <c r="P1536" s="4"/>
      <c r="Q1536" s="4"/>
      <c r="R1536" s="14"/>
      <c r="S1536" s="14"/>
      <c r="T1536" s="14"/>
      <c r="U1536" s="14"/>
      <c r="V1536" s="14"/>
      <c r="W1536" s="14"/>
      <c r="X1536" s="1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c r="BC1536" s="4"/>
      <c r="BD1536" s="4"/>
      <c r="BE1536" s="4"/>
      <c r="BG1536" s="4"/>
      <c r="BH1536" s="4"/>
    </row>
    <row r="1537" spans="1:60" x14ac:dyDescent="0.35">
      <c r="A1537" s="4"/>
      <c r="B1537" s="8" t="str">
        <f t="shared" si="110"/>
        <v/>
      </c>
      <c r="D1537" s="6" t="str">
        <f t="shared" si="111"/>
        <v/>
      </c>
      <c r="E1537" s="6" t="str">
        <f t="shared" si="112"/>
        <v/>
      </c>
      <c r="F1537" s="6" t="str">
        <f t="shared" si="113"/>
        <v/>
      </c>
      <c r="G1537" s="4"/>
      <c r="H1537" s="4"/>
      <c r="I1537" s="4"/>
      <c r="J1537" s="4"/>
      <c r="K1537" s="4"/>
      <c r="L1537" s="4"/>
      <c r="M1537" s="4"/>
      <c r="N1537" s="4"/>
      <c r="O1537" s="4"/>
      <c r="P1537" s="4"/>
      <c r="Q1537" s="4"/>
      <c r="R1537" s="14"/>
      <c r="S1537" s="14"/>
      <c r="T1537" s="14"/>
      <c r="U1537" s="14"/>
      <c r="V1537" s="14"/>
      <c r="W1537" s="14"/>
      <c r="X1537" s="1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c r="BC1537" s="4"/>
      <c r="BD1537" s="4"/>
      <c r="BE1537" s="4"/>
      <c r="BG1537" s="4"/>
      <c r="BH1537" s="4"/>
    </row>
    <row r="1538" spans="1:60" x14ac:dyDescent="0.35">
      <c r="A1538" s="4"/>
      <c r="B1538" s="8" t="str">
        <f t="shared" si="110"/>
        <v/>
      </c>
      <c r="D1538" s="6" t="str">
        <f t="shared" si="111"/>
        <v/>
      </c>
      <c r="E1538" s="6" t="str">
        <f t="shared" si="112"/>
        <v/>
      </c>
      <c r="F1538" s="6" t="str">
        <f t="shared" si="113"/>
        <v/>
      </c>
      <c r="G1538" s="4"/>
      <c r="H1538" s="4"/>
      <c r="I1538" s="4"/>
      <c r="J1538" s="4"/>
      <c r="K1538" s="4"/>
      <c r="L1538" s="4"/>
      <c r="M1538" s="4"/>
      <c r="N1538" s="4"/>
      <c r="O1538" s="4"/>
      <c r="P1538" s="4"/>
      <c r="Q1538" s="4"/>
      <c r="R1538" s="14"/>
      <c r="S1538" s="14"/>
      <c r="T1538" s="14"/>
      <c r="U1538" s="14"/>
      <c r="V1538" s="14"/>
      <c r="W1538" s="14"/>
      <c r="X1538" s="1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G1538" s="4"/>
      <c r="BH1538" s="4"/>
    </row>
    <row r="1539" spans="1:60" x14ac:dyDescent="0.35">
      <c r="A1539" s="4"/>
      <c r="B1539" s="8" t="str">
        <f t="shared" si="110"/>
        <v/>
      </c>
      <c r="D1539" s="6" t="str">
        <f t="shared" si="111"/>
        <v/>
      </c>
      <c r="E1539" s="6" t="str">
        <f t="shared" si="112"/>
        <v/>
      </c>
      <c r="F1539" s="6" t="str">
        <f t="shared" si="113"/>
        <v/>
      </c>
      <c r="G1539" s="4"/>
      <c r="H1539" s="4"/>
      <c r="I1539" s="4"/>
      <c r="J1539" s="4"/>
      <c r="K1539" s="4"/>
      <c r="L1539" s="4"/>
      <c r="M1539" s="4"/>
      <c r="N1539" s="4"/>
      <c r="O1539" s="4"/>
      <c r="P1539" s="4"/>
      <c r="Q1539" s="4"/>
      <c r="R1539" s="14"/>
      <c r="S1539" s="14"/>
      <c r="T1539" s="14"/>
      <c r="U1539" s="14"/>
      <c r="V1539" s="14"/>
      <c r="W1539" s="14"/>
      <c r="X1539" s="1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c r="BC1539" s="4"/>
      <c r="BD1539" s="4"/>
      <c r="BE1539" s="4"/>
      <c r="BG1539" s="4"/>
      <c r="BH1539" s="4"/>
    </row>
    <row r="1540" spans="1:60" x14ac:dyDescent="0.35">
      <c r="A1540" s="4"/>
      <c r="B1540" s="8" t="str">
        <f t="shared" si="110"/>
        <v/>
      </c>
      <c r="D1540" s="6" t="str">
        <f t="shared" si="111"/>
        <v/>
      </c>
      <c r="E1540" s="6" t="str">
        <f t="shared" si="112"/>
        <v/>
      </c>
      <c r="F1540" s="6" t="str">
        <f t="shared" si="113"/>
        <v/>
      </c>
      <c r="G1540" s="4"/>
      <c r="H1540" s="4"/>
      <c r="I1540" s="4"/>
      <c r="J1540" s="4"/>
      <c r="K1540" s="4"/>
      <c r="L1540" s="4"/>
      <c r="M1540" s="4"/>
      <c r="N1540" s="4"/>
      <c r="O1540" s="4"/>
      <c r="P1540" s="4"/>
      <c r="Q1540" s="4"/>
      <c r="R1540" s="14"/>
      <c r="S1540" s="14"/>
      <c r="T1540" s="14"/>
      <c r="U1540" s="14"/>
      <c r="V1540" s="14"/>
      <c r="W1540" s="14"/>
      <c r="X1540" s="1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G1540" s="4"/>
      <c r="BH1540" s="4"/>
    </row>
    <row r="1541" spans="1:60" x14ac:dyDescent="0.35">
      <c r="A1541" s="4"/>
      <c r="B1541" s="8" t="str">
        <f t="shared" si="110"/>
        <v/>
      </c>
      <c r="D1541" s="6" t="str">
        <f t="shared" si="111"/>
        <v/>
      </c>
      <c r="E1541" s="6" t="str">
        <f t="shared" si="112"/>
        <v/>
      </c>
      <c r="F1541" s="6" t="str">
        <f t="shared" si="113"/>
        <v/>
      </c>
      <c r="G1541" s="4"/>
      <c r="H1541" s="4"/>
      <c r="I1541" s="4"/>
      <c r="J1541" s="4"/>
      <c r="K1541" s="4"/>
      <c r="L1541" s="4"/>
      <c r="M1541" s="4"/>
      <c r="N1541" s="4"/>
      <c r="O1541" s="4"/>
      <c r="P1541" s="4"/>
      <c r="Q1541" s="4"/>
      <c r="R1541" s="14"/>
      <c r="S1541" s="14"/>
      <c r="T1541" s="14"/>
      <c r="U1541" s="14"/>
      <c r="V1541" s="14"/>
      <c r="W1541" s="14"/>
      <c r="X1541" s="1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c r="BB1541" s="4"/>
      <c r="BC1541" s="4"/>
      <c r="BD1541" s="4"/>
      <c r="BE1541" s="4"/>
      <c r="BG1541" s="4"/>
      <c r="BH1541" s="4"/>
    </row>
    <row r="1542" spans="1:60" x14ac:dyDescent="0.35">
      <c r="A1542" s="4"/>
      <c r="B1542" s="8" t="str">
        <f t="shared" si="110"/>
        <v/>
      </c>
      <c r="D1542" s="6" t="str">
        <f t="shared" si="111"/>
        <v/>
      </c>
      <c r="E1542" s="6" t="str">
        <f t="shared" si="112"/>
        <v/>
      </c>
      <c r="F1542" s="6" t="str">
        <f t="shared" si="113"/>
        <v/>
      </c>
      <c r="G1542" s="4"/>
      <c r="H1542" s="4"/>
      <c r="I1542" s="4"/>
      <c r="J1542" s="4"/>
      <c r="K1542" s="4"/>
      <c r="L1542" s="4"/>
      <c r="M1542" s="4"/>
      <c r="N1542" s="4"/>
      <c r="O1542" s="4"/>
      <c r="P1542" s="4"/>
      <c r="Q1542" s="4"/>
      <c r="R1542" s="14"/>
      <c r="S1542" s="14"/>
      <c r="T1542" s="14"/>
      <c r="U1542" s="14"/>
      <c r="V1542" s="14"/>
      <c r="W1542" s="14"/>
      <c r="X1542" s="1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c r="BB1542" s="4"/>
      <c r="BC1542" s="4"/>
      <c r="BD1542" s="4"/>
      <c r="BE1542" s="4"/>
      <c r="BG1542" s="4"/>
      <c r="BH1542" s="4"/>
    </row>
    <row r="1543" spans="1:60" x14ac:dyDescent="0.35">
      <c r="A1543" s="4"/>
      <c r="B1543" s="8" t="str">
        <f t="shared" si="110"/>
        <v/>
      </c>
      <c r="D1543" s="6" t="str">
        <f t="shared" si="111"/>
        <v/>
      </c>
      <c r="E1543" s="6" t="str">
        <f t="shared" si="112"/>
        <v/>
      </c>
      <c r="F1543" s="6" t="str">
        <f t="shared" si="113"/>
        <v/>
      </c>
      <c r="G1543" s="4"/>
      <c r="H1543" s="4"/>
      <c r="I1543" s="4"/>
      <c r="J1543" s="4"/>
      <c r="K1543" s="4"/>
      <c r="L1543" s="4"/>
      <c r="M1543" s="4"/>
      <c r="N1543" s="4"/>
      <c r="O1543" s="4"/>
      <c r="P1543" s="4"/>
      <c r="Q1543" s="4"/>
      <c r="R1543" s="14"/>
      <c r="S1543" s="14"/>
      <c r="T1543" s="14"/>
      <c r="U1543" s="14"/>
      <c r="V1543" s="14"/>
      <c r="W1543" s="14"/>
      <c r="X1543" s="1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c r="BB1543" s="4"/>
      <c r="BC1543" s="4"/>
      <c r="BD1543" s="4"/>
      <c r="BE1543" s="4"/>
      <c r="BG1543" s="4"/>
      <c r="BH1543" s="4"/>
    </row>
    <row r="1544" spans="1:60" x14ac:dyDescent="0.35">
      <c r="A1544" s="4"/>
      <c r="B1544" s="8" t="str">
        <f t="shared" si="110"/>
        <v/>
      </c>
      <c r="D1544" s="6" t="str">
        <f t="shared" si="111"/>
        <v/>
      </c>
      <c r="E1544" s="6" t="str">
        <f t="shared" si="112"/>
        <v/>
      </c>
      <c r="F1544" s="6" t="str">
        <f t="shared" si="113"/>
        <v/>
      </c>
      <c r="G1544" s="4"/>
      <c r="H1544" s="4"/>
      <c r="I1544" s="4"/>
      <c r="J1544" s="4"/>
      <c r="K1544" s="4"/>
      <c r="L1544" s="4"/>
      <c r="M1544" s="4"/>
      <c r="N1544" s="4"/>
      <c r="O1544" s="4"/>
      <c r="P1544" s="4"/>
      <c r="Q1544" s="4"/>
      <c r="R1544" s="14"/>
      <c r="S1544" s="14"/>
      <c r="T1544" s="14"/>
      <c r="U1544" s="14"/>
      <c r="V1544" s="14"/>
      <c r="W1544" s="14"/>
      <c r="X1544" s="1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c r="BC1544" s="4"/>
      <c r="BD1544" s="4"/>
      <c r="BE1544" s="4"/>
      <c r="BG1544" s="4"/>
      <c r="BH1544" s="4"/>
    </row>
    <row r="1545" spans="1:60" x14ac:dyDescent="0.35">
      <c r="A1545" s="4"/>
      <c r="B1545" s="8" t="str">
        <f t="shared" si="110"/>
        <v/>
      </c>
      <c r="D1545" s="6" t="str">
        <f t="shared" si="111"/>
        <v/>
      </c>
      <c r="E1545" s="6" t="str">
        <f t="shared" si="112"/>
        <v/>
      </c>
      <c r="F1545" s="6" t="str">
        <f t="shared" si="113"/>
        <v/>
      </c>
      <c r="G1545" s="4"/>
      <c r="H1545" s="4"/>
      <c r="I1545" s="4"/>
      <c r="J1545" s="4"/>
      <c r="K1545" s="4"/>
      <c r="L1545" s="4"/>
      <c r="M1545" s="4"/>
      <c r="N1545" s="4"/>
      <c r="O1545" s="4"/>
      <c r="P1545" s="4"/>
      <c r="Q1545" s="4"/>
      <c r="R1545" s="14"/>
      <c r="S1545" s="14"/>
      <c r="T1545" s="14"/>
      <c r="U1545" s="14"/>
      <c r="V1545" s="14"/>
      <c r="W1545" s="14"/>
      <c r="X1545" s="1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c r="BB1545" s="4"/>
      <c r="BC1545" s="4"/>
      <c r="BD1545" s="4"/>
      <c r="BE1545" s="4"/>
      <c r="BG1545" s="4"/>
      <c r="BH1545" s="4"/>
    </row>
    <row r="1546" spans="1:60" x14ac:dyDescent="0.35">
      <c r="A1546" s="4"/>
      <c r="B1546" s="8" t="str">
        <f t="shared" si="110"/>
        <v/>
      </c>
      <c r="D1546" s="6" t="str">
        <f t="shared" si="111"/>
        <v/>
      </c>
      <c r="E1546" s="6" t="str">
        <f t="shared" si="112"/>
        <v/>
      </c>
      <c r="F1546" s="6" t="str">
        <f t="shared" si="113"/>
        <v/>
      </c>
      <c r="G1546" s="4"/>
      <c r="H1546" s="4"/>
      <c r="I1546" s="4"/>
      <c r="J1546" s="4"/>
      <c r="K1546" s="4"/>
      <c r="L1546" s="4"/>
      <c r="M1546" s="4"/>
      <c r="N1546" s="4"/>
      <c r="O1546" s="4"/>
      <c r="P1546" s="4"/>
      <c r="Q1546" s="4"/>
      <c r="R1546" s="14"/>
      <c r="S1546" s="14"/>
      <c r="T1546" s="14"/>
      <c r="U1546" s="14"/>
      <c r="V1546" s="14"/>
      <c r="W1546" s="14"/>
      <c r="X1546" s="1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c r="BB1546" s="4"/>
      <c r="BC1546" s="4"/>
      <c r="BD1546" s="4"/>
      <c r="BE1546" s="4"/>
      <c r="BG1546" s="4"/>
      <c r="BH1546" s="4"/>
    </row>
    <row r="1547" spans="1:60" x14ac:dyDescent="0.35">
      <c r="A1547" s="4"/>
      <c r="B1547" s="8" t="str">
        <f t="shared" si="110"/>
        <v/>
      </c>
      <c r="D1547" s="6" t="str">
        <f t="shared" si="111"/>
        <v/>
      </c>
      <c r="E1547" s="6" t="str">
        <f t="shared" si="112"/>
        <v/>
      </c>
      <c r="F1547" s="6" t="str">
        <f t="shared" si="113"/>
        <v/>
      </c>
      <c r="G1547" s="4"/>
      <c r="H1547" s="4"/>
      <c r="I1547" s="4"/>
      <c r="J1547" s="4"/>
      <c r="K1547" s="4"/>
      <c r="L1547" s="4"/>
      <c r="M1547" s="4"/>
      <c r="N1547" s="4"/>
      <c r="O1547" s="4"/>
      <c r="P1547" s="4"/>
      <c r="Q1547" s="4"/>
      <c r="R1547" s="14"/>
      <c r="S1547" s="14"/>
      <c r="T1547" s="14"/>
      <c r="U1547" s="14"/>
      <c r="V1547" s="14"/>
      <c r="W1547" s="14"/>
      <c r="X1547" s="1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c r="BC1547" s="4"/>
      <c r="BD1547" s="4"/>
      <c r="BE1547" s="4"/>
      <c r="BG1547" s="4"/>
      <c r="BH1547" s="4"/>
    </row>
    <row r="1548" spans="1:60" x14ac:dyDescent="0.35">
      <c r="A1548" s="4"/>
      <c r="B1548" s="8" t="str">
        <f t="shared" si="110"/>
        <v/>
      </c>
      <c r="D1548" s="6" t="str">
        <f t="shared" si="111"/>
        <v/>
      </c>
      <c r="E1548" s="6" t="str">
        <f t="shared" si="112"/>
        <v/>
      </c>
      <c r="F1548" s="6" t="str">
        <f t="shared" si="113"/>
        <v/>
      </c>
      <c r="G1548" s="4"/>
      <c r="H1548" s="4"/>
      <c r="I1548" s="4"/>
      <c r="J1548" s="4"/>
      <c r="K1548" s="4"/>
      <c r="L1548" s="4"/>
      <c r="M1548" s="4"/>
      <c r="N1548" s="4"/>
      <c r="O1548" s="4"/>
      <c r="P1548" s="4"/>
      <c r="Q1548" s="4"/>
      <c r="R1548" s="14"/>
      <c r="S1548" s="14"/>
      <c r="T1548" s="14"/>
      <c r="U1548" s="14"/>
      <c r="V1548" s="14"/>
      <c r="W1548" s="14"/>
      <c r="X1548" s="1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c r="BB1548" s="4"/>
      <c r="BC1548" s="4"/>
      <c r="BD1548" s="4"/>
      <c r="BE1548" s="4"/>
      <c r="BG1548" s="4"/>
      <c r="BH1548" s="4"/>
    </row>
    <row r="1549" spans="1:60" x14ac:dyDescent="0.35">
      <c r="A1549" s="4"/>
      <c r="B1549" s="8" t="str">
        <f t="shared" si="110"/>
        <v/>
      </c>
      <c r="D1549" s="6" t="str">
        <f t="shared" si="111"/>
        <v/>
      </c>
      <c r="E1549" s="6" t="str">
        <f t="shared" si="112"/>
        <v/>
      </c>
      <c r="F1549" s="6" t="str">
        <f t="shared" si="113"/>
        <v/>
      </c>
      <c r="G1549" s="4"/>
      <c r="H1549" s="4"/>
      <c r="I1549" s="4"/>
      <c r="J1549" s="4"/>
      <c r="K1549" s="4"/>
      <c r="L1549" s="4"/>
      <c r="M1549" s="4"/>
      <c r="N1549" s="4"/>
      <c r="O1549" s="4"/>
      <c r="P1549" s="4"/>
      <c r="Q1549" s="4"/>
      <c r="R1549" s="14"/>
      <c r="S1549" s="14"/>
      <c r="T1549" s="14"/>
      <c r="U1549" s="14"/>
      <c r="V1549" s="14"/>
      <c r="W1549" s="14"/>
      <c r="X1549" s="1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c r="BB1549" s="4"/>
      <c r="BC1549" s="4"/>
      <c r="BD1549" s="4"/>
      <c r="BE1549" s="4"/>
      <c r="BG1549" s="4"/>
      <c r="BH1549" s="4"/>
    </row>
    <row r="1550" spans="1:60" x14ac:dyDescent="0.35">
      <c r="A1550" s="4"/>
      <c r="B1550" s="8" t="str">
        <f t="shared" si="110"/>
        <v/>
      </c>
      <c r="D1550" s="6" t="str">
        <f t="shared" si="111"/>
        <v/>
      </c>
      <c r="E1550" s="6" t="str">
        <f t="shared" si="112"/>
        <v/>
      </c>
      <c r="F1550" s="6" t="str">
        <f t="shared" si="113"/>
        <v/>
      </c>
      <c r="G1550" s="4"/>
      <c r="H1550" s="4"/>
      <c r="I1550" s="4"/>
      <c r="J1550" s="4"/>
      <c r="K1550" s="4"/>
      <c r="L1550" s="4"/>
      <c r="M1550" s="4"/>
      <c r="N1550" s="4"/>
      <c r="O1550" s="4"/>
      <c r="P1550" s="4"/>
      <c r="Q1550" s="4"/>
      <c r="R1550" s="14"/>
      <c r="S1550" s="14"/>
      <c r="T1550" s="14"/>
      <c r="U1550" s="14"/>
      <c r="V1550" s="14"/>
      <c r="W1550" s="14"/>
      <c r="X1550" s="1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c r="BB1550" s="4"/>
      <c r="BC1550" s="4"/>
      <c r="BD1550" s="4"/>
      <c r="BE1550" s="4"/>
      <c r="BG1550" s="4"/>
      <c r="BH1550" s="4"/>
    </row>
    <row r="1551" spans="1:60" x14ac:dyDescent="0.35">
      <c r="A1551" s="4"/>
      <c r="B1551" s="8" t="str">
        <f t="shared" si="110"/>
        <v/>
      </c>
      <c r="D1551" s="6" t="str">
        <f t="shared" si="111"/>
        <v/>
      </c>
      <c r="E1551" s="6" t="str">
        <f t="shared" si="112"/>
        <v/>
      </c>
      <c r="F1551" s="6" t="str">
        <f t="shared" si="113"/>
        <v/>
      </c>
      <c r="G1551" s="4"/>
      <c r="H1551" s="4"/>
      <c r="I1551" s="4"/>
      <c r="J1551" s="4"/>
      <c r="K1551" s="4"/>
      <c r="L1551" s="4"/>
      <c r="M1551" s="4"/>
      <c r="N1551" s="4"/>
      <c r="O1551" s="4"/>
      <c r="P1551" s="4"/>
      <c r="Q1551" s="4"/>
      <c r="R1551" s="14"/>
      <c r="S1551" s="14"/>
      <c r="T1551" s="14"/>
      <c r="U1551" s="14"/>
      <c r="V1551" s="14"/>
      <c r="W1551" s="14"/>
      <c r="X1551" s="1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c r="BB1551" s="4"/>
      <c r="BC1551" s="4"/>
      <c r="BD1551" s="4"/>
      <c r="BE1551" s="4"/>
      <c r="BG1551" s="4"/>
      <c r="BH1551" s="4"/>
    </row>
    <row r="1552" spans="1:60" x14ac:dyDescent="0.35">
      <c r="A1552" s="4"/>
      <c r="B1552" s="8" t="str">
        <f t="shared" si="110"/>
        <v/>
      </c>
      <c r="D1552" s="6" t="str">
        <f t="shared" si="111"/>
        <v/>
      </c>
      <c r="E1552" s="6" t="str">
        <f t="shared" si="112"/>
        <v/>
      </c>
      <c r="F1552" s="6" t="str">
        <f t="shared" si="113"/>
        <v/>
      </c>
      <c r="G1552" s="4"/>
      <c r="H1552" s="4"/>
      <c r="I1552" s="4"/>
      <c r="J1552" s="4"/>
      <c r="K1552" s="4"/>
      <c r="L1552" s="4"/>
      <c r="M1552" s="4"/>
      <c r="N1552" s="4"/>
      <c r="O1552" s="4"/>
      <c r="P1552" s="4"/>
      <c r="Q1552" s="4"/>
      <c r="R1552" s="14"/>
      <c r="S1552" s="14"/>
      <c r="T1552" s="14"/>
      <c r="U1552" s="14"/>
      <c r="V1552" s="14"/>
      <c r="W1552" s="14"/>
      <c r="X1552" s="1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c r="BB1552" s="4"/>
      <c r="BC1552" s="4"/>
      <c r="BD1552" s="4"/>
      <c r="BE1552" s="4"/>
      <c r="BG1552" s="4"/>
      <c r="BH1552" s="4"/>
    </row>
    <row r="1553" spans="1:60" x14ac:dyDescent="0.35">
      <c r="A1553" s="4"/>
      <c r="B1553" s="8" t="str">
        <f t="shared" si="110"/>
        <v/>
      </c>
      <c r="D1553" s="6" t="str">
        <f t="shared" si="111"/>
        <v/>
      </c>
      <c r="E1553" s="6" t="str">
        <f t="shared" si="112"/>
        <v/>
      </c>
      <c r="F1553" s="6" t="str">
        <f t="shared" si="113"/>
        <v/>
      </c>
      <c r="G1553" s="4"/>
      <c r="H1553" s="4"/>
      <c r="I1553" s="4"/>
      <c r="J1553" s="4"/>
      <c r="K1553" s="4"/>
      <c r="L1553" s="4"/>
      <c r="M1553" s="4"/>
      <c r="N1553" s="4"/>
      <c r="O1553" s="4"/>
      <c r="P1553" s="4"/>
      <c r="Q1553" s="4"/>
      <c r="R1553" s="14"/>
      <c r="S1553" s="14"/>
      <c r="T1553" s="14"/>
      <c r="U1553" s="14"/>
      <c r="V1553" s="14"/>
      <c r="W1553" s="14"/>
      <c r="X1553" s="1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G1553" s="4"/>
      <c r="BH1553" s="4"/>
    </row>
    <row r="1554" spans="1:60" x14ac:dyDescent="0.35">
      <c r="A1554" s="4"/>
      <c r="B1554" s="8" t="str">
        <f t="shared" si="110"/>
        <v/>
      </c>
      <c r="D1554" s="6" t="str">
        <f t="shared" si="111"/>
        <v/>
      </c>
      <c r="E1554" s="6" t="str">
        <f t="shared" si="112"/>
        <v/>
      </c>
      <c r="F1554" s="6" t="str">
        <f t="shared" si="113"/>
        <v/>
      </c>
      <c r="G1554" s="4"/>
      <c r="H1554" s="4"/>
      <c r="I1554" s="4"/>
      <c r="J1554" s="4"/>
      <c r="K1554" s="4"/>
      <c r="L1554" s="4"/>
      <c r="M1554" s="4"/>
      <c r="N1554" s="4"/>
      <c r="O1554" s="4"/>
      <c r="P1554" s="4"/>
      <c r="Q1554" s="4"/>
      <c r="R1554" s="14"/>
      <c r="S1554" s="14"/>
      <c r="T1554" s="14"/>
      <c r="U1554" s="14"/>
      <c r="V1554" s="14"/>
      <c r="W1554" s="14"/>
      <c r="X1554" s="1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c r="BB1554" s="4"/>
      <c r="BC1554" s="4"/>
      <c r="BD1554" s="4"/>
      <c r="BE1554" s="4"/>
      <c r="BG1554" s="4"/>
      <c r="BH1554" s="4"/>
    </row>
    <row r="1555" spans="1:60" x14ac:dyDescent="0.35">
      <c r="A1555" s="4"/>
      <c r="B1555" s="8" t="str">
        <f t="shared" si="110"/>
        <v/>
      </c>
      <c r="D1555" s="6" t="str">
        <f t="shared" si="111"/>
        <v/>
      </c>
      <c r="E1555" s="6" t="str">
        <f t="shared" si="112"/>
        <v/>
      </c>
      <c r="F1555" s="6" t="str">
        <f t="shared" si="113"/>
        <v/>
      </c>
      <c r="G1555" s="4"/>
      <c r="H1555" s="4"/>
      <c r="I1555" s="4"/>
      <c r="J1555" s="4"/>
      <c r="K1555" s="4"/>
      <c r="L1555" s="4"/>
      <c r="M1555" s="4"/>
      <c r="N1555" s="4"/>
      <c r="O1555" s="4"/>
      <c r="P1555" s="4"/>
      <c r="Q1555" s="4"/>
      <c r="R1555" s="14"/>
      <c r="S1555" s="14"/>
      <c r="T1555" s="14"/>
      <c r="U1555" s="14"/>
      <c r="V1555" s="14"/>
      <c r="W1555" s="14"/>
      <c r="X1555" s="1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c r="BC1555" s="4"/>
      <c r="BD1555" s="4"/>
      <c r="BE1555" s="4"/>
      <c r="BG1555" s="4"/>
      <c r="BH1555" s="4"/>
    </row>
    <row r="1556" spans="1:60" x14ac:dyDescent="0.35">
      <c r="A1556" s="4"/>
      <c r="B1556" s="8" t="str">
        <f t="shared" si="110"/>
        <v/>
      </c>
      <c r="D1556" s="6" t="str">
        <f t="shared" si="111"/>
        <v/>
      </c>
      <c r="E1556" s="6" t="str">
        <f t="shared" si="112"/>
        <v/>
      </c>
      <c r="F1556" s="6" t="str">
        <f t="shared" si="113"/>
        <v/>
      </c>
      <c r="G1556" s="4"/>
      <c r="H1556" s="4"/>
      <c r="I1556" s="4"/>
      <c r="J1556" s="4"/>
      <c r="K1556" s="4"/>
      <c r="L1556" s="4"/>
      <c r="M1556" s="4"/>
      <c r="N1556" s="4"/>
      <c r="O1556" s="4"/>
      <c r="P1556" s="4"/>
      <c r="Q1556" s="4"/>
      <c r="R1556" s="14"/>
      <c r="S1556" s="14"/>
      <c r="T1556" s="14"/>
      <c r="U1556" s="14"/>
      <c r="V1556" s="14"/>
      <c r="W1556" s="14"/>
      <c r="X1556" s="1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c r="BB1556" s="4"/>
      <c r="BC1556" s="4"/>
      <c r="BD1556" s="4"/>
      <c r="BE1556" s="4"/>
      <c r="BG1556" s="4"/>
      <c r="BH1556" s="4"/>
    </row>
    <row r="1557" spans="1:60" x14ac:dyDescent="0.35">
      <c r="A1557" s="4"/>
      <c r="B1557" s="8" t="str">
        <f t="shared" si="110"/>
        <v/>
      </c>
      <c r="D1557" s="6" t="str">
        <f t="shared" si="111"/>
        <v/>
      </c>
      <c r="E1557" s="6" t="str">
        <f t="shared" si="112"/>
        <v/>
      </c>
      <c r="F1557" s="6" t="str">
        <f t="shared" si="113"/>
        <v/>
      </c>
      <c r="G1557" s="4"/>
      <c r="H1557" s="4"/>
      <c r="I1557" s="4"/>
      <c r="J1557" s="4"/>
      <c r="K1557" s="4"/>
      <c r="L1557" s="4"/>
      <c r="M1557" s="4"/>
      <c r="N1557" s="4"/>
      <c r="O1557" s="4"/>
      <c r="P1557" s="4"/>
      <c r="Q1557" s="4"/>
      <c r="R1557" s="14"/>
      <c r="S1557" s="14"/>
      <c r="T1557" s="14"/>
      <c r="U1557" s="14"/>
      <c r="V1557" s="14"/>
      <c r="W1557" s="14"/>
      <c r="X1557" s="1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c r="BB1557" s="4"/>
      <c r="BC1557" s="4"/>
      <c r="BD1557" s="4"/>
      <c r="BE1557" s="4"/>
      <c r="BG1557" s="4"/>
      <c r="BH1557" s="4"/>
    </row>
    <row r="1558" spans="1:60" x14ac:dyDescent="0.35">
      <c r="A1558" s="4"/>
      <c r="B1558" s="8" t="str">
        <f t="shared" si="110"/>
        <v/>
      </c>
      <c r="D1558" s="6" t="str">
        <f t="shared" si="111"/>
        <v/>
      </c>
      <c r="E1558" s="6" t="str">
        <f t="shared" si="112"/>
        <v/>
      </c>
      <c r="F1558" s="6" t="str">
        <f t="shared" si="113"/>
        <v/>
      </c>
      <c r="G1558" s="4"/>
      <c r="H1558" s="4"/>
      <c r="I1558" s="4"/>
      <c r="J1558" s="4"/>
      <c r="K1558" s="4"/>
      <c r="L1558" s="4"/>
      <c r="M1558" s="4"/>
      <c r="N1558" s="4"/>
      <c r="O1558" s="4"/>
      <c r="P1558" s="4"/>
      <c r="Q1558" s="4"/>
      <c r="R1558" s="14"/>
      <c r="S1558" s="14"/>
      <c r="T1558" s="14"/>
      <c r="U1558" s="14"/>
      <c r="V1558" s="14"/>
      <c r="W1558" s="14"/>
      <c r="X1558" s="1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c r="BC1558" s="4"/>
      <c r="BD1558" s="4"/>
      <c r="BE1558" s="4"/>
      <c r="BG1558" s="4"/>
      <c r="BH1558" s="4"/>
    </row>
    <row r="1559" spans="1:60" x14ac:dyDescent="0.35">
      <c r="A1559" s="4"/>
      <c r="B1559" s="8" t="str">
        <f t="shared" si="110"/>
        <v/>
      </c>
      <c r="D1559" s="6" t="str">
        <f t="shared" si="111"/>
        <v/>
      </c>
      <c r="E1559" s="6" t="str">
        <f t="shared" si="112"/>
        <v/>
      </c>
      <c r="F1559" s="6" t="str">
        <f t="shared" si="113"/>
        <v/>
      </c>
      <c r="G1559" s="4"/>
      <c r="H1559" s="4"/>
      <c r="I1559" s="4"/>
      <c r="J1559" s="4"/>
      <c r="K1559" s="4"/>
      <c r="L1559" s="4"/>
      <c r="M1559" s="4"/>
      <c r="N1559" s="4"/>
      <c r="O1559" s="4"/>
      <c r="P1559" s="4"/>
      <c r="Q1559" s="4"/>
      <c r="R1559" s="14"/>
      <c r="S1559" s="14"/>
      <c r="T1559" s="14"/>
      <c r="U1559" s="14"/>
      <c r="V1559" s="14"/>
      <c r="W1559" s="14"/>
      <c r="X1559" s="1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c r="BC1559" s="4"/>
      <c r="BD1559" s="4"/>
      <c r="BE1559" s="4"/>
      <c r="BG1559" s="4"/>
      <c r="BH1559" s="4"/>
    </row>
    <row r="1560" spans="1:60" x14ac:dyDescent="0.35">
      <c r="A1560" s="4"/>
      <c r="B1560" s="8" t="str">
        <f t="shared" si="110"/>
        <v/>
      </c>
      <c r="D1560" s="6" t="str">
        <f t="shared" si="111"/>
        <v/>
      </c>
      <c r="E1560" s="6" t="str">
        <f t="shared" si="112"/>
        <v/>
      </c>
      <c r="F1560" s="6" t="str">
        <f t="shared" si="113"/>
        <v/>
      </c>
      <c r="G1560" s="4"/>
      <c r="H1560" s="4"/>
      <c r="I1560" s="4"/>
      <c r="J1560" s="4"/>
      <c r="K1560" s="4"/>
      <c r="L1560" s="4"/>
      <c r="M1560" s="4"/>
      <c r="N1560" s="4"/>
      <c r="O1560" s="4"/>
      <c r="P1560" s="4"/>
      <c r="Q1560" s="4"/>
      <c r="R1560" s="14"/>
      <c r="S1560" s="14"/>
      <c r="T1560" s="14"/>
      <c r="U1560" s="14"/>
      <c r="V1560" s="14"/>
      <c r="W1560" s="14"/>
      <c r="X1560" s="1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c r="BC1560" s="4"/>
      <c r="BD1560" s="4"/>
      <c r="BE1560" s="4"/>
      <c r="BG1560" s="4"/>
      <c r="BH1560" s="4"/>
    </row>
    <row r="1561" spans="1:60" x14ac:dyDescent="0.35">
      <c r="A1561" s="4"/>
      <c r="B1561" s="8" t="str">
        <f t="shared" si="110"/>
        <v/>
      </c>
      <c r="D1561" s="6" t="str">
        <f t="shared" si="111"/>
        <v/>
      </c>
      <c r="E1561" s="6" t="str">
        <f t="shared" si="112"/>
        <v/>
      </c>
      <c r="F1561" s="6" t="str">
        <f t="shared" si="113"/>
        <v/>
      </c>
      <c r="G1561" s="4"/>
      <c r="H1561" s="4"/>
      <c r="I1561" s="4"/>
      <c r="J1561" s="4"/>
      <c r="K1561" s="4"/>
      <c r="L1561" s="4"/>
      <c r="M1561" s="4"/>
      <c r="N1561" s="4"/>
      <c r="O1561" s="4"/>
      <c r="P1561" s="4"/>
      <c r="Q1561" s="4"/>
      <c r="R1561" s="14"/>
      <c r="S1561" s="14"/>
      <c r="T1561" s="14"/>
      <c r="U1561" s="14"/>
      <c r="V1561" s="14"/>
      <c r="W1561" s="14"/>
      <c r="X1561" s="1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c r="BB1561" s="4"/>
      <c r="BC1561" s="4"/>
      <c r="BD1561" s="4"/>
      <c r="BE1561" s="4"/>
      <c r="BG1561" s="4"/>
      <c r="BH1561" s="4"/>
    </row>
    <row r="1562" spans="1:60" x14ac:dyDescent="0.35">
      <c r="A1562" s="4"/>
      <c r="B1562" s="8" t="str">
        <f t="shared" si="110"/>
        <v/>
      </c>
      <c r="D1562" s="6" t="str">
        <f t="shared" si="111"/>
        <v/>
      </c>
      <c r="E1562" s="6" t="str">
        <f t="shared" si="112"/>
        <v/>
      </c>
      <c r="F1562" s="6" t="str">
        <f t="shared" si="113"/>
        <v/>
      </c>
      <c r="G1562" s="4"/>
      <c r="H1562" s="4"/>
      <c r="I1562" s="4"/>
      <c r="J1562" s="4"/>
      <c r="K1562" s="4"/>
      <c r="L1562" s="4"/>
      <c r="M1562" s="4"/>
      <c r="N1562" s="4"/>
      <c r="O1562" s="4"/>
      <c r="P1562" s="4"/>
      <c r="Q1562" s="4"/>
      <c r="R1562" s="14"/>
      <c r="S1562" s="14"/>
      <c r="T1562" s="14"/>
      <c r="U1562" s="14"/>
      <c r="V1562" s="14"/>
      <c r="W1562" s="14"/>
      <c r="X1562" s="1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c r="BB1562" s="4"/>
      <c r="BC1562" s="4"/>
      <c r="BD1562" s="4"/>
      <c r="BE1562" s="4"/>
      <c r="BG1562" s="4"/>
      <c r="BH1562" s="4"/>
    </row>
    <row r="1563" spans="1:60" x14ac:dyDescent="0.35">
      <c r="A1563" s="4"/>
      <c r="B1563" s="8" t="str">
        <f t="shared" si="110"/>
        <v/>
      </c>
      <c r="D1563" s="6" t="str">
        <f t="shared" si="111"/>
        <v/>
      </c>
      <c r="E1563" s="6" t="str">
        <f t="shared" si="112"/>
        <v/>
      </c>
      <c r="F1563" s="6" t="str">
        <f t="shared" si="113"/>
        <v/>
      </c>
      <c r="G1563" s="4"/>
      <c r="H1563" s="4"/>
      <c r="I1563" s="4"/>
      <c r="J1563" s="4"/>
      <c r="K1563" s="4"/>
      <c r="L1563" s="4"/>
      <c r="M1563" s="4"/>
      <c r="N1563" s="4"/>
      <c r="O1563" s="4"/>
      <c r="P1563" s="4"/>
      <c r="Q1563" s="4"/>
      <c r="R1563" s="14"/>
      <c r="S1563" s="14"/>
      <c r="T1563" s="14"/>
      <c r="U1563" s="14"/>
      <c r="V1563" s="14"/>
      <c r="W1563" s="14"/>
      <c r="X1563" s="1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c r="BB1563" s="4"/>
      <c r="BC1563" s="4"/>
      <c r="BD1563" s="4"/>
      <c r="BE1563" s="4"/>
      <c r="BG1563" s="4"/>
      <c r="BH1563" s="4"/>
    </row>
    <row r="1564" spans="1:60" x14ac:dyDescent="0.35">
      <c r="A1564" s="4"/>
      <c r="B1564" s="8" t="str">
        <f t="shared" si="110"/>
        <v/>
      </c>
      <c r="D1564" s="6" t="str">
        <f t="shared" si="111"/>
        <v/>
      </c>
      <c r="E1564" s="6" t="str">
        <f t="shared" si="112"/>
        <v/>
      </c>
      <c r="F1564" s="6" t="str">
        <f t="shared" si="113"/>
        <v/>
      </c>
      <c r="G1564" s="4"/>
      <c r="H1564" s="4"/>
      <c r="I1564" s="4"/>
      <c r="J1564" s="4"/>
      <c r="K1564" s="4"/>
      <c r="L1564" s="4"/>
      <c r="M1564" s="4"/>
      <c r="N1564" s="4"/>
      <c r="O1564" s="4"/>
      <c r="P1564" s="4"/>
      <c r="Q1564" s="4"/>
      <c r="R1564" s="14"/>
      <c r="S1564" s="14"/>
      <c r="T1564" s="14"/>
      <c r="U1564" s="14"/>
      <c r="V1564" s="14"/>
      <c r="W1564" s="14"/>
      <c r="X1564" s="1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c r="BC1564" s="4"/>
      <c r="BD1564" s="4"/>
      <c r="BE1564" s="4"/>
      <c r="BG1564" s="4"/>
      <c r="BH1564" s="4"/>
    </row>
    <row r="1565" spans="1:60" x14ac:dyDescent="0.35">
      <c r="A1565" s="4"/>
      <c r="B1565" s="8" t="str">
        <f t="shared" si="110"/>
        <v/>
      </c>
      <c r="D1565" s="6" t="str">
        <f t="shared" si="111"/>
        <v/>
      </c>
      <c r="E1565" s="6" t="str">
        <f t="shared" si="112"/>
        <v/>
      </c>
      <c r="F1565" s="6" t="str">
        <f t="shared" si="113"/>
        <v/>
      </c>
      <c r="G1565" s="4"/>
      <c r="H1565" s="4"/>
      <c r="I1565" s="4"/>
      <c r="J1565" s="4"/>
      <c r="K1565" s="4"/>
      <c r="L1565" s="4"/>
      <c r="M1565" s="4"/>
      <c r="N1565" s="4"/>
      <c r="O1565" s="4"/>
      <c r="P1565" s="4"/>
      <c r="Q1565" s="4"/>
      <c r="R1565" s="14"/>
      <c r="S1565" s="14"/>
      <c r="T1565" s="14"/>
      <c r="U1565" s="14"/>
      <c r="V1565" s="14"/>
      <c r="W1565" s="14"/>
      <c r="X1565" s="14"/>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c r="BC1565" s="4"/>
      <c r="BD1565" s="4"/>
      <c r="BE1565" s="4"/>
      <c r="BG1565" s="4"/>
      <c r="BH1565" s="4"/>
    </row>
    <row r="1566" spans="1:60" x14ac:dyDescent="0.35">
      <c r="A1566" s="4"/>
      <c r="B1566" s="8" t="str">
        <f t="shared" si="110"/>
        <v/>
      </c>
      <c r="D1566" s="6" t="str">
        <f t="shared" si="111"/>
        <v/>
      </c>
      <c r="E1566" s="6" t="str">
        <f t="shared" si="112"/>
        <v/>
      </c>
      <c r="F1566" s="6" t="str">
        <f t="shared" si="113"/>
        <v/>
      </c>
      <c r="G1566" s="4"/>
      <c r="H1566" s="4"/>
      <c r="I1566" s="4"/>
      <c r="J1566" s="4"/>
      <c r="K1566" s="4"/>
      <c r="L1566" s="4"/>
      <c r="M1566" s="4"/>
      <c r="N1566" s="4"/>
      <c r="O1566" s="4"/>
      <c r="P1566" s="4"/>
      <c r="Q1566" s="4"/>
      <c r="R1566" s="14"/>
      <c r="S1566" s="14"/>
      <c r="T1566" s="14"/>
      <c r="U1566" s="14"/>
      <c r="V1566" s="14"/>
      <c r="W1566" s="14"/>
      <c r="X1566" s="14"/>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c r="AX1566" s="4"/>
      <c r="AY1566" s="4"/>
      <c r="AZ1566" s="4"/>
      <c r="BA1566" s="4"/>
      <c r="BB1566" s="4"/>
      <c r="BC1566" s="4"/>
      <c r="BD1566" s="4"/>
      <c r="BE1566" s="4"/>
      <c r="BG1566" s="4"/>
      <c r="BH1566" s="4"/>
    </row>
    <row r="1567" spans="1:60" x14ac:dyDescent="0.35">
      <c r="A1567" s="4"/>
      <c r="B1567" s="8" t="str">
        <f t="shared" si="110"/>
        <v/>
      </c>
      <c r="D1567" s="6" t="str">
        <f t="shared" si="111"/>
        <v/>
      </c>
      <c r="E1567" s="6" t="str">
        <f t="shared" si="112"/>
        <v/>
      </c>
      <c r="F1567" s="6" t="str">
        <f t="shared" si="113"/>
        <v/>
      </c>
      <c r="G1567" s="4"/>
      <c r="H1567" s="4"/>
      <c r="I1567" s="4"/>
      <c r="J1567" s="4"/>
      <c r="K1567" s="4"/>
      <c r="L1567" s="4"/>
      <c r="M1567" s="4"/>
      <c r="N1567" s="4"/>
      <c r="O1567" s="4"/>
      <c r="P1567" s="4"/>
      <c r="Q1567" s="4"/>
      <c r="R1567" s="14"/>
      <c r="S1567" s="14"/>
      <c r="T1567" s="14"/>
      <c r="U1567" s="14"/>
      <c r="V1567" s="14"/>
      <c r="W1567" s="14"/>
      <c r="X1567" s="1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c r="BB1567" s="4"/>
      <c r="BC1567" s="4"/>
      <c r="BD1567" s="4"/>
      <c r="BE1567" s="4"/>
      <c r="BG1567" s="4"/>
      <c r="BH1567" s="4"/>
    </row>
    <row r="1568" spans="1:60" x14ac:dyDescent="0.35">
      <c r="A1568" s="4"/>
      <c r="B1568" s="8" t="str">
        <f t="shared" si="110"/>
        <v/>
      </c>
      <c r="D1568" s="6" t="str">
        <f t="shared" si="111"/>
        <v/>
      </c>
      <c r="E1568" s="6" t="str">
        <f t="shared" si="112"/>
        <v/>
      </c>
      <c r="F1568" s="6" t="str">
        <f t="shared" si="113"/>
        <v/>
      </c>
      <c r="G1568" s="4"/>
      <c r="H1568" s="4"/>
      <c r="I1568" s="4"/>
      <c r="J1568" s="4"/>
      <c r="K1568" s="4"/>
      <c r="L1568" s="4"/>
      <c r="M1568" s="4"/>
      <c r="N1568" s="4"/>
      <c r="O1568" s="4"/>
      <c r="P1568" s="4"/>
      <c r="Q1568" s="4"/>
      <c r="R1568" s="14"/>
      <c r="S1568" s="14"/>
      <c r="T1568" s="14"/>
      <c r="U1568" s="14"/>
      <c r="V1568" s="14"/>
      <c r="W1568" s="14"/>
      <c r="X1568" s="1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c r="BB1568" s="4"/>
      <c r="BC1568" s="4"/>
      <c r="BD1568" s="4"/>
      <c r="BE1568" s="4"/>
      <c r="BG1568" s="4"/>
      <c r="BH1568" s="4"/>
    </row>
    <row r="1569" spans="1:60" x14ac:dyDescent="0.35">
      <c r="A1569" s="4"/>
      <c r="B1569" s="8" t="str">
        <f t="shared" si="110"/>
        <v/>
      </c>
      <c r="D1569" s="6" t="str">
        <f t="shared" si="111"/>
        <v/>
      </c>
      <c r="E1569" s="6" t="str">
        <f t="shared" si="112"/>
        <v/>
      </c>
      <c r="F1569" s="6" t="str">
        <f t="shared" si="113"/>
        <v/>
      </c>
      <c r="G1569" s="4"/>
      <c r="H1569" s="4"/>
      <c r="I1569" s="4"/>
      <c r="J1569" s="4"/>
      <c r="K1569" s="4"/>
      <c r="L1569" s="4"/>
      <c r="M1569" s="4"/>
      <c r="N1569" s="4"/>
      <c r="O1569" s="4"/>
      <c r="P1569" s="4"/>
      <c r="Q1569" s="4"/>
      <c r="R1569" s="14"/>
      <c r="S1569" s="14"/>
      <c r="T1569" s="14"/>
      <c r="U1569" s="14"/>
      <c r="V1569" s="14"/>
      <c r="W1569" s="14"/>
      <c r="X1569" s="1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c r="AX1569" s="4"/>
      <c r="AY1569" s="4"/>
      <c r="AZ1569" s="4"/>
      <c r="BA1569" s="4"/>
      <c r="BB1569" s="4"/>
      <c r="BC1569" s="4"/>
      <c r="BD1569" s="4"/>
      <c r="BE1569" s="4"/>
      <c r="BG1569" s="4"/>
      <c r="BH1569" s="4"/>
    </row>
    <row r="1570" spans="1:60" x14ac:dyDescent="0.35">
      <c r="A1570" s="4"/>
      <c r="B1570" s="8" t="str">
        <f t="shared" si="110"/>
        <v/>
      </c>
      <c r="D1570" s="6" t="str">
        <f t="shared" si="111"/>
        <v/>
      </c>
      <c r="E1570" s="6" t="str">
        <f t="shared" si="112"/>
        <v/>
      </c>
      <c r="F1570" s="6" t="str">
        <f t="shared" si="113"/>
        <v/>
      </c>
      <c r="G1570" s="4"/>
      <c r="H1570" s="4"/>
      <c r="I1570" s="4"/>
      <c r="J1570" s="4"/>
      <c r="K1570" s="4"/>
      <c r="L1570" s="4"/>
      <c r="M1570" s="4"/>
      <c r="N1570" s="4"/>
      <c r="O1570" s="4"/>
      <c r="P1570" s="4"/>
      <c r="Q1570" s="4"/>
      <c r="R1570" s="14"/>
      <c r="S1570" s="14"/>
      <c r="T1570" s="14"/>
      <c r="U1570" s="14"/>
      <c r="V1570" s="14"/>
      <c r="W1570" s="14"/>
      <c r="X1570" s="14"/>
      <c r="Y1570" s="4"/>
      <c r="Z1570" s="4"/>
      <c r="AA1570" s="4"/>
      <c r="AB1570" s="4"/>
      <c r="AC1570" s="4"/>
      <c r="AD1570" s="4"/>
      <c r="AE1570" s="4"/>
      <c r="AF1570" s="4"/>
      <c r="AG1570" s="4"/>
      <c r="AH1570" s="4"/>
      <c r="AI1570" s="4"/>
      <c r="AJ1570" s="4"/>
      <c r="AK1570" s="4"/>
      <c r="AL1570" s="4"/>
      <c r="AM1570" s="4"/>
      <c r="AN1570" s="4"/>
      <c r="AO1570" s="4"/>
      <c r="AP1570" s="4"/>
      <c r="AQ1570" s="4"/>
      <c r="AR1570" s="4"/>
      <c r="AS1570" s="4"/>
      <c r="AT1570" s="4"/>
      <c r="AU1570" s="4"/>
      <c r="AV1570" s="4"/>
      <c r="AW1570" s="4"/>
      <c r="AX1570" s="4"/>
      <c r="AY1570" s="4"/>
      <c r="AZ1570" s="4"/>
      <c r="BA1570" s="4"/>
      <c r="BB1570" s="4"/>
      <c r="BC1570" s="4"/>
      <c r="BD1570" s="4"/>
      <c r="BE1570" s="4"/>
      <c r="BG1570" s="4"/>
      <c r="BH1570" s="4"/>
    </row>
    <row r="1571" spans="1:60" x14ac:dyDescent="0.35">
      <c r="A1571" s="4"/>
      <c r="B1571" s="8" t="str">
        <f t="shared" si="110"/>
        <v/>
      </c>
      <c r="D1571" s="6" t="str">
        <f t="shared" si="111"/>
        <v/>
      </c>
      <c r="E1571" s="6" t="str">
        <f t="shared" si="112"/>
        <v/>
      </c>
      <c r="F1571" s="6" t="str">
        <f t="shared" si="113"/>
        <v/>
      </c>
      <c r="G1571" s="4"/>
      <c r="H1571" s="4"/>
      <c r="I1571" s="4"/>
      <c r="J1571" s="4"/>
      <c r="K1571" s="4"/>
      <c r="L1571" s="4"/>
      <c r="M1571" s="4"/>
      <c r="N1571" s="4"/>
      <c r="O1571" s="4"/>
      <c r="P1571" s="4"/>
      <c r="Q1571" s="4"/>
      <c r="R1571" s="14"/>
      <c r="S1571" s="14"/>
      <c r="T1571" s="14"/>
      <c r="U1571" s="14"/>
      <c r="V1571" s="14"/>
      <c r="W1571" s="14"/>
      <c r="X1571" s="1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c r="AX1571" s="4"/>
      <c r="AY1571" s="4"/>
      <c r="AZ1571" s="4"/>
      <c r="BA1571" s="4"/>
      <c r="BB1571" s="4"/>
      <c r="BC1571" s="4"/>
      <c r="BD1571" s="4"/>
      <c r="BE1571" s="4"/>
      <c r="BG1571" s="4"/>
      <c r="BH1571" s="4"/>
    </row>
    <row r="1572" spans="1:60" x14ac:dyDescent="0.35">
      <c r="A1572" s="4"/>
      <c r="B1572" s="8" t="str">
        <f t="shared" si="110"/>
        <v/>
      </c>
      <c r="D1572" s="6" t="str">
        <f t="shared" si="111"/>
        <v/>
      </c>
      <c r="E1572" s="6" t="str">
        <f t="shared" si="112"/>
        <v/>
      </c>
      <c r="F1572" s="6" t="str">
        <f t="shared" si="113"/>
        <v/>
      </c>
      <c r="G1572" s="4"/>
      <c r="H1572" s="4"/>
      <c r="I1572" s="4"/>
      <c r="J1572" s="4"/>
      <c r="K1572" s="4"/>
      <c r="L1572" s="4"/>
      <c r="M1572" s="4"/>
      <c r="N1572" s="4"/>
      <c r="O1572" s="4"/>
      <c r="P1572" s="4"/>
      <c r="Q1572" s="4"/>
      <c r="R1572" s="14"/>
      <c r="S1572" s="14"/>
      <c r="T1572" s="14"/>
      <c r="U1572" s="14"/>
      <c r="V1572" s="14"/>
      <c r="W1572" s="14"/>
      <c r="X1572" s="1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c r="AX1572" s="4"/>
      <c r="AY1572" s="4"/>
      <c r="AZ1572" s="4"/>
      <c r="BA1572" s="4"/>
      <c r="BB1572" s="4"/>
      <c r="BC1572" s="4"/>
      <c r="BD1572" s="4"/>
      <c r="BE1572" s="4"/>
      <c r="BG1572" s="4"/>
      <c r="BH1572" s="4"/>
    </row>
    <row r="1573" spans="1:60" x14ac:dyDescent="0.35">
      <c r="A1573" s="4"/>
      <c r="B1573" s="8" t="str">
        <f t="shared" si="110"/>
        <v/>
      </c>
      <c r="D1573" s="6" t="str">
        <f t="shared" si="111"/>
        <v/>
      </c>
      <c r="E1573" s="6" t="str">
        <f t="shared" si="112"/>
        <v/>
      </c>
      <c r="F1573" s="6" t="str">
        <f t="shared" si="113"/>
        <v/>
      </c>
      <c r="G1573" s="4"/>
      <c r="H1573" s="4"/>
      <c r="I1573" s="4"/>
      <c r="J1573" s="4"/>
      <c r="K1573" s="4"/>
      <c r="L1573" s="4"/>
      <c r="M1573" s="4"/>
      <c r="N1573" s="4"/>
      <c r="O1573" s="4"/>
      <c r="P1573" s="4"/>
      <c r="Q1573" s="4"/>
      <c r="R1573" s="14"/>
      <c r="S1573" s="14"/>
      <c r="T1573" s="14"/>
      <c r="U1573" s="14"/>
      <c r="V1573" s="14"/>
      <c r="W1573" s="14"/>
      <c r="X1573" s="1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c r="BB1573" s="4"/>
      <c r="BC1573" s="4"/>
      <c r="BD1573" s="4"/>
      <c r="BE1573" s="4"/>
      <c r="BG1573" s="4"/>
      <c r="BH1573" s="4"/>
    </row>
    <row r="1574" spans="1:60" x14ac:dyDescent="0.35">
      <c r="A1574" s="4"/>
      <c r="B1574" s="8" t="str">
        <f t="shared" si="110"/>
        <v/>
      </c>
      <c r="D1574" s="6" t="str">
        <f t="shared" si="111"/>
        <v/>
      </c>
      <c r="E1574" s="6" t="str">
        <f t="shared" si="112"/>
        <v/>
      </c>
      <c r="F1574" s="6" t="str">
        <f t="shared" si="113"/>
        <v/>
      </c>
      <c r="G1574" s="4"/>
      <c r="H1574" s="4"/>
      <c r="I1574" s="4"/>
      <c r="J1574" s="4"/>
      <c r="K1574" s="4"/>
      <c r="L1574" s="4"/>
      <c r="M1574" s="4"/>
      <c r="N1574" s="4"/>
      <c r="O1574" s="4"/>
      <c r="P1574" s="4"/>
      <c r="Q1574" s="4"/>
      <c r="R1574" s="14"/>
      <c r="S1574" s="14"/>
      <c r="T1574" s="14"/>
      <c r="U1574" s="14"/>
      <c r="V1574" s="14"/>
      <c r="W1574" s="14"/>
      <c r="X1574" s="1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c r="BB1574" s="4"/>
      <c r="BC1574" s="4"/>
      <c r="BD1574" s="4"/>
      <c r="BE1574" s="4"/>
      <c r="BG1574" s="4"/>
      <c r="BH1574" s="4"/>
    </row>
    <row r="1575" spans="1:60" x14ac:dyDescent="0.35">
      <c r="A1575" s="4"/>
      <c r="B1575" s="8" t="str">
        <f t="shared" si="110"/>
        <v/>
      </c>
      <c r="D1575" s="6" t="str">
        <f t="shared" si="111"/>
        <v/>
      </c>
      <c r="E1575" s="6" t="str">
        <f t="shared" si="112"/>
        <v/>
      </c>
      <c r="F1575" s="6" t="str">
        <f t="shared" si="113"/>
        <v/>
      </c>
      <c r="G1575" s="4"/>
      <c r="H1575" s="4"/>
      <c r="I1575" s="4"/>
      <c r="J1575" s="4"/>
      <c r="K1575" s="4"/>
      <c r="L1575" s="4"/>
      <c r="M1575" s="4"/>
      <c r="N1575" s="4"/>
      <c r="O1575" s="4"/>
      <c r="P1575" s="4"/>
      <c r="Q1575" s="4"/>
      <c r="R1575" s="14"/>
      <c r="S1575" s="14"/>
      <c r="T1575" s="14"/>
      <c r="U1575" s="14"/>
      <c r="V1575" s="14"/>
      <c r="W1575" s="14"/>
      <c r="X1575" s="14"/>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c r="BB1575" s="4"/>
      <c r="BC1575" s="4"/>
      <c r="BD1575" s="4"/>
      <c r="BE1575" s="4"/>
      <c r="BG1575" s="4"/>
      <c r="BH1575" s="4"/>
    </row>
    <row r="1576" spans="1:60" x14ac:dyDescent="0.35">
      <c r="A1576" s="4"/>
      <c r="B1576" s="8" t="str">
        <f t="shared" si="110"/>
        <v/>
      </c>
      <c r="D1576" s="6" t="str">
        <f t="shared" si="111"/>
        <v/>
      </c>
      <c r="E1576" s="6" t="str">
        <f t="shared" si="112"/>
        <v/>
      </c>
      <c r="F1576" s="6" t="str">
        <f t="shared" si="113"/>
        <v/>
      </c>
      <c r="G1576" s="4"/>
      <c r="H1576" s="4"/>
      <c r="I1576" s="4"/>
      <c r="J1576" s="4"/>
      <c r="K1576" s="4"/>
      <c r="L1576" s="4"/>
      <c r="M1576" s="4"/>
      <c r="N1576" s="4"/>
      <c r="O1576" s="4"/>
      <c r="P1576" s="4"/>
      <c r="Q1576" s="4"/>
      <c r="R1576" s="14"/>
      <c r="S1576" s="14"/>
      <c r="T1576" s="14"/>
      <c r="U1576" s="14"/>
      <c r="V1576" s="14"/>
      <c r="W1576" s="14"/>
      <c r="X1576" s="1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c r="BB1576" s="4"/>
      <c r="BC1576" s="4"/>
      <c r="BD1576" s="4"/>
      <c r="BE1576" s="4"/>
      <c r="BG1576" s="4"/>
      <c r="BH1576" s="4"/>
    </row>
    <row r="1577" spans="1:60" x14ac:dyDescent="0.35">
      <c r="A1577" s="4"/>
      <c r="B1577" s="8" t="str">
        <f t="shared" si="110"/>
        <v/>
      </c>
      <c r="D1577" s="6" t="str">
        <f t="shared" si="111"/>
        <v/>
      </c>
      <c r="E1577" s="6" t="str">
        <f t="shared" si="112"/>
        <v/>
      </c>
      <c r="F1577" s="6" t="str">
        <f t="shared" si="113"/>
        <v/>
      </c>
      <c r="G1577" s="4"/>
      <c r="H1577" s="4"/>
      <c r="I1577" s="4"/>
      <c r="J1577" s="4"/>
      <c r="K1577" s="4"/>
      <c r="L1577" s="4"/>
      <c r="M1577" s="4"/>
      <c r="N1577" s="4"/>
      <c r="O1577" s="4"/>
      <c r="P1577" s="4"/>
      <c r="Q1577" s="4"/>
      <c r="R1577" s="14"/>
      <c r="S1577" s="14"/>
      <c r="T1577" s="14"/>
      <c r="U1577" s="14"/>
      <c r="V1577" s="14"/>
      <c r="W1577" s="14"/>
      <c r="X1577" s="1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c r="BB1577" s="4"/>
      <c r="BC1577" s="4"/>
      <c r="BD1577" s="4"/>
      <c r="BE1577" s="4"/>
      <c r="BG1577" s="4"/>
      <c r="BH1577" s="4"/>
    </row>
    <row r="1578" spans="1:60" x14ac:dyDescent="0.35">
      <c r="A1578" s="4"/>
      <c r="B1578" s="8" t="str">
        <f t="shared" si="110"/>
        <v/>
      </c>
      <c r="D1578" s="6" t="str">
        <f t="shared" si="111"/>
        <v/>
      </c>
      <c r="E1578" s="6" t="str">
        <f t="shared" si="112"/>
        <v/>
      </c>
      <c r="F1578" s="6" t="str">
        <f t="shared" si="113"/>
        <v/>
      </c>
      <c r="G1578" s="4"/>
      <c r="H1578" s="4"/>
      <c r="I1578" s="4"/>
      <c r="J1578" s="4"/>
      <c r="K1578" s="4"/>
      <c r="L1578" s="4"/>
      <c r="M1578" s="4"/>
      <c r="N1578" s="4"/>
      <c r="O1578" s="4"/>
      <c r="P1578" s="4"/>
      <c r="Q1578" s="4"/>
      <c r="R1578" s="14"/>
      <c r="S1578" s="14"/>
      <c r="T1578" s="14"/>
      <c r="U1578" s="14"/>
      <c r="V1578" s="14"/>
      <c r="W1578" s="14"/>
      <c r="X1578" s="1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c r="AX1578" s="4"/>
      <c r="AY1578" s="4"/>
      <c r="AZ1578" s="4"/>
      <c r="BA1578" s="4"/>
      <c r="BB1578" s="4"/>
      <c r="BC1578" s="4"/>
      <c r="BD1578" s="4"/>
      <c r="BE1578" s="4"/>
      <c r="BG1578" s="4"/>
      <c r="BH1578" s="4"/>
    </row>
    <row r="1579" spans="1:60" x14ac:dyDescent="0.35">
      <c r="A1579" s="4"/>
      <c r="B1579" s="8" t="str">
        <f t="shared" si="110"/>
        <v/>
      </c>
      <c r="D1579" s="6" t="str">
        <f t="shared" si="111"/>
        <v/>
      </c>
      <c r="E1579" s="6" t="str">
        <f t="shared" si="112"/>
        <v/>
      </c>
      <c r="F1579" s="6" t="str">
        <f t="shared" si="113"/>
        <v/>
      </c>
      <c r="G1579" s="4"/>
      <c r="H1579" s="4"/>
      <c r="I1579" s="4"/>
      <c r="J1579" s="4"/>
      <c r="K1579" s="4"/>
      <c r="L1579" s="4"/>
      <c r="M1579" s="4"/>
      <c r="N1579" s="4"/>
      <c r="O1579" s="4"/>
      <c r="P1579" s="4"/>
      <c r="Q1579" s="4"/>
      <c r="R1579" s="14"/>
      <c r="S1579" s="14"/>
      <c r="T1579" s="14"/>
      <c r="U1579" s="14"/>
      <c r="V1579" s="14"/>
      <c r="W1579" s="14"/>
      <c r="X1579" s="1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c r="BB1579" s="4"/>
      <c r="BC1579" s="4"/>
      <c r="BD1579" s="4"/>
      <c r="BE1579" s="4"/>
      <c r="BG1579" s="4"/>
      <c r="BH1579" s="4"/>
    </row>
    <row r="1580" spans="1:60" x14ac:dyDescent="0.35">
      <c r="A1580" s="4"/>
      <c r="B1580" s="8" t="str">
        <f t="shared" si="110"/>
        <v/>
      </c>
      <c r="D1580" s="6" t="str">
        <f t="shared" si="111"/>
        <v/>
      </c>
      <c r="E1580" s="6" t="str">
        <f t="shared" si="112"/>
        <v/>
      </c>
      <c r="F1580" s="6" t="str">
        <f t="shared" si="113"/>
        <v/>
      </c>
      <c r="G1580" s="4"/>
      <c r="H1580" s="4"/>
      <c r="I1580" s="4"/>
      <c r="J1580" s="4"/>
      <c r="K1580" s="4"/>
      <c r="L1580" s="4"/>
      <c r="M1580" s="4"/>
      <c r="N1580" s="4"/>
      <c r="O1580" s="4"/>
      <c r="P1580" s="4"/>
      <c r="Q1580" s="4"/>
      <c r="R1580" s="14"/>
      <c r="S1580" s="14"/>
      <c r="T1580" s="14"/>
      <c r="U1580" s="14"/>
      <c r="V1580" s="14"/>
      <c r="W1580" s="14"/>
      <c r="X1580" s="1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c r="BB1580" s="4"/>
      <c r="BC1580" s="4"/>
      <c r="BD1580" s="4"/>
      <c r="BE1580" s="4"/>
      <c r="BG1580" s="4"/>
      <c r="BH1580" s="4"/>
    </row>
    <row r="1581" spans="1:60" x14ac:dyDescent="0.35">
      <c r="A1581" s="4"/>
      <c r="B1581" s="8" t="str">
        <f t="shared" si="110"/>
        <v/>
      </c>
      <c r="D1581" s="6" t="str">
        <f t="shared" si="111"/>
        <v/>
      </c>
      <c r="E1581" s="6" t="str">
        <f t="shared" si="112"/>
        <v/>
      </c>
      <c r="F1581" s="6" t="str">
        <f t="shared" si="113"/>
        <v/>
      </c>
      <c r="G1581" s="4"/>
      <c r="H1581" s="4"/>
      <c r="I1581" s="4"/>
      <c r="J1581" s="4"/>
      <c r="K1581" s="4"/>
      <c r="L1581" s="4"/>
      <c r="M1581" s="4"/>
      <c r="N1581" s="4"/>
      <c r="O1581" s="4"/>
      <c r="P1581" s="4"/>
      <c r="Q1581" s="4"/>
      <c r="R1581" s="14"/>
      <c r="S1581" s="14"/>
      <c r="T1581" s="14"/>
      <c r="U1581" s="14"/>
      <c r="V1581" s="14"/>
      <c r="W1581" s="14"/>
      <c r="X1581" s="1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c r="BB1581" s="4"/>
      <c r="BC1581" s="4"/>
      <c r="BD1581" s="4"/>
      <c r="BE1581" s="4"/>
      <c r="BG1581" s="4"/>
      <c r="BH1581" s="4"/>
    </row>
    <row r="1582" spans="1:60" x14ac:dyDescent="0.35">
      <c r="A1582" s="4"/>
      <c r="B1582" s="8" t="str">
        <f t="shared" si="110"/>
        <v/>
      </c>
      <c r="D1582" s="6" t="str">
        <f t="shared" si="111"/>
        <v/>
      </c>
      <c r="E1582" s="6" t="str">
        <f t="shared" si="112"/>
        <v/>
      </c>
      <c r="F1582" s="6" t="str">
        <f t="shared" si="113"/>
        <v/>
      </c>
      <c r="G1582" s="4"/>
      <c r="H1582" s="4"/>
      <c r="I1582" s="4"/>
      <c r="J1582" s="4"/>
      <c r="K1582" s="4"/>
      <c r="L1582" s="4"/>
      <c r="M1582" s="4"/>
      <c r="N1582" s="4"/>
      <c r="O1582" s="4"/>
      <c r="P1582" s="4"/>
      <c r="Q1582" s="4"/>
      <c r="R1582" s="14"/>
      <c r="S1582" s="14"/>
      <c r="T1582" s="14"/>
      <c r="U1582" s="14"/>
      <c r="V1582" s="14"/>
      <c r="W1582" s="14"/>
      <c r="X1582" s="1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c r="BB1582" s="4"/>
      <c r="BC1582" s="4"/>
      <c r="BD1582" s="4"/>
      <c r="BE1582" s="4"/>
      <c r="BG1582" s="4"/>
      <c r="BH1582" s="4"/>
    </row>
    <row r="1583" spans="1:60" x14ac:dyDescent="0.35">
      <c r="A1583" s="4"/>
      <c r="B1583" s="8" t="str">
        <f t="shared" si="110"/>
        <v/>
      </c>
      <c r="D1583" s="6" t="str">
        <f t="shared" si="111"/>
        <v/>
      </c>
      <c r="E1583" s="6" t="str">
        <f t="shared" si="112"/>
        <v/>
      </c>
      <c r="F1583" s="6" t="str">
        <f t="shared" si="113"/>
        <v/>
      </c>
      <c r="G1583" s="4"/>
      <c r="H1583" s="4"/>
      <c r="I1583" s="4"/>
      <c r="J1583" s="4"/>
      <c r="K1583" s="4"/>
      <c r="L1583" s="4"/>
      <c r="M1583" s="4"/>
      <c r="N1583" s="4"/>
      <c r="O1583" s="4"/>
      <c r="P1583" s="4"/>
      <c r="Q1583" s="4"/>
      <c r="R1583" s="14"/>
      <c r="S1583" s="14"/>
      <c r="T1583" s="14"/>
      <c r="U1583" s="14"/>
      <c r="V1583" s="14"/>
      <c r="W1583" s="14"/>
      <c r="X1583" s="1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c r="AX1583" s="4"/>
      <c r="AY1583" s="4"/>
      <c r="AZ1583" s="4"/>
      <c r="BA1583" s="4"/>
      <c r="BB1583" s="4"/>
      <c r="BC1583" s="4"/>
      <c r="BD1583" s="4"/>
      <c r="BE1583" s="4"/>
      <c r="BG1583" s="4"/>
      <c r="BH1583" s="4"/>
    </row>
    <row r="1584" spans="1:60" x14ac:dyDescent="0.35">
      <c r="A1584" s="4"/>
      <c r="B1584" s="8" t="str">
        <f t="shared" si="110"/>
        <v/>
      </c>
      <c r="D1584" s="6" t="str">
        <f t="shared" si="111"/>
        <v/>
      </c>
      <c r="E1584" s="6" t="str">
        <f t="shared" si="112"/>
        <v/>
      </c>
      <c r="F1584" s="6" t="str">
        <f t="shared" si="113"/>
        <v/>
      </c>
      <c r="G1584" s="4"/>
      <c r="H1584" s="4"/>
      <c r="I1584" s="4"/>
      <c r="J1584" s="4"/>
      <c r="K1584" s="4"/>
      <c r="L1584" s="4"/>
      <c r="M1584" s="4"/>
      <c r="N1584" s="4"/>
      <c r="O1584" s="4"/>
      <c r="P1584" s="4"/>
      <c r="Q1584" s="4"/>
      <c r="R1584" s="14"/>
      <c r="S1584" s="14"/>
      <c r="T1584" s="14"/>
      <c r="U1584" s="14"/>
      <c r="V1584" s="14"/>
      <c r="W1584" s="14"/>
      <c r="X1584" s="14"/>
      <c r="Y1584" s="4"/>
      <c r="Z1584" s="4"/>
      <c r="AA1584" s="4"/>
      <c r="AB1584" s="4"/>
      <c r="AC1584" s="4"/>
      <c r="AD1584" s="4"/>
      <c r="AE1584" s="4"/>
      <c r="AF1584" s="4"/>
      <c r="AG1584" s="4"/>
      <c r="AH1584" s="4"/>
      <c r="AI1584" s="4"/>
      <c r="AJ1584" s="4"/>
      <c r="AK1584" s="4"/>
      <c r="AL1584" s="4"/>
      <c r="AM1584" s="4"/>
      <c r="AN1584" s="4"/>
      <c r="AO1584" s="4"/>
      <c r="AP1584" s="4"/>
      <c r="AQ1584" s="4"/>
      <c r="AR1584" s="4"/>
      <c r="AS1584" s="4"/>
      <c r="AT1584" s="4"/>
      <c r="AU1584" s="4"/>
      <c r="AV1584" s="4"/>
      <c r="AW1584" s="4"/>
      <c r="AX1584" s="4"/>
      <c r="AY1584" s="4"/>
      <c r="AZ1584" s="4"/>
      <c r="BA1584" s="4"/>
      <c r="BB1584" s="4"/>
      <c r="BC1584" s="4"/>
      <c r="BD1584" s="4"/>
      <c r="BE1584" s="4"/>
      <c r="BG1584" s="4"/>
      <c r="BH1584" s="4"/>
    </row>
    <row r="1585" spans="1:60" x14ac:dyDescent="0.35">
      <c r="A1585" s="4"/>
      <c r="B1585" s="8" t="str">
        <f t="shared" si="110"/>
        <v/>
      </c>
      <c r="D1585" s="6" t="str">
        <f t="shared" si="111"/>
        <v/>
      </c>
      <c r="E1585" s="6" t="str">
        <f t="shared" si="112"/>
        <v/>
      </c>
      <c r="F1585" s="6" t="str">
        <f t="shared" si="113"/>
        <v/>
      </c>
      <c r="G1585" s="4"/>
      <c r="H1585" s="4"/>
      <c r="I1585" s="4"/>
      <c r="J1585" s="4"/>
      <c r="K1585" s="4"/>
      <c r="L1585" s="4"/>
      <c r="M1585" s="4"/>
      <c r="N1585" s="4"/>
      <c r="O1585" s="4"/>
      <c r="P1585" s="4"/>
      <c r="Q1585" s="4"/>
      <c r="R1585" s="14"/>
      <c r="S1585" s="14"/>
      <c r="T1585" s="14"/>
      <c r="U1585" s="14"/>
      <c r="V1585" s="14"/>
      <c r="W1585" s="14"/>
      <c r="X1585" s="1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c r="AX1585" s="4"/>
      <c r="AY1585" s="4"/>
      <c r="AZ1585" s="4"/>
      <c r="BA1585" s="4"/>
      <c r="BB1585" s="4"/>
      <c r="BC1585" s="4"/>
      <c r="BD1585" s="4"/>
      <c r="BE1585" s="4"/>
      <c r="BG1585" s="4"/>
      <c r="BH1585" s="4"/>
    </row>
    <row r="1586" spans="1:60" x14ac:dyDescent="0.35">
      <c r="A1586" s="4"/>
      <c r="B1586" s="8" t="str">
        <f t="shared" si="110"/>
        <v/>
      </c>
      <c r="D1586" s="6" t="str">
        <f t="shared" si="111"/>
        <v/>
      </c>
      <c r="E1586" s="6" t="str">
        <f t="shared" si="112"/>
        <v/>
      </c>
      <c r="F1586" s="6" t="str">
        <f t="shared" si="113"/>
        <v/>
      </c>
      <c r="G1586" s="4"/>
      <c r="H1586" s="4"/>
      <c r="I1586" s="4"/>
      <c r="J1586" s="4"/>
      <c r="K1586" s="4"/>
      <c r="L1586" s="4"/>
      <c r="M1586" s="4"/>
      <c r="N1586" s="4"/>
      <c r="O1586" s="4"/>
      <c r="P1586" s="4"/>
      <c r="Q1586" s="4"/>
      <c r="R1586" s="14"/>
      <c r="S1586" s="14"/>
      <c r="T1586" s="14"/>
      <c r="U1586" s="14"/>
      <c r="V1586" s="14"/>
      <c r="W1586" s="14"/>
      <c r="X1586" s="14"/>
      <c r="Y1586" s="4"/>
      <c r="Z1586" s="4"/>
      <c r="AA1586" s="4"/>
      <c r="AB1586" s="4"/>
      <c r="AC1586" s="4"/>
      <c r="AD1586" s="4"/>
      <c r="AE1586" s="4"/>
      <c r="AF1586" s="4"/>
      <c r="AG1586" s="4"/>
      <c r="AH1586" s="4"/>
      <c r="AI1586" s="4"/>
      <c r="AJ1586" s="4"/>
      <c r="AK1586" s="4"/>
      <c r="AL1586" s="4"/>
      <c r="AM1586" s="4"/>
      <c r="AN1586" s="4"/>
      <c r="AO1586" s="4"/>
      <c r="AP1586" s="4"/>
      <c r="AQ1586" s="4"/>
      <c r="AR1586" s="4"/>
      <c r="AS1586" s="4"/>
      <c r="AT1586" s="4"/>
      <c r="AU1586" s="4"/>
      <c r="AV1586" s="4"/>
      <c r="AW1586" s="4"/>
      <c r="AX1586" s="4"/>
      <c r="AY1586" s="4"/>
      <c r="AZ1586" s="4"/>
      <c r="BA1586" s="4"/>
      <c r="BB1586" s="4"/>
      <c r="BC1586" s="4"/>
      <c r="BD1586" s="4"/>
      <c r="BE1586" s="4"/>
      <c r="BG1586" s="4"/>
      <c r="BH1586" s="4"/>
    </row>
    <row r="1587" spans="1:60" x14ac:dyDescent="0.35">
      <c r="A1587" s="4"/>
      <c r="B1587" s="8" t="str">
        <f t="shared" si="110"/>
        <v/>
      </c>
      <c r="D1587" s="6" t="str">
        <f t="shared" si="111"/>
        <v/>
      </c>
      <c r="E1587" s="6" t="str">
        <f t="shared" si="112"/>
        <v/>
      </c>
      <c r="F1587" s="6" t="str">
        <f t="shared" si="113"/>
        <v/>
      </c>
      <c r="G1587" s="4"/>
      <c r="H1587" s="4"/>
      <c r="I1587" s="4"/>
      <c r="J1587" s="4"/>
      <c r="K1587" s="4"/>
      <c r="L1587" s="4"/>
      <c r="M1587" s="4"/>
      <c r="N1587" s="4"/>
      <c r="O1587" s="4"/>
      <c r="P1587" s="4"/>
      <c r="Q1587" s="4"/>
      <c r="R1587" s="14"/>
      <c r="S1587" s="14"/>
      <c r="T1587" s="14"/>
      <c r="U1587" s="14"/>
      <c r="V1587" s="14"/>
      <c r="W1587" s="14"/>
      <c r="X1587" s="14"/>
      <c r="Y1587" s="4"/>
      <c r="Z1587" s="4"/>
      <c r="AA1587" s="4"/>
      <c r="AB1587" s="4"/>
      <c r="AC1587" s="4"/>
      <c r="AD1587" s="4"/>
      <c r="AE1587" s="4"/>
      <c r="AF1587" s="4"/>
      <c r="AG1587" s="4"/>
      <c r="AH1587" s="4"/>
      <c r="AI1587" s="4"/>
      <c r="AJ1587" s="4"/>
      <c r="AK1587" s="4"/>
      <c r="AL1587" s="4"/>
      <c r="AM1587" s="4"/>
      <c r="AN1587" s="4"/>
      <c r="AO1587" s="4"/>
      <c r="AP1587" s="4"/>
      <c r="AQ1587" s="4"/>
      <c r="AR1587" s="4"/>
      <c r="AS1587" s="4"/>
      <c r="AT1587" s="4"/>
      <c r="AU1587" s="4"/>
      <c r="AV1587" s="4"/>
      <c r="AW1587" s="4"/>
      <c r="AX1587" s="4"/>
      <c r="AY1587" s="4"/>
      <c r="AZ1587" s="4"/>
      <c r="BA1587" s="4"/>
      <c r="BB1587" s="4"/>
      <c r="BC1587" s="4"/>
      <c r="BD1587" s="4"/>
      <c r="BE1587" s="4"/>
      <c r="BG1587" s="4"/>
      <c r="BH1587" s="4"/>
    </row>
    <row r="1588" spans="1:60" x14ac:dyDescent="0.35">
      <c r="A1588" s="4"/>
      <c r="B1588" s="8" t="str">
        <f t="shared" si="110"/>
        <v/>
      </c>
      <c r="D1588" s="6" t="str">
        <f t="shared" si="111"/>
        <v/>
      </c>
      <c r="E1588" s="6" t="str">
        <f t="shared" si="112"/>
        <v/>
      </c>
      <c r="F1588" s="6" t="str">
        <f t="shared" si="113"/>
        <v/>
      </c>
      <c r="G1588" s="4"/>
      <c r="H1588" s="4"/>
      <c r="I1588" s="4"/>
      <c r="J1588" s="4"/>
      <c r="K1588" s="4"/>
      <c r="L1588" s="4"/>
      <c r="M1588" s="4"/>
      <c r="N1588" s="4"/>
      <c r="O1588" s="4"/>
      <c r="P1588" s="4"/>
      <c r="Q1588" s="4"/>
      <c r="R1588" s="14"/>
      <c r="S1588" s="14"/>
      <c r="T1588" s="14"/>
      <c r="U1588" s="14"/>
      <c r="V1588" s="14"/>
      <c r="W1588" s="14"/>
      <c r="X1588" s="1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c r="BB1588" s="4"/>
      <c r="BC1588" s="4"/>
      <c r="BD1588" s="4"/>
      <c r="BE1588" s="4"/>
      <c r="BG1588" s="4"/>
      <c r="BH1588" s="4"/>
    </row>
    <row r="1589" spans="1:60" x14ac:dyDescent="0.35">
      <c r="A1589" s="4"/>
      <c r="B1589" s="8" t="str">
        <f t="shared" si="110"/>
        <v/>
      </c>
      <c r="D1589" s="6" t="str">
        <f t="shared" si="111"/>
        <v/>
      </c>
      <c r="E1589" s="6" t="str">
        <f t="shared" si="112"/>
        <v/>
      </c>
      <c r="F1589" s="6" t="str">
        <f t="shared" si="113"/>
        <v/>
      </c>
      <c r="G1589" s="4"/>
      <c r="H1589" s="4"/>
      <c r="I1589" s="4"/>
      <c r="J1589" s="4"/>
      <c r="K1589" s="4"/>
      <c r="L1589" s="4"/>
      <c r="M1589" s="4"/>
      <c r="N1589" s="4"/>
      <c r="O1589" s="4"/>
      <c r="P1589" s="4"/>
      <c r="Q1589" s="4"/>
      <c r="R1589" s="14"/>
      <c r="S1589" s="14"/>
      <c r="T1589" s="14"/>
      <c r="U1589" s="14"/>
      <c r="V1589" s="14"/>
      <c r="W1589" s="14"/>
      <c r="X1589" s="1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c r="BB1589" s="4"/>
      <c r="BC1589" s="4"/>
      <c r="BD1589" s="4"/>
      <c r="BE1589" s="4"/>
      <c r="BG1589" s="4"/>
      <c r="BH1589" s="4"/>
    </row>
    <row r="1590" spans="1:60" x14ac:dyDescent="0.35">
      <c r="A1590" s="4"/>
      <c r="B1590" s="8" t="str">
        <f t="shared" si="110"/>
        <v/>
      </c>
      <c r="D1590" s="6" t="str">
        <f t="shared" si="111"/>
        <v/>
      </c>
      <c r="E1590" s="6" t="str">
        <f t="shared" si="112"/>
        <v/>
      </c>
      <c r="F1590" s="6" t="str">
        <f t="shared" si="113"/>
        <v/>
      </c>
      <c r="G1590" s="4"/>
      <c r="H1590" s="4"/>
      <c r="I1590" s="4"/>
      <c r="J1590" s="4"/>
      <c r="K1590" s="4"/>
      <c r="L1590" s="4"/>
      <c r="M1590" s="4"/>
      <c r="N1590" s="4"/>
      <c r="O1590" s="4"/>
      <c r="P1590" s="4"/>
      <c r="Q1590" s="4"/>
      <c r="R1590" s="14"/>
      <c r="S1590" s="14"/>
      <c r="T1590" s="14"/>
      <c r="U1590" s="14"/>
      <c r="V1590" s="14"/>
      <c r="W1590" s="14"/>
      <c r="X1590" s="14"/>
      <c r="Y1590" s="4"/>
      <c r="Z1590" s="4"/>
      <c r="AA1590" s="4"/>
      <c r="AB1590" s="4"/>
      <c r="AC1590" s="4"/>
      <c r="AD1590" s="4"/>
      <c r="AE1590" s="4"/>
      <c r="AF1590" s="4"/>
      <c r="AG1590" s="4"/>
      <c r="AH1590" s="4"/>
      <c r="AI1590" s="4"/>
      <c r="AJ1590" s="4"/>
      <c r="AK1590" s="4"/>
      <c r="AL1590" s="4"/>
      <c r="AM1590" s="4"/>
      <c r="AN1590" s="4"/>
      <c r="AO1590" s="4"/>
      <c r="AP1590" s="4"/>
      <c r="AQ1590" s="4"/>
      <c r="AR1590" s="4"/>
      <c r="AS1590" s="4"/>
      <c r="AT1590" s="4"/>
      <c r="AU1590" s="4"/>
      <c r="AV1590" s="4"/>
      <c r="AW1590" s="4"/>
      <c r="AX1590" s="4"/>
      <c r="AY1590" s="4"/>
      <c r="AZ1590" s="4"/>
      <c r="BA1590" s="4"/>
      <c r="BB1590" s="4"/>
      <c r="BC1590" s="4"/>
      <c r="BD1590" s="4"/>
      <c r="BE1590" s="4"/>
      <c r="BG1590" s="4"/>
      <c r="BH1590" s="4"/>
    </row>
    <row r="1591" spans="1:60" x14ac:dyDescent="0.35">
      <c r="A1591" s="4"/>
      <c r="B1591" s="8" t="str">
        <f t="shared" si="110"/>
        <v/>
      </c>
      <c r="D1591" s="6" t="str">
        <f t="shared" si="111"/>
        <v/>
      </c>
      <c r="E1591" s="6" t="str">
        <f t="shared" si="112"/>
        <v/>
      </c>
      <c r="F1591" s="6" t="str">
        <f t="shared" si="113"/>
        <v/>
      </c>
      <c r="G1591" s="4"/>
      <c r="H1591" s="4"/>
      <c r="I1591" s="4"/>
      <c r="J1591" s="4"/>
      <c r="K1591" s="4"/>
      <c r="L1591" s="4"/>
      <c r="M1591" s="4"/>
      <c r="N1591" s="4"/>
      <c r="O1591" s="4"/>
      <c r="P1591" s="4"/>
      <c r="Q1591" s="4"/>
      <c r="R1591" s="14"/>
      <c r="S1591" s="14"/>
      <c r="T1591" s="14"/>
      <c r="U1591" s="14"/>
      <c r="V1591" s="14"/>
      <c r="W1591" s="14"/>
      <c r="X1591" s="1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c r="BB1591" s="4"/>
      <c r="BC1591" s="4"/>
      <c r="BD1591" s="4"/>
      <c r="BE1591" s="4"/>
      <c r="BG1591" s="4"/>
      <c r="BH1591" s="4"/>
    </row>
    <row r="1592" spans="1:60" x14ac:dyDescent="0.35">
      <c r="A1592" s="4"/>
      <c r="B1592" s="8" t="str">
        <f t="shared" si="110"/>
        <v/>
      </c>
      <c r="D1592" s="6" t="str">
        <f t="shared" si="111"/>
        <v/>
      </c>
      <c r="E1592" s="6" t="str">
        <f t="shared" si="112"/>
        <v/>
      </c>
      <c r="F1592" s="6" t="str">
        <f t="shared" si="113"/>
        <v/>
      </c>
      <c r="G1592" s="4"/>
      <c r="H1592" s="4"/>
      <c r="I1592" s="4"/>
      <c r="J1592" s="4"/>
      <c r="K1592" s="4"/>
      <c r="L1592" s="4"/>
      <c r="M1592" s="4"/>
      <c r="N1592" s="4"/>
      <c r="O1592" s="4"/>
      <c r="P1592" s="4"/>
      <c r="Q1592" s="4"/>
      <c r="R1592" s="14"/>
      <c r="S1592" s="14"/>
      <c r="T1592" s="14"/>
      <c r="U1592" s="14"/>
      <c r="V1592" s="14"/>
      <c r="W1592" s="14"/>
      <c r="X1592" s="1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c r="BB1592" s="4"/>
      <c r="BC1592" s="4"/>
      <c r="BD1592" s="4"/>
      <c r="BE1592" s="4"/>
      <c r="BG1592" s="4"/>
      <c r="BH1592" s="4"/>
    </row>
    <row r="1593" spans="1:60" x14ac:dyDescent="0.35">
      <c r="A1593" s="4"/>
      <c r="B1593" s="8" t="str">
        <f t="shared" si="110"/>
        <v/>
      </c>
      <c r="D1593" s="6" t="str">
        <f t="shared" si="111"/>
        <v/>
      </c>
      <c r="E1593" s="6" t="str">
        <f t="shared" si="112"/>
        <v/>
      </c>
      <c r="F1593" s="6" t="str">
        <f t="shared" si="113"/>
        <v/>
      </c>
      <c r="G1593" s="4"/>
      <c r="H1593" s="4"/>
      <c r="I1593" s="4"/>
      <c r="J1593" s="4"/>
      <c r="K1593" s="4"/>
      <c r="L1593" s="4"/>
      <c r="M1593" s="4"/>
      <c r="N1593" s="4"/>
      <c r="O1593" s="4"/>
      <c r="P1593" s="4"/>
      <c r="Q1593" s="4"/>
      <c r="R1593" s="14"/>
      <c r="S1593" s="14"/>
      <c r="T1593" s="14"/>
      <c r="U1593" s="14"/>
      <c r="V1593" s="14"/>
      <c r="W1593" s="14"/>
      <c r="X1593" s="14"/>
      <c r="Y1593" s="4"/>
      <c r="Z1593" s="4"/>
      <c r="AA1593" s="4"/>
      <c r="AB1593" s="4"/>
      <c r="AC1593" s="4"/>
      <c r="AD1593" s="4"/>
      <c r="AE1593" s="4"/>
      <c r="AF1593" s="4"/>
      <c r="AG1593" s="4"/>
      <c r="AH1593" s="4"/>
      <c r="AI1593" s="4"/>
      <c r="AJ1593" s="4"/>
      <c r="AK1593" s="4"/>
      <c r="AL1593" s="4"/>
      <c r="AM1593" s="4"/>
      <c r="AN1593" s="4"/>
      <c r="AO1593" s="4"/>
      <c r="AP1593" s="4"/>
      <c r="AQ1593" s="4"/>
      <c r="AR1593" s="4"/>
      <c r="AS1593" s="4"/>
      <c r="AT1593" s="4"/>
      <c r="AU1593" s="4"/>
      <c r="AV1593" s="4"/>
      <c r="AW1593" s="4"/>
      <c r="AX1593" s="4"/>
      <c r="AY1593" s="4"/>
      <c r="AZ1593" s="4"/>
      <c r="BA1593" s="4"/>
      <c r="BB1593" s="4"/>
      <c r="BC1593" s="4"/>
      <c r="BD1593" s="4"/>
      <c r="BE1593" s="4"/>
      <c r="BG1593" s="4"/>
      <c r="BH1593" s="4"/>
    </row>
    <row r="1594" spans="1:60" x14ac:dyDescent="0.35">
      <c r="A1594" s="4"/>
      <c r="B1594" s="8" t="str">
        <f t="shared" si="110"/>
        <v/>
      </c>
      <c r="D1594" s="6" t="str">
        <f t="shared" si="111"/>
        <v/>
      </c>
      <c r="E1594" s="6" t="str">
        <f t="shared" si="112"/>
        <v/>
      </c>
      <c r="F1594" s="6" t="str">
        <f t="shared" si="113"/>
        <v/>
      </c>
      <c r="G1594" s="4"/>
      <c r="H1594" s="4"/>
      <c r="I1594" s="4"/>
      <c r="J1594" s="4"/>
      <c r="K1594" s="4"/>
      <c r="L1594" s="4"/>
      <c r="M1594" s="4"/>
      <c r="N1594" s="4"/>
      <c r="O1594" s="4"/>
      <c r="P1594" s="4"/>
      <c r="Q1594" s="4"/>
      <c r="R1594" s="14"/>
      <c r="S1594" s="14"/>
      <c r="T1594" s="14"/>
      <c r="U1594" s="14"/>
      <c r="V1594" s="14"/>
      <c r="W1594" s="14"/>
      <c r="X1594" s="1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c r="BA1594" s="4"/>
      <c r="BB1594" s="4"/>
      <c r="BC1594" s="4"/>
      <c r="BD1594" s="4"/>
      <c r="BE1594" s="4"/>
      <c r="BG1594" s="4"/>
      <c r="BH1594" s="4"/>
    </row>
    <row r="1595" spans="1:60" x14ac:dyDescent="0.35">
      <c r="A1595" s="4"/>
      <c r="B1595" s="8" t="str">
        <f t="shared" si="110"/>
        <v/>
      </c>
      <c r="D1595" s="6" t="str">
        <f t="shared" si="111"/>
        <v/>
      </c>
      <c r="E1595" s="6" t="str">
        <f t="shared" si="112"/>
        <v/>
      </c>
      <c r="F1595" s="6" t="str">
        <f t="shared" si="113"/>
        <v/>
      </c>
      <c r="G1595" s="4"/>
      <c r="H1595" s="4"/>
      <c r="I1595" s="4"/>
      <c r="J1595" s="4"/>
      <c r="K1595" s="4"/>
      <c r="L1595" s="4"/>
      <c r="M1595" s="4"/>
      <c r="N1595" s="4"/>
      <c r="O1595" s="4"/>
      <c r="P1595" s="4"/>
      <c r="Q1595" s="4"/>
      <c r="R1595" s="14"/>
      <c r="S1595" s="14"/>
      <c r="T1595" s="14"/>
      <c r="U1595" s="14"/>
      <c r="V1595" s="14"/>
      <c r="W1595" s="14"/>
      <c r="X1595" s="1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c r="BB1595" s="4"/>
      <c r="BC1595" s="4"/>
      <c r="BD1595" s="4"/>
      <c r="BE1595" s="4"/>
      <c r="BG1595" s="4"/>
      <c r="BH1595" s="4"/>
    </row>
    <row r="1596" spans="1:60" x14ac:dyDescent="0.35">
      <c r="A1596" s="4"/>
      <c r="B1596" s="8" t="str">
        <f t="shared" si="110"/>
        <v/>
      </c>
      <c r="D1596" s="6" t="str">
        <f t="shared" si="111"/>
        <v/>
      </c>
      <c r="E1596" s="6" t="str">
        <f t="shared" si="112"/>
        <v/>
      </c>
      <c r="F1596" s="6" t="str">
        <f t="shared" si="113"/>
        <v/>
      </c>
      <c r="G1596" s="4"/>
      <c r="H1596" s="4"/>
      <c r="I1596" s="4"/>
      <c r="J1596" s="4"/>
      <c r="K1596" s="4"/>
      <c r="L1596" s="4"/>
      <c r="M1596" s="4"/>
      <c r="N1596" s="4"/>
      <c r="O1596" s="4"/>
      <c r="P1596" s="4"/>
      <c r="Q1596" s="4"/>
      <c r="R1596" s="14"/>
      <c r="S1596" s="14"/>
      <c r="T1596" s="14"/>
      <c r="U1596" s="14"/>
      <c r="V1596" s="14"/>
      <c r="W1596" s="14"/>
      <c r="X1596" s="1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c r="AX1596" s="4"/>
      <c r="AY1596" s="4"/>
      <c r="AZ1596" s="4"/>
      <c r="BA1596" s="4"/>
      <c r="BB1596" s="4"/>
      <c r="BC1596" s="4"/>
      <c r="BD1596" s="4"/>
      <c r="BE1596" s="4"/>
      <c r="BG1596" s="4"/>
      <c r="BH1596" s="4"/>
    </row>
    <row r="1597" spans="1:60" x14ac:dyDescent="0.35">
      <c r="A1597" s="4"/>
      <c r="B1597" s="8" t="str">
        <f t="shared" ref="B1597:B1660" si="114">RIGHT(A1597,4)</f>
        <v/>
      </c>
      <c r="D1597" s="6" t="str">
        <f t="shared" ref="D1597:D1660" si="115">IF(C1597="","",VLOOKUP(C1597,district_region,2,FALSE))</f>
        <v/>
      </c>
      <c r="E1597" s="6" t="str">
        <f t="shared" ref="E1597:E1660" si="116">IF(C1597="","",VLOOKUP(C1597,liste_pop,3,FALSE))</f>
        <v/>
      </c>
      <c r="F1597" s="6" t="str">
        <f t="shared" ref="F1597:F1660" si="117">IF(D1597="","",IF(D1597="Dakar",4042240,VLOOKUP(D1597,liste_pop,4,FALSE)))</f>
        <v/>
      </c>
      <c r="G1597" s="4"/>
      <c r="H1597" s="4"/>
      <c r="I1597" s="4"/>
      <c r="J1597" s="4"/>
      <c r="K1597" s="4"/>
      <c r="L1597" s="4"/>
      <c r="M1597" s="4"/>
      <c r="N1597" s="4"/>
      <c r="O1597" s="4"/>
      <c r="P1597" s="4"/>
      <c r="Q1597" s="4"/>
      <c r="R1597" s="14"/>
      <c r="S1597" s="14"/>
      <c r="T1597" s="14"/>
      <c r="U1597" s="14"/>
      <c r="V1597" s="14"/>
      <c r="W1597" s="14"/>
      <c r="X1597" s="1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c r="AX1597" s="4"/>
      <c r="AY1597" s="4"/>
      <c r="AZ1597" s="4"/>
      <c r="BA1597" s="4"/>
      <c r="BB1597" s="4"/>
      <c r="BC1597" s="4"/>
      <c r="BD1597" s="4"/>
      <c r="BE1597" s="4"/>
      <c r="BG1597" s="4"/>
      <c r="BH1597" s="4"/>
    </row>
    <row r="1598" spans="1:60" x14ac:dyDescent="0.35">
      <c r="A1598" s="4"/>
      <c r="B1598" s="8" t="str">
        <f t="shared" si="114"/>
        <v/>
      </c>
      <c r="D1598" s="6" t="str">
        <f t="shared" si="115"/>
        <v/>
      </c>
      <c r="E1598" s="6" t="str">
        <f t="shared" si="116"/>
        <v/>
      </c>
      <c r="F1598" s="6" t="str">
        <f t="shared" si="117"/>
        <v/>
      </c>
      <c r="G1598" s="4"/>
      <c r="H1598" s="4"/>
      <c r="I1598" s="4"/>
      <c r="J1598" s="4"/>
      <c r="K1598" s="4"/>
      <c r="L1598" s="4"/>
      <c r="M1598" s="4"/>
      <c r="N1598" s="4"/>
      <c r="O1598" s="4"/>
      <c r="P1598" s="4"/>
      <c r="Q1598" s="4"/>
      <c r="R1598" s="14"/>
      <c r="S1598" s="14"/>
      <c r="T1598" s="14"/>
      <c r="U1598" s="14"/>
      <c r="V1598" s="14"/>
      <c r="W1598" s="14"/>
      <c r="X1598" s="1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c r="AX1598" s="4"/>
      <c r="AY1598" s="4"/>
      <c r="AZ1598" s="4"/>
      <c r="BA1598" s="4"/>
      <c r="BB1598" s="4"/>
      <c r="BC1598" s="4"/>
      <c r="BD1598" s="4"/>
      <c r="BE1598" s="4"/>
      <c r="BG1598" s="4"/>
      <c r="BH1598" s="4"/>
    </row>
    <row r="1599" spans="1:60" x14ac:dyDescent="0.35">
      <c r="A1599" s="4"/>
      <c r="B1599" s="8" t="str">
        <f t="shared" si="114"/>
        <v/>
      </c>
      <c r="D1599" s="6" t="str">
        <f t="shared" si="115"/>
        <v/>
      </c>
      <c r="E1599" s="6" t="str">
        <f t="shared" si="116"/>
        <v/>
      </c>
      <c r="F1599" s="6" t="str">
        <f t="shared" si="117"/>
        <v/>
      </c>
      <c r="G1599" s="4"/>
      <c r="H1599" s="4"/>
      <c r="I1599" s="4"/>
      <c r="J1599" s="4"/>
      <c r="K1599" s="4"/>
      <c r="L1599" s="4"/>
      <c r="M1599" s="4"/>
      <c r="N1599" s="4"/>
      <c r="O1599" s="4"/>
      <c r="P1599" s="4"/>
      <c r="Q1599" s="4"/>
      <c r="R1599" s="14"/>
      <c r="S1599" s="14"/>
      <c r="T1599" s="14"/>
      <c r="U1599" s="14"/>
      <c r="V1599" s="14"/>
      <c r="W1599" s="14"/>
      <c r="X1599" s="14"/>
      <c r="Y1599" s="4"/>
      <c r="Z1599" s="4"/>
      <c r="AA1599" s="4"/>
      <c r="AB1599" s="4"/>
      <c r="AC1599" s="4"/>
      <c r="AD1599" s="4"/>
      <c r="AE1599" s="4"/>
      <c r="AF1599" s="4"/>
      <c r="AG1599" s="4"/>
      <c r="AH1599" s="4"/>
      <c r="AI1599" s="4"/>
      <c r="AJ1599" s="4"/>
      <c r="AK1599" s="4"/>
      <c r="AL1599" s="4"/>
      <c r="AM1599" s="4"/>
      <c r="AN1599" s="4"/>
      <c r="AO1599" s="4"/>
      <c r="AP1599" s="4"/>
      <c r="AQ1599" s="4"/>
      <c r="AR1599" s="4"/>
      <c r="AS1599" s="4"/>
      <c r="AT1599" s="4"/>
      <c r="AU1599" s="4"/>
      <c r="AV1599" s="4"/>
      <c r="AW1599" s="4"/>
      <c r="AX1599" s="4"/>
      <c r="AY1599" s="4"/>
      <c r="AZ1599" s="4"/>
      <c r="BA1599" s="4"/>
      <c r="BB1599" s="4"/>
      <c r="BC1599" s="4"/>
      <c r="BD1599" s="4"/>
      <c r="BE1599" s="4"/>
      <c r="BG1599" s="4"/>
      <c r="BH1599" s="4"/>
    </row>
    <row r="1600" spans="1:60" x14ac:dyDescent="0.35">
      <c r="A1600" s="4"/>
      <c r="B1600" s="8" t="str">
        <f t="shared" si="114"/>
        <v/>
      </c>
      <c r="D1600" s="6" t="str">
        <f t="shared" si="115"/>
        <v/>
      </c>
      <c r="E1600" s="6" t="str">
        <f t="shared" si="116"/>
        <v/>
      </c>
      <c r="F1600" s="6" t="str">
        <f t="shared" si="117"/>
        <v/>
      </c>
      <c r="G1600" s="4"/>
      <c r="H1600" s="4"/>
      <c r="I1600" s="4"/>
      <c r="J1600" s="4"/>
      <c r="K1600" s="4"/>
      <c r="L1600" s="4"/>
      <c r="M1600" s="4"/>
      <c r="N1600" s="4"/>
      <c r="O1600" s="4"/>
      <c r="P1600" s="4"/>
      <c r="Q1600" s="4"/>
      <c r="R1600" s="14"/>
      <c r="S1600" s="14"/>
      <c r="T1600" s="14"/>
      <c r="U1600" s="14"/>
      <c r="V1600" s="14"/>
      <c r="W1600" s="14"/>
      <c r="X1600" s="14"/>
      <c r="Y1600" s="4"/>
      <c r="Z1600" s="4"/>
      <c r="AA1600" s="4"/>
      <c r="AB1600" s="4"/>
      <c r="AC1600" s="4"/>
      <c r="AD1600" s="4"/>
      <c r="AE1600" s="4"/>
      <c r="AF1600" s="4"/>
      <c r="AG1600" s="4"/>
      <c r="AH1600" s="4"/>
      <c r="AI1600" s="4"/>
      <c r="AJ1600" s="4"/>
      <c r="AK1600" s="4"/>
      <c r="AL1600" s="4"/>
      <c r="AM1600" s="4"/>
      <c r="AN1600" s="4"/>
      <c r="AO1600" s="4"/>
      <c r="AP1600" s="4"/>
      <c r="AQ1600" s="4"/>
      <c r="AR1600" s="4"/>
      <c r="AS1600" s="4"/>
      <c r="AT1600" s="4"/>
      <c r="AU1600" s="4"/>
      <c r="AV1600" s="4"/>
      <c r="AW1600" s="4"/>
      <c r="AX1600" s="4"/>
      <c r="AY1600" s="4"/>
      <c r="AZ1600" s="4"/>
      <c r="BA1600" s="4"/>
      <c r="BB1600" s="4"/>
      <c r="BC1600" s="4"/>
      <c r="BD1600" s="4"/>
      <c r="BE1600" s="4"/>
      <c r="BG1600" s="4"/>
      <c r="BH1600" s="4"/>
    </row>
    <row r="1601" spans="1:60" x14ac:dyDescent="0.35">
      <c r="A1601" s="4"/>
      <c r="B1601" s="8" t="str">
        <f t="shared" si="114"/>
        <v/>
      </c>
      <c r="D1601" s="6" t="str">
        <f t="shared" si="115"/>
        <v/>
      </c>
      <c r="E1601" s="6" t="str">
        <f t="shared" si="116"/>
        <v/>
      </c>
      <c r="F1601" s="6" t="str">
        <f t="shared" si="117"/>
        <v/>
      </c>
      <c r="G1601" s="4"/>
      <c r="H1601" s="4"/>
      <c r="I1601" s="4"/>
      <c r="J1601" s="4"/>
      <c r="K1601" s="4"/>
      <c r="L1601" s="4"/>
      <c r="M1601" s="4"/>
      <c r="N1601" s="4"/>
      <c r="O1601" s="4"/>
      <c r="P1601" s="4"/>
      <c r="Q1601" s="4"/>
      <c r="R1601" s="14"/>
      <c r="S1601" s="14"/>
      <c r="T1601" s="14"/>
      <c r="U1601" s="14"/>
      <c r="V1601" s="14"/>
      <c r="W1601" s="14"/>
      <c r="X1601" s="1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c r="BB1601" s="4"/>
      <c r="BC1601" s="4"/>
      <c r="BD1601" s="4"/>
      <c r="BE1601" s="4"/>
      <c r="BG1601" s="4"/>
      <c r="BH1601" s="4"/>
    </row>
    <row r="1602" spans="1:60" x14ac:dyDescent="0.35">
      <c r="A1602" s="4"/>
      <c r="B1602" s="8" t="str">
        <f t="shared" si="114"/>
        <v/>
      </c>
      <c r="D1602" s="6" t="str">
        <f t="shared" si="115"/>
        <v/>
      </c>
      <c r="E1602" s="6" t="str">
        <f t="shared" si="116"/>
        <v/>
      </c>
      <c r="F1602" s="6" t="str">
        <f t="shared" si="117"/>
        <v/>
      </c>
      <c r="G1602" s="4"/>
      <c r="H1602" s="4"/>
      <c r="I1602" s="4"/>
      <c r="J1602" s="4"/>
      <c r="K1602" s="4"/>
      <c r="L1602" s="4"/>
      <c r="M1602" s="4"/>
      <c r="N1602" s="4"/>
      <c r="O1602" s="4"/>
      <c r="P1602" s="4"/>
      <c r="Q1602" s="4"/>
      <c r="R1602" s="14"/>
      <c r="S1602" s="14"/>
      <c r="T1602" s="14"/>
      <c r="U1602" s="14"/>
      <c r="V1602" s="14"/>
      <c r="W1602" s="14"/>
      <c r="X1602" s="1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c r="AX1602" s="4"/>
      <c r="AY1602" s="4"/>
      <c r="AZ1602" s="4"/>
      <c r="BA1602" s="4"/>
      <c r="BB1602" s="4"/>
      <c r="BC1602" s="4"/>
      <c r="BD1602" s="4"/>
      <c r="BE1602" s="4"/>
      <c r="BG1602" s="4"/>
      <c r="BH1602" s="4"/>
    </row>
    <row r="1603" spans="1:60" x14ac:dyDescent="0.35">
      <c r="A1603" s="4"/>
      <c r="B1603" s="8" t="str">
        <f t="shared" si="114"/>
        <v/>
      </c>
      <c r="D1603" s="6" t="str">
        <f t="shared" si="115"/>
        <v/>
      </c>
      <c r="E1603" s="6" t="str">
        <f t="shared" si="116"/>
        <v/>
      </c>
      <c r="F1603" s="6" t="str">
        <f t="shared" si="117"/>
        <v/>
      </c>
      <c r="G1603" s="4"/>
      <c r="H1603" s="4"/>
      <c r="I1603" s="4"/>
      <c r="J1603" s="4"/>
      <c r="K1603" s="4"/>
      <c r="L1603" s="4"/>
      <c r="M1603" s="4"/>
      <c r="N1603" s="4"/>
      <c r="O1603" s="4"/>
      <c r="P1603" s="4"/>
      <c r="Q1603" s="4"/>
      <c r="R1603" s="14"/>
      <c r="S1603" s="14"/>
      <c r="T1603" s="14"/>
      <c r="U1603" s="14"/>
      <c r="V1603" s="14"/>
      <c r="W1603" s="14"/>
      <c r="X1603" s="1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c r="BB1603" s="4"/>
      <c r="BC1603" s="4"/>
      <c r="BD1603" s="4"/>
      <c r="BE1603" s="4"/>
      <c r="BG1603" s="4"/>
      <c r="BH1603" s="4"/>
    </row>
    <row r="1604" spans="1:60" x14ac:dyDescent="0.35">
      <c r="A1604" s="4"/>
      <c r="B1604" s="8" t="str">
        <f t="shared" si="114"/>
        <v/>
      </c>
      <c r="D1604" s="6" t="str">
        <f t="shared" si="115"/>
        <v/>
      </c>
      <c r="E1604" s="6" t="str">
        <f t="shared" si="116"/>
        <v/>
      </c>
      <c r="F1604" s="6" t="str">
        <f t="shared" si="117"/>
        <v/>
      </c>
      <c r="G1604" s="4"/>
      <c r="H1604" s="4"/>
      <c r="I1604" s="4"/>
      <c r="J1604" s="4"/>
      <c r="K1604" s="4"/>
      <c r="L1604" s="4"/>
      <c r="M1604" s="4"/>
      <c r="N1604" s="4"/>
      <c r="O1604" s="4"/>
      <c r="P1604" s="4"/>
      <c r="Q1604" s="4"/>
      <c r="R1604" s="14"/>
      <c r="S1604" s="14"/>
      <c r="T1604" s="14"/>
      <c r="U1604" s="14"/>
      <c r="V1604" s="14"/>
      <c r="W1604" s="14"/>
      <c r="X1604" s="1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c r="AX1604" s="4"/>
      <c r="AY1604" s="4"/>
      <c r="AZ1604" s="4"/>
      <c r="BA1604" s="4"/>
      <c r="BB1604" s="4"/>
      <c r="BC1604" s="4"/>
      <c r="BD1604" s="4"/>
      <c r="BE1604" s="4"/>
      <c r="BG1604" s="4"/>
      <c r="BH1604" s="4"/>
    </row>
    <row r="1605" spans="1:60" x14ac:dyDescent="0.35">
      <c r="A1605" s="4"/>
      <c r="B1605" s="8" t="str">
        <f t="shared" si="114"/>
        <v/>
      </c>
      <c r="D1605" s="6" t="str">
        <f t="shared" si="115"/>
        <v/>
      </c>
      <c r="E1605" s="6" t="str">
        <f t="shared" si="116"/>
        <v/>
      </c>
      <c r="F1605" s="6" t="str">
        <f t="shared" si="117"/>
        <v/>
      </c>
      <c r="G1605" s="4"/>
      <c r="H1605" s="4"/>
      <c r="I1605" s="4"/>
      <c r="J1605" s="4"/>
      <c r="K1605" s="4"/>
      <c r="L1605" s="4"/>
      <c r="M1605" s="4"/>
      <c r="N1605" s="4"/>
      <c r="O1605" s="4"/>
      <c r="P1605" s="4"/>
      <c r="Q1605" s="4"/>
      <c r="R1605" s="14"/>
      <c r="S1605" s="14"/>
      <c r="T1605" s="14"/>
      <c r="U1605" s="14"/>
      <c r="V1605" s="14"/>
      <c r="W1605" s="14"/>
      <c r="X1605" s="14"/>
      <c r="Y1605" s="4"/>
      <c r="Z1605" s="4"/>
      <c r="AA1605" s="4"/>
      <c r="AB1605" s="4"/>
      <c r="AC1605" s="4"/>
      <c r="AD1605" s="4"/>
      <c r="AE1605" s="4"/>
      <c r="AF1605" s="4"/>
      <c r="AG1605" s="4"/>
      <c r="AH1605" s="4"/>
      <c r="AI1605" s="4"/>
      <c r="AJ1605" s="4"/>
      <c r="AK1605" s="4"/>
      <c r="AL1605" s="4"/>
      <c r="AM1605" s="4"/>
      <c r="AN1605" s="4"/>
      <c r="AO1605" s="4"/>
      <c r="AP1605" s="4"/>
      <c r="AQ1605" s="4"/>
      <c r="AR1605" s="4"/>
      <c r="AS1605" s="4"/>
      <c r="AT1605" s="4"/>
      <c r="AU1605" s="4"/>
      <c r="AV1605" s="4"/>
      <c r="AW1605" s="4"/>
      <c r="AX1605" s="4"/>
      <c r="AY1605" s="4"/>
      <c r="AZ1605" s="4"/>
      <c r="BA1605" s="4"/>
      <c r="BB1605" s="4"/>
      <c r="BC1605" s="4"/>
      <c r="BD1605" s="4"/>
      <c r="BE1605" s="4"/>
      <c r="BG1605" s="4"/>
      <c r="BH1605" s="4"/>
    </row>
    <row r="1606" spans="1:60" x14ac:dyDescent="0.35">
      <c r="A1606" s="4"/>
      <c r="B1606" s="8" t="str">
        <f t="shared" si="114"/>
        <v/>
      </c>
      <c r="D1606" s="6" t="str">
        <f t="shared" si="115"/>
        <v/>
      </c>
      <c r="E1606" s="6" t="str">
        <f t="shared" si="116"/>
        <v/>
      </c>
      <c r="F1606" s="6" t="str">
        <f t="shared" si="117"/>
        <v/>
      </c>
      <c r="G1606" s="4"/>
      <c r="H1606" s="4"/>
      <c r="I1606" s="4"/>
      <c r="J1606" s="4"/>
      <c r="K1606" s="4"/>
      <c r="L1606" s="4"/>
      <c r="M1606" s="4"/>
      <c r="N1606" s="4"/>
      <c r="O1606" s="4"/>
      <c r="P1606" s="4"/>
      <c r="Q1606" s="4"/>
      <c r="R1606" s="14"/>
      <c r="S1606" s="14"/>
      <c r="T1606" s="14"/>
      <c r="U1606" s="14"/>
      <c r="V1606" s="14"/>
      <c r="W1606" s="14"/>
      <c r="X1606" s="1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c r="BC1606" s="4"/>
      <c r="BD1606" s="4"/>
      <c r="BE1606" s="4"/>
      <c r="BG1606" s="4"/>
      <c r="BH1606" s="4"/>
    </row>
    <row r="1607" spans="1:60" x14ac:dyDescent="0.35">
      <c r="A1607" s="4"/>
      <c r="B1607" s="8" t="str">
        <f t="shared" si="114"/>
        <v/>
      </c>
      <c r="D1607" s="6" t="str">
        <f t="shared" si="115"/>
        <v/>
      </c>
      <c r="E1607" s="6" t="str">
        <f t="shared" si="116"/>
        <v/>
      </c>
      <c r="F1607" s="6" t="str">
        <f t="shared" si="117"/>
        <v/>
      </c>
      <c r="G1607" s="4"/>
      <c r="H1607" s="4"/>
      <c r="I1607" s="4"/>
      <c r="J1607" s="4"/>
      <c r="K1607" s="4"/>
      <c r="L1607" s="4"/>
      <c r="M1607" s="4"/>
      <c r="N1607" s="4"/>
      <c r="O1607" s="4"/>
      <c r="P1607" s="4"/>
      <c r="Q1607" s="4"/>
      <c r="R1607" s="14"/>
      <c r="S1607" s="14"/>
      <c r="T1607" s="14"/>
      <c r="U1607" s="14"/>
      <c r="V1607" s="14"/>
      <c r="W1607" s="14"/>
      <c r="X1607" s="1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c r="AX1607" s="4"/>
      <c r="AY1607" s="4"/>
      <c r="AZ1607" s="4"/>
      <c r="BA1607" s="4"/>
      <c r="BB1607" s="4"/>
      <c r="BC1607" s="4"/>
      <c r="BD1607" s="4"/>
      <c r="BE1607" s="4"/>
      <c r="BG1607" s="4"/>
      <c r="BH1607" s="4"/>
    </row>
    <row r="1608" spans="1:60" x14ac:dyDescent="0.35">
      <c r="A1608" s="4"/>
      <c r="B1608" s="8" t="str">
        <f t="shared" si="114"/>
        <v/>
      </c>
      <c r="D1608" s="6" t="str">
        <f t="shared" si="115"/>
        <v/>
      </c>
      <c r="E1608" s="6" t="str">
        <f t="shared" si="116"/>
        <v/>
      </c>
      <c r="F1608" s="6" t="str">
        <f t="shared" si="117"/>
        <v/>
      </c>
      <c r="G1608" s="4"/>
      <c r="H1608" s="4"/>
      <c r="I1608" s="4"/>
      <c r="J1608" s="4"/>
      <c r="K1608" s="4"/>
      <c r="L1608" s="4"/>
      <c r="M1608" s="4"/>
      <c r="N1608" s="4"/>
      <c r="O1608" s="4"/>
      <c r="P1608" s="4"/>
      <c r="Q1608" s="4"/>
      <c r="R1608" s="14"/>
      <c r="S1608" s="14"/>
      <c r="T1608" s="14"/>
      <c r="U1608" s="14"/>
      <c r="V1608" s="14"/>
      <c r="W1608" s="14"/>
      <c r="X1608" s="1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c r="AX1608" s="4"/>
      <c r="AY1608" s="4"/>
      <c r="AZ1608" s="4"/>
      <c r="BA1608" s="4"/>
      <c r="BB1608" s="4"/>
      <c r="BC1608" s="4"/>
      <c r="BD1608" s="4"/>
      <c r="BE1608" s="4"/>
      <c r="BG1608" s="4"/>
      <c r="BH1608" s="4"/>
    </row>
    <row r="1609" spans="1:60" x14ac:dyDescent="0.35">
      <c r="A1609" s="4"/>
      <c r="B1609" s="8" t="str">
        <f t="shared" si="114"/>
        <v/>
      </c>
      <c r="D1609" s="6" t="str">
        <f t="shared" si="115"/>
        <v/>
      </c>
      <c r="E1609" s="6" t="str">
        <f t="shared" si="116"/>
        <v/>
      </c>
      <c r="F1609" s="6" t="str">
        <f t="shared" si="117"/>
        <v/>
      </c>
      <c r="G1609" s="4"/>
      <c r="H1609" s="4"/>
      <c r="I1609" s="4"/>
      <c r="J1609" s="4"/>
      <c r="K1609" s="4"/>
      <c r="L1609" s="4"/>
      <c r="M1609" s="4"/>
      <c r="N1609" s="4"/>
      <c r="O1609" s="4"/>
      <c r="P1609" s="4"/>
      <c r="Q1609" s="4"/>
      <c r="R1609" s="14"/>
      <c r="S1609" s="14"/>
      <c r="T1609" s="14"/>
      <c r="U1609" s="14"/>
      <c r="V1609" s="14"/>
      <c r="W1609" s="14"/>
      <c r="X1609" s="1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c r="AX1609" s="4"/>
      <c r="AY1609" s="4"/>
      <c r="AZ1609" s="4"/>
      <c r="BA1609" s="4"/>
      <c r="BB1609" s="4"/>
      <c r="BC1609" s="4"/>
      <c r="BD1609" s="4"/>
      <c r="BE1609" s="4"/>
      <c r="BG1609" s="4"/>
      <c r="BH1609" s="4"/>
    </row>
    <row r="1610" spans="1:60" x14ac:dyDescent="0.35">
      <c r="A1610" s="4"/>
      <c r="B1610" s="8" t="str">
        <f t="shared" si="114"/>
        <v/>
      </c>
      <c r="D1610" s="6" t="str">
        <f t="shared" si="115"/>
        <v/>
      </c>
      <c r="E1610" s="6" t="str">
        <f t="shared" si="116"/>
        <v/>
      </c>
      <c r="F1610" s="6" t="str">
        <f t="shared" si="117"/>
        <v/>
      </c>
      <c r="G1610" s="4"/>
      <c r="H1610" s="4"/>
      <c r="I1610" s="4"/>
      <c r="J1610" s="4"/>
      <c r="K1610" s="4"/>
      <c r="L1610" s="4"/>
      <c r="M1610" s="4"/>
      <c r="N1610" s="4"/>
      <c r="O1610" s="4"/>
      <c r="P1610" s="4"/>
      <c r="Q1610" s="4"/>
      <c r="R1610" s="14"/>
      <c r="S1610" s="14"/>
      <c r="T1610" s="14"/>
      <c r="U1610" s="14"/>
      <c r="V1610" s="14"/>
      <c r="W1610" s="14"/>
      <c r="X1610" s="14"/>
      <c r="Y1610" s="4"/>
      <c r="Z1610" s="4"/>
      <c r="AA1610" s="4"/>
      <c r="AB1610" s="4"/>
      <c r="AC1610" s="4"/>
      <c r="AD1610" s="4"/>
      <c r="AE1610" s="4"/>
      <c r="AF1610" s="4"/>
      <c r="AG1610" s="4"/>
      <c r="AH1610" s="4"/>
      <c r="AI1610" s="4"/>
      <c r="AJ1610" s="4"/>
      <c r="AK1610" s="4"/>
      <c r="AL1610" s="4"/>
      <c r="AM1610" s="4"/>
      <c r="AN1610" s="4"/>
      <c r="AO1610" s="4"/>
      <c r="AP1610" s="4"/>
      <c r="AQ1610" s="4"/>
      <c r="AR1610" s="4"/>
      <c r="AS1610" s="4"/>
      <c r="AT1610" s="4"/>
      <c r="AU1610" s="4"/>
      <c r="AV1610" s="4"/>
      <c r="AW1610" s="4"/>
      <c r="AX1610" s="4"/>
      <c r="AY1610" s="4"/>
      <c r="AZ1610" s="4"/>
      <c r="BA1610" s="4"/>
      <c r="BB1610" s="4"/>
      <c r="BC1610" s="4"/>
      <c r="BD1610" s="4"/>
      <c r="BE1610" s="4"/>
      <c r="BG1610" s="4"/>
      <c r="BH1610" s="4"/>
    </row>
    <row r="1611" spans="1:60" x14ac:dyDescent="0.35">
      <c r="A1611" s="4"/>
      <c r="B1611" s="8" t="str">
        <f t="shared" si="114"/>
        <v/>
      </c>
      <c r="D1611" s="6" t="str">
        <f t="shared" si="115"/>
        <v/>
      </c>
      <c r="E1611" s="6" t="str">
        <f t="shared" si="116"/>
        <v/>
      </c>
      <c r="F1611" s="6" t="str">
        <f t="shared" si="117"/>
        <v/>
      </c>
      <c r="G1611" s="4"/>
      <c r="H1611" s="4"/>
      <c r="I1611" s="4"/>
      <c r="J1611" s="4"/>
      <c r="K1611" s="4"/>
      <c r="L1611" s="4"/>
      <c r="M1611" s="4"/>
      <c r="N1611" s="4"/>
      <c r="O1611" s="4"/>
      <c r="P1611" s="4"/>
      <c r="Q1611" s="4"/>
      <c r="R1611" s="14"/>
      <c r="S1611" s="14"/>
      <c r="T1611" s="14"/>
      <c r="U1611" s="14"/>
      <c r="V1611" s="14"/>
      <c r="W1611" s="14"/>
      <c r="X1611" s="1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c r="AX1611" s="4"/>
      <c r="AY1611" s="4"/>
      <c r="AZ1611" s="4"/>
      <c r="BA1611" s="4"/>
      <c r="BB1611" s="4"/>
      <c r="BC1611" s="4"/>
      <c r="BD1611" s="4"/>
      <c r="BE1611" s="4"/>
      <c r="BG1611" s="4"/>
      <c r="BH1611" s="4"/>
    </row>
    <row r="1612" spans="1:60" x14ac:dyDescent="0.35">
      <c r="A1612" s="4"/>
      <c r="B1612" s="8" t="str">
        <f t="shared" si="114"/>
        <v/>
      </c>
      <c r="D1612" s="6" t="str">
        <f t="shared" si="115"/>
        <v/>
      </c>
      <c r="E1612" s="6" t="str">
        <f t="shared" si="116"/>
        <v/>
      </c>
      <c r="F1612" s="6" t="str">
        <f t="shared" si="117"/>
        <v/>
      </c>
      <c r="G1612" s="4"/>
      <c r="H1612" s="4"/>
      <c r="I1612" s="4"/>
      <c r="J1612" s="4"/>
      <c r="K1612" s="4"/>
      <c r="L1612" s="4"/>
      <c r="M1612" s="4"/>
      <c r="N1612" s="4"/>
      <c r="O1612" s="4"/>
      <c r="P1612" s="4"/>
      <c r="Q1612" s="4"/>
      <c r="R1612" s="14"/>
      <c r="S1612" s="14"/>
      <c r="T1612" s="14"/>
      <c r="U1612" s="14"/>
      <c r="V1612" s="14"/>
      <c r="W1612" s="14"/>
      <c r="X1612" s="1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c r="BC1612" s="4"/>
      <c r="BD1612" s="4"/>
      <c r="BE1612" s="4"/>
      <c r="BG1612" s="4"/>
      <c r="BH1612" s="4"/>
    </row>
    <row r="1613" spans="1:60" x14ac:dyDescent="0.35">
      <c r="A1613" s="4"/>
      <c r="B1613" s="8" t="str">
        <f t="shared" si="114"/>
        <v/>
      </c>
      <c r="D1613" s="6" t="str">
        <f t="shared" si="115"/>
        <v/>
      </c>
      <c r="E1613" s="6" t="str">
        <f t="shared" si="116"/>
        <v/>
      </c>
      <c r="F1613" s="6" t="str">
        <f t="shared" si="117"/>
        <v/>
      </c>
      <c r="G1613" s="4"/>
      <c r="H1613" s="4"/>
      <c r="I1613" s="4"/>
      <c r="J1613" s="4"/>
      <c r="K1613" s="4"/>
      <c r="L1613" s="4"/>
      <c r="M1613" s="4"/>
      <c r="N1613" s="4"/>
      <c r="O1613" s="4"/>
      <c r="P1613" s="4"/>
      <c r="Q1613" s="4"/>
      <c r="R1613" s="14"/>
      <c r="S1613" s="14"/>
      <c r="T1613" s="14"/>
      <c r="U1613" s="14"/>
      <c r="V1613" s="14"/>
      <c r="W1613" s="14"/>
      <c r="X1613" s="1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c r="AX1613" s="4"/>
      <c r="AY1613" s="4"/>
      <c r="AZ1613" s="4"/>
      <c r="BA1613" s="4"/>
      <c r="BB1613" s="4"/>
      <c r="BC1613" s="4"/>
      <c r="BD1613" s="4"/>
      <c r="BE1613" s="4"/>
      <c r="BG1613" s="4"/>
      <c r="BH1613" s="4"/>
    </row>
    <row r="1614" spans="1:60" x14ac:dyDescent="0.35">
      <c r="A1614" s="4"/>
      <c r="B1614" s="8" t="str">
        <f t="shared" si="114"/>
        <v/>
      </c>
      <c r="D1614" s="6" t="str">
        <f t="shared" si="115"/>
        <v/>
      </c>
      <c r="E1614" s="6" t="str">
        <f t="shared" si="116"/>
        <v/>
      </c>
      <c r="F1614" s="6" t="str">
        <f t="shared" si="117"/>
        <v/>
      </c>
      <c r="G1614" s="4"/>
      <c r="H1614" s="4"/>
      <c r="I1614" s="4"/>
      <c r="J1614" s="4"/>
      <c r="K1614" s="4"/>
      <c r="L1614" s="4"/>
      <c r="M1614" s="4"/>
      <c r="N1614" s="4"/>
      <c r="O1614" s="4"/>
      <c r="P1614" s="4"/>
      <c r="Q1614" s="4"/>
      <c r="R1614" s="14"/>
      <c r="S1614" s="14"/>
      <c r="T1614" s="14"/>
      <c r="U1614" s="14"/>
      <c r="V1614" s="14"/>
      <c r="W1614" s="14"/>
      <c r="X1614" s="1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c r="BB1614" s="4"/>
      <c r="BC1614" s="4"/>
      <c r="BD1614" s="4"/>
      <c r="BE1614" s="4"/>
      <c r="BG1614" s="4"/>
      <c r="BH1614" s="4"/>
    </row>
    <row r="1615" spans="1:60" x14ac:dyDescent="0.35">
      <c r="A1615" s="4"/>
      <c r="B1615" s="8" t="str">
        <f t="shared" si="114"/>
        <v/>
      </c>
      <c r="D1615" s="6" t="str">
        <f t="shared" si="115"/>
        <v/>
      </c>
      <c r="E1615" s="6" t="str">
        <f t="shared" si="116"/>
        <v/>
      </c>
      <c r="F1615" s="6" t="str">
        <f t="shared" si="117"/>
        <v/>
      </c>
      <c r="G1615" s="4"/>
      <c r="H1615" s="4"/>
      <c r="I1615" s="4"/>
      <c r="J1615" s="4"/>
      <c r="K1615" s="4"/>
      <c r="L1615" s="4"/>
      <c r="M1615" s="4"/>
      <c r="N1615" s="4"/>
      <c r="O1615" s="4"/>
      <c r="P1615" s="4"/>
      <c r="Q1615" s="4"/>
      <c r="R1615" s="14"/>
      <c r="S1615" s="14"/>
      <c r="T1615" s="14"/>
      <c r="U1615" s="14"/>
      <c r="V1615" s="14"/>
      <c r="W1615" s="14"/>
      <c r="X1615" s="1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c r="BB1615" s="4"/>
      <c r="BC1615" s="4"/>
      <c r="BD1615" s="4"/>
      <c r="BE1615" s="4"/>
      <c r="BG1615" s="4"/>
      <c r="BH1615" s="4"/>
    </row>
    <row r="1616" spans="1:60" x14ac:dyDescent="0.35">
      <c r="A1616" s="4"/>
      <c r="B1616" s="8" t="str">
        <f t="shared" si="114"/>
        <v/>
      </c>
      <c r="D1616" s="6" t="str">
        <f t="shared" si="115"/>
        <v/>
      </c>
      <c r="E1616" s="6" t="str">
        <f t="shared" si="116"/>
        <v/>
      </c>
      <c r="F1616" s="6" t="str">
        <f t="shared" si="117"/>
        <v/>
      </c>
      <c r="G1616" s="4"/>
      <c r="H1616" s="4"/>
      <c r="I1616" s="4"/>
      <c r="J1616" s="4"/>
      <c r="K1616" s="4"/>
      <c r="L1616" s="4"/>
      <c r="M1616" s="4"/>
      <c r="N1616" s="4"/>
      <c r="O1616" s="4"/>
      <c r="P1616" s="4"/>
      <c r="Q1616" s="4"/>
      <c r="R1616" s="14"/>
      <c r="S1616" s="14"/>
      <c r="T1616" s="14"/>
      <c r="U1616" s="14"/>
      <c r="V1616" s="14"/>
      <c r="W1616" s="14"/>
      <c r="X1616" s="1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c r="BB1616" s="4"/>
      <c r="BC1616" s="4"/>
      <c r="BD1616" s="4"/>
      <c r="BE1616" s="4"/>
      <c r="BG1616" s="4"/>
      <c r="BH1616" s="4"/>
    </row>
    <row r="1617" spans="1:60" x14ac:dyDescent="0.35">
      <c r="A1617" s="4"/>
      <c r="B1617" s="8" t="str">
        <f t="shared" si="114"/>
        <v/>
      </c>
      <c r="D1617" s="6" t="str">
        <f t="shared" si="115"/>
        <v/>
      </c>
      <c r="E1617" s="6" t="str">
        <f t="shared" si="116"/>
        <v/>
      </c>
      <c r="F1617" s="6" t="str">
        <f t="shared" si="117"/>
        <v/>
      </c>
      <c r="G1617" s="4"/>
      <c r="H1617" s="4"/>
      <c r="I1617" s="4"/>
      <c r="J1617" s="4"/>
      <c r="K1617" s="4"/>
      <c r="L1617" s="4"/>
      <c r="M1617" s="4"/>
      <c r="N1617" s="4"/>
      <c r="O1617" s="4"/>
      <c r="P1617" s="4"/>
      <c r="Q1617" s="4"/>
      <c r="R1617" s="14"/>
      <c r="S1617" s="14"/>
      <c r="T1617" s="14"/>
      <c r="U1617" s="14"/>
      <c r="V1617" s="14"/>
      <c r="W1617" s="14"/>
      <c r="X1617" s="1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c r="BB1617" s="4"/>
      <c r="BC1617" s="4"/>
      <c r="BD1617" s="4"/>
      <c r="BE1617" s="4"/>
      <c r="BG1617" s="4"/>
      <c r="BH1617" s="4"/>
    </row>
    <row r="1618" spans="1:60" x14ac:dyDescent="0.35">
      <c r="A1618" s="4"/>
      <c r="B1618" s="8" t="str">
        <f t="shared" si="114"/>
        <v/>
      </c>
      <c r="D1618" s="6" t="str">
        <f t="shared" si="115"/>
        <v/>
      </c>
      <c r="E1618" s="6" t="str">
        <f t="shared" si="116"/>
        <v/>
      </c>
      <c r="F1618" s="6" t="str">
        <f t="shared" si="117"/>
        <v/>
      </c>
      <c r="G1618" s="4"/>
      <c r="H1618" s="4"/>
      <c r="I1618" s="4"/>
      <c r="J1618" s="4"/>
      <c r="K1618" s="4"/>
      <c r="L1618" s="4"/>
      <c r="M1618" s="4"/>
      <c r="N1618" s="4"/>
      <c r="O1618" s="4"/>
      <c r="P1618" s="4"/>
      <c r="Q1618" s="4"/>
      <c r="R1618" s="14"/>
      <c r="S1618" s="14"/>
      <c r="T1618" s="14"/>
      <c r="U1618" s="14"/>
      <c r="V1618" s="14"/>
      <c r="W1618" s="14"/>
      <c r="X1618" s="1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c r="BC1618" s="4"/>
      <c r="BD1618" s="4"/>
      <c r="BE1618" s="4"/>
      <c r="BG1618" s="4"/>
      <c r="BH1618" s="4"/>
    </row>
    <row r="1619" spans="1:60" x14ac:dyDescent="0.35">
      <c r="A1619" s="4"/>
      <c r="B1619" s="8" t="str">
        <f t="shared" si="114"/>
        <v/>
      </c>
      <c r="D1619" s="6" t="str">
        <f t="shared" si="115"/>
        <v/>
      </c>
      <c r="E1619" s="6" t="str">
        <f t="shared" si="116"/>
        <v/>
      </c>
      <c r="F1619" s="6" t="str">
        <f t="shared" si="117"/>
        <v/>
      </c>
      <c r="G1619" s="4"/>
      <c r="H1619" s="4"/>
      <c r="I1619" s="4"/>
      <c r="J1619" s="4"/>
      <c r="K1619" s="4"/>
      <c r="L1619" s="4"/>
      <c r="M1619" s="4"/>
      <c r="N1619" s="4"/>
      <c r="O1619" s="4"/>
      <c r="P1619" s="4"/>
      <c r="Q1619" s="4"/>
      <c r="R1619" s="14"/>
      <c r="S1619" s="14"/>
      <c r="T1619" s="14"/>
      <c r="U1619" s="14"/>
      <c r="V1619" s="14"/>
      <c r="W1619" s="14"/>
      <c r="X1619" s="1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c r="BC1619" s="4"/>
      <c r="BD1619" s="4"/>
      <c r="BE1619" s="4"/>
      <c r="BG1619" s="4"/>
      <c r="BH1619" s="4"/>
    </row>
    <row r="1620" spans="1:60" x14ac:dyDescent="0.35">
      <c r="A1620" s="4"/>
      <c r="B1620" s="8" t="str">
        <f t="shared" si="114"/>
        <v/>
      </c>
      <c r="D1620" s="6" t="str">
        <f t="shared" si="115"/>
        <v/>
      </c>
      <c r="E1620" s="6" t="str">
        <f t="shared" si="116"/>
        <v/>
      </c>
      <c r="F1620" s="6" t="str">
        <f t="shared" si="117"/>
        <v/>
      </c>
      <c r="G1620" s="4"/>
      <c r="H1620" s="4"/>
      <c r="I1620" s="4"/>
      <c r="J1620" s="4"/>
      <c r="K1620" s="4"/>
      <c r="L1620" s="4"/>
      <c r="M1620" s="4"/>
      <c r="N1620" s="4"/>
      <c r="O1620" s="4"/>
      <c r="P1620" s="4"/>
      <c r="Q1620" s="4"/>
      <c r="R1620" s="14"/>
      <c r="S1620" s="14"/>
      <c r="T1620" s="14"/>
      <c r="U1620" s="14"/>
      <c r="V1620" s="14"/>
      <c r="W1620" s="14"/>
      <c r="X1620" s="1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c r="BB1620" s="4"/>
      <c r="BC1620" s="4"/>
      <c r="BD1620" s="4"/>
      <c r="BE1620" s="4"/>
      <c r="BG1620" s="4"/>
      <c r="BH1620" s="4"/>
    </row>
    <row r="1621" spans="1:60" x14ac:dyDescent="0.35">
      <c r="A1621" s="4"/>
      <c r="B1621" s="8" t="str">
        <f t="shared" si="114"/>
        <v/>
      </c>
      <c r="D1621" s="6" t="str">
        <f t="shared" si="115"/>
        <v/>
      </c>
      <c r="E1621" s="6" t="str">
        <f t="shared" si="116"/>
        <v/>
      </c>
      <c r="F1621" s="6" t="str">
        <f t="shared" si="117"/>
        <v/>
      </c>
      <c r="G1621" s="4"/>
      <c r="H1621" s="4"/>
      <c r="I1621" s="4"/>
      <c r="J1621" s="4"/>
      <c r="K1621" s="4"/>
      <c r="L1621" s="4"/>
      <c r="M1621" s="4"/>
      <c r="N1621" s="4"/>
      <c r="O1621" s="4"/>
      <c r="P1621" s="4"/>
      <c r="Q1621" s="4"/>
      <c r="R1621" s="14"/>
      <c r="S1621" s="14"/>
      <c r="T1621" s="14"/>
      <c r="U1621" s="14"/>
      <c r="V1621" s="14"/>
      <c r="W1621" s="14"/>
      <c r="X1621" s="1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c r="BB1621" s="4"/>
      <c r="BC1621" s="4"/>
      <c r="BD1621" s="4"/>
      <c r="BE1621" s="4"/>
      <c r="BG1621" s="4"/>
      <c r="BH1621" s="4"/>
    </row>
    <row r="1622" spans="1:60" x14ac:dyDescent="0.35">
      <c r="A1622" s="4"/>
      <c r="B1622" s="8" t="str">
        <f t="shared" si="114"/>
        <v/>
      </c>
      <c r="D1622" s="6" t="str">
        <f t="shared" si="115"/>
        <v/>
      </c>
      <c r="E1622" s="6" t="str">
        <f t="shared" si="116"/>
        <v/>
      </c>
      <c r="F1622" s="6" t="str">
        <f t="shared" si="117"/>
        <v/>
      </c>
      <c r="G1622" s="4"/>
      <c r="H1622" s="4"/>
      <c r="I1622" s="4"/>
      <c r="J1622" s="4"/>
      <c r="K1622" s="4"/>
      <c r="L1622" s="4"/>
      <c r="M1622" s="4"/>
      <c r="N1622" s="4"/>
      <c r="O1622" s="4"/>
      <c r="P1622" s="4"/>
      <c r="Q1622" s="4"/>
      <c r="R1622" s="14"/>
      <c r="S1622" s="14"/>
      <c r="T1622" s="14"/>
      <c r="U1622" s="14"/>
      <c r="V1622" s="14"/>
      <c r="W1622" s="14"/>
      <c r="X1622" s="1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c r="AX1622" s="4"/>
      <c r="AY1622" s="4"/>
      <c r="AZ1622" s="4"/>
      <c r="BA1622" s="4"/>
      <c r="BB1622" s="4"/>
      <c r="BC1622" s="4"/>
      <c r="BD1622" s="4"/>
      <c r="BE1622" s="4"/>
      <c r="BG1622" s="4"/>
      <c r="BH1622" s="4"/>
    </row>
    <row r="1623" spans="1:60" x14ac:dyDescent="0.35">
      <c r="A1623" s="4"/>
      <c r="B1623" s="8" t="str">
        <f t="shared" si="114"/>
        <v/>
      </c>
      <c r="D1623" s="6" t="str">
        <f t="shared" si="115"/>
        <v/>
      </c>
      <c r="E1623" s="6" t="str">
        <f t="shared" si="116"/>
        <v/>
      </c>
      <c r="F1623" s="6" t="str">
        <f t="shared" si="117"/>
        <v/>
      </c>
      <c r="G1623" s="4"/>
      <c r="H1623" s="4"/>
      <c r="I1623" s="4"/>
      <c r="J1623" s="4"/>
      <c r="K1623" s="4"/>
      <c r="L1623" s="4"/>
      <c r="M1623" s="4"/>
      <c r="N1623" s="4"/>
      <c r="O1623" s="4"/>
      <c r="P1623" s="4"/>
      <c r="Q1623" s="4"/>
      <c r="R1623" s="14"/>
      <c r="S1623" s="14"/>
      <c r="T1623" s="14"/>
      <c r="U1623" s="14"/>
      <c r="V1623" s="14"/>
      <c r="W1623" s="14"/>
      <c r="X1623" s="14"/>
      <c r="Y1623" s="4"/>
      <c r="Z1623" s="4"/>
      <c r="AA1623" s="4"/>
      <c r="AB1623" s="4"/>
      <c r="AC1623" s="4"/>
      <c r="AD1623" s="4"/>
      <c r="AE1623" s="4"/>
      <c r="AF1623" s="4"/>
      <c r="AG1623" s="4"/>
      <c r="AH1623" s="4"/>
      <c r="AI1623" s="4"/>
      <c r="AJ1623" s="4"/>
      <c r="AK1623" s="4"/>
      <c r="AL1623" s="4"/>
      <c r="AM1623" s="4"/>
      <c r="AN1623" s="4"/>
      <c r="AO1623" s="4"/>
      <c r="AP1623" s="4"/>
      <c r="AQ1623" s="4"/>
      <c r="AR1623" s="4"/>
      <c r="AS1623" s="4"/>
      <c r="AT1623" s="4"/>
      <c r="AU1623" s="4"/>
      <c r="AV1623" s="4"/>
      <c r="AW1623" s="4"/>
      <c r="AX1623" s="4"/>
      <c r="AY1623" s="4"/>
      <c r="AZ1623" s="4"/>
      <c r="BA1623" s="4"/>
      <c r="BB1623" s="4"/>
      <c r="BC1623" s="4"/>
      <c r="BD1623" s="4"/>
      <c r="BE1623" s="4"/>
      <c r="BG1623" s="4"/>
      <c r="BH1623" s="4"/>
    </row>
    <row r="1624" spans="1:60" x14ac:dyDescent="0.35">
      <c r="A1624" s="4"/>
      <c r="B1624" s="8" t="str">
        <f t="shared" si="114"/>
        <v/>
      </c>
      <c r="D1624" s="6" t="str">
        <f t="shared" si="115"/>
        <v/>
      </c>
      <c r="E1624" s="6" t="str">
        <f t="shared" si="116"/>
        <v/>
      </c>
      <c r="F1624" s="6" t="str">
        <f t="shared" si="117"/>
        <v/>
      </c>
      <c r="G1624" s="4"/>
      <c r="H1624" s="4"/>
      <c r="I1624" s="4"/>
      <c r="J1624" s="4"/>
      <c r="K1624" s="4"/>
      <c r="L1624" s="4"/>
      <c r="M1624" s="4"/>
      <c r="N1624" s="4"/>
      <c r="O1624" s="4"/>
      <c r="P1624" s="4"/>
      <c r="Q1624" s="4"/>
      <c r="R1624" s="14"/>
      <c r="S1624" s="14"/>
      <c r="T1624" s="14"/>
      <c r="U1624" s="14"/>
      <c r="V1624" s="14"/>
      <c r="W1624" s="14"/>
      <c r="X1624" s="1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c r="AX1624" s="4"/>
      <c r="AY1624" s="4"/>
      <c r="AZ1624" s="4"/>
      <c r="BA1624" s="4"/>
      <c r="BB1624" s="4"/>
      <c r="BC1624" s="4"/>
      <c r="BD1624" s="4"/>
      <c r="BE1624" s="4"/>
      <c r="BG1624" s="4"/>
      <c r="BH1624" s="4"/>
    </row>
    <row r="1625" spans="1:60" x14ac:dyDescent="0.35">
      <c r="A1625" s="4"/>
      <c r="B1625" s="8" t="str">
        <f t="shared" si="114"/>
        <v/>
      </c>
      <c r="D1625" s="6" t="str">
        <f t="shared" si="115"/>
        <v/>
      </c>
      <c r="E1625" s="6" t="str">
        <f t="shared" si="116"/>
        <v/>
      </c>
      <c r="F1625" s="6" t="str">
        <f t="shared" si="117"/>
        <v/>
      </c>
      <c r="G1625" s="4"/>
      <c r="H1625" s="4"/>
      <c r="I1625" s="4"/>
      <c r="J1625" s="4"/>
      <c r="K1625" s="4"/>
      <c r="L1625" s="4"/>
      <c r="M1625" s="4"/>
      <c r="N1625" s="4"/>
      <c r="O1625" s="4"/>
      <c r="P1625" s="4"/>
      <c r="Q1625" s="4"/>
      <c r="R1625" s="14"/>
      <c r="S1625" s="14"/>
      <c r="T1625" s="14"/>
      <c r="U1625" s="14"/>
      <c r="V1625" s="14"/>
      <c r="W1625" s="14"/>
      <c r="X1625" s="1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c r="BB1625" s="4"/>
      <c r="BC1625" s="4"/>
      <c r="BD1625" s="4"/>
      <c r="BE1625" s="4"/>
      <c r="BG1625" s="4"/>
      <c r="BH1625" s="4"/>
    </row>
    <row r="1626" spans="1:60" x14ac:dyDescent="0.35">
      <c r="A1626" s="4"/>
      <c r="B1626" s="8" t="str">
        <f t="shared" si="114"/>
        <v/>
      </c>
      <c r="D1626" s="6" t="str">
        <f t="shared" si="115"/>
        <v/>
      </c>
      <c r="E1626" s="6" t="str">
        <f t="shared" si="116"/>
        <v/>
      </c>
      <c r="F1626" s="6" t="str">
        <f t="shared" si="117"/>
        <v/>
      </c>
      <c r="G1626" s="4"/>
      <c r="H1626" s="4"/>
      <c r="I1626" s="4"/>
      <c r="J1626" s="4"/>
      <c r="K1626" s="4"/>
      <c r="L1626" s="4"/>
      <c r="M1626" s="4"/>
      <c r="N1626" s="4"/>
      <c r="O1626" s="4"/>
      <c r="P1626" s="4"/>
      <c r="Q1626" s="4"/>
      <c r="R1626" s="14"/>
      <c r="S1626" s="14"/>
      <c r="T1626" s="14"/>
      <c r="U1626" s="14"/>
      <c r="V1626" s="14"/>
      <c r="W1626" s="14"/>
      <c r="X1626" s="1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c r="BA1626" s="4"/>
      <c r="BB1626" s="4"/>
      <c r="BC1626" s="4"/>
      <c r="BD1626" s="4"/>
      <c r="BE1626" s="4"/>
      <c r="BG1626" s="4"/>
      <c r="BH1626" s="4"/>
    </row>
    <row r="1627" spans="1:60" x14ac:dyDescent="0.35">
      <c r="A1627" s="4"/>
      <c r="B1627" s="8" t="str">
        <f t="shared" si="114"/>
        <v/>
      </c>
      <c r="D1627" s="6" t="str">
        <f t="shared" si="115"/>
        <v/>
      </c>
      <c r="E1627" s="6" t="str">
        <f t="shared" si="116"/>
        <v/>
      </c>
      <c r="F1627" s="6" t="str">
        <f t="shared" si="117"/>
        <v/>
      </c>
      <c r="G1627" s="4"/>
      <c r="H1627" s="4"/>
      <c r="I1627" s="4"/>
      <c r="J1627" s="4"/>
      <c r="K1627" s="4"/>
      <c r="L1627" s="4"/>
      <c r="M1627" s="4"/>
      <c r="N1627" s="4"/>
      <c r="O1627" s="4"/>
      <c r="P1627" s="4"/>
      <c r="Q1627" s="4"/>
      <c r="R1627" s="14"/>
      <c r="S1627" s="14"/>
      <c r="T1627" s="14"/>
      <c r="U1627" s="14"/>
      <c r="V1627" s="14"/>
      <c r="W1627" s="14"/>
      <c r="X1627" s="1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c r="BB1627" s="4"/>
      <c r="BC1627" s="4"/>
      <c r="BD1627" s="4"/>
      <c r="BE1627" s="4"/>
      <c r="BG1627" s="4"/>
      <c r="BH1627" s="4"/>
    </row>
    <row r="1628" spans="1:60" x14ac:dyDescent="0.35">
      <c r="A1628" s="4"/>
      <c r="B1628" s="8" t="str">
        <f t="shared" si="114"/>
        <v/>
      </c>
      <c r="D1628" s="6" t="str">
        <f t="shared" si="115"/>
        <v/>
      </c>
      <c r="E1628" s="6" t="str">
        <f t="shared" si="116"/>
        <v/>
      </c>
      <c r="F1628" s="6" t="str">
        <f t="shared" si="117"/>
        <v/>
      </c>
      <c r="G1628" s="4"/>
      <c r="H1628" s="4"/>
      <c r="I1628" s="4"/>
      <c r="J1628" s="4"/>
      <c r="K1628" s="4"/>
      <c r="L1628" s="4"/>
      <c r="M1628" s="4"/>
      <c r="N1628" s="4"/>
      <c r="O1628" s="4"/>
      <c r="P1628" s="4"/>
      <c r="Q1628" s="4"/>
      <c r="R1628" s="14"/>
      <c r="S1628" s="14"/>
      <c r="T1628" s="14"/>
      <c r="U1628" s="14"/>
      <c r="V1628" s="14"/>
      <c r="W1628" s="14"/>
      <c r="X1628" s="1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c r="AX1628" s="4"/>
      <c r="AY1628" s="4"/>
      <c r="AZ1628" s="4"/>
      <c r="BA1628" s="4"/>
      <c r="BB1628" s="4"/>
      <c r="BC1628" s="4"/>
      <c r="BD1628" s="4"/>
      <c r="BE1628" s="4"/>
      <c r="BG1628" s="4"/>
      <c r="BH1628" s="4"/>
    </row>
    <row r="1629" spans="1:60" x14ac:dyDescent="0.35">
      <c r="A1629" s="4"/>
      <c r="B1629" s="8" t="str">
        <f t="shared" si="114"/>
        <v/>
      </c>
      <c r="D1629" s="6" t="str">
        <f t="shared" si="115"/>
        <v/>
      </c>
      <c r="E1629" s="6" t="str">
        <f t="shared" si="116"/>
        <v/>
      </c>
      <c r="F1629" s="6" t="str">
        <f t="shared" si="117"/>
        <v/>
      </c>
      <c r="G1629" s="4"/>
      <c r="H1629" s="4"/>
      <c r="I1629" s="4"/>
      <c r="J1629" s="4"/>
      <c r="K1629" s="4"/>
      <c r="L1629" s="4"/>
      <c r="M1629" s="4"/>
      <c r="N1629" s="4"/>
      <c r="O1629" s="4"/>
      <c r="P1629" s="4"/>
      <c r="Q1629" s="4"/>
      <c r="R1629" s="14"/>
      <c r="S1629" s="14"/>
      <c r="T1629" s="14"/>
      <c r="U1629" s="14"/>
      <c r="V1629" s="14"/>
      <c r="W1629" s="14"/>
      <c r="X1629" s="1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c r="AX1629" s="4"/>
      <c r="AY1629" s="4"/>
      <c r="AZ1629" s="4"/>
      <c r="BA1629" s="4"/>
      <c r="BB1629" s="4"/>
      <c r="BC1629" s="4"/>
      <c r="BD1629" s="4"/>
      <c r="BE1629" s="4"/>
      <c r="BG1629" s="4"/>
      <c r="BH1629" s="4"/>
    </row>
    <row r="1630" spans="1:60" x14ac:dyDescent="0.35">
      <c r="A1630" s="4"/>
      <c r="B1630" s="8" t="str">
        <f t="shared" si="114"/>
        <v/>
      </c>
      <c r="D1630" s="6" t="str">
        <f t="shared" si="115"/>
        <v/>
      </c>
      <c r="E1630" s="6" t="str">
        <f t="shared" si="116"/>
        <v/>
      </c>
      <c r="F1630" s="6" t="str">
        <f t="shared" si="117"/>
        <v/>
      </c>
      <c r="G1630" s="4"/>
      <c r="H1630" s="4"/>
      <c r="I1630" s="4"/>
      <c r="J1630" s="4"/>
      <c r="K1630" s="4"/>
      <c r="L1630" s="4"/>
      <c r="M1630" s="4"/>
      <c r="N1630" s="4"/>
      <c r="O1630" s="4"/>
      <c r="P1630" s="4"/>
      <c r="Q1630" s="4"/>
      <c r="R1630" s="14"/>
      <c r="S1630" s="14"/>
      <c r="T1630" s="14"/>
      <c r="U1630" s="14"/>
      <c r="V1630" s="14"/>
      <c r="W1630" s="14"/>
      <c r="X1630" s="1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c r="BB1630" s="4"/>
      <c r="BC1630" s="4"/>
      <c r="BD1630" s="4"/>
      <c r="BE1630" s="4"/>
      <c r="BG1630" s="4"/>
      <c r="BH1630" s="4"/>
    </row>
    <row r="1631" spans="1:60" x14ac:dyDescent="0.35">
      <c r="A1631" s="4"/>
      <c r="B1631" s="8" t="str">
        <f t="shared" si="114"/>
        <v/>
      </c>
      <c r="D1631" s="6" t="str">
        <f t="shared" si="115"/>
        <v/>
      </c>
      <c r="E1631" s="6" t="str">
        <f t="shared" si="116"/>
        <v/>
      </c>
      <c r="F1631" s="6" t="str">
        <f t="shared" si="117"/>
        <v/>
      </c>
      <c r="G1631" s="4"/>
      <c r="H1631" s="4"/>
      <c r="I1631" s="4"/>
      <c r="J1631" s="4"/>
      <c r="K1631" s="4"/>
      <c r="L1631" s="4"/>
      <c r="M1631" s="4"/>
      <c r="N1631" s="4"/>
      <c r="O1631" s="4"/>
      <c r="P1631" s="4"/>
      <c r="Q1631" s="4"/>
      <c r="R1631" s="14"/>
      <c r="S1631" s="14"/>
      <c r="T1631" s="14"/>
      <c r="U1631" s="14"/>
      <c r="V1631" s="14"/>
      <c r="W1631" s="14"/>
      <c r="X1631" s="1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c r="BB1631" s="4"/>
      <c r="BC1631" s="4"/>
      <c r="BD1631" s="4"/>
      <c r="BE1631" s="4"/>
      <c r="BG1631" s="4"/>
      <c r="BH1631" s="4"/>
    </row>
    <row r="1632" spans="1:60" x14ac:dyDescent="0.35">
      <c r="A1632" s="4"/>
      <c r="B1632" s="8" t="str">
        <f t="shared" si="114"/>
        <v/>
      </c>
      <c r="D1632" s="6" t="str">
        <f t="shared" si="115"/>
        <v/>
      </c>
      <c r="E1632" s="6" t="str">
        <f t="shared" si="116"/>
        <v/>
      </c>
      <c r="F1632" s="6" t="str">
        <f t="shared" si="117"/>
        <v/>
      </c>
      <c r="G1632" s="4"/>
      <c r="H1632" s="4"/>
      <c r="I1632" s="4"/>
      <c r="J1632" s="4"/>
      <c r="K1632" s="4"/>
      <c r="L1632" s="4"/>
      <c r="M1632" s="4"/>
      <c r="N1632" s="4"/>
      <c r="O1632" s="4"/>
      <c r="P1632" s="4"/>
      <c r="Q1632" s="4"/>
      <c r="R1632" s="14"/>
      <c r="S1632" s="14"/>
      <c r="T1632" s="14"/>
      <c r="U1632" s="14"/>
      <c r="V1632" s="14"/>
      <c r="W1632" s="14"/>
      <c r="X1632" s="1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c r="AX1632" s="4"/>
      <c r="AY1632" s="4"/>
      <c r="AZ1632" s="4"/>
      <c r="BA1632" s="4"/>
      <c r="BB1632" s="4"/>
      <c r="BC1632" s="4"/>
      <c r="BD1632" s="4"/>
      <c r="BE1632" s="4"/>
      <c r="BG1632" s="4"/>
      <c r="BH1632" s="4"/>
    </row>
    <row r="1633" spans="1:60" x14ac:dyDescent="0.35">
      <c r="A1633" s="4"/>
      <c r="B1633" s="8" t="str">
        <f t="shared" si="114"/>
        <v/>
      </c>
      <c r="D1633" s="6" t="str">
        <f t="shared" si="115"/>
        <v/>
      </c>
      <c r="E1633" s="6" t="str">
        <f t="shared" si="116"/>
        <v/>
      </c>
      <c r="F1633" s="6" t="str">
        <f t="shared" si="117"/>
        <v/>
      </c>
      <c r="G1633" s="4"/>
      <c r="H1633" s="4"/>
      <c r="I1633" s="4"/>
      <c r="J1633" s="4"/>
      <c r="K1633" s="4"/>
      <c r="L1633" s="4"/>
      <c r="M1633" s="4"/>
      <c r="N1633" s="4"/>
      <c r="O1633" s="4"/>
      <c r="P1633" s="4"/>
      <c r="Q1633" s="4"/>
      <c r="R1633" s="14"/>
      <c r="S1633" s="14"/>
      <c r="T1633" s="14"/>
      <c r="U1633" s="14"/>
      <c r="V1633" s="14"/>
      <c r="W1633" s="14"/>
      <c r="X1633" s="1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c r="AX1633" s="4"/>
      <c r="AY1633" s="4"/>
      <c r="AZ1633" s="4"/>
      <c r="BA1633" s="4"/>
      <c r="BB1633" s="4"/>
      <c r="BC1633" s="4"/>
      <c r="BD1633" s="4"/>
      <c r="BE1633" s="4"/>
      <c r="BG1633" s="4"/>
      <c r="BH1633" s="4"/>
    </row>
    <row r="1634" spans="1:60" x14ac:dyDescent="0.35">
      <c r="A1634" s="4"/>
      <c r="B1634" s="8" t="str">
        <f t="shared" si="114"/>
        <v/>
      </c>
      <c r="D1634" s="6" t="str">
        <f t="shared" si="115"/>
        <v/>
      </c>
      <c r="E1634" s="6" t="str">
        <f t="shared" si="116"/>
        <v/>
      </c>
      <c r="F1634" s="6" t="str">
        <f t="shared" si="117"/>
        <v/>
      </c>
      <c r="G1634" s="4"/>
      <c r="H1634" s="4"/>
      <c r="I1634" s="4"/>
      <c r="J1634" s="4"/>
      <c r="K1634" s="4"/>
      <c r="L1634" s="4"/>
      <c r="M1634" s="4"/>
      <c r="N1634" s="4"/>
      <c r="O1634" s="4"/>
      <c r="P1634" s="4"/>
      <c r="Q1634" s="4"/>
      <c r="R1634" s="14"/>
      <c r="S1634" s="14"/>
      <c r="T1634" s="14"/>
      <c r="U1634" s="14"/>
      <c r="V1634" s="14"/>
      <c r="W1634" s="14"/>
      <c r="X1634" s="1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c r="AX1634" s="4"/>
      <c r="AY1634" s="4"/>
      <c r="AZ1634" s="4"/>
      <c r="BA1634" s="4"/>
      <c r="BB1634" s="4"/>
      <c r="BC1634" s="4"/>
      <c r="BD1634" s="4"/>
      <c r="BE1634" s="4"/>
      <c r="BG1634" s="4"/>
      <c r="BH1634" s="4"/>
    </row>
    <row r="1635" spans="1:60" x14ac:dyDescent="0.35">
      <c r="A1635" s="4"/>
      <c r="B1635" s="8" t="str">
        <f t="shared" si="114"/>
        <v/>
      </c>
      <c r="D1635" s="6" t="str">
        <f t="shared" si="115"/>
        <v/>
      </c>
      <c r="E1635" s="6" t="str">
        <f t="shared" si="116"/>
        <v/>
      </c>
      <c r="F1635" s="6" t="str">
        <f t="shared" si="117"/>
        <v/>
      </c>
      <c r="G1635" s="4"/>
      <c r="H1635" s="4"/>
      <c r="I1635" s="4"/>
      <c r="J1635" s="4"/>
      <c r="K1635" s="4"/>
      <c r="L1635" s="4"/>
      <c r="M1635" s="4"/>
      <c r="N1635" s="4"/>
      <c r="O1635" s="4"/>
      <c r="P1635" s="4"/>
      <c r="Q1635" s="4"/>
      <c r="R1635" s="14"/>
      <c r="S1635" s="14"/>
      <c r="T1635" s="14"/>
      <c r="U1635" s="14"/>
      <c r="V1635" s="14"/>
      <c r="W1635" s="14"/>
      <c r="X1635" s="14"/>
      <c r="Y1635" s="4"/>
      <c r="Z1635" s="4"/>
      <c r="AA1635" s="4"/>
      <c r="AB1635" s="4"/>
      <c r="AC1635" s="4"/>
      <c r="AD1635" s="4"/>
      <c r="AE1635" s="4"/>
      <c r="AF1635" s="4"/>
      <c r="AG1635" s="4"/>
      <c r="AH1635" s="4"/>
      <c r="AI1635" s="4"/>
      <c r="AJ1635" s="4"/>
      <c r="AK1635" s="4"/>
      <c r="AL1635" s="4"/>
      <c r="AM1635" s="4"/>
      <c r="AN1635" s="4"/>
      <c r="AO1635" s="4"/>
      <c r="AP1635" s="4"/>
      <c r="AQ1635" s="4"/>
      <c r="AR1635" s="4"/>
      <c r="AS1635" s="4"/>
      <c r="AT1635" s="4"/>
      <c r="AU1635" s="4"/>
      <c r="AV1635" s="4"/>
      <c r="AW1635" s="4"/>
      <c r="AX1635" s="4"/>
      <c r="AY1635" s="4"/>
      <c r="AZ1635" s="4"/>
      <c r="BA1635" s="4"/>
      <c r="BB1635" s="4"/>
      <c r="BC1635" s="4"/>
      <c r="BD1635" s="4"/>
      <c r="BE1635" s="4"/>
      <c r="BG1635" s="4"/>
      <c r="BH1635" s="4"/>
    </row>
    <row r="1636" spans="1:60" x14ac:dyDescent="0.35">
      <c r="A1636" s="4"/>
      <c r="B1636" s="8" t="str">
        <f t="shared" si="114"/>
        <v/>
      </c>
      <c r="D1636" s="6" t="str">
        <f t="shared" si="115"/>
        <v/>
      </c>
      <c r="E1636" s="6" t="str">
        <f t="shared" si="116"/>
        <v/>
      </c>
      <c r="F1636" s="6" t="str">
        <f t="shared" si="117"/>
        <v/>
      </c>
      <c r="G1636" s="4"/>
      <c r="H1636" s="4"/>
      <c r="I1636" s="4"/>
      <c r="J1636" s="4"/>
      <c r="K1636" s="4"/>
      <c r="L1636" s="4"/>
      <c r="M1636" s="4"/>
      <c r="N1636" s="4"/>
      <c r="O1636" s="4"/>
      <c r="P1636" s="4"/>
      <c r="Q1636" s="4"/>
      <c r="R1636" s="14"/>
      <c r="S1636" s="14"/>
      <c r="T1636" s="14"/>
      <c r="U1636" s="14"/>
      <c r="V1636" s="14"/>
      <c r="W1636" s="14"/>
      <c r="X1636" s="1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c r="BB1636" s="4"/>
      <c r="BC1636" s="4"/>
      <c r="BD1636" s="4"/>
      <c r="BE1636" s="4"/>
      <c r="BG1636" s="4"/>
      <c r="BH1636" s="4"/>
    </row>
    <row r="1637" spans="1:60" x14ac:dyDescent="0.35">
      <c r="A1637" s="4"/>
      <c r="B1637" s="8" t="str">
        <f t="shared" si="114"/>
        <v/>
      </c>
      <c r="D1637" s="6" t="str">
        <f t="shared" si="115"/>
        <v/>
      </c>
      <c r="E1637" s="6" t="str">
        <f t="shared" si="116"/>
        <v/>
      </c>
      <c r="F1637" s="6" t="str">
        <f t="shared" si="117"/>
        <v/>
      </c>
      <c r="G1637" s="4"/>
      <c r="H1637" s="4"/>
      <c r="I1637" s="4"/>
      <c r="J1637" s="4"/>
      <c r="K1637" s="4"/>
      <c r="L1637" s="4"/>
      <c r="M1637" s="4"/>
      <c r="N1637" s="4"/>
      <c r="O1637" s="4"/>
      <c r="P1637" s="4"/>
      <c r="Q1637" s="4"/>
      <c r="R1637" s="14"/>
      <c r="S1637" s="14"/>
      <c r="T1637" s="14"/>
      <c r="U1637" s="14"/>
      <c r="V1637" s="14"/>
      <c r="W1637" s="14"/>
      <c r="X1637" s="1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c r="BC1637" s="4"/>
      <c r="BD1637" s="4"/>
      <c r="BE1637" s="4"/>
      <c r="BG1637" s="4"/>
      <c r="BH1637" s="4"/>
    </row>
    <row r="1638" spans="1:60" x14ac:dyDescent="0.35">
      <c r="A1638" s="4"/>
      <c r="B1638" s="8" t="str">
        <f t="shared" si="114"/>
        <v/>
      </c>
      <c r="D1638" s="6" t="str">
        <f t="shared" si="115"/>
        <v/>
      </c>
      <c r="E1638" s="6" t="str">
        <f t="shared" si="116"/>
        <v/>
      </c>
      <c r="F1638" s="6" t="str">
        <f t="shared" si="117"/>
        <v/>
      </c>
      <c r="G1638" s="4"/>
      <c r="H1638" s="4"/>
      <c r="I1638" s="4"/>
      <c r="J1638" s="4"/>
      <c r="K1638" s="4"/>
      <c r="L1638" s="4"/>
      <c r="M1638" s="4"/>
      <c r="N1638" s="4"/>
      <c r="O1638" s="4"/>
      <c r="P1638" s="4"/>
      <c r="Q1638" s="4"/>
      <c r="R1638" s="14"/>
      <c r="S1638" s="14"/>
      <c r="T1638" s="14"/>
      <c r="U1638" s="14"/>
      <c r="V1638" s="14"/>
      <c r="W1638" s="14"/>
      <c r="X1638" s="1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c r="AX1638" s="4"/>
      <c r="AY1638" s="4"/>
      <c r="AZ1638" s="4"/>
      <c r="BA1638" s="4"/>
      <c r="BB1638" s="4"/>
      <c r="BC1638" s="4"/>
      <c r="BD1638" s="4"/>
      <c r="BE1638" s="4"/>
      <c r="BG1638" s="4"/>
      <c r="BH1638" s="4"/>
    </row>
    <row r="1639" spans="1:60" x14ac:dyDescent="0.35">
      <c r="A1639" s="4"/>
      <c r="B1639" s="8" t="str">
        <f t="shared" si="114"/>
        <v/>
      </c>
      <c r="D1639" s="6" t="str">
        <f t="shared" si="115"/>
        <v/>
      </c>
      <c r="E1639" s="6" t="str">
        <f t="shared" si="116"/>
        <v/>
      </c>
      <c r="F1639" s="6" t="str">
        <f t="shared" si="117"/>
        <v/>
      </c>
      <c r="G1639" s="4"/>
      <c r="H1639" s="4"/>
      <c r="I1639" s="4"/>
      <c r="J1639" s="4"/>
      <c r="K1639" s="4"/>
      <c r="L1639" s="4"/>
      <c r="M1639" s="4"/>
      <c r="N1639" s="4"/>
      <c r="O1639" s="4"/>
      <c r="P1639" s="4"/>
      <c r="Q1639" s="4"/>
      <c r="R1639" s="14"/>
      <c r="S1639" s="14"/>
      <c r="T1639" s="14"/>
      <c r="U1639" s="14"/>
      <c r="V1639" s="14"/>
      <c r="W1639" s="14"/>
      <c r="X1639" s="14"/>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c r="AX1639" s="4"/>
      <c r="AY1639" s="4"/>
      <c r="AZ1639" s="4"/>
      <c r="BA1639" s="4"/>
      <c r="BB1639" s="4"/>
      <c r="BC1639" s="4"/>
      <c r="BD1639" s="4"/>
      <c r="BE1639" s="4"/>
      <c r="BG1639" s="4"/>
      <c r="BH1639" s="4"/>
    </row>
    <row r="1640" spans="1:60" x14ac:dyDescent="0.35">
      <c r="A1640" s="4"/>
      <c r="B1640" s="8" t="str">
        <f t="shared" si="114"/>
        <v/>
      </c>
      <c r="D1640" s="6" t="str">
        <f t="shared" si="115"/>
        <v/>
      </c>
      <c r="E1640" s="6" t="str">
        <f t="shared" si="116"/>
        <v/>
      </c>
      <c r="F1640" s="6" t="str">
        <f t="shared" si="117"/>
        <v/>
      </c>
      <c r="G1640" s="4"/>
      <c r="H1640" s="4"/>
      <c r="I1640" s="4"/>
      <c r="J1640" s="4"/>
      <c r="K1640" s="4"/>
      <c r="L1640" s="4"/>
      <c r="M1640" s="4"/>
      <c r="N1640" s="4"/>
      <c r="O1640" s="4"/>
      <c r="P1640" s="4"/>
      <c r="Q1640" s="4"/>
      <c r="R1640" s="14"/>
      <c r="S1640" s="14"/>
      <c r="T1640" s="14"/>
      <c r="U1640" s="14"/>
      <c r="V1640" s="14"/>
      <c r="W1640" s="14"/>
      <c r="X1640" s="1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c r="BB1640" s="4"/>
      <c r="BC1640" s="4"/>
      <c r="BD1640" s="4"/>
      <c r="BE1640" s="4"/>
      <c r="BG1640" s="4"/>
      <c r="BH1640" s="4"/>
    </row>
    <row r="1641" spans="1:60" x14ac:dyDescent="0.35">
      <c r="A1641" s="4"/>
      <c r="B1641" s="8" t="str">
        <f t="shared" si="114"/>
        <v/>
      </c>
      <c r="D1641" s="6" t="str">
        <f t="shared" si="115"/>
        <v/>
      </c>
      <c r="E1641" s="6" t="str">
        <f t="shared" si="116"/>
        <v/>
      </c>
      <c r="F1641" s="6" t="str">
        <f t="shared" si="117"/>
        <v/>
      </c>
      <c r="G1641" s="4"/>
      <c r="H1641" s="4"/>
      <c r="I1641" s="4"/>
      <c r="J1641" s="4"/>
      <c r="K1641" s="4"/>
      <c r="L1641" s="4"/>
      <c r="M1641" s="4"/>
      <c r="N1641" s="4"/>
      <c r="O1641" s="4"/>
      <c r="P1641" s="4"/>
      <c r="Q1641" s="4"/>
      <c r="R1641" s="14"/>
      <c r="S1641" s="14"/>
      <c r="T1641" s="14"/>
      <c r="U1641" s="14"/>
      <c r="V1641" s="14"/>
      <c r="W1641" s="14"/>
      <c r="X1641" s="1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c r="BB1641" s="4"/>
      <c r="BC1641" s="4"/>
      <c r="BD1641" s="4"/>
      <c r="BE1641" s="4"/>
      <c r="BG1641" s="4"/>
      <c r="BH1641" s="4"/>
    </row>
    <row r="1642" spans="1:60" x14ac:dyDescent="0.35">
      <c r="A1642" s="4"/>
      <c r="B1642" s="8" t="str">
        <f t="shared" si="114"/>
        <v/>
      </c>
      <c r="D1642" s="6" t="str">
        <f t="shared" si="115"/>
        <v/>
      </c>
      <c r="E1642" s="6" t="str">
        <f t="shared" si="116"/>
        <v/>
      </c>
      <c r="F1642" s="6" t="str">
        <f t="shared" si="117"/>
        <v/>
      </c>
      <c r="G1642" s="4"/>
      <c r="H1642" s="4"/>
      <c r="I1642" s="4"/>
      <c r="J1642" s="4"/>
      <c r="K1642" s="4"/>
      <c r="L1642" s="4"/>
      <c r="M1642" s="4"/>
      <c r="N1642" s="4"/>
      <c r="O1642" s="4"/>
      <c r="P1642" s="4"/>
      <c r="Q1642" s="4"/>
      <c r="R1642" s="14"/>
      <c r="S1642" s="14"/>
      <c r="T1642" s="14"/>
      <c r="U1642" s="14"/>
      <c r="V1642" s="14"/>
      <c r="W1642" s="14"/>
      <c r="X1642" s="1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c r="AX1642" s="4"/>
      <c r="AY1642" s="4"/>
      <c r="AZ1642" s="4"/>
      <c r="BA1642" s="4"/>
      <c r="BB1642" s="4"/>
      <c r="BC1642" s="4"/>
      <c r="BD1642" s="4"/>
      <c r="BE1642" s="4"/>
      <c r="BG1642" s="4"/>
      <c r="BH1642" s="4"/>
    </row>
    <row r="1643" spans="1:60" x14ac:dyDescent="0.35">
      <c r="A1643" s="4"/>
      <c r="B1643" s="8" t="str">
        <f t="shared" si="114"/>
        <v/>
      </c>
      <c r="D1643" s="6" t="str">
        <f t="shared" si="115"/>
        <v/>
      </c>
      <c r="E1643" s="6" t="str">
        <f t="shared" si="116"/>
        <v/>
      </c>
      <c r="F1643" s="6" t="str">
        <f t="shared" si="117"/>
        <v/>
      </c>
      <c r="G1643" s="4"/>
      <c r="H1643" s="4"/>
      <c r="I1643" s="4"/>
      <c r="J1643" s="4"/>
      <c r="K1643" s="4"/>
      <c r="L1643" s="4"/>
      <c r="M1643" s="4"/>
      <c r="N1643" s="4"/>
      <c r="O1643" s="4"/>
      <c r="P1643" s="4"/>
      <c r="Q1643" s="4"/>
      <c r="R1643" s="14"/>
      <c r="S1643" s="14"/>
      <c r="T1643" s="14"/>
      <c r="U1643" s="14"/>
      <c r="V1643" s="14"/>
      <c r="W1643" s="14"/>
      <c r="X1643" s="1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c r="BB1643" s="4"/>
      <c r="BC1643" s="4"/>
      <c r="BD1643" s="4"/>
      <c r="BE1643" s="4"/>
      <c r="BG1643" s="4"/>
      <c r="BH1643" s="4"/>
    </row>
    <row r="1644" spans="1:60" x14ac:dyDescent="0.35">
      <c r="A1644" s="4"/>
      <c r="B1644" s="8" t="str">
        <f t="shared" si="114"/>
        <v/>
      </c>
      <c r="D1644" s="6" t="str">
        <f t="shared" si="115"/>
        <v/>
      </c>
      <c r="E1644" s="6" t="str">
        <f t="shared" si="116"/>
        <v/>
      </c>
      <c r="F1644" s="6" t="str">
        <f t="shared" si="117"/>
        <v/>
      </c>
      <c r="G1644" s="4"/>
      <c r="H1644" s="4"/>
      <c r="I1644" s="4"/>
      <c r="J1644" s="4"/>
      <c r="K1644" s="4"/>
      <c r="L1644" s="4"/>
      <c r="M1644" s="4"/>
      <c r="N1644" s="4"/>
      <c r="O1644" s="4"/>
      <c r="P1644" s="4"/>
      <c r="Q1644" s="4"/>
      <c r="R1644" s="14"/>
      <c r="S1644" s="14"/>
      <c r="T1644" s="14"/>
      <c r="U1644" s="14"/>
      <c r="V1644" s="14"/>
      <c r="W1644" s="14"/>
      <c r="X1644" s="1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c r="BB1644" s="4"/>
      <c r="BC1644" s="4"/>
      <c r="BD1644" s="4"/>
      <c r="BE1644" s="4"/>
      <c r="BG1644" s="4"/>
      <c r="BH1644" s="4"/>
    </row>
    <row r="1645" spans="1:60" x14ac:dyDescent="0.35">
      <c r="A1645" s="4"/>
      <c r="B1645" s="8" t="str">
        <f t="shared" si="114"/>
        <v/>
      </c>
      <c r="D1645" s="6" t="str">
        <f t="shared" si="115"/>
        <v/>
      </c>
      <c r="E1645" s="6" t="str">
        <f t="shared" si="116"/>
        <v/>
      </c>
      <c r="F1645" s="6" t="str">
        <f t="shared" si="117"/>
        <v/>
      </c>
      <c r="G1645" s="4"/>
      <c r="H1645" s="4"/>
      <c r="I1645" s="4"/>
      <c r="J1645" s="4"/>
      <c r="K1645" s="4"/>
      <c r="L1645" s="4"/>
      <c r="M1645" s="4"/>
      <c r="N1645" s="4"/>
      <c r="O1645" s="4"/>
      <c r="P1645" s="4"/>
      <c r="Q1645" s="4"/>
      <c r="R1645" s="14"/>
      <c r="S1645" s="14"/>
      <c r="T1645" s="14"/>
      <c r="U1645" s="14"/>
      <c r="V1645" s="14"/>
      <c r="W1645" s="14"/>
      <c r="X1645" s="1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c r="AX1645" s="4"/>
      <c r="AY1645" s="4"/>
      <c r="AZ1645" s="4"/>
      <c r="BA1645" s="4"/>
      <c r="BB1645" s="4"/>
      <c r="BC1645" s="4"/>
      <c r="BD1645" s="4"/>
      <c r="BE1645" s="4"/>
      <c r="BG1645" s="4"/>
      <c r="BH1645" s="4"/>
    </row>
    <row r="1646" spans="1:60" x14ac:dyDescent="0.35">
      <c r="A1646" s="4"/>
      <c r="B1646" s="8" t="str">
        <f t="shared" si="114"/>
        <v/>
      </c>
      <c r="D1646" s="6" t="str">
        <f t="shared" si="115"/>
        <v/>
      </c>
      <c r="E1646" s="6" t="str">
        <f t="shared" si="116"/>
        <v/>
      </c>
      <c r="F1646" s="6" t="str">
        <f t="shared" si="117"/>
        <v/>
      </c>
      <c r="G1646" s="4"/>
      <c r="H1646" s="4"/>
      <c r="I1646" s="4"/>
      <c r="J1646" s="4"/>
      <c r="K1646" s="4"/>
      <c r="L1646" s="4"/>
      <c r="M1646" s="4"/>
      <c r="N1646" s="4"/>
      <c r="O1646" s="4"/>
      <c r="P1646" s="4"/>
      <c r="Q1646" s="4"/>
      <c r="R1646" s="14"/>
      <c r="S1646" s="14"/>
      <c r="T1646" s="14"/>
      <c r="U1646" s="14"/>
      <c r="V1646" s="14"/>
      <c r="W1646" s="14"/>
      <c r="X1646" s="14"/>
      <c r="Y1646" s="4"/>
      <c r="Z1646" s="4"/>
      <c r="AA1646" s="4"/>
      <c r="AB1646" s="4"/>
      <c r="AC1646" s="4"/>
      <c r="AD1646" s="4"/>
      <c r="AE1646" s="4"/>
      <c r="AF1646" s="4"/>
      <c r="AG1646" s="4"/>
      <c r="AH1646" s="4"/>
      <c r="AI1646" s="4"/>
      <c r="AJ1646" s="4"/>
      <c r="AK1646" s="4"/>
      <c r="AL1646" s="4"/>
      <c r="AM1646" s="4"/>
      <c r="AN1646" s="4"/>
      <c r="AO1646" s="4"/>
      <c r="AP1646" s="4"/>
      <c r="AQ1646" s="4"/>
      <c r="AR1646" s="4"/>
      <c r="AS1646" s="4"/>
      <c r="AT1646" s="4"/>
      <c r="AU1646" s="4"/>
      <c r="AV1646" s="4"/>
      <c r="AW1646" s="4"/>
      <c r="AX1646" s="4"/>
      <c r="AY1646" s="4"/>
      <c r="AZ1646" s="4"/>
      <c r="BA1646" s="4"/>
      <c r="BB1646" s="4"/>
      <c r="BC1646" s="4"/>
      <c r="BD1646" s="4"/>
      <c r="BE1646" s="4"/>
      <c r="BG1646" s="4"/>
      <c r="BH1646" s="4"/>
    </row>
    <row r="1647" spans="1:60" x14ac:dyDescent="0.35">
      <c r="A1647" s="4"/>
      <c r="B1647" s="8" t="str">
        <f t="shared" si="114"/>
        <v/>
      </c>
      <c r="D1647" s="6" t="str">
        <f t="shared" si="115"/>
        <v/>
      </c>
      <c r="E1647" s="6" t="str">
        <f t="shared" si="116"/>
        <v/>
      </c>
      <c r="F1647" s="6" t="str">
        <f t="shared" si="117"/>
        <v/>
      </c>
      <c r="G1647" s="4"/>
      <c r="H1647" s="4"/>
      <c r="I1647" s="4"/>
      <c r="J1647" s="4"/>
      <c r="K1647" s="4"/>
      <c r="L1647" s="4"/>
      <c r="M1647" s="4"/>
      <c r="N1647" s="4"/>
      <c r="O1647" s="4"/>
      <c r="P1647" s="4"/>
      <c r="Q1647" s="4"/>
      <c r="R1647" s="14"/>
      <c r="S1647" s="14"/>
      <c r="T1647" s="14"/>
      <c r="U1647" s="14"/>
      <c r="V1647" s="14"/>
      <c r="W1647" s="14"/>
      <c r="X1647" s="1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c r="BA1647" s="4"/>
      <c r="BB1647" s="4"/>
      <c r="BC1647" s="4"/>
      <c r="BD1647" s="4"/>
      <c r="BE1647" s="4"/>
      <c r="BG1647" s="4"/>
      <c r="BH1647" s="4"/>
    </row>
    <row r="1648" spans="1:60" x14ac:dyDescent="0.35">
      <c r="A1648" s="4"/>
      <c r="B1648" s="8" t="str">
        <f t="shared" si="114"/>
        <v/>
      </c>
      <c r="D1648" s="6" t="str">
        <f t="shared" si="115"/>
        <v/>
      </c>
      <c r="E1648" s="6" t="str">
        <f t="shared" si="116"/>
        <v/>
      </c>
      <c r="F1648" s="6" t="str">
        <f t="shared" si="117"/>
        <v/>
      </c>
      <c r="G1648" s="4"/>
      <c r="H1648" s="4"/>
      <c r="I1648" s="4"/>
      <c r="J1648" s="4"/>
      <c r="K1648" s="4"/>
      <c r="L1648" s="4"/>
      <c r="M1648" s="4"/>
      <c r="N1648" s="4"/>
      <c r="O1648" s="4"/>
      <c r="P1648" s="4"/>
      <c r="Q1648" s="4"/>
      <c r="R1648" s="14"/>
      <c r="S1648" s="14"/>
      <c r="T1648" s="14"/>
      <c r="U1648" s="14"/>
      <c r="V1648" s="14"/>
      <c r="W1648" s="14"/>
      <c r="X1648" s="1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c r="BB1648" s="4"/>
      <c r="BC1648" s="4"/>
      <c r="BD1648" s="4"/>
      <c r="BE1648" s="4"/>
      <c r="BG1648" s="4"/>
      <c r="BH1648" s="4"/>
    </row>
    <row r="1649" spans="1:60" x14ac:dyDescent="0.35">
      <c r="A1649" s="4"/>
      <c r="B1649" s="8" t="str">
        <f t="shared" si="114"/>
        <v/>
      </c>
      <c r="D1649" s="6" t="str">
        <f t="shared" si="115"/>
        <v/>
      </c>
      <c r="E1649" s="6" t="str">
        <f t="shared" si="116"/>
        <v/>
      </c>
      <c r="F1649" s="6" t="str">
        <f t="shared" si="117"/>
        <v/>
      </c>
      <c r="G1649" s="4"/>
      <c r="H1649" s="4"/>
      <c r="I1649" s="4"/>
      <c r="J1649" s="4"/>
      <c r="K1649" s="4"/>
      <c r="L1649" s="4"/>
      <c r="M1649" s="4"/>
      <c r="N1649" s="4"/>
      <c r="O1649" s="4"/>
      <c r="P1649" s="4"/>
      <c r="Q1649" s="4"/>
      <c r="R1649" s="14"/>
      <c r="S1649" s="14"/>
      <c r="T1649" s="14"/>
      <c r="U1649" s="14"/>
      <c r="V1649" s="14"/>
      <c r="W1649" s="14"/>
      <c r="X1649" s="1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c r="BB1649" s="4"/>
      <c r="BC1649" s="4"/>
      <c r="BD1649" s="4"/>
      <c r="BE1649" s="4"/>
      <c r="BG1649" s="4"/>
      <c r="BH1649" s="4"/>
    </row>
    <row r="1650" spans="1:60" x14ac:dyDescent="0.35">
      <c r="A1650" s="4"/>
      <c r="B1650" s="8" t="str">
        <f t="shared" si="114"/>
        <v/>
      </c>
      <c r="D1650" s="6" t="str">
        <f t="shared" si="115"/>
        <v/>
      </c>
      <c r="E1650" s="6" t="str">
        <f t="shared" si="116"/>
        <v/>
      </c>
      <c r="F1650" s="6" t="str">
        <f t="shared" si="117"/>
        <v/>
      </c>
      <c r="G1650" s="4"/>
      <c r="H1650" s="4"/>
      <c r="I1650" s="4"/>
      <c r="J1650" s="4"/>
      <c r="K1650" s="4"/>
      <c r="L1650" s="4"/>
      <c r="M1650" s="4"/>
      <c r="N1650" s="4"/>
      <c r="O1650" s="4"/>
      <c r="P1650" s="4"/>
      <c r="Q1650" s="4"/>
      <c r="R1650" s="14"/>
      <c r="S1650" s="14"/>
      <c r="T1650" s="14"/>
      <c r="U1650" s="14"/>
      <c r="V1650" s="14"/>
      <c r="W1650" s="14"/>
      <c r="X1650" s="1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c r="BB1650" s="4"/>
      <c r="BC1650" s="4"/>
      <c r="BD1650" s="4"/>
      <c r="BE1650" s="4"/>
      <c r="BG1650" s="4"/>
      <c r="BH1650" s="4"/>
    </row>
    <row r="1651" spans="1:60" x14ac:dyDescent="0.35">
      <c r="A1651" s="4"/>
      <c r="B1651" s="8" t="str">
        <f t="shared" si="114"/>
        <v/>
      </c>
      <c r="D1651" s="6" t="str">
        <f t="shared" si="115"/>
        <v/>
      </c>
      <c r="E1651" s="6" t="str">
        <f t="shared" si="116"/>
        <v/>
      </c>
      <c r="F1651" s="6" t="str">
        <f t="shared" si="117"/>
        <v/>
      </c>
      <c r="G1651" s="4"/>
      <c r="H1651" s="4"/>
      <c r="I1651" s="4"/>
      <c r="J1651" s="4"/>
      <c r="K1651" s="4"/>
      <c r="L1651" s="4"/>
      <c r="M1651" s="4"/>
      <c r="N1651" s="4"/>
      <c r="O1651" s="4"/>
      <c r="P1651" s="4"/>
      <c r="Q1651" s="4"/>
      <c r="R1651" s="14"/>
      <c r="S1651" s="14"/>
      <c r="T1651" s="14"/>
      <c r="U1651" s="14"/>
      <c r="V1651" s="14"/>
      <c r="W1651" s="14"/>
      <c r="X1651" s="1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c r="BB1651" s="4"/>
      <c r="BC1651" s="4"/>
      <c r="BD1651" s="4"/>
      <c r="BE1651" s="4"/>
      <c r="BG1651" s="4"/>
      <c r="BH1651" s="4"/>
    </row>
    <row r="1652" spans="1:60" x14ac:dyDescent="0.35">
      <c r="A1652" s="4"/>
      <c r="B1652" s="8" t="str">
        <f t="shared" si="114"/>
        <v/>
      </c>
      <c r="D1652" s="6" t="str">
        <f t="shared" si="115"/>
        <v/>
      </c>
      <c r="E1652" s="6" t="str">
        <f t="shared" si="116"/>
        <v/>
      </c>
      <c r="F1652" s="6" t="str">
        <f t="shared" si="117"/>
        <v/>
      </c>
      <c r="G1652" s="4"/>
      <c r="H1652" s="4"/>
      <c r="I1652" s="4"/>
      <c r="J1652" s="4"/>
      <c r="K1652" s="4"/>
      <c r="L1652" s="4"/>
      <c r="M1652" s="4"/>
      <c r="N1652" s="4"/>
      <c r="O1652" s="4"/>
      <c r="P1652" s="4"/>
      <c r="Q1652" s="4"/>
      <c r="R1652" s="14"/>
      <c r="S1652" s="14"/>
      <c r="T1652" s="14"/>
      <c r="U1652" s="14"/>
      <c r="V1652" s="14"/>
      <c r="W1652" s="14"/>
      <c r="X1652" s="1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c r="BB1652" s="4"/>
      <c r="BC1652" s="4"/>
      <c r="BD1652" s="4"/>
      <c r="BE1652" s="4"/>
      <c r="BG1652" s="4"/>
      <c r="BH1652" s="4"/>
    </row>
    <row r="1653" spans="1:60" x14ac:dyDescent="0.35">
      <c r="A1653" s="4"/>
      <c r="B1653" s="8" t="str">
        <f t="shared" si="114"/>
        <v/>
      </c>
      <c r="D1653" s="6" t="str">
        <f t="shared" si="115"/>
        <v/>
      </c>
      <c r="E1653" s="6" t="str">
        <f t="shared" si="116"/>
        <v/>
      </c>
      <c r="F1653" s="6" t="str">
        <f t="shared" si="117"/>
        <v/>
      </c>
      <c r="G1653" s="4"/>
      <c r="H1653" s="4"/>
      <c r="I1653" s="4"/>
      <c r="J1653" s="4"/>
      <c r="K1653" s="4"/>
      <c r="L1653" s="4"/>
      <c r="M1653" s="4"/>
      <c r="N1653" s="4"/>
      <c r="O1653" s="4"/>
      <c r="P1653" s="4"/>
      <c r="Q1653" s="4"/>
      <c r="R1653" s="14"/>
      <c r="S1653" s="14"/>
      <c r="T1653" s="14"/>
      <c r="U1653" s="14"/>
      <c r="V1653" s="14"/>
      <c r="W1653" s="14"/>
      <c r="X1653" s="1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c r="AX1653" s="4"/>
      <c r="AY1653" s="4"/>
      <c r="AZ1653" s="4"/>
      <c r="BA1653" s="4"/>
      <c r="BB1653" s="4"/>
      <c r="BC1653" s="4"/>
      <c r="BD1653" s="4"/>
      <c r="BE1653" s="4"/>
      <c r="BG1653" s="4"/>
      <c r="BH1653" s="4"/>
    </row>
    <row r="1654" spans="1:60" x14ac:dyDescent="0.35">
      <c r="A1654" s="4"/>
      <c r="B1654" s="8" t="str">
        <f t="shared" si="114"/>
        <v/>
      </c>
      <c r="D1654" s="6" t="str">
        <f t="shared" si="115"/>
        <v/>
      </c>
      <c r="E1654" s="6" t="str">
        <f t="shared" si="116"/>
        <v/>
      </c>
      <c r="F1654" s="6" t="str">
        <f t="shared" si="117"/>
        <v/>
      </c>
      <c r="G1654" s="4"/>
      <c r="H1654" s="4"/>
      <c r="I1654" s="4"/>
      <c r="J1654" s="4"/>
      <c r="K1654" s="4"/>
      <c r="L1654" s="4"/>
      <c r="M1654" s="4"/>
      <c r="N1654" s="4"/>
      <c r="O1654" s="4"/>
      <c r="P1654" s="4"/>
      <c r="Q1654" s="4"/>
      <c r="R1654" s="14"/>
      <c r="S1654" s="14"/>
      <c r="T1654" s="14"/>
      <c r="U1654" s="14"/>
      <c r="V1654" s="14"/>
      <c r="W1654" s="14"/>
      <c r="X1654" s="1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c r="BC1654" s="4"/>
      <c r="BD1654" s="4"/>
      <c r="BE1654" s="4"/>
      <c r="BG1654" s="4"/>
      <c r="BH1654" s="4"/>
    </row>
    <row r="1655" spans="1:60" x14ac:dyDescent="0.35">
      <c r="A1655" s="4"/>
      <c r="B1655" s="8" t="str">
        <f t="shared" si="114"/>
        <v/>
      </c>
      <c r="D1655" s="6" t="str">
        <f t="shared" si="115"/>
        <v/>
      </c>
      <c r="E1655" s="6" t="str">
        <f t="shared" si="116"/>
        <v/>
      </c>
      <c r="F1655" s="6" t="str">
        <f t="shared" si="117"/>
        <v/>
      </c>
      <c r="G1655" s="4"/>
      <c r="H1655" s="4"/>
      <c r="I1655" s="4"/>
      <c r="J1655" s="4"/>
      <c r="K1655" s="4"/>
      <c r="L1655" s="4"/>
      <c r="M1655" s="4"/>
      <c r="N1655" s="4"/>
      <c r="O1655" s="4"/>
      <c r="P1655" s="4"/>
      <c r="Q1655" s="4"/>
      <c r="R1655" s="14"/>
      <c r="S1655" s="14"/>
      <c r="T1655" s="14"/>
      <c r="U1655" s="14"/>
      <c r="V1655" s="14"/>
      <c r="W1655" s="14"/>
      <c r="X1655" s="14"/>
      <c r="Y1655" s="4"/>
      <c r="Z1655" s="4"/>
      <c r="AA1655" s="4"/>
      <c r="AB1655" s="4"/>
      <c r="AC1655" s="4"/>
      <c r="AD1655" s="4"/>
      <c r="AE1655" s="4"/>
      <c r="AF1655" s="4"/>
      <c r="AG1655" s="4"/>
      <c r="AH1655" s="4"/>
      <c r="AI1655" s="4"/>
      <c r="AJ1655" s="4"/>
      <c r="AK1655" s="4"/>
      <c r="AL1655" s="4"/>
      <c r="AM1655" s="4"/>
      <c r="AN1655" s="4"/>
      <c r="AO1655" s="4"/>
      <c r="AP1655" s="4"/>
      <c r="AQ1655" s="4"/>
      <c r="AR1655" s="4"/>
      <c r="AS1655" s="4"/>
      <c r="AT1655" s="4"/>
      <c r="AU1655" s="4"/>
      <c r="AV1655" s="4"/>
      <c r="AW1655" s="4"/>
      <c r="AX1655" s="4"/>
      <c r="AY1655" s="4"/>
      <c r="AZ1655" s="4"/>
      <c r="BA1655" s="4"/>
      <c r="BB1655" s="4"/>
      <c r="BC1655" s="4"/>
      <c r="BD1655" s="4"/>
      <c r="BE1655" s="4"/>
      <c r="BG1655" s="4"/>
      <c r="BH1655" s="4"/>
    </row>
    <row r="1656" spans="1:60" x14ac:dyDescent="0.35">
      <c r="A1656" s="4"/>
      <c r="B1656" s="8" t="str">
        <f t="shared" si="114"/>
        <v/>
      </c>
      <c r="D1656" s="6" t="str">
        <f t="shared" si="115"/>
        <v/>
      </c>
      <c r="E1656" s="6" t="str">
        <f t="shared" si="116"/>
        <v/>
      </c>
      <c r="F1656" s="6" t="str">
        <f t="shared" si="117"/>
        <v/>
      </c>
      <c r="G1656" s="4"/>
      <c r="H1656" s="4"/>
      <c r="I1656" s="4"/>
      <c r="J1656" s="4"/>
      <c r="K1656" s="4"/>
      <c r="L1656" s="4"/>
      <c r="M1656" s="4"/>
      <c r="N1656" s="4"/>
      <c r="O1656" s="4"/>
      <c r="P1656" s="4"/>
      <c r="Q1656" s="4"/>
      <c r="R1656" s="14"/>
      <c r="S1656" s="14"/>
      <c r="T1656" s="14"/>
      <c r="U1656" s="14"/>
      <c r="V1656" s="14"/>
      <c r="W1656" s="14"/>
      <c r="X1656" s="1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c r="BB1656" s="4"/>
      <c r="BC1656" s="4"/>
      <c r="BD1656" s="4"/>
      <c r="BE1656" s="4"/>
      <c r="BG1656" s="4"/>
      <c r="BH1656" s="4"/>
    </row>
    <row r="1657" spans="1:60" x14ac:dyDescent="0.35">
      <c r="A1657" s="4"/>
      <c r="B1657" s="8" t="str">
        <f t="shared" si="114"/>
        <v/>
      </c>
      <c r="D1657" s="6" t="str">
        <f t="shared" si="115"/>
        <v/>
      </c>
      <c r="E1657" s="6" t="str">
        <f t="shared" si="116"/>
        <v/>
      </c>
      <c r="F1657" s="6" t="str">
        <f t="shared" si="117"/>
        <v/>
      </c>
      <c r="G1657" s="4"/>
      <c r="H1657" s="4"/>
      <c r="I1657" s="4"/>
      <c r="J1657" s="4"/>
      <c r="K1657" s="4"/>
      <c r="L1657" s="4"/>
      <c r="M1657" s="4"/>
      <c r="N1657" s="4"/>
      <c r="O1657" s="4"/>
      <c r="P1657" s="4"/>
      <c r="Q1657" s="4"/>
      <c r="R1657" s="14"/>
      <c r="S1657" s="14"/>
      <c r="T1657" s="14"/>
      <c r="U1657" s="14"/>
      <c r="V1657" s="14"/>
      <c r="W1657" s="14"/>
      <c r="X1657" s="14"/>
      <c r="Y1657" s="4"/>
      <c r="Z1657" s="4"/>
      <c r="AA1657" s="4"/>
      <c r="AB1657" s="4"/>
      <c r="AC1657" s="4"/>
      <c r="AD1657" s="4"/>
      <c r="AE1657" s="4"/>
      <c r="AF1657" s="4"/>
      <c r="AG1657" s="4"/>
      <c r="AH1657" s="4"/>
      <c r="AI1657" s="4"/>
      <c r="AJ1657" s="4"/>
      <c r="AK1657" s="4"/>
      <c r="AL1657" s="4"/>
      <c r="AM1657" s="4"/>
      <c r="AN1657" s="4"/>
      <c r="AO1657" s="4"/>
      <c r="AP1657" s="4"/>
      <c r="AQ1657" s="4"/>
      <c r="AR1657" s="4"/>
      <c r="AS1657" s="4"/>
      <c r="AT1657" s="4"/>
      <c r="AU1657" s="4"/>
      <c r="AV1657" s="4"/>
      <c r="AW1657" s="4"/>
      <c r="AX1657" s="4"/>
      <c r="AY1657" s="4"/>
      <c r="AZ1657" s="4"/>
      <c r="BA1657" s="4"/>
      <c r="BB1657" s="4"/>
      <c r="BC1657" s="4"/>
      <c r="BD1657" s="4"/>
      <c r="BE1657" s="4"/>
      <c r="BG1657" s="4"/>
      <c r="BH1657" s="4"/>
    </row>
    <row r="1658" spans="1:60" x14ac:dyDescent="0.35">
      <c r="A1658" s="4"/>
      <c r="B1658" s="8" t="str">
        <f t="shared" si="114"/>
        <v/>
      </c>
      <c r="D1658" s="6" t="str">
        <f t="shared" si="115"/>
        <v/>
      </c>
      <c r="E1658" s="6" t="str">
        <f t="shared" si="116"/>
        <v/>
      </c>
      <c r="F1658" s="6" t="str">
        <f t="shared" si="117"/>
        <v/>
      </c>
      <c r="G1658" s="4"/>
      <c r="H1658" s="4"/>
      <c r="I1658" s="4"/>
      <c r="J1658" s="4"/>
      <c r="K1658" s="4"/>
      <c r="L1658" s="4"/>
      <c r="M1658" s="4"/>
      <c r="N1658" s="4"/>
      <c r="O1658" s="4"/>
      <c r="P1658" s="4"/>
      <c r="Q1658" s="4"/>
      <c r="R1658" s="14"/>
      <c r="S1658" s="14"/>
      <c r="T1658" s="14"/>
      <c r="U1658" s="14"/>
      <c r="V1658" s="14"/>
      <c r="W1658" s="14"/>
      <c r="X1658" s="14"/>
      <c r="Y1658" s="4"/>
      <c r="Z1658" s="4"/>
      <c r="AA1658" s="4"/>
      <c r="AB1658" s="4"/>
      <c r="AC1658" s="4"/>
      <c r="AD1658" s="4"/>
      <c r="AE1658" s="4"/>
      <c r="AF1658" s="4"/>
      <c r="AG1658" s="4"/>
      <c r="AH1658" s="4"/>
      <c r="AI1658" s="4"/>
      <c r="AJ1658" s="4"/>
      <c r="AK1658" s="4"/>
      <c r="AL1658" s="4"/>
      <c r="AM1658" s="4"/>
      <c r="AN1658" s="4"/>
      <c r="AO1658" s="4"/>
      <c r="AP1658" s="4"/>
      <c r="AQ1658" s="4"/>
      <c r="AR1658" s="4"/>
      <c r="AS1658" s="4"/>
      <c r="AT1658" s="4"/>
      <c r="AU1658" s="4"/>
      <c r="AV1658" s="4"/>
      <c r="AW1658" s="4"/>
      <c r="AX1658" s="4"/>
      <c r="AY1658" s="4"/>
      <c r="AZ1658" s="4"/>
      <c r="BA1658" s="4"/>
      <c r="BB1658" s="4"/>
      <c r="BC1658" s="4"/>
      <c r="BD1658" s="4"/>
      <c r="BE1658" s="4"/>
      <c r="BG1658" s="4"/>
      <c r="BH1658" s="4"/>
    </row>
    <row r="1659" spans="1:60" x14ac:dyDescent="0.35">
      <c r="A1659" s="4"/>
      <c r="B1659" s="8" t="str">
        <f t="shared" si="114"/>
        <v/>
      </c>
      <c r="D1659" s="6" t="str">
        <f t="shared" si="115"/>
        <v/>
      </c>
      <c r="E1659" s="6" t="str">
        <f t="shared" si="116"/>
        <v/>
      </c>
      <c r="F1659" s="6" t="str">
        <f t="shared" si="117"/>
        <v/>
      </c>
      <c r="G1659" s="4"/>
      <c r="H1659" s="4"/>
      <c r="I1659" s="4"/>
      <c r="J1659" s="4"/>
      <c r="K1659" s="4"/>
      <c r="L1659" s="4"/>
      <c r="M1659" s="4"/>
      <c r="N1659" s="4"/>
      <c r="O1659" s="4"/>
      <c r="P1659" s="4"/>
      <c r="Q1659" s="4"/>
      <c r="R1659" s="14"/>
      <c r="S1659" s="14"/>
      <c r="T1659" s="14"/>
      <c r="U1659" s="14"/>
      <c r="V1659" s="14"/>
      <c r="W1659" s="14"/>
      <c r="X1659" s="14"/>
      <c r="Y1659" s="4"/>
      <c r="Z1659" s="4"/>
      <c r="AA1659" s="4"/>
      <c r="AB1659" s="4"/>
      <c r="AC1659" s="4"/>
      <c r="AD1659" s="4"/>
      <c r="AE1659" s="4"/>
      <c r="AF1659" s="4"/>
      <c r="AG1659" s="4"/>
      <c r="AH1659" s="4"/>
      <c r="AI1659" s="4"/>
      <c r="AJ1659" s="4"/>
      <c r="AK1659" s="4"/>
      <c r="AL1659" s="4"/>
      <c r="AM1659" s="4"/>
      <c r="AN1659" s="4"/>
      <c r="AO1659" s="4"/>
      <c r="AP1659" s="4"/>
      <c r="AQ1659" s="4"/>
      <c r="AR1659" s="4"/>
      <c r="AS1659" s="4"/>
      <c r="AT1659" s="4"/>
      <c r="AU1659" s="4"/>
      <c r="AV1659" s="4"/>
      <c r="AW1659" s="4"/>
      <c r="AX1659" s="4"/>
      <c r="AY1659" s="4"/>
      <c r="AZ1659" s="4"/>
      <c r="BA1659" s="4"/>
      <c r="BB1659" s="4"/>
      <c r="BC1659" s="4"/>
      <c r="BD1659" s="4"/>
      <c r="BE1659" s="4"/>
      <c r="BG1659" s="4"/>
      <c r="BH1659" s="4"/>
    </row>
    <row r="1660" spans="1:60" x14ac:dyDescent="0.35">
      <c r="A1660" s="4"/>
      <c r="B1660" s="8" t="str">
        <f t="shared" si="114"/>
        <v/>
      </c>
      <c r="D1660" s="6" t="str">
        <f t="shared" si="115"/>
        <v/>
      </c>
      <c r="E1660" s="6" t="str">
        <f t="shared" si="116"/>
        <v/>
      </c>
      <c r="F1660" s="6" t="str">
        <f t="shared" si="117"/>
        <v/>
      </c>
      <c r="G1660" s="4"/>
      <c r="H1660" s="4"/>
      <c r="I1660" s="4"/>
      <c r="J1660" s="4"/>
      <c r="K1660" s="4"/>
      <c r="L1660" s="4"/>
      <c r="M1660" s="4"/>
      <c r="N1660" s="4"/>
      <c r="O1660" s="4"/>
      <c r="P1660" s="4"/>
      <c r="Q1660" s="4"/>
      <c r="R1660" s="14"/>
      <c r="S1660" s="14"/>
      <c r="T1660" s="14"/>
      <c r="U1660" s="14"/>
      <c r="V1660" s="14"/>
      <c r="W1660" s="14"/>
      <c r="X1660" s="1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c r="BB1660" s="4"/>
      <c r="BC1660" s="4"/>
      <c r="BD1660" s="4"/>
      <c r="BE1660" s="4"/>
      <c r="BG1660" s="4"/>
      <c r="BH1660" s="4"/>
    </row>
    <row r="1661" spans="1:60" x14ac:dyDescent="0.35">
      <c r="A1661" s="4"/>
      <c r="B1661" s="8" t="str">
        <f t="shared" ref="B1661:B1707" si="118">RIGHT(A1661,4)</f>
        <v/>
      </c>
      <c r="D1661" s="6" t="str">
        <f t="shared" ref="D1661:D1724" si="119">IF(C1661="","",VLOOKUP(C1661,district_region,2,FALSE))</f>
        <v/>
      </c>
      <c r="E1661" s="6" t="str">
        <f t="shared" ref="E1661:E1724" si="120">IF(C1661="","",VLOOKUP(C1661,liste_pop,3,FALSE))</f>
        <v/>
      </c>
      <c r="F1661" s="6" t="str">
        <f t="shared" ref="F1661:F1724" si="121">IF(D1661="","",IF(D1661="Dakar",4042240,VLOOKUP(D1661,liste_pop,4,FALSE)))</f>
        <v/>
      </c>
      <c r="G1661" s="4"/>
      <c r="H1661" s="4"/>
      <c r="I1661" s="4"/>
      <c r="J1661" s="4"/>
      <c r="K1661" s="4"/>
      <c r="L1661" s="4"/>
      <c r="M1661" s="4"/>
      <c r="N1661" s="4"/>
      <c r="O1661" s="4"/>
      <c r="P1661" s="4"/>
      <c r="Q1661" s="4"/>
      <c r="R1661" s="14"/>
      <c r="S1661" s="14"/>
      <c r="T1661" s="14"/>
      <c r="U1661" s="14"/>
      <c r="V1661" s="14"/>
      <c r="W1661" s="14"/>
      <c r="X1661" s="14"/>
      <c r="Y1661" s="4"/>
      <c r="Z1661" s="4"/>
      <c r="AA1661" s="4"/>
      <c r="AB1661" s="4"/>
      <c r="AC1661" s="4"/>
      <c r="AD1661" s="4"/>
      <c r="AE1661" s="4"/>
      <c r="AF1661" s="4"/>
      <c r="AG1661" s="4"/>
      <c r="AH1661" s="4"/>
      <c r="AI1661" s="4"/>
      <c r="AJ1661" s="4"/>
      <c r="AK1661" s="4"/>
      <c r="AL1661" s="4"/>
      <c r="AM1661" s="4"/>
      <c r="AN1661" s="4"/>
      <c r="AO1661" s="4"/>
      <c r="AP1661" s="4"/>
      <c r="AQ1661" s="4"/>
      <c r="AR1661" s="4"/>
      <c r="AS1661" s="4"/>
      <c r="AT1661" s="4"/>
      <c r="AU1661" s="4"/>
      <c r="AV1661" s="4"/>
      <c r="AW1661" s="4"/>
      <c r="AX1661" s="4"/>
      <c r="AY1661" s="4"/>
      <c r="AZ1661" s="4"/>
      <c r="BA1661" s="4"/>
      <c r="BB1661" s="4"/>
      <c r="BC1661" s="4"/>
      <c r="BD1661" s="4"/>
      <c r="BE1661" s="4"/>
      <c r="BG1661" s="4"/>
      <c r="BH1661" s="4"/>
    </row>
    <row r="1662" spans="1:60" x14ac:dyDescent="0.35">
      <c r="A1662" s="4"/>
      <c r="B1662" s="8" t="str">
        <f t="shared" si="118"/>
        <v/>
      </c>
      <c r="D1662" s="6" t="str">
        <f t="shared" si="119"/>
        <v/>
      </c>
      <c r="E1662" s="6" t="str">
        <f t="shared" si="120"/>
        <v/>
      </c>
      <c r="F1662" s="6" t="str">
        <f t="shared" si="121"/>
        <v/>
      </c>
      <c r="G1662" s="4"/>
      <c r="H1662" s="4"/>
      <c r="I1662" s="4"/>
      <c r="J1662" s="4"/>
      <c r="K1662" s="4"/>
      <c r="L1662" s="4"/>
      <c r="M1662" s="4"/>
      <c r="N1662" s="4"/>
      <c r="O1662" s="4"/>
      <c r="P1662" s="4"/>
      <c r="Q1662" s="4"/>
      <c r="R1662" s="14"/>
      <c r="S1662" s="14"/>
      <c r="T1662" s="14"/>
      <c r="U1662" s="14"/>
      <c r="V1662" s="14"/>
      <c r="W1662" s="14"/>
      <c r="X1662" s="14"/>
      <c r="Y1662" s="4"/>
      <c r="Z1662" s="4"/>
      <c r="AA1662" s="4"/>
      <c r="AB1662" s="4"/>
      <c r="AC1662" s="4"/>
      <c r="AD1662" s="4"/>
      <c r="AE1662" s="4"/>
      <c r="AF1662" s="4"/>
      <c r="AG1662" s="4"/>
      <c r="AH1662" s="4"/>
      <c r="AI1662" s="4"/>
      <c r="AJ1662" s="4"/>
      <c r="AK1662" s="4"/>
      <c r="AL1662" s="4"/>
      <c r="AM1662" s="4"/>
      <c r="AN1662" s="4"/>
      <c r="AO1662" s="4"/>
      <c r="AP1662" s="4"/>
      <c r="AQ1662" s="4"/>
      <c r="AR1662" s="4"/>
      <c r="AS1662" s="4"/>
      <c r="AT1662" s="4"/>
      <c r="AU1662" s="4"/>
      <c r="AV1662" s="4"/>
      <c r="AW1662" s="4"/>
      <c r="AX1662" s="4"/>
      <c r="AY1662" s="4"/>
      <c r="AZ1662" s="4"/>
      <c r="BA1662" s="4"/>
      <c r="BB1662" s="4"/>
      <c r="BC1662" s="4"/>
      <c r="BD1662" s="4"/>
      <c r="BE1662" s="4"/>
      <c r="BG1662" s="4"/>
      <c r="BH1662" s="4"/>
    </row>
    <row r="1663" spans="1:60" x14ac:dyDescent="0.35">
      <c r="A1663" s="4"/>
      <c r="B1663" s="8" t="str">
        <f t="shared" si="118"/>
        <v/>
      </c>
      <c r="D1663" s="6" t="str">
        <f t="shared" si="119"/>
        <v/>
      </c>
      <c r="E1663" s="6" t="str">
        <f t="shared" si="120"/>
        <v/>
      </c>
      <c r="F1663" s="6" t="str">
        <f t="shared" si="121"/>
        <v/>
      </c>
      <c r="G1663" s="4"/>
      <c r="H1663" s="4"/>
      <c r="I1663" s="4"/>
      <c r="J1663" s="4"/>
      <c r="K1663" s="4"/>
      <c r="L1663" s="4"/>
      <c r="M1663" s="4"/>
      <c r="N1663" s="4"/>
      <c r="O1663" s="4"/>
      <c r="P1663" s="4"/>
      <c r="Q1663" s="4"/>
      <c r="R1663" s="14"/>
      <c r="S1663" s="14"/>
      <c r="T1663" s="14"/>
      <c r="U1663" s="14"/>
      <c r="V1663" s="14"/>
      <c r="W1663" s="14"/>
      <c r="X1663" s="14"/>
      <c r="Y1663" s="4"/>
      <c r="Z1663" s="4"/>
      <c r="AA1663" s="4"/>
      <c r="AB1663" s="4"/>
      <c r="AC1663" s="4"/>
      <c r="AD1663" s="4"/>
      <c r="AE1663" s="4"/>
      <c r="AF1663" s="4"/>
      <c r="AG1663" s="4"/>
      <c r="AH1663" s="4"/>
      <c r="AI1663" s="4"/>
      <c r="AJ1663" s="4"/>
      <c r="AK1663" s="4"/>
      <c r="AL1663" s="4"/>
      <c r="AM1663" s="4"/>
      <c r="AN1663" s="4"/>
      <c r="AO1663" s="4"/>
      <c r="AP1663" s="4"/>
      <c r="AQ1663" s="4"/>
      <c r="AR1663" s="4"/>
      <c r="AS1663" s="4"/>
      <c r="AT1663" s="4"/>
      <c r="AU1663" s="4"/>
      <c r="AV1663" s="4"/>
      <c r="AW1663" s="4"/>
      <c r="AX1663" s="4"/>
      <c r="AY1663" s="4"/>
      <c r="AZ1663" s="4"/>
      <c r="BA1663" s="4"/>
      <c r="BB1663" s="4"/>
      <c r="BC1663" s="4"/>
      <c r="BD1663" s="4"/>
      <c r="BE1663" s="4"/>
      <c r="BG1663" s="4"/>
      <c r="BH1663" s="4"/>
    </row>
    <row r="1664" spans="1:60" x14ac:dyDescent="0.35">
      <c r="A1664" s="4"/>
      <c r="B1664" s="8" t="str">
        <f t="shared" si="118"/>
        <v/>
      </c>
      <c r="D1664" s="6" t="str">
        <f t="shared" si="119"/>
        <v/>
      </c>
      <c r="E1664" s="6" t="str">
        <f t="shared" si="120"/>
        <v/>
      </c>
      <c r="F1664" s="6" t="str">
        <f t="shared" si="121"/>
        <v/>
      </c>
      <c r="G1664" s="4"/>
      <c r="H1664" s="4"/>
      <c r="I1664" s="4"/>
      <c r="J1664" s="4"/>
      <c r="K1664" s="4"/>
      <c r="L1664" s="4"/>
      <c r="M1664" s="4"/>
      <c r="N1664" s="4"/>
      <c r="O1664" s="4"/>
      <c r="P1664" s="4"/>
      <c r="Q1664" s="4"/>
      <c r="R1664" s="14"/>
      <c r="S1664" s="14"/>
      <c r="T1664" s="14"/>
      <c r="U1664" s="14"/>
      <c r="V1664" s="14"/>
      <c r="W1664" s="14"/>
      <c r="X1664" s="1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c r="BA1664" s="4"/>
      <c r="BB1664" s="4"/>
      <c r="BC1664" s="4"/>
      <c r="BD1664" s="4"/>
      <c r="BE1664" s="4"/>
      <c r="BG1664" s="4"/>
      <c r="BH1664" s="4"/>
    </row>
    <row r="1665" spans="1:60" x14ac:dyDescent="0.35">
      <c r="A1665" s="4"/>
      <c r="B1665" s="8" t="str">
        <f t="shared" si="118"/>
        <v/>
      </c>
      <c r="D1665" s="6" t="str">
        <f t="shared" si="119"/>
        <v/>
      </c>
      <c r="E1665" s="6" t="str">
        <f t="shared" si="120"/>
        <v/>
      </c>
      <c r="F1665" s="6" t="str">
        <f t="shared" si="121"/>
        <v/>
      </c>
      <c r="G1665" s="4"/>
      <c r="H1665" s="4"/>
      <c r="I1665" s="4"/>
      <c r="J1665" s="4"/>
      <c r="K1665" s="4"/>
      <c r="L1665" s="4"/>
      <c r="M1665" s="4"/>
      <c r="N1665" s="4"/>
      <c r="O1665" s="4"/>
      <c r="P1665" s="4"/>
      <c r="Q1665" s="4"/>
      <c r="R1665" s="14"/>
      <c r="S1665" s="14"/>
      <c r="T1665" s="14"/>
      <c r="U1665" s="14"/>
      <c r="V1665" s="14"/>
      <c r="W1665" s="14"/>
      <c r="X1665" s="14"/>
      <c r="Y1665" s="4"/>
      <c r="Z1665" s="4"/>
      <c r="AA1665" s="4"/>
      <c r="AB1665" s="4"/>
      <c r="AC1665" s="4"/>
      <c r="AD1665" s="4"/>
      <c r="AE1665" s="4"/>
      <c r="AF1665" s="4"/>
      <c r="AG1665" s="4"/>
      <c r="AH1665" s="4"/>
      <c r="AI1665" s="4"/>
      <c r="AJ1665" s="4"/>
      <c r="AK1665" s="4"/>
      <c r="AL1665" s="4"/>
      <c r="AM1665" s="4"/>
      <c r="AN1665" s="4"/>
      <c r="AO1665" s="4"/>
      <c r="AP1665" s="4"/>
      <c r="AQ1665" s="4"/>
      <c r="AR1665" s="4"/>
      <c r="AS1665" s="4"/>
      <c r="AT1665" s="4"/>
      <c r="AU1665" s="4"/>
      <c r="AV1665" s="4"/>
      <c r="AW1665" s="4"/>
      <c r="AX1665" s="4"/>
      <c r="AY1665" s="4"/>
      <c r="AZ1665" s="4"/>
      <c r="BA1665" s="4"/>
      <c r="BB1665" s="4"/>
      <c r="BC1665" s="4"/>
      <c r="BD1665" s="4"/>
      <c r="BE1665" s="4"/>
      <c r="BG1665" s="4"/>
      <c r="BH1665" s="4"/>
    </row>
    <row r="1666" spans="1:60" x14ac:dyDescent="0.35">
      <c r="A1666" s="4"/>
      <c r="B1666" s="8" t="str">
        <f t="shared" si="118"/>
        <v/>
      </c>
      <c r="D1666" s="6" t="str">
        <f t="shared" si="119"/>
        <v/>
      </c>
      <c r="E1666" s="6" t="str">
        <f t="shared" si="120"/>
        <v/>
      </c>
      <c r="F1666" s="6" t="str">
        <f t="shared" si="121"/>
        <v/>
      </c>
      <c r="G1666" s="4"/>
      <c r="H1666" s="4"/>
      <c r="I1666" s="4"/>
      <c r="J1666" s="4"/>
      <c r="K1666" s="4"/>
      <c r="L1666" s="4"/>
      <c r="M1666" s="4"/>
      <c r="N1666" s="4"/>
      <c r="O1666" s="4"/>
      <c r="P1666" s="4"/>
      <c r="Q1666" s="4"/>
      <c r="R1666" s="14"/>
      <c r="S1666" s="14"/>
      <c r="T1666" s="14"/>
      <c r="U1666" s="14"/>
      <c r="V1666" s="14"/>
      <c r="W1666" s="14"/>
      <c r="X1666" s="1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c r="AX1666" s="4"/>
      <c r="AY1666" s="4"/>
      <c r="AZ1666" s="4"/>
      <c r="BA1666" s="4"/>
      <c r="BB1666" s="4"/>
      <c r="BC1666" s="4"/>
      <c r="BD1666" s="4"/>
      <c r="BE1666" s="4"/>
      <c r="BG1666" s="4"/>
      <c r="BH1666" s="4"/>
    </row>
    <row r="1667" spans="1:60" x14ac:dyDescent="0.35">
      <c r="A1667" s="4"/>
      <c r="B1667" s="8" t="str">
        <f t="shared" si="118"/>
        <v/>
      </c>
      <c r="D1667" s="6" t="str">
        <f t="shared" si="119"/>
        <v/>
      </c>
      <c r="E1667" s="6" t="str">
        <f t="shared" si="120"/>
        <v/>
      </c>
      <c r="F1667" s="6" t="str">
        <f t="shared" si="121"/>
        <v/>
      </c>
      <c r="G1667" s="4"/>
      <c r="H1667" s="4"/>
      <c r="I1667" s="4"/>
      <c r="J1667" s="4"/>
      <c r="K1667" s="4"/>
      <c r="L1667" s="4"/>
      <c r="M1667" s="4"/>
      <c r="N1667" s="4"/>
      <c r="O1667" s="4"/>
      <c r="P1667" s="4"/>
      <c r="Q1667" s="4"/>
      <c r="R1667" s="14"/>
      <c r="S1667" s="14"/>
      <c r="T1667" s="14"/>
      <c r="U1667" s="14"/>
      <c r="V1667" s="14"/>
      <c r="W1667" s="14"/>
      <c r="X1667" s="14"/>
      <c r="Y1667" s="4"/>
      <c r="Z1667" s="4"/>
      <c r="AA1667" s="4"/>
      <c r="AB1667" s="4"/>
      <c r="AC1667" s="4"/>
      <c r="AD1667" s="4"/>
      <c r="AE1667" s="4"/>
      <c r="AF1667" s="4"/>
      <c r="AG1667" s="4"/>
      <c r="AH1667" s="4"/>
      <c r="AI1667" s="4"/>
      <c r="AJ1667" s="4"/>
      <c r="AK1667" s="4"/>
      <c r="AL1667" s="4"/>
      <c r="AM1667" s="4"/>
      <c r="AN1667" s="4"/>
      <c r="AO1667" s="4"/>
      <c r="AP1667" s="4"/>
      <c r="AQ1667" s="4"/>
      <c r="AR1667" s="4"/>
      <c r="AS1667" s="4"/>
      <c r="AT1667" s="4"/>
      <c r="AU1667" s="4"/>
      <c r="AV1667" s="4"/>
      <c r="AW1667" s="4"/>
      <c r="AX1667" s="4"/>
      <c r="AY1667" s="4"/>
      <c r="AZ1667" s="4"/>
      <c r="BA1667" s="4"/>
      <c r="BB1667" s="4"/>
      <c r="BC1667" s="4"/>
      <c r="BD1667" s="4"/>
      <c r="BE1667" s="4"/>
      <c r="BG1667" s="4"/>
      <c r="BH1667" s="4"/>
    </row>
    <row r="1668" spans="1:60" x14ac:dyDescent="0.35">
      <c r="A1668" s="4"/>
      <c r="B1668" s="8" t="str">
        <f t="shared" si="118"/>
        <v/>
      </c>
      <c r="D1668" s="6" t="str">
        <f t="shared" si="119"/>
        <v/>
      </c>
      <c r="E1668" s="6" t="str">
        <f t="shared" si="120"/>
        <v/>
      </c>
      <c r="F1668" s="6" t="str">
        <f t="shared" si="121"/>
        <v/>
      </c>
      <c r="G1668" s="4"/>
      <c r="H1668" s="4"/>
      <c r="I1668" s="4"/>
      <c r="J1668" s="4"/>
      <c r="K1668" s="4"/>
      <c r="L1668" s="4"/>
      <c r="M1668" s="4"/>
      <c r="N1668" s="4"/>
      <c r="O1668" s="4"/>
      <c r="P1668" s="4"/>
      <c r="Q1668" s="4"/>
      <c r="R1668" s="14"/>
      <c r="S1668" s="14"/>
      <c r="T1668" s="14"/>
      <c r="U1668" s="14"/>
      <c r="V1668" s="14"/>
      <c r="W1668" s="14"/>
      <c r="X1668" s="1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c r="BB1668" s="4"/>
      <c r="BC1668" s="4"/>
      <c r="BD1668" s="4"/>
      <c r="BE1668" s="4"/>
      <c r="BG1668" s="4"/>
      <c r="BH1668" s="4"/>
    </row>
    <row r="1669" spans="1:60" x14ac:dyDescent="0.35">
      <c r="A1669" s="4"/>
      <c r="B1669" s="8" t="str">
        <f t="shared" si="118"/>
        <v/>
      </c>
      <c r="D1669" s="6" t="str">
        <f t="shared" si="119"/>
        <v/>
      </c>
      <c r="E1669" s="6" t="str">
        <f t="shared" si="120"/>
        <v/>
      </c>
      <c r="F1669" s="6" t="str">
        <f t="shared" si="121"/>
        <v/>
      </c>
      <c r="G1669" s="4"/>
      <c r="H1669" s="4"/>
      <c r="I1669" s="4"/>
      <c r="J1669" s="4"/>
      <c r="K1669" s="4"/>
      <c r="L1669" s="4"/>
      <c r="M1669" s="4"/>
      <c r="N1669" s="4"/>
      <c r="O1669" s="4"/>
      <c r="P1669" s="4"/>
      <c r="Q1669" s="4"/>
      <c r="R1669" s="14"/>
      <c r="S1669" s="14"/>
      <c r="T1669" s="14"/>
      <c r="U1669" s="14"/>
      <c r="V1669" s="14"/>
      <c r="W1669" s="14"/>
      <c r="X1669" s="1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c r="AX1669" s="4"/>
      <c r="AY1669" s="4"/>
      <c r="AZ1669" s="4"/>
      <c r="BA1669" s="4"/>
      <c r="BB1669" s="4"/>
      <c r="BC1669" s="4"/>
      <c r="BD1669" s="4"/>
      <c r="BE1669" s="4"/>
      <c r="BG1669" s="4"/>
      <c r="BH1669" s="4"/>
    </row>
    <row r="1670" spans="1:60" x14ac:dyDescent="0.35">
      <c r="A1670" s="4"/>
      <c r="B1670" s="8" t="str">
        <f t="shared" si="118"/>
        <v/>
      </c>
      <c r="D1670" s="6" t="str">
        <f t="shared" si="119"/>
        <v/>
      </c>
      <c r="E1670" s="6" t="str">
        <f t="shared" si="120"/>
        <v/>
      </c>
      <c r="F1670" s="6" t="str">
        <f t="shared" si="121"/>
        <v/>
      </c>
      <c r="G1670" s="4"/>
      <c r="H1670" s="4"/>
      <c r="I1670" s="4"/>
      <c r="J1670" s="4"/>
      <c r="K1670" s="4"/>
      <c r="L1670" s="4"/>
      <c r="M1670" s="4"/>
      <c r="N1670" s="4"/>
      <c r="O1670" s="4"/>
      <c r="P1670" s="4"/>
      <c r="Q1670" s="4"/>
      <c r="R1670" s="14"/>
      <c r="S1670" s="14"/>
      <c r="T1670" s="14"/>
      <c r="U1670" s="14"/>
      <c r="V1670" s="14"/>
      <c r="W1670" s="14"/>
      <c r="X1670" s="14"/>
      <c r="Y1670" s="4"/>
      <c r="Z1670" s="4"/>
      <c r="AA1670" s="4"/>
      <c r="AB1670" s="4"/>
      <c r="AC1670" s="4"/>
      <c r="AD1670" s="4"/>
      <c r="AE1670" s="4"/>
      <c r="AF1670" s="4"/>
      <c r="AG1670" s="4"/>
      <c r="AH1670" s="4"/>
      <c r="AI1670" s="4"/>
      <c r="AJ1670" s="4"/>
      <c r="AK1670" s="4"/>
      <c r="AL1670" s="4"/>
      <c r="AM1670" s="4"/>
      <c r="AN1670" s="4"/>
      <c r="AO1670" s="4"/>
      <c r="AP1670" s="4"/>
      <c r="AQ1670" s="4"/>
      <c r="AR1670" s="4"/>
      <c r="AS1670" s="4"/>
      <c r="AT1670" s="4"/>
      <c r="AU1670" s="4"/>
      <c r="AV1670" s="4"/>
      <c r="AW1670" s="4"/>
      <c r="AX1670" s="4"/>
      <c r="AY1670" s="4"/>
      <c r="AZ1670" s="4"/>
      <c r="BA1670" s="4"/>
      <c r="BB1670" s="4"/>
      <c r="BC1670" s="4"/>
      <c r="BD1670" s="4"/>
      <c r="BE1670" s="4"/>
      <c r="BG1670" s="4"/>
      <c r="BH1670" s="4"/>
    </row>
    <row r="1671" spans="1:60" x14ac:dyDescent="0.35">
      <c r="A1671" s="4"/>
      <c r="B1671" s="8" t="str">
        <f t="shared" si="118"/>
        <v/>
      </c>
      <c r="D1671" s="6" t="str">
        <f t="shared" si="119"/>
        <v/>
      </c>
      <c r="E1671" s="6" t="str">
        <f t="shared" si="120"/>
        <v/>
      </c>
      <c r="F1671" s="6" t="str">
        <f t="shared" si="121"/>
        <v/>
      </c>
      <c r="G1671" s="4"/>
      <c r="H1671" s="4"/>
      <c r="I1671" s="4"/>
      <c r="J1671" s="4"/>
      <c r="K1671" s="4"/>
      <c r="L1671" s="4"/>
      <c r="M1671" s="4"/>
      <c r="N1671" s="4"/>
      <c r="O1671" s="4"/>
      <c r="P1671" s="4"/>
      <c r="Q1671" s="4"/>
      <c r="R1671" s="14"/>
      <c r="S1671" s="14"/>
      <c r="T1671" s="14"/>
      <c r="U1671" s="14"/>
      <c r="V1671" s="14"/>
      <c r="W1671" s="14"/>
      <c r="X1671" s="1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c r="AX1671" s="4"/>
      <c r="AY1671" s="4"/>
      <c r="AZ1671" s="4"/>
      <c r="BA1671" s="4"/>
      <c r="BB1671" s="4"/>
      <c r="BC1671" s="4"/>
      <c r="BD1671" s="4"/>
      <c r="BE1671" s="4"/>
      <c r="BG1671" s="4"/>
      <c r="BH1671" s="4"/>
    </row>
    <row r="1672" spans="1:60" x14ac:dyDescent="0.35">
      <c r="A1672" s="4"/>
      <c r="B1672" s="8" t="str">
        <f t="shared" si="118"/>
        <v/>
      </c>
      <c r="D1672" s="6" t="str">
        <f t="shared" si="119"/>
        <v/>
      </c>
      <c r="E1672" s="6" t="str">
        <f t="shared" si="120"/>
        <v/>
      </c>
      <c r="F1672" s="6" t="str">
        <f t="shared" si="121"/>
        <v/>
      </c>
      <c r="G1672" s="4"/>
      <c r="H1672" s="4"/>
      <c r="I1672" s="4"/>
      <c r="J1672" s="4"/>
      <c r="K1672" s="4"/>
      <c r="L1672" s="4"/>
      <c r="M1672" s="4"/>
      <c r="N1672" s="4"/>
      <c r="O1672" s="4"/>
      <c r="P1672" s="4"/>
      <c r="Q1672" s="4"/>
      <c r="R1672" s="14"/>
      <c r="S1672" s="14"/>
      <c r="T1672" s="14"/>
      <c r="U1672" s="14"/>
      <c r="V1672" s="14"/>
      <c r="W1672" s="14"/>
      <c r="X1672" s="14"/>
      <c r="Y1672" s="4"/>
      <c r="Z1672" s="4"/>
      <c r="AA1672" s="4"/>
      <c r="AB1672" s="4"/>
      <c r="AC1672" s="4"/>
      <c r="AD1672" s="4"/>
      <c r="AE1672" s="4"/>
      <c r="AF1672" s="4"/>
      <c r="AG1672" s="4"/>
      <c r="AH1672" s="4"/>
      <c r="AI1672" s="4"/>
      <c r="AJ1672" s="4"/>
      <c r="AK1672" s="4"/>
      <c r="AL1672" s="4"/>
      <c r="AM1672" s="4"/>
      <c r="AN1672" s="4"/>
      <c r="AO1672" s="4"/>
      <c r="AP1672" s="4"/>
      <c r="AQ1672" s="4"/>
      <c r="AR1672" s="4"/>
      <c r="AS1672" s="4"/>
      <c r="AT1672" s="4"/>
      <c r="AU1672" s="4"/>
      <c r="AV1672" s="4"/>
      <c r="AW1672" s="4"/>
      <c r="AX1672" s="4"/>
      <c r="AY1672" s="4"/>
      <c r="AZ1672" s="4"/>
      <c r="BA1672" s="4"/>
      <c r="BB1672" s="4"/>
      <c r="BC1672" s="4"/>
      <c r="BD1672" s="4"/>
      <c r="BE1672" s="4"/>
      <c r="BG1672" s="4"/>
      <c r="BH1672" s="4"/>
    </row>
    <row r="1673" spans="1:60" x14ac:dyDescent="0.35">
      <c r="A1673" s="4"/>
      <c r="B1673" s="8" t="str">
        <f t="shared" si="118"/>
        <v/>
      </c>
      <c r="D1673" s="6" t="str">
        <f t="shared" si="119"/>
        <v/>
      </c>
      <c r="E1673" s="6" t="str">
        <f t="shared" si="120"/>
        <v/>
      </c>
      <c r="F1673" s="6" t="str">
        <f t="shared" si="121"/>
        <v/>
      </c>
      <c r="G1673" s="4"/>
      <c r="H1673" s="4"/>
      <c r="I1673" s="4"/>
      <c r="J1673" s="4"/>
      <c r="K1673" s="4"/>
      <c r="L1673" s="4"/>
      <c r="M1673" s="4"/>
      <c r="N1673" s="4"/>
      <c r="O1673" s="4"/>
      <c r="P1673" s="4"/>
      <c r="Q1673" s="4"/>
      <c r="R1673" s="14"/>
      <c r="S1673" s="14"/>
      <c r="T1673" s="14"/>
      <c r="U1673" s="14"/>
      <c r="V1673" s="14"/>
      <c r="W1673" s="14"/>
      <c r="X1673" s="1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c r="AX1673" s="4"/>
      <c r="AY1673" s="4"/>
      <c r="AZ1673" s="4"/>
      <c r="BA1673" s="4"/>
      <c r="BB1673" s="4"/>
      <c r="BC1673" s="4"/>
      <c r="BD1673" s="4"/>
      <c r="BE1673" s="4"/>
      <c r="BG1673" s="4"/>
      <c r="BH1673" s="4"/>
    </row>
    <row r="1674" spans="1:60" x14ac:dyDescent="0.35">
      <c r="A1674" s="4"/>
      <c r="B1674" s="8" t="str">
        <f t="shared" si="118"/>
        <v/>
      </c>
      <c r="D1674" s="6" t="str">
        <f t="shared" si="119"/>
        <v/>
      </c>
      <c r="E1674" s="6" t="str">
        <f t="shared" si="120"/>
        <v/>
      </c>
      <c r="F1674" s="6" t="str">
        <f t="shared" si="121"/>
        <v/>
      </c>
      <c r="G1674" s="4"/>
      <c r="H1674" s="4"/>
      <c r="I1674" s="4"/>
      <c r="J1674" s="4"/>
      <c r="K1674" s="4"/>
      <c r="L1674" s="4"/>
      <c r="M1674" s="4"/>
      <c r="N1674" s="4"/>
      <c r="O1674" s="4"/>
      <c r="P1674" s="4"/>
      <c r="Q1674" s="4"/>
      <c r="R1674" s="14"/>
      <c r="S1674" s="14"/>
      <c r="T1674" s="14"/>
      <c r="U1674" s="14"/>
      <c r="V1674" s="14"/>
      <c r="W1674" s="14"/>
      <c r="X1674" s="14"/>
      <c r="Y1674" s="4"/>
      <c r="Z1674" s="4"/>
      <c r="AA1674" s="4"/>
      <c r="AB1674" s="4"/>
      <c r="AC1674" s="4"/>
      <c r="AD1674" s="4"/>
      <c r="AE1674" s="4"/>
      <c r="AF1674" s="4"/>
      <c r="AG1674" s="4"/>
      <c r="AH1674" s="4"/>
      <c r="AI1674" s="4"/>
      <c r="AJ1674" s="4"/>
      <c r="AK1674" s="4"/>
      <c r="AL1674" s="4"/>
      <c r="AM1674" s="4"/>
      <c r="AN1674" s="4"/>
      <c r="AO1674" s="4"/>
      <c r="AP1674" s="4"/>
      <c r="AQ1674" s="4"/>
      <c r="AR1674" s="4"/>
      <c r="AS1674" s="4"/>
      <c r="AT1674" s="4"/>
      <c r="AU1674" s="4"/>
      <c r="AV1674" s="4"/>
      <c r="AW1674" s="4"/>
      <c r="AX1674" s="4"/>
      <c r="AY1674" s="4"/>
      <c r="AZ1674" s="4"/>
      <c r="BA1674" s="4"/>
      <c r="BB1674" s="4"/>
      <c r="BC1674" s="4"/>
      <c r="BD1674" s="4"/>
      <c r="BE1674" s="4"/>
      <c r="BG1674" s="4"/>
      <c r="BH1674" s="4"/>
    </row>
    <row r="1675" spans="1:60" x14ac:dyDescent="0.35">
      <c r="A1675" s="4"/>
      <c r="B1675" s="8" t="str">
        <f t="shared" si="118"/>
        <v/>
      </c>
      <c r="D1675" s="6" t="str">
        <f t="shared" si="119"/>
        <v/>
      </c>
      <c r="E1675" s="6" t="str">
        <f t="shared" si="120"/>
        <v/>
      </c>
      <c r="F1675" s="6" t="str">
        <f t="shared" si="121"/>
        <v/>
      </c>
      <c r="G1675" s="4"/>
      <c r="H1675" s="4"/>
      <c r="I1675" s="4"/>
      <c r="J1675" s="4"/>
      <c r="K1675" s="4"/>
      <c r="L1675" s="4"/>
      <c r="M1675" s="4"/>
      <c r="N1675" s="4"/>
      <c r="O1675" s="4"/>
      <c r="P1675" s="4"/>
      <c r="Q1675" s="4"/>
      <c r="R1675" s="14"/>
      <c r="S1675" s="14"/>
      <c r="T1675" s="14"/>
      <c r="U1675" s="14"/>
      <c r="V1675" s="14"/>
      <c r="W1675" s="14"/>
      <c r="X1675" s="1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c r="BC1675" s="4"/>
      <c r="BD1675" s="4"/>
      <c r="BE1675" s="4"/>
      <c r="BG1675" s="4"/>
      <c r="BH1675" s="4"/>
    </row>
    <row r="1676" spans="1:60" x14ac:dyDescent="0.35">
      <c r="A1676" s="4"/>
      <c r="B1676" s="8" t="str">
        <f t="shared" si="118"/>
        <v/>
      </c>
      <c r="D1676" s="6" t="str">
        <f t="shared" si="119"/>
        <v/>
      </c>
      <c r="E1676" s="6" t="str">
        <f t="shared" si="120"/>
        <v/>
      </c>
      <c r="F1676" s="6" t="str">
        <f t="shared" si="121"/>
        <v/>
      </c>
      <c r="G1676" s="4"/>
      <c r="H1676" s="4"/>
      <c r="I1676" s="4"/>
      <c r="J1676" s="4"/>
      <c r="K1676" s="4"/>
      <c r="L1676" s="4"/>
      <c r="M1676" s="4"/>
      <c r="N1676" s="4"/>
      <c r="O1676" s="4"/>
      <c r="P1676" s="4"/>
      <c r="Q1676" s="4"/>
      <c r="R1676" s="14"/>
      <c r="S1676" s="14"/>
      <c r="T1676" s="14"/>
      <c r="U1676" s="14"/>
      <c r="V1676" s="14"/>
      <c r="W1676" s="14"/>
      <c r="X1676" s="14"/>
      <c r="Y1676" s="4"/>
      <c r="Z1676" s="4"/>
      <c r="AA1676" s="4"/>
      <c r="AB1676" s="4"/>
      <c r="AC1676" s="4"/>
      <c r="AD1676" s="4"/>
      <c r="AE1676" s="4"/>
      <c r="AF1676" s="4"/>
      <c r="AG1676" s="4"/>
      <c r="AH1676" s="4"/>
      <c r="AI1676" s="4"/>
      <c r="AJ1676" s="4"/>
      <c r="AK1676" s="4"/>
      <c r="AL1676" s="4"/>
      <c r="AM1676" s="4"/>
      <c r="AN1676" s="4"/>
      <c r="AO1676" s="4"/>
      <c r="AP1676" s="4"/>
      <c r="AQ1676" s="4"/>
      <c r="AR1676" s="4"/>
      <c r="AS1676" s="4"/>
      <c r="AT1676" s="4"/>
      <c r="AU1676" s="4"/>
      <c r="AV1676" s="4"/>
      <c r="AW1676" s="4"/>
      <c r="AX1676" s="4"/>
      <c r="AY1676" s="4"/>
      <c r="AZ1676" s="4"/>
      <c r="BA1676" s="4"/>
      <c r="BB1676" s="4"/>
      <c r="BC1676" s="4"/>
      <c r="BD1676" s="4"/>
      <c r="BE1676" s="4"/>
      <c r="BG1676" s="4"/>
      <c r="BH1676" s="4"/>
    </row>
    <row r="1677" spans="1:60" x14ac:dyDescent="0.35">
      <c r="A1677" s="4"/>
      <c r="B1677" s="8" t="str">
        <f t="shared" si="118"/>
        <v/>
      </c>
      <c r="D1677" s="6" t="str">
        <f t="shared" si="119"/>
        <v/>
      </c>
      <c r="E1677" s="6" t="str">
        <f t="shared" si="120"/>
        <v/>
      </c>
      <c r="F1677" s="6" t="str">
        <f t="shared" si="121"/>
        <v/>
      </c>
      <c r="G1677" s="4"/>
      <c r="H1677" s="4"/>
      <c r="I1677" s="4"/>
      <c r="J1677" s="4"/>
      <c r="K1677" s="4"/>
      <c r="L1677" s="4"/>
      <c r="M1677" s="4"/>
      <c r="N1677" s="4"/>
      <c r="O1677" s="4"/>
      <c r="P1677" s="4"/>
      <c r="Q1677" s="4"/>
      <c r="R1677" s="14"/>
      <c r="S1677" s="14"/>
      <c r="T1677" s="14"/>
      <c r="U1677" s="14"/>
      <c r="V1677" s="14"/>
      <c r="W1677" s="14"/>
      <c r="X1677" s="14"/>
      <c r="Y1677" s="4"/>
      <c r="Z1677" s="4"/>
      <c r="AA1677" s="4"/>
      <c r="AB1677" s="4"/>
      <c r="AC1677" s="4"/>
      <c r="AD1677" s="4"/>
      <c r="AE1677" s="4"/>
      <c r="AF1677" s="4"/>
      <c r="AG1677" s="4"/>
      <c r="AH1677" s="4"/>
      <c r="AI1677" s="4"/>
      <c r="AJ1677" s="4"/>
      <c r="AK1677" s="4"/>
      <c r="AL1677" s="4"/>
      <c r="AM1677" s="4"/>
      <c r="AN1677" s="4"/>
      <c r="AO1677" s="4"/>
      <c r="AP1677" s="4"/>
      <c r="AQ1677" s="4"/>
      <c r="AR1677" s="4"/>
      <c r="AS1677" s="4"/>
      <c r="AT1677" s="4"/>
      <c r="AU1677" s="4"/>
      <c r="AV1677" s="4"/>
      <c r="AW1677" s="4"/>
      <c r="AX1677" s="4"/>
      <c r="AY1677" s="4"/>
      <c r="AZ1677" s="4"/>
      <c r="BA1677" s="4"/>
      <c r="BB1677" s="4"/>
      <c r="BC1677" s="4"/>
      <c r="BD1677" s="4"/>
      <c r="BE1677" s="4"/>
      <c r="BG1677" s="4"/>
      <c r="BH1677" s="4"/>
    </row>
    <row r="1678" spans="1:60" x14ac:dyDescent="0.35">
      <c r="A1678" s="4"/>
      <c r="B1678" s="8" t="str">
        <f t="shared" si="118"/>
        <v/>
      </c>
      <c r="D1678" s="6" t="str">
        <f t="shared" si="119"/>
        <v/>
      </c>
      <c r="E1678" s="6" t="str">
        <f t="shared" si="120"/>
        <v/>
      </c>
      <c r="F1678" s="6" t="str">
        <f t="shared" si="121"/>
        <v/>
      </c>
      <c r="G1678" s="4"/>
      <c r="H1678" s="4"/>
      <c r="I1678" s="4"/>
      <c r="J1678" s="4"/>
      <c r="K1678" s="4"/>
      <c r="L1678" s="4"/>
      <c r="M1678" s="4"/>
      <c r="N1678" s="4"/>
      <c r="O1678" s="4"/>
      <c r="P1678" s="4"/>
      <c r="Q1678" s="4"/>
      <c r="R1678" s="14"/>
      <c r="S1678" s="14"/>
      <c r="T1678" s="14"/>
      <c r="U1678" s="14"/>
      <c r="V1678" s="14"/>
      <c r="W1678" s="14"/>
      <c r="X1678" s="1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c r="BB1678" s="4"/>
      <c r="BC1678" s="4"/>
      <c r="BD1678" s="4"/>
      <c r="BE1678" s="4"/>
      <c r="BG1678" s="4"/>
      <c r="BH1678" s="4"/>
    </row>
    <row r="1679" spans="1:60" x14ac:dyDescent="0.35">
      <c r="A1679" s="4"/>
      <c r="B1679" s="8" t="str">
        <f t="shared" si="118"/>
        <v/>
      </c>
      <c r="D1679" s="6" t="str">
        <f t="shared" si="119"/>
        <v/>
      </c>
      <c r="E1679" s="6" t="str">
        <f t="shared" si="120"/>
        <v/>
      </c>
      <c r="F1679" s="6" t="str">
        <f t="shared" si="121"/>
        <v/>
      </c>
      <c r="G1679" s="4"/>
      <c r="H1679" s="4"/>
      <c r="I1679" s="4"/>
      <c r="J1679" s="4"/>
      <c r="K1679" s="4"/>
      <c r="L1679" s="4"/>
      <c r="M1679" s="4"/>
      <c r="N1679" s="4"/>
      <c r="O1679" s="4"/>
      <c r="P1679" s="4"/>
      <c r="Q1679" s="4"/>
      <c r="R1679" s="14"/>
      <c r="S1679" s="14"/>
      <c r="T1679" s="14"/>
      <c r="U1679" s="14"/>
      <c r="V1679" s="14"/>
      <c r="W1679" s="14"/>
      <c r="X1679" s="1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c r="AX1679" s="4"/>
      <c r="AY1679" s="4"/>
      <c r="AZ1679" s="4"/>
      <c r="BA1679" s="4"/>
      <c r="BB1679" s="4"/>
      <c r="BC1679" s="4"/>
      <c r="BD1679" s="4"/>
      <c r="BE1679" s="4"/>
      <c r="BG1679" s="4"/>
      <c r="BH1679" s="4"/>
    </row>
    <row r="1680" spans="1:60" x14ac:dyDescent="0.35">
      <c r="A1680" s="4"/>
      <c r="B1680" s="8" t="str">
        <f t="shared" si="118"/>
        <v/>
      </c>
      <c r="D1680" s="6" t="str">
        <f t="shared" si="119"/>
        <v/>
      </c>
      <c r="E1680" s="6" t="str">
        <f t="shared" si="120"/>
        <v/>
      </c>
      <c r="F1680" s="6" t="str">
        <f t="shared" si="121"/>
        <v/>
      </c>
      <c r="G1680" s="4"/>
      <c r="H1680" s="4"/>
      <c r="I1680" s="4"/>
      <c r="J1680" s="4"/>
      <c r="K1680" s="4"/>
      <c r="L1680" s="4"/>
      <c r="M1680" s="4"/>
      <c r="N1680" s="4"/>
      <c r="O1680" s="4"/>
      <c r="P1680" s="4"/>
      <c r="Q1680" s="4"/>
      <c r="R1680" s="14"/>
      <c r="S1680" s="14"/>
      <c r="T1680" s="14"/>
      <c r="U1680" s="14"/>
      <c r="V1680" s="14"/>
      <c r="W1680" s="14"/>
      <c r="X1680" s="14"/>
      <c r="Y1680" s="4"/>
      <c r="Z1680" s="4"/>
      <c r="AA1680" s="4"/>
      <c r="AB1680" s="4"/>
      <c r="AC1680" s="4"/>
      <c r="AD1680" s="4"/>
      <c r="AE1680" s="4"/>
      <c r="AF1680" s="4"/>
      <c r="AG1680" s="4"/>
      <c r="AH1680" s="4"/>
      <c r="AI1680" s="4"/>
      <c r="AJ1680" s="4"/>
      <c r="AK1680" s="4"/>
      <c r="AL1680" s="4"/>
      <c r="AM1680" s="4"/>
      <c r="AN1680" s="4"/>
      <c r="AO1680" s="4"/>
      <c r="AP1680" s="4"/>
      <c r="AQ1680" s="4"/>
      <c r="AR1680" s="4"/>
      <c r="AS1680" s="4"/>
      <c r="AT1680" s="4"/>
      <c r="AU1680" s="4"/>
      <c r="AV1680" s="4"/>
      <c r="AW1680" s="4"/>
      <c r="AX1680" s="4"/>
      <c r="AY1680" s="4"/>
      <c r="AZ1680" s="4"/>
      <c r="BA1680" s="4"/>
      <c r="BB1680" s="4"/>
      <c r="BC1680" s="4"/>
      <c r="BD1680" s="4"/>
      <c r="BE1680" s="4"/>
      <c r="BG1680" s="4"/>
      <c r="BH1680" s="4"/>
    </row>
    <row r="1681" spans="1:60" x14ac:dyDescent="0.35">
      <c r="A1681" s="4"/>
      <c r="B1681" s="8" t="str">
        <f t="shared" si="118"/>
        <v/>
      </c>
      <c r="D1681" s="6" t="str">
        <f t="shared" si="119"/>
        <v/>
      </c>
      <c r="E1681" s="6" t="str">
        <f t="shared" si="120"/>
        <v/>
      </c>
      <c r="F1681" s="6" t="str">
        <f t="shared" si="121"/>
        <v/>
      </c>
      <c r="G1681" s="4"/>
      <c r="H1681" s="4"/>
      <c r="I1681" s="4"/>
      <c r="J1681" s="4"/>
      <c r="K1681" s="4"/>
      <c r="L1681" s="4"/>
      <c r="M1681" s="4"/>
      <c r="N1681" s="4"/>
      <c r="O1681" s="4"/>
      <c r="P1681" s="4"/>
      <c r="Q1681" s="4"/>
      <c r="R1681" s="14"/>
      <c r="S1681" s="14"/>
      <c r="T1681" s="14"/>
      <c r="U1681" s="14"/>
      <c r="V1681" s="14"/>
      <c r="W1681" s="14"/>
      <c r="X1681" s="1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c r="BB1681" s="4"/>
      <c r="BC1681" s="4"/>
      <c r="BD1681" s="4"/>
      <c r="BE1681" s="4"/>
      <c r="BG1681" s="4"/>
      <c r="BH1681" s="4"/>
    </row>
    <row r="1682" spans="1:60" x14ac:dyDescent="0.35">
      <c r="A1682" s="4"/>
      <c r="B1682" s="8" t="str">
        <f t="shared" si="118"/>
        <v/>
      </c>
      <c r="D1682" s="6" t="str">
        <f t="shared" si="119"/>
        <v/>
      </c>
      <c r="E1682" s="6" t="str">
        <f t="shared" si="120"/>
        <v/>
      </c>
      <c r="F1682" s="6" t="str">
        <f t="shared" si="121"/>
        <v/>
      </c>
      <c r="G1682" s="4"/>
      <c r="H1682" s="4"/>
      <c r="I1682" s="4"/>
      <c r="J1682" s="4"/>
      <c r="K1682" s="4"/>
      <c r="L1682" s="4"/>
      <c r="M1682" s="4"/>
      <c r="N1682" s="4"/>
      <c r="O1682" s="4"/>
      <c r="P1682" s="4"/>
      <c r="Q1682" s="4"/>
      <c r="R1682" s="14"/>
      <c r="S1682" s="14"/>
      <c r="T1682" s="14"/>
      <c r="U1682" s="14"/>
      <c r="V1682" s="14"/>
      <c r="W1682" s="14"/>
      <c r="X1682" s="14"/>
      <c r="Y1682" s="4"/>
      <c r="Z1682" s="4"/>
      <c r="AA1682" s="4"/>
      <c r="AB1682" s="4"/>
      <c r="AC1682" s="4"/>
      <c r="AD1682" s="4"/>
      <c r="AE1682" s="4"/>
      <c r="AF1682" s="4"/>
      <c r="AG1682" s="4"/>
      <c r="AH1682" s="4"/>
      <c r="AI1682" s="4"/>
      <c r="AJ1682" s="4"/>
      <c r="AK1682" s="4"/>
      <c r="AL1682" s="4"/>
      <c r="AM1682" s="4"/>
      <c r="AN1682" s="4"/>
      <c r="AO1682" s="4"/>
      <c r="AP1682" s="4"/>
      <c r="AQ1682" s="4"/>
      <c r="AR1682" s="4"/>
      <c r="AS1682" s="4"/>
      <c r="AT1682" s="4"/>
      <c r="AU1682" s="4"/>
      <c r="AV1682" s="4"/>
      <c r="AW1682" s="4"/>
      <c r="AX1682" s="4"/>
      <c r="AY1682" s="4"/>
      <c r="AZ1682" s="4"/>
      <c r="BA1682" s="4"/>
      <c r="BB1682" s="4"/>
      <c r="BC1682" s="4"/>
      <c r="BD1682" s="4"/>
      <c r="BE1682" s="4"/>
      <c r="BG1682" s="4"/>
      <c r="BH1682" s="4"/>
    </row>
    <row r="1683" spans="1:60" x14ac:dyDescent="0.35">
      <c r="A1683" s="4"/>
      <c r="B1683" s="8" t="str">
        <f t="shared" si="118"/>
        <v/>
      </c>
      <c r="D1683" s="6" t="str">
        <f t="shared" si="119"/>
        <v/>
      </c>
      <c r="E1683" s="6" t="str">
        <f t="shared" si="120"/>
        <v/>
      </c>
      <c r="F1683" s="6" t="str">
        <f t="shared" si="121"/>
        <v/>
      </c>
      <c r="G1683" s="4"/>
      <c r="H1683" s="4"/>
      <c r="I1683" s="4"/>
      <c r="J1683" s="4"/>
      <c r="K1683" s="4"/>
      <c r="L1683" s="4"/>
      <c r="M1683" s="4"/>
      <c r="N1683" s="4"/>
      <c r="O1683" s="4"/>
      <c r="P1683" s="4"/>
      <c r="Q1683" s="4"/>
      <c r="R1683" s="14"/>
      <c r="S1683" s="14"/>
      <c r="T1683" s="14"/>
      <c r="U1683" s="14"/>
      <c r="V1683" s="14"/>
      <c r="W1683" s="14"/>
      <c r="X1683" s="14"/>
      <c r="Y1683" s="4"/>
      <c r="Z1683" s="4"/>
      <c r="AA1683" s="4"/>
      <c r="AB1683" s="4"/>
      <c r="AC1683" s="4"/>
      <c r="AD1683" s="4"/>
      <c r="AE1683" s="4"/>
      <c r="AF1683" s="4"/>
      <c r="AG1683" s="4"/>
      <c r="AH1683" s="4"/>
      <c r="AI1683" s="4"/>
      <c r="AJ1683" s="4"/>
      <c r="AK1683" s="4"/>
      <c r="AL1683" s="4"/>
      <c r="AM1683" s="4"/>
      <c r="AN1683" s="4"/>
      <c r="AO1683" s="4"/>
      <c r="AP1683" s="4"/>
      <c r="AQ1683" s="4"/>
      <c r="AR1683" s="4"/>
      <c r="AS1683" s="4"/>
      <c r="AT1683" s="4"/>
      <c r="AU1683" s="4"/>
      <c r="AV1683" s="4"/>
      <c r="AW1683" s="4"/>
      <c r="AX1683" s="4"/>
      <c r="AY1683" s="4"/>
      <c r="AZ1683" s="4"/>
      <c r="BA1683" s="4"/>
      <c r="BB1683" s="4"/>
      <c r="BC1683" s="4"/>
      <c r="BD1683" s="4"/>
      <c r="BE1683" s="4"/>
      <c r="BG1683" s="4"/>
      <c r="BH1683" s="4"/>
    </row>
    <row r="1684" spans="1:60" x14ac:dyDescent="0.35">
      <c r="A1684" s="4"/>
      <c r="B1684" s="8" t="str">
        <f t="shared" si="118"/>
        <v/>
      </c>
      <c r="D1684" s="6" t="str">
        <f t="shared" si="119"/>
        <v/>
      </c>
      <c r="E1684" s="6" t="str">
        <f t="shared" si="120"/>
        <v/>
      </c>
      <c r="F1684" s="6" t="str">
        <f t="shared" si="121"/>
        <v/>
      </c>
      <c r="G1684" s="4"/>
      <c r="H1684" s="4"/>
      <c r="I1684" s="4"/>
      <c r="J1684" s="4"/>
      <c r="K1684" s="4"/>
      <c r="L1684" s="4"/>
      <c r="M1684" s="4"/>
      <c r="N1684" s="4"/>
      <c r="O1684" s="4"/>
      <c r="P1684" s="4"/>
      <c r="Q1684" s="4"/>
      <c r="R1684" s="14"/>
      <c r="S1684" s="14"/>
      <c r="T1684" s="14"/>
      <c r="U1684" s="14"/>
      <c r="V1684" s="14"/>
      <c r="W1684" s="14"/>
      <c r="X1684" s="1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c r="BB1684" s="4"/>
      <c r="BC1684" s="4"/>
      <c r="BD1684" s="4"/>
      <c r="BE1684" s="4"/>
      <c r="BG1684" s="4"/>
      <c r="BH1684" s="4"/>
    </row>
    <row r="1685" spans="1:60" x14ac:dyDescent="0.35">
      <c r="A1685" s="4"/>
      <c r="B1685" s="8" t="str">
        <f t="shared" si="118"/>
        <v/>
      </c>
      <c r="D1685" s="6" t="str">
        <f t="shared" si="119"/>
        <v/>
      </c>
      <c r="E1685" s="6" t="str">
        <f t="shared" si="120"/>
        <v/>
      </c>
      <c r="F1685" s="6" t="str">
        <f t="shared" si="121"/>
        <v/>
      </c>
      <c r="G1685" s="4"/>
      <c r="H1685" s="4"/>
      <c r="I1685" s="4"/>
      <c r="J1685" s="4"/>
      <c r="K1685" s="4"/>
      <c r="L1685" s="4"/>
      <c r="M1685" s="4"/>
      <c r="N1685" s="4"/>
      <c r="O1685" s="4"/>
      <c r="P1685" s="4"/>
      <c r="Q1685" s="4"/>
      <c r="R1685" s="14"/>
      <c r="S1685" s="14"/>
      <c r="T1685" s="14"/>
      <c r="U1685" s="14"/>
      <c r="V1685" s="14"/>
      <c r="W1685" s="14"/>
      <c r="X1685" s="14"/>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c r="AX1685" s="4"/>
      <c r="AY1685" s="4"/>
      <c r="AZ1685" s="4"/>
      <c r="BA1685" s="4"/>
      <c r="BB1685" s="4"/>
      <c r="BC1685" s="4"/>
      <c r="BD1685" s="4"/>
      <c r="BE1685" s="4"/>
      <c r="BG1685" s="4"/>
      <c r="BH1685" s="4"/>
    </row>
    <row r="1686" spans="1:60" x14ac:dyDescent="0.35">
      <c r="A1686" s="4"/>
      <c r="B1686" s="8" t="str">
        <f t="shared" si="118"/>
        <v/>
      </c>
      <c r="D1686" s="6" t="str">
        <f t="shared" si="119"/>
        <v/>
      </c>
      <c r="E1686" s="6" t="str">
        <f t="shared" si="120"/>
        <v/>
      </c>
      <c r="F1686" s="6" t="str">
        <f t="shared" si="121"/>
        <v/>
      </c>
      <c r="G1686" s="4"/>
      <c r="H1686" s="4"/>
      <c r="I1686" s="4"/>
      <c r="J1686" s="4"/>
      <c r="K1686" s="4"/>
      <c r="L1686" s="4"/>
      <c r="M1686" s="4"/>
      <c r="N1686" s="4"/>
      <c r="O1686" s="4"/>
      <c r="P1686" s="4"/>
      <c r="Q1686" s="4"/>
      <c r="R1686" s="14"/>
      <c r="S1686" s="14"/>
      <c r="T1686" s="14"/>
      <c r="U1686" s="14"/>
      <c r="V1686" s="14"/>
      <c r="W1686" s="14"/>
      <c r="X1686" s="14"/>
      <c r="Y1686" s="4"/>
      <c r="Z1686" s="4"/>
      <c r="AA1686" s="4"/>
      <c r="AB1686" s="4"/>
      <c r="AC1686" s="4"/>
      <c r="AD1686" s="4"/>
      <c r="AE1686" s="4"/>
      <c r="AF1686" s="4"/>
      <c r="AG1686" s="4"/>
      <c r="AH1686" s="4"/>
      <c r="AI1686" s="4"/>
      <c r="AJ1686" s="4"/>
      <c r="AK1686" s="4"/>
      <c r="AL1686" s="4"/>
      <c r="AM1686" s="4"/>
      <c r="AN1686" s="4"/>
      <c r="AO1686" s="4"/>
      <c r="AP1686" s="4"/>
      <c r="AQ1686" s="4"/>
      <c r="AR1686" s="4"/>
      <c r="AS1686" s="4"/>
      <c r="AT1686" s="4"/>
      <c r="AU1686" s="4"/>
      <c r="AV1686" s="4"/>
      <c r="AW1686" s="4"/>
      <c r="AX1686" s="4"/>
      <c r="AY1686" s="4"/>
      <c r="AZ1686" s="4"/>
      <c r="BA1686" s="4"/>
      <c r="BB1686" s="4"/>
      <c r="BC1686" s="4"/>
      <c r="BD1686" s="4"/>
      <c r="BE1686" s="4"/>
      <c r="BG1686" s="4"/>
      <c r="BH1686" s="4"/>
    </row>
    <row r="1687" spans="1:60" x14ac:dyDescent="0.35">
      <c r="A1687" s="4"/>
      <c r="B1687" s="8" t="str">
        <f t="shared" si="118"/>
        <v/>
      </c>
      <c r="D1687" s="6" t="str">
        <f t="shared" si="119"/>
        <v/>
      </c>
      <c r="E1687" s="6" t="str">
        <f t="shared" si="120"/>
        <v/>
      </c>
      <c r="F1687" s="6" t="str">
        <f t="shared" si="121"/>
        <v/>
      </c>
      <c r="G1687" s="4"/>
      <c r="H1687" s="4"/>
      <c r="I1687" s="4"/>
      <c r="J1687" s="4"/>
      <c r="K1687" s="4"/>
      <c r="L1687" s="4"/>
      <c r="M1687" s="4"/>
      <c r="N1687" s="4"/>
      <c r="O1687" s="4"/>
      <c r="P1687" s="4"/>
      <c r="Q1687" s="4"/>
      <c r="R1687" s="14"/>
      <c r="S1687" s="14"/>
      <c r="T1687" s="14"/>
      <c r="U1687" s="14"/>
      <c r="V1687" s="14"/>
      <c r="W1687" s="14"/>
      <c r="X1687" s="1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c r="BB1687" s="4"/>
      <c r="BC1687" s="4"/>
      <c r="BD1687" s="4"/>
      <c r="BE1687" s="4"/>
      <c r="BG1687" s="4"/>
      <c r="BH1687" s="4"/>
    </row>
    <row r="1688" spans="1:60" x14ac:dyDescent="0.35">
      <c r="A1688" s="4"/>
      <c r="B1688" s="8" t="str">
        <f t="shared" si="118"/>
        <v/>
      </c>
      <c r="D1688" s="6" t="str">
        <f t="shared" si="119"/>
        <v/>
      </c>
      <c r="E1688" s="6" t="str">
        <f t="shared" si="120"/>
        <v/>
      </c>
      <c r="F1688" s="6" t="str">
        <f t="shared" si="121"/>
        <v/>
      </c>
      <c r="G1688" s="4"/>
      <c r="H1688" s="4"/>
      <c r="I1688" s="4"/>
      <c r="J1688" s="4"/>
      <c r="K1688" s="4"/>
      <c r="L1688" s="4"/>
      <c r="M1688" s="4"/>
      <c r="N1688" s="4"/>
      <c r="O1688" s="4"/>
      <c r="P1688" s="4"/>
      <c r="Q1688" s="4"/>
      <c r="R1688" s="14"/>
      <c r="S1688" s="14"/>
      <c r="T1688" s="14"/>
      <c r="U1688" s="14"/>
      <c r="V1688" s="14"/>
      <c r="W1688" s="14"/>
      <c r="X1688" s="1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c r="BB1688" s="4"/>
      <c r="BC1688" s="4"/>
      <c r="BD1688" s="4"/>
      <c r="BE1688" s="4"/>
      <c r="BG1688" s="4"/>
      <c r="BH1688" s="4"/>
    </row>
    <row r="1689" spans="1:60" x14ac:dyDescent="0.35">
      <c r="A1689" s="4"/>
      <c r="B1689" s="8" t="str">
        <f t="shared" si="118"/>
        <v/>
      </c>
      <c r="D1689" s="6" t="str">
        <f t="shared" si="119"/>
        <v/>
      </c>
      <c r="E1689" s="6" t="str">
        <f t="shared" si="120"/>
        <v/>
      </c>
      <c r="F1689" s="6" t="str">
        <f t="shared" si="121"/>
        <v/>
      </c>
      <c r="G1689" s="4"/>
      <c r="H1689" s="4"/>
      <c r="I1689" s="4"/>
      <c r="J1689" s="4"/>
      <c r="K1689" s="4"/>
      <c r="L1689" s="4"/>
      <c r="M1689" s="4"/>
      <c r="N1689" s="4"/>
      <c r="O1689" s="4"/>
      <c r="P1689" s="4"/>
      <c r="Q1689" s="4"/>
      <c r="R1689" s="14"/>
      <c r="S1689" s="14"/>
      <c r="T1689" s="14"/>
      <c r="U1689" s="14"/>
      <c r="V1689" s="14"/>
      <c r="W1689" s="14"/>
      <c r="X1689" s="1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c r="AX1689" s="4"/>
      <c r="AY1689" s="4"/>
      <c r="AZ1689" s="4"/>
      <c r="BA1689" s="4"/>
      <c r="BB1689" s="4"/>
      <c r="BC1689" s="4"/>
      <c r="BD1689" s="4"/>
      <c r="BE1689" s="4"/>
      <c r="BG1689" s="4"/>
      <c r="BH1689" s="4"/>
    </row>
    <row r="1690" spans="1:60" x14ac:dyDescent="0.35">
      <c r="A1690" s="4"/>
      <c r="B1690" s="8" t="str">
        <f t="shared" si="118"/>
        <v/>
      </c>
      <c r="D1690" s="6" t="str">
        <f t="shared" si="119"/>
        <v/>
      </c>
      <c r="E1690" s="6" t="str">
        <f t="shared" si="120"/>
        <v/>
      </c>
      <c r="F1690" s="6" t="str">
        <f t="shared" si="121"/>
        <v/>
      </c>
      <c r="G1690" s="4"/>
      <c r="H1690" s="4"/>
      <c r="I1690" s="4"/>
      <c r="J1690" s="4"/>
      <c r="K1690" s="4"/>
      <c r="L1690" s="4"/>
      <c r="M1690" s="4"/>
      <c r="N1690" s="4"/>
      <c r="O1690" s="4"/>
      <c r="P1690" s="4"/>
      <c r="Q1690" s="4"/>
      <c r="R1690" s="14"/>
      <c r="S1690" s="14"/>
      <c r="T1690" s="14"/>
      <c r="U1690" s="14"/>
      <c r="V1690" s="14"/>
      <c r="W1690" s="14"/>
      <c r="X1690" s="14"/>
      <c r="Y1690" s="4"/>
      <c r="Z1690" s="4"/>
      <c r="AA1690" s="4"/>
      <c r="AB1690" s="4"/>
      <c r="AC1690" s="4"/>
      <c r="AD1690" s="4"/>
      <c r="AE1690" s="4"/>
      <c r="AF1690" s="4"/>
      <c r="AG1690" s="4"/>
      <c r="AH1690" s="4"/>
      <c r="AI1690" s="4"/>
      <c r="AJ1690" s="4"/>
      <c r="AK1690" s="4"/>
      <c r="AL1690" s="4"/>
      <c r="AM1690" s="4"/>
      <c r="AN1690" s="4"/>
      <c r="AO1690" s="4"/>
      <c r="AP1690" s="4"/>
      <c r="AQ1690" s="4"/>
      <c r="AR1690" s="4"/>
      <c r="AS1690" s="4"/>
      <c r="AT1690" s="4"/>
      <c r="AU1690" s="4"/>
      <c r="AV1690" s="4"/>
      <c r="AW1690" s="4"/>
      <c r="AX1690" s="4"/>
      <c r="AY1690" s="4"/>
      <c r="AZ1690" s="4"/>
      <c r="BA1690" s="4"/>
      <c r="BB1690" s="4"/>
      <c r="BC1690" s="4"/>
      <c r="BD1690" s="4"/>
      <c r="BE1690" s="4"/>
      <c r="BG1690" s="4"/>
      <c r="BH1690" s="4"/>
    </row>
    <row r="1691" spans="1:60" x14ac:dyDescent="0.35">
      <c r="A1691" s="4"/>
      <c r="B1691" s="8" t="str">
        <f t="shared" si="118"/>
        <v/>
      </c>
      <c r="D1691" s="6" t="str">
        <f t="shared" si="119"/>
        <v/>
      </c>
      <c r="E1691" s="6" t="str">
        <f t="shared" si="120"/>
        <v/>
      </c>
      <c r="F1691" s="6" t="str">
        <f t="shared" si="121"/>
        <v/>
      </c>
      <c r="G1691" s="4"/>
      <c r="H1691" s="4"/>
      <c r="I1691" s="4"/>
      <c r="J1691" s="4"/>
      <c r="K1691" s="4"/>
      <c r="L1691" s="4"/>
      <c r="M1691" s="4"/>
      <c r="N1691" s="4"/>
      <c r="O1691" s="4"/>
      <c r="P1691" s="4"/>
      <c r="Q1691" s="4"/>
      <c r="R1691" s="14"/>
      <c r="S1691" s="14"/>
      <c r="T1691" s="14"/>
      <c r="U1691" s="14"/>
      <c r="V1691" s="14"/>
      <c r="W1691" s="14"/>
      <c r="X1691" s="1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c r="AX1691" s="4"/>
      <c r="AY1691" s="4"/>
      <c r="AZ1691" s="4"/>
      <c r="BA1691" s="4"/>
      <c r="BB1691" s="4"/>
      <c r="BC1691" s="4"/>
      <c r="BD1691" s="4"/>
      <c r="BE1691" s="4"/>
      <c r="BG1691" s="4"/>
      <c r="BH1691" s="4"/>
    </row>
    <row r="1692" spans="1:60" x14ac:dyDescent="0.35">
      <c r="A1692" s="4"/>
      <c r="B1692" s="8" t="str">
        <f t="shared" si="118"/>
        <v/>
      </c>
      <c r="D1692" s="6" t="str">
        <f t="shared" si="119"/>
        <v/>
      </c>
      <c r="E1692" s="6" t="str">
        <f t="shared" si="120"/>
        <v/>
      </c>
      <c r="F1692" s="6" t="str">
        <f t="shared" si="121"/>
        <v/>
      </c>
      <c r="G1692" s="4"/>
      <c r="H1692" s="4"/>
      <c r="I1692" s="4"/>
      <c r="J1692" s="4"/>
      <c r="K1692" s="4"/>
      <c r="L1692" s="4"/>
      <c r="M1692" s="4"/>
      <c r="N1692" s="4"/>
      <c r="O1692" s="4"/>
      <c r="P1692" s="4"/>
      <c r="Q1692" s="4"/>
      <c r="R1692" s="14"/>
      <c r="S1692" s="14"/>
      <c r="T1692" s="14"/>
      <c r="U1692" s="14"/>
      <c r="V1692" s="14"/>
      <c r="W1692" s="14"/>
      <c r="X1692" s="14"/>
      <c r="Y1692" s="4"/>
      <c r="Z1692" s="4"/>
      <c r="AA1692" s="4"/>
      <c r="AB1692" s="4"/>
      <c r="AC1692" s="4"/>
      <c r="AD1692" s="4"/>
      <c r="AE1692" s="4"/>
      <c r="AF1692" s="4"/>
      <c r="AG1692" s="4"/>
      <c r="AH1692" s="4"/>
      <c r="AI1692" s="4"/>
      <c r="AJ1692" s="4"/>
      <c r="AK1692" s="4"/>
      <c r="AL1692" s="4"/>
      <c r="AM1692" s="4"/>
      <c r="AN1692" s="4"/>
      <c r="AO1692" s="4"/>
      <c r="AP1692" s="4"/>
      <c r="AQ1692" s="4"/>
      <c r="AR1692" s="4"/>
      <c r="AS1692" s="4"/>
      <c r="AT1692" s="4"/>
      <c r="AU1692" s="4"/>
      <c r="AV1692" s="4"/>
      <c r="AW1692" s="4"/>
      <c r="AX1692" s="4"/>
      <c r="AY1692" s="4"/>
      <c r="AZ1692" s="4"/>
      <c r="BA1692" s="4"/>
      <c r="BB1692" s="4"/>
      <c r="BC1692" s="4"/>
      <c r="BD1692" s="4"/>
      <c r="BE1692" s="4"/>
      <c r="BG1692" s="4"/>
      <c r="BH1692" s="4"/>
    </row>
    <row r="1693" spans="1:60" x14ac:dyDescent="0.35">
      <c r="A1693" s="4"/>
      <c r="B1693" s="8" t="str">
        <f t="shared" si="118"/>
        <v/>
      </c>
      <c r="D1693" s="6" t="str">
        <f t="shared" si="119"/>
        <v/>
      </c>
      <c r="E1693" s="6" t="str">
        <f t="shared" si="120"/>
        <v/>
      </c>
      <c r="F1693" s="6" t="str">
        <f t="shared" si="121"/>
        <v/>
      </c>
      <c r="G1693" s="4"/>
      <c r="H1693" s="4"/>
      <c r="I1693" s="4"/>
      <c r="J1693" s="4"/>
      <c r="K1693" s="4"/>
      <c r="L1693" s="4"/>
      <c r="M1693" s="4"/>
      <c r="N1693" s="4"/>
      <c r="O1693" s="4"/>
      <c r="P1693" s="4"/>
      <c r="Q1693" s="4"/>
      <c r="R1693" s="14"/>
      <c r="S1693" s="14"/>
      <c r="T1693" s="14"/>
      <c r="U1693" s="14"/>
      <c r="V1693" s="14"/>
      <c r="W1693" s="14"/>
      <c r="X1693" s="1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c r="BB1693" s="4"/>
      <c r="BC1693" s="4"/>
      <c r="BD1693" s="4"/>
      <c r="BE1693" s="4"/>
      <c r="BG1693" s="4"/>
      <c r="BH1693" s="4"/>
    </row>
    <row r="1694" spans="1:60" x14ac:dyDescent="0.35">
      <c r="A1694" s="4"/>
      <c r="B1694" s="8" t="str">
        <f t="shared" si="118"/>
        <v/>
      </c>
      <c r="D1694" s="6" t="str">
        <f t="shared" si="119"/>
        <v/>
      </c>
      <c r="E1694" s="6" t="str">
        <f t="shared" si="120"/>
        <v/>
      </c>
      <c r="F1694" s="6" t="str">
        <f t="shared" si="121"/>
        <v/>
      </c>
      <c r="G1694" s="4"/>
      <c r="H1694" s="4"/>
      <c r="I1694" s="4"/>
      <c r="J1694" s="4"/>
      <c r="K1694" s="4"/>
      <c r="L1694" s="4"/>
      <c r="M1694" s="4"/>
      <c r="N1694" s="4"/>
      <c r="O1694" s="4"/>
      <c r="P1694" s="4"/>
      <c r="Q1694" s="4"/>
      <c r="R1694" s="14"/>
      <c r="S1694" s="14"/>
      <c r="T1694" s="14"/>
      <c r="U1694" s="14"/>
      <c r="V1694" s="14"/>
      <c r="W1694" s="14"/>
      <c r="X1694" s="1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c r="AX1694" s="4"/>
      <c r="AY1694" s="4"/>
      <c r="AZ1694" s="4"/>
      <c r="BA1694" s="4"/>
      <c r="BB1694" s="4"/>
      <c r="BC1694" s="4"/>
      <c r="BD1694" s="4"/>
      <c r="BE1694" s="4"/>
      <c r="BG1694" s="4"/>
      <c r="BH1694" s="4"/>
    </row>
    <row r="1695" spans="1:60" x14ac:dyDescent="0.35">
      <c r="A1695" s="4"/>
      <c r="B1695" s="8" t="str">
        <f t="shared" si="118"/>
        <v/>
      </c>
      <c r="D1695" s="6" t="str">
        <f t="shared" si="119"/>
        <v/>
      </c>
      <c r="E1695" s="6" t="str">
        <f t="shared" si="120"/>
        <v/>
      </c>
      <c r="F1695" s="6" t="str">
        <f t="shared" si="121"/>
        <v/>
      </c>
      <c r="G1695" s="4"/>
      <c r="H1695" s="4"/>
      <c r="I1695" s="4"/>
      <c r="J1695" s="4"/>
      <c r="K1695" s="4"/>
      <c r="L1695" s="4"/>
      <c r="M1695" s="4"/>
      <c r="N1695" s="4"/>
      <c r="O1695" s="4"/>
      <c r="P1695" s="4"/>
      <c r="Q1695" s="4"/>
      <c r="R1695" s="14"/>
      <c r="S1695" s="14"/>
      <c r="T1695" s="14"/>
      <c r="U1695" s="14"/>
      <c r="V1695" s="14"/>
      <c r="W1695" s="14"/>
      <c r="X1695" s="1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c r="BB1695" s="4"/>
      <c r="BC1695" s="4"/>
      <c r="BD1695" s="4"/>
      <c r="BE1695" s="4"/>
      <c r="BG1695" s="4"/>
      <c r="BH1695" s="4"/>
    </row>
    <row r="1696" spans="1:60" x14ac:dyDescent="0.35">
      <c r="A1696" s="4"/>
      <c r="B1696" s="8" t="str">
        <f t="shared" si="118"/>
        <v/>
      </c>
      <c r="D1696" s="6" t="str">
        <f t="shared" si="119"/>
        <v/>
      </c>
      <c r="E1696" s="6" t="str">
        <f t="shared" si="120"/>
        <v/>
      </c>
      <c r="F1696" s="6" t="str">
        <f t="shared" si="121"/>
        <v/>
      </c>
      <c r="G1696" s="4"/>
      <c r="H1696" s="4"/>
      <c r="I1696" s="4"/>
      <c r="J1696" s="4"/>
      <c r="K1696" s="4"/>
      <c r="L1696" s="4"/>
      <c r="M1696" s="4"/>
      <c r="N1696" s="4"/>
      <c r="O1696" s="4"/>
      <c r="P1696" s="4"/>
      <c r="Q1696" s="4"/>
      <c r="R1696" s="14"/>
      <c r="S1696" s="14"/>
      <c r="T1696" s="14"/>
      <c r="U1696" s="14"/>
      <c r="V1696" s="14"/>
      <c r="W1696" s="14"/>
      <c r="X1696" s="1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c r="AX1696" s="4"/>
      <c r="AY1696" s="4"/>
      <c r="AZ1696" s="4"/>
      <c r="BA1696" s="4"/>
      <c r="BB1696" s="4"/>
      <c r="BC1696" s="4"/>
      <c r="BD1696" s="4"/>
      <c r="BE1696" s="4"/>
      <c r="BG1696" s="4"/>
      <c r="BH1696" s="4"/>
    </row>
    <row r="1697" spans="1:60" x14ac:dyDescent="0.35">
      <c r="A1697" s="4"/>
      <c r="B1697" s="8" t="str">
        <f t="shared" si="118"/>
        <v/>
      </c>
      <c r="D1697" s="6" t="str">
        <f t="shared" si="119"/>
        <v/>
      </c>
      <c r="E1697" s="6" t="str">
        <f t="shared" si="120"/>
        <v/>
      </c>
      <c r="F1697" s="6" t="str">
        <f t="shared" si="121"/>
        <v/>
      </c>
      <c r="G1697" s="4"/>
      <c r="H1697" s="4"/>
      <c r="I1697" s="4"/>
      <c r="J1697" s="4"/>
      <c r="K1697" s="4"/>
      <c r="L1697" s="4"/>
      <c r="M1697" s="4"/>
      <c r="N1697" s="4"/>
      <c r="O1697" s="4"/>
      <c r="P1697" s="4"/>
      <c r="Q1697" s="4"/>
      <c r="R1697" s="14"/>
      <c r="S1697" s="14"/>
      <c r="T1697" s="14"/>
      <c r="U1697" s="14"/>
      <c r="V1697" s="14"/>
      <c r="W1697" s="14"/>
      <c r="X1697" s="1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c r="BB1697" s="4"/>
      <c r="BC1697" s="4"/>
      <c r="BD1697" s="4"/>
      <c r="BE1697" s="4"/>
      <c r="BG1697" s="4"/>
      <c r="BH1697" s="4"/>
    </row>
    <row r="1698" spans="1:60" x14ac:dyDescent="0.35">
      <c r="A1698" s="4"/>
      <c r="B1698" s="8" t="str">
        <f t="shared" si="118"/>
        <v/>
      </c>
      <c r="D1698" s="6" t="str">
        <f t="shared" si="119"/>
        <v/>
      </c>
      <c r="E1698" s="6" t="str">
        <f t="shared" si="120"/>
        <v/>
      </c>
      <c r="F1698" s="6" t="str">
        <f t="shared" si="121"/>
        <v/>
      </c>
      <c r="G1698" s="4"/>
      <c r="H1698" s="4"/>
      <c r="I1698" s="4"/>
      <c r="J1698" s="4"/>
      <c r="K1698" s="4"/>
      <c r="L1698" s="4"/>
      <c r="M1698" s="4"/>
      <c r="N1698" s="4"/>
      <c r="O1698" s="4"/>
      <c r="P1698" s="4"/>
      <c r="Q1698" s="4"/>
      <c r="R1698" s="14"/>
      <c r="S1698" s="14"/>
      <c r="T1698" s="14"/>
      <c r="U1698" s="14"/>
      <c r="V1698" s="14"/>
      <c r="W1698" s="14"/>
      <c r="X1698" s="1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c r="AX1698" s="4"/>
      <c r="AY1698" s="4"/>
      <c r="AZ1698" s="4"/>
      <c r="BA1698" s="4"/>
      <c r="BB1698" s="4"/>
      <c r="BC1698" s="4"/>
      <c r="BD1698" s="4"/>
      <c r="BE1698" s="4"/>
      <c r="BG1698" s="4"/>
      <c r="BH1698" s="4"/>
    </row>
    <row r="1699" spans="1:60" x14ac:dyDescent="0.35">
      <c r="A1699" s="4"/>
      <c r="B1699" s="8" t="str">
        <f t="shared" si="118"/>
        <v/>
      </c>
      <c r="D1699" s="6" t="str">
        <f t="shared" si="119"/>
        <v/>
      </c>
      <c r="E1699" s="6" t="str">
        <f t="shared" si="120"/>
        <v/>
      </c>
      <c r="F1699" s="6" t="str">
        <f t="shared" si="121"/>
        <v/>
      </c>
      <c r="G1699" s="4"/>
      <c r="H1699" s="4"/>
      <c r="I1699" s="4"/>
      <c r="J1699" s="4"/>
      <c r="K1699" s="4"/>
      <c r="L1699" s="4"/>
      <c r="M1699" s="4"/>
      <c r="N1699" s="4"/>
      <c r="O1699" s="4"/>
      <c r="P1699" s="4"/>
      <c r="Q1699" s="4"/>
      <c r="R1699" s="14"/>
      <c r="S1699" s="14"/>
      <c r="T1699" s="14"/>
      <c r="U1699" s="14"/>
      <c r="V1699" s="14"/>
      <c r="W1699" s="14"/>
      <c r="X1699" s="1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c r="BC1699" s="4"/>
      <c r="BD1699" s="4"/>
      <c r="BE1699" s="4"/>
      <c r="BG1699" s="4"/>
      <c r="BH1699" s="4"/>
    </row>
    <row r="1700" spans="1:60" x14ac:dyDescent="0.35">
      <c r="A1700" s="4"/>
      <c r="B1700" s="8" t="str">
        <f t="shared" si="118"/>
        <v/>
      </c>
      <c r="D1700" s="6" t="str">
        <f t="shared" si="119"/>
        <v/>
      </c>
      <c r="E1700" s="6" t="str">
        <f t="shared" si="120"/>
        <v/>
      </c>
      <c r="F1700" s="6" t="str">
        <f t="shared" si="121"/>
        <v/>
      </c>
      <c r="G1700" s="4"/>
      <c r="H1700" s="4"/>
      <c r="I1700" s="4"/>
      <c r="J1700" s="4"/>
      <c r="K1700" s="4"/>
      <c r="L1700" s="4"/>
      <c r="M1700" s="4"/>
      <c r="N1700" s="4"/>
      <c r="O1700" s="4"/>
      <c r="P1700" s="4"/>
      <c r="Q1700" s="4"/>
      <c r="R1700" s="14"/>
      <c r="S1700" s="14"/>
      <c r="T1700" s="14"/>
      <c r="U1700" s="14"/>
      <c r="V1700" s="14"/>
      <c r="W1700" s="14"/>
      <c r="X1700" s="1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c r="AX1700" s="4"/>
      <c r="AY1700" s="4"/>
      <c r="AZ1700" s="4"/>
      <c r="BA1700" s="4"/>
      <c r="BB1700" s="4"/>
      <c r="BC1700" s="4"/>
      <c r="BD1700" s="4"/>
      <c r="BE1700" s="4"/>
      <c r="BG1700" s="4"/>
      <c r="BH1700" s="4"/>
    </row>
    <row r="1701" spans="1:60" x14ac:dyDescent="0.35">
      <c r="A1701" s="4"/>
      <c r="B1701" s="8" t="str">
        <f t="shared" si="118"/>
        <v/>
      </c>
      <c r="D1701" s="6" t="str">
        <f t="shared" si="119"/>
        <v/>
      </c>
      <c r="E1701" s="6" t="str">
        <f t="shared" si="120"/>
        <v/>
      </c>
      <c r="F1701" s="6" t="str">
        <f t="shared" si="121"/>
        <v/>
      </c>
      <c r="G1701" s="4"/>
      <c r="H1701" s="4"/>
      <c r="I1701" s="4"/>
      <c r="J1701" s="4"/>
      <c r="K1701" s="4"/>
      <c r="L1701" s="4"/>
      <c r="M1701" s="4"/>
      <c r="N1701" s="4"/>
      <c r="O1701" s="4"/>
      <c r="P1701" s="4"/>
      <c r="Q1701" s="4"/>
      <c r="R1701" s="14"/>
      <c r="S1701" s="14"/>
      <c r="T1701" s="14"/>
      <c r="U1701" s="14"/>
      <c r="V1701" s="14"/>
      <c r="W1701" s="14"/>
      <c r="X1701" s="1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c r="AX1701" s="4"/>
      <c r="AY1701" s="4"/>
      <c r="AZ1701" s="4"/>
      <c r="BA1701" s="4"/>
      <c r="BB1701" s="4"/>
      <c r="BC1701" s="4"/>
      <c r="BD1701" s="4"/>
      <c r="BE1701" s="4"/>
      <c r="BG1701" s="4"/>
      <c r="BH1701" s="4"/>
    </row>
    <row r="1702" spans="1:60" x14ac:dyDescent="0.35">
      <c r="A1702" s="4"/>
      <c r="B1702" s="8" t="str">
        <f t="shared" si="118"/>
        <v/>
      </c>
      <c r="D1702" s="6" t="str">
        <f t="shared" si="119"/>
        <v/>
      </c>
      <c r="E1702" s="6" t="str">
        <f t="shared" si="120"/>
        <v/>
      </c>
      <c r="F1702" s="6" t="str">
        <f t="shared" si="121"/>
        <v/>
      </c>
      <c r="G1702" s="4"/>
      <c r="H1702" s="4"/>
      <c r="I1702" s="4"/>
      <c r="J1702" s="4"/>
      <c r="K1702" s="4"/>
      <c r="L1702" s="4"/>
      <c r="M1702" s="4"/>
      <c r="N1702" s="4"/>
      <c r="O1702" s="4"/>
      <c r="P1702" s="4"/>
      <c r="Q1702" s="4"/>
      <c r="R1702" s="14"/>
      <c r="S1702" s="14"/>
      <c r="T1702" s="14"/>
      <c r="U1702" s="14"/>
      <c r="V1702" s="14"/>
      <c r="W1702" s="14"/>
      <c r="X1702" s="1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c r="BB1702" s="4"/>
      <c r="BC1702" s="4"/>
      <c r="BD1702" s="4"/>
      <c r="BE1702" s="4"/>
      <c r="BG1702" s="4"/>
      <c r="BH1702" s="4"/>
    </row>
    <row r="1703" spans="1:60" x14ac:dyDescent="0.35">
      <c r="A1703" s="4"/>
      <c r="B1703" s="8" t="str">
        <f t="shared" si="118"/>
        <v/>
      </c>
      <c r="D1703" s="6" t="str">
        <f t="shared" si="119"/>
        <v/>
      </c>
      <c r="E1703" s="6" t="str">
        <f t="shared" si="120"/>
        <v/>
      </c>
      <c r="F1703" s="6" t="str">
        <f t="shared" si="121"/>
        <v/>
      </c>
      <c r="G1703" s="4"/>
      <c r="H1703" s="4"/>
      <c r="I1703" s="4"/>
      <c r="J1703" s="4"/>
      <c r="K1703" s="4"/>
      <c r="L1703" s="4"/>
      <c r="M1703" s="4"/>
      <c r="N1703" s="4"/>
      <c r="O1703" s="4"/>
      <c r="P1703" s="4"/>
      <c r="Q1703" s="4"/>
      <c r="R1703" s="14"/>
      <c r="S1703" s="14"/>
      <c r="T1703" s="14"/>
      <c r="U1703" s="14"/>
      <c r="V1703" s="14"/>
      <c r="W1703" s="14"/>
      <c r="X1703" s="1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c r="BB1703" s="4"/>
      <c r="BC1703" s="4"/>
      <c r="BD1703" s="4"/>
      <c r="BE1703" s="4"/>
      <c r="BG1703" s="4"/>
      <c r="BH1703" s="4"/>
    </row>
    <row r="1704" spans="1:60" x14ac:dyDescent="0.35">
      <c r="A1704" s="4"/>
      <c r="B1704" s="8" t="str">
        <f t="shared" si="118"/>
        <v/>
      </c>
      <c r="D1704" s="6" t="str">
        <f t="shared" si="119"/>
        <v/>
      </c>
      <c r="E1704" s="6" t="str">
        <f t="shared" si="120"/>
        <v/>
      </c>
      <c r="F1704" s="6" t="str">
        <f t="shared" si="121"/>
        <v/>
      </c>
      <c r="G1704" s="4"/>
      <c r="H1704" s="4"/>
      <c r="I1704" s="4"/>
      <c r="J1704" s="4"/>
      <c r="K1704" s="4"/>
      <c r="L1704" s="4"/>
      <c r="M1704" s="4"/>
      <c r="N1704" s="4"/>
      <c r="O1704" s="4"/>
      <c r="P1704" s="4"/>
      <c r="Q1704" s="4"/>
      <c r="R1704" s="14"/>
      <c r="S1704" s="14"/>
      <c r="T1704" s="14"/>
      <c r="U1704" s="14"/>
      <c r="V1704" s="14"/>
      <c r="W1704" s="14"/>
      <c r="X1704" s="1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c r="AX1704" s="4"/>
      <c r="AY1704" s="4"/>
      <c r="AZ1704" s="4"/>
      <c r="BA1704" s="4"/>
      <c r="BB1704" s="4"/>
      <c r="BC1704" s="4"/>
      <c r="BD1704" s="4"/>
      <c r="BE1704" s="4"/>
      <c r="BG1704" s="4"/>
      <c r="BH1704" s="4"/>
    </row>
    <row r="1705" spans="1:60" x14ac:dyDescent="0.35">
      <c r="A1705" s="4"/>
      <c r="B1705" s="8" t="str">
        <f t="shared" si="118"/>
        <v/>
      </c>
      <c r="D1705" s="6" t="str">
        <f t="shared" si="119"/>
        <v/>
      </c>
      <c r="E1705" s="6" t="str">
        <f t="shared" si="120"/>
        <v/>
      </c>
      <c r="F1705" s="6" t="str">
        <f t="shared" si="121"/>
        <v/>
      </c>
      <c r="G1705" s="4"/>
      <c r="H1705" s="4"/>
      <c r="I1705" s="4"/>
      <c r="J1705" s="4"/>
      <c r="K1705" s="4"/>
      <c r="L1705" s="4"/>
      <c r="M1705" s="4"/>
      <c r="N1705" s="4"/>
      <c r="O1705" s="4"/>
      <c r="P1705" s="4"/>
      <c r="Q1705" s="4"/>
      <c r="R1705" s="14"/>
      <c r="S1705" s="14"/>
      <c r="T1705" s="14"/>
      <c r="U1705" s="14"/>
      <c r="V1705" s="14"/>
      <c r="W1705" s="14"/>
      <c r="X1705" s="1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c r="BB1705" s="4"/>
      <c r="BC1705" s="4"/>
      <c r="BD1705" s="4"/>
      <c r="BE1705" s="4"/>
      <c r="BG1705" s="4"/>
      <c r="BH1705" s="4"/>
    </row>
    <row r="1706" spans="1:60" x14ac:dyDescent="0.35">
      <c r="A1706" s="4"/>
      <c r="B1706" s="8" t="str">
        <f t="shared" si="118"/>
        <v/>
      </c>
      <c r="D1706" s="6" t="str">
        <f t="shared" si="119"/>
        <v/>
      </c>
      <c r="E1706" s="6" t="str">
        <f t="shared" si="120"/>
        <v/>
      </c>
      <c r="F1706" s="6" t="str">
        <f t="shared" si="121"/>
        <v/>
      </c>
      <c r="G1706" s="4"/>
      <c r="H1706" s="4"/>
      <c r="I1706" s="4"/>
      <c r="J1706" s="4"/>
      <c r="K1706" s="4"/>
      <c r="L1706" s="4"/>
      <c r="M1706" s="4"/>
      <c r="N1706" s="4"/>
      <c r="O1706" s="4"/>
      <c r="P1706" s="4"/>
      <c r="Q1706" s="4"/>
      <c r="R1706" s="14"/>
      <c r="S1706" s="14"/>
      <c r="T1706" s="14"/>
      <c r="U1706" s="14"/>
      <c r="V1706" s="14"/>
      <c r="W1706" s="14"/>
      <c r="X1706" s="1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c r="AX1706" s="4"/>
      <c r="AY1706" s="4"/>
      <c r="AZ1706" s="4"/>
      <c r="BA1706" s="4"/>
      <c r="BB1706" s="4"/>
      <c r="BC1706" s="4"/>
      <c r="BD1706" s="4"/>
      <c r="BE1706" s="4"/>
      <c r="BG1706" s="4"/>
      <c r="BH1706" s="4"/>
    </row>
    <row r="1707" spans="1:60" x14ac:dyDescent="0.35">
      <c r="A1707" s="4"/>
      <c r="B1707" s="8" t="str">
        <f t="shared" si="118"/>
        <v/>
      </c>
      <c r="D1707" s="6" t="str">
        <f t="shared" si="119"/>
        <v/>
      </c>
      <c r="E1707" s="6" t="str">
        <f t="shared" si="120"/>
        <v/>
      </c>
      <c r="F1707" s="6" t="str">
        <f t="shared" si="121"/>
        <v/>
      </c>
      <c r="G1707" s="4"/>
      <c r="H1707" s="4"/>
      <c r="I1707" s="4"/>
      <c r="J1707" s="4"/>
      <c r="K1707" s="4"/>
      <c r="L1707" s="4"/>
      <c r="M1707" s="4"/>
      <c r="N1707" s="4"/>
      <c r="O1707" s="4"/>
      <c r="P1707" s="4"/>
      <c r="Q1707" s="4"/>
      <c r="R1707" s="14"/>
      <c r="S1707" s="14"/>
      <c r="T1707" s="14"/>
      <c r="U1707" s="14"/>
      <c r="V1707" s="14"/>
      <c r="W1707" s="14"/>
      <c r="X1707" s="14"/>
      <c r="Y1707" s="4"/>
      <c r="Z1707" s="4"/>
      <c r="AA1707" s="4"/>
      <c r="AB1707" s="4"/>
      <c r="AC1707" s="4"/>
      <c r="AD1707" s="4"/>
      <c r="AE1707" s="4"/>
      <c r="AF1707" s="4"/>
      <c r="AG1707" s="4"/>
      <c r="AH1707" s="4"/>
      <c r="AI1707" s="4"/>
      <c r="AJ1707" s="4"/>
      <c r="AK1707" s="4"/>
      <c r="AL1707" s="4"/>
      <c r="AM1707" s="4"/>
      <c r="AN1707" s="4"/>
      <c r="AO1707" s="4"/>
      <c r="AP1707" s="4"/>
      <c r="AQ1707" s="4"/>
      <c r="AR1707" s="4"/>
      <c r="AS1707" s="4"/>
      <c r="AT1707" s="4"/>
      <c r="AU1707" s="4"/>
      <c r="AV1707" s="4"/>
      <c r="AW1707" s="4"/>
      <c r="AX1707" s="4"/>
      <c r="AY1707" s="4"/>
      <c r="AZ1707" s="4"/>
      <c r="BA1707" s="4"/>
      <c r="BB1707" s="4"/>
      <c r="BC1707" s="4"/>
      <c r="BD1707" s="4"/>
      <c r="BE1707" s="4"/>
      <c r="BG1707" s="4"/>
      <c r="BH1707" s="4"/>
    </row>
    <row r="1708" spans="1:60" x14ac:dyDescent="0.35">
      <c r="A1708" s="4"/>
      <c r="B1708" s="8" t="str">
        <f t="shared" ref="B1708:B1720" si="122">RIGHT(A1708,4)</f>
        <v/>
      </c>
      <c r="D1708" s="6" t="str">
        <f t="shared" si="119"/>
        <v/>
      </c>
      <c r="E1708" s="6" t="str">
        <f t="shared" si="120"/>
        <v/>
      </c>
      <c r="F1708" s="6" t="str">
        <f t="shared" si="121"/>
        <v/>
      </c>
      <c r="G1708" s="4"/>
      <c r="H1708" s="4"/>
      <c r="I1708" s="4"/>
      <c r="J1708" s="4"/>
      <c r="K1708" s="4"/>
      <c r="L1708" s="4"/>
      <c r="M1708" s="4"/>
      <c r="N1708" s="4"/>
      <c r="O1708" s="4"/>
      <c r="P1708" s="4"/>
      <c r="Q1708" s="4"/>
      <c r="R1708" s="14"/>
      <c r="S1708" s="14"/>
      <c r="T1708" s="14"/>
      <c r="U1708" s="14"/>
      <c r="V1708" s="14"/>
      <c r="W1708" s="14"/>
      <c r="X1708" s="1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c r="BB1708" s="4"/>
      <c r="BC1708" s="4"/>
      <c r="BD1708" s="4"/>
      <c r="BE1708" s="4"/>
      <c r="BG1708" s="4"/>
      <c r="BH1708" s="4"/>
    </row>
    <row r="1709" spans="1:60" x14ac:dyDescent="0.35">
      <c r="A1709" s="4"/>
      <c r="B1709" s="8" t="str">
        <f t="shared" si="122"/>
        <v/>
      </c>
      <c r="D1709" s="6" t="str">
        <f t="shared" si="119"/>
        <v/>
      </c>
      <c r="E1709" s="6" t="str">
        <f t="shared" si="120"/>
        <v/>
      </c>
      <c r="F1709" s="6" t="str">
        <f t="shared" si="121"/>
        <v/>
      </c>
      <c r="G1709" s="4"/>
      <c r="H1709" s="4"/>
      <c r="I1709" s="4"/>
      <c r="J1709" s="4"/>
      <c r="K1709" s="4"/>
      <c r="L1709" s="4"/>
      <c r="M1709" s="4"/>
      <c r="N1709" s="4"/>
      <c r="O1709" s="4"/>
      <c r="P1709" s="4"/>
      <c r="Q1709" s="4"/>
      <c r="R1709" s="14"/>
      <c r="S1709" s="14"/>
      <c r="T1709" s="14"/>
      <c r="U1709" s="14"/>
      <c r="V1709" s="14"/>
      <c r="W1709" s="14"/>
      <c r="X1709" s="1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c r="AX1709" s="4"/>
      <c r="AY1709" s="4"/>
      <c r="AZ1709" s="4"/>
      <c r="BA1709" s="4"/>
      <c r="BB1709" s="4"/>
      <c r="BC1709" s="4"/>
      <c r="BD1709" s="4"/>
      <c r="BE1709" s="4"/>
      <c r="BG1709" s="4"/>
      <c r="BH1709" s="4"/>
    </row>
    <row r="1710" spans="1:60" x14ac:dyDescent="0.35">
      <c r="A1710" s="4"/>
      <c r="B1710" s="8" t="str">
        <f t="shared" si="122"/>
        <v/>
      </c>
      <c r="D1710" s="6" t="str">
        <f t="shared" si="119"/>
        <v/>
      </c>
      <c r="E1710" s="6" t="str">
        <f t="shared" si="120"/>
        <v/>
      </c>
      <c r="F1710" s="6" t="str">
        <f t="shared" si="121"/>
        <v/>
      </c>
      <c r="G1710" s="4"/>
      <c r="H1710" s="4"/>
      <c r="I1710" s="4"/>
      <c r="J1710" s="4"/>
      <c r="K1710" s="4"/>
      <c r="L1710" s="4"/>
      <c r="M1710" s="4"/>
      <c r="N1710" s="4"/>
      <c r="O1710" s="4"/>
      <c r="P1710" s="4"/>
      <c r="Q1710" s="4"/>
      <c r="R1710" s="14"/>
      <c r="S1710" s="14"/>
      <c r="T1710" s="14"/>
      <c r="U1710" s="14"/>
      <c r="V1710" s="14"/>
      <c r="W1710" s="14"/>
      <c r="X1710" s="1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c r="AX1710" s="4"/>
      <c r="AY1710" s="4"/>
      <c r="AZ1710" s="4"/>
      <c r="BA1710" s="4"/>
      <c r="BB1710" s="4"/>
      <c r="BC1710" s="4"/>
      <c r="BD1710" s="4"/>
      <c r="BE1710" s="4"/>
      <c r="BG1710" s="4"/>
      <c r="BH1710" s="4"/>
    </row>
    <row r="1711" spans="1:60" x14ac:dyDescent="0.35">
      <c r="A1711" s="4"/>
      <c r="B1711" s="8" t="str">
        <f t="shared" si="122"/>
        <v/>
      </c>
      <c r="D1711" s="6" t="str">
        <f t="shared" si="119"/>
        <v/>
      </c>
      <c r="E1711" s="6" t="str">
        <f t="shared" si="120"/>
        <v/>
      </c>
      <c r="F1711" s="6" t="str">
        <f t="shared" si="121"/>
        <v/>
      </c>
      <c r="G1711" s="4"/>
      <c r="H1711" s="4"/>
      <c r="I1711" s="4"/>
      <c r="J1711" s="4"/>
      <c r="K1711" s="4"/>
      <c r="L1711" s="4"/>
      <c r="M1711" s="4"/>
      <c r="N1711" s="4"/>
      <c r="O1711" s="4"/>
      <c r="P1711" s="4"/>
      <c r="Q1711" s="4"/>
      <c r="R1711" s="14"/>
      <c r="S1711" s="14"/>
      <c r="T1711" s="14"/>
      <c r="U1711" s="14"/>
      <c r="V1711" s="14"/>
      <c r="W1711" s="14"/>
      <c r="X1711" s="1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c r="BB1711" s="4"/>
      <c r="BC1711" s="4"/>
      <c r="BD1711" s="4"/>
      <c r="BE1711" s="4"/>
      <c r="BG1711" s="4"/>
      <c r="BH1711" s="4"/>
    </row>
    <row r="1712" spans="1:60" x14ac:dyDescent="0.35">
      <c r="A1712" s="4"/>
      <c r="B1712" s="8" t="str">
        <f t="shared" si="122"/>
        <v/>
      </c>
      <c r="D1712" s="6" t="str">
        <f t="shared" si="119"/>
        <v/>
      </c>
      <c r="E1712" s="6" t="str">
        <f t="shared" si="120"/>
        <v/>
      </c>
      <c r="F1712" s="6" t="str">
        <f t="shared" si="121"/>
        <v/>
      </c>
      <c r="G1712" s="4"/>
      <c r="H1712" s="4"/>
      <c r="I1712" s="4"/>
      <c r="J1712" s="4"/>
      <c r="K1712" s="4"/>
      <c r="L1712" s="4"/>
      <c r="M1712" s="4"/>
      <c r="N1712" s="4"/>
      <c r="O1712" s="4"/>
      <c r="P1712" s="4"/>
      <c r="Q1712" s="4"/>
      <c r="R1712" s="14"/>
      <c r="S1712" s="14"/>
      <c r="T1712" s="14"/>
      <c r="U1712" s="14"/>
      <c r="V1712" s="14"/>
      <c r="W1712" s="14"/>
      <c r="X1712" s="1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c r="BB1712" s="4"/>
      <c r="BC1712" s="4"/>
      <c r="BD1712" s="4"/>
      <c r="BE1712" s="4"/>
      <c r="BG1712" s="4"/>
      <c r="BH1712" s="4"/>
    </row>
    <row r="1713" spans="1:60" x14ac:dyDescent="0.35">
      <c r="A1713" s="4"/>
      <c r="B1713" s="8" t="str">
        <f t="shared" si="122"/>
        <v/>
      </c>
      <c r="D1713" s="6" t="str">
        <f t="shared" si="119"/>
        <v/>
      </c>
      <c r="E1713" s="6" t="str">
        <f t="shared" si="120"/>
        <v/>
      </c>
      <c r="F1713" s="6" t="str">
        <f t="shared" si="121"/>
        <v/>
      </c>
      <c r="G1713" s="4"/>
      <c r="H1713" s="4"/>
      <c r="I1713" s="4"/>
      <c r="J1713" s="4"/>
      <c r="K1713" s="4"/>
      <c r="L1713" s="4"/>
      <c r="M1713" s="4"/>
      <c r="N1713" s="4"/>
      <c r="O1713" s="4"/>
      <c r="P1713" s="4"/>
      <c r="Q1713" s="4"/>
      <c r="R1713" s="14"/>
      <c r="S1713" s="14"/>
      <c r="T1713" s="14"/>
      <c r="U1713" s="14"/>
      <c r="V1713" s="14"/>
      <c r="W1713" s="14"/>
      <c r="X1713" s="14"/>
      <c r="Y1713" s="4"/>
      <c r="Z1713" s="4"/>
      <c r="AA1713" s="4"/>
      <c r="AB1713" s="4"/>
      <c r="AC1713" s="4"/>
      <c r="AD1713" s="4"/>
      <c r="AE1713" s="4"/>
      <c r="AF1713" s="4"/>
      <c r="AG1713" s="4"/>
      <c r="AH1713" s="4"/>
      <c r="AI1713" s="4"/>
      <c r="AJ1713" s="4"/>
      <c r="AK1713" s="4"/>
      <c r="AL1713" s="4"/>
      <c r="AM1713" s="4"/>
      <c r="AN1713" s="4"/>
      <c r="AO1713" s="4"/>
      <c r="AP1713" s="4"/>
      <c r="AQ1713" s="4"/>
      <c r="AR1713" s="4"/>
      <c r="AS1713" s="4"/>
      <c r="AT1713" s="4"/>
      <c r="AU1713" s="4"/>
      <c r="AV1713" s="4"/>
      <c r="AW1713" s="4"/>
      <c r="AX1713" s="4"/>
      <c r="AY1713" s="4"/>
      <c r="AZ1713" s="4"/>
      <c r="BA1713" s="4"/>
      <c r="BB1713" s="4"/>
      <c r="BC1713" s="4"/>
      <c r="BD1713" s="4"/>
      <c r="BE1713" s="4"/>
      <c r="BG1713" s="4"/>
      <c r="BH1713" s="4"/>
    </row>
    <row r="1714" spans="1:60" x14ac:dyDescent="0.35">
      <c r="A1714" s="4"/>
      <c r="B1714" s="8" t="str">
        <f t="shared" si="122"/>
        <v/>
      </c>
      <c r="D1714" s="6" t="str">
        <f t="shared" si="119"/>
        <v/>
      </c>
      <c r="E1714" s="6" t="str">
        <f t="shared" si="120"/>
        <v/>
      </c>
      <c r="F1714" s="6" t="str">
        <f t="shared" si="121"/>
        <v/>
      </c>
      <c r="G1714" s="4"/>
      <c r="H1714" s="4"/>
      <c r="I1714" s="4"/>
      <c r="J1714" s="4"/>
      <c r="K1714" s="4"/>
      <c r="L1714" s="4"/>
      <c r="M1714" s="4"/>
      <c r="N1714" s="4"/>
      <c r="O1714" s="4"/>
      <c r="P1714" s="4"/>
      <c r="Q1714" s="4"/>
      <c r="R1714" s="14"/>
      <c r="S1714" s="14"/>
      <c r="T1714" s="14"/>
      <c r="U1714" s="14"/>
      <c r="V1714" s="14"/>
      <c r="W1714" s="14"/>
      <c r="X1714" s="1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c r="AX1714" s="4"/>
      <c r="AY1714" s="4"/>
      <c r="AZ1714" s="4"/>
      <c r="BA1714" s="4"/>
      <c r="BB1714" s="4"/>
      <c r="BC1714" s="4"/>
      <c r="BD1714" s="4"/>
      <c r="BE1714" s="4"/>
      <c r="BG1714" s="4"/>
      <c r="BH1714" s="4"/>
    </row>
    <row r="1715" spans="1:60" x14ac:dyDescent="0.35">
      <c r="A1715" s="4"/>
      <c r="B1715" s="8" t="str">
        <f t="shared" si="122"/>
        <v/>
      </c>
      <c r="D1715" s="6" t="str">
        <f t="shared" si="119"/>
        <v/>
      </c>
      <c r="E1715" s="6" t="str">
        <f t="shared" si="120"/>
        <v/>
      </c>
      <c r="F1715" s="6" t="str">
        <f t="shared" si="121"/>
        <v/>
      </c>
      <c r="G1715" s="4"/>
      <c r="H1715" s="4"/>
      <c r="I1715" s="4"/>
      <c r="J1715" s="4"/>
      <c r="K1715" s="4"/>
      <c r="L1715" s="4"/>
      <c r="M1715" s="4"/>
      <c r="N1715" s="4"/>
      <c r="O1715" s="4"/>
      <c r="P1715" s="4"/>
      <c r="Q1715" s="4"/>
      <c r="R1715" s="14"/>
      <c r="S1715" s="14"/>
      <c r="T1715" s="14"/>
      <c r="U1715" s="14"/>
      <c r="V1715" s="14"/>
      <c r="W1715" s="14"/>
      <c r="X1715" s="14"/>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c r="AX1715" s="4"/>
      <c r="AY1715" s="4"/>
      <c r="AZ1715" s="4"/>
      <c r="BA1715" s="4"/>
      <c r="BB1715" s="4"/>
      <c r="BC1715" s="4"/>
      <c r="BD1715" s="4"/>
      <c r="BE1715" s="4"/>
      <c r="BG1715" s="4"/>
      <c r="BH1715" s="4"/>
    </row>
    <row r="1716" spans="1:60" x14ac:dyDescent="0.35">
      <c r="A1716" s="4"/>
      <c r="B1716" s="8" t="str">
        <f t="shared" si="122"/>
        <v/>
      </c>
      <c r="D1716" s="6" t="str">
        <f t="shared" si="119"/>
        <v/>
      </c>
      <c r="E1716" s="6" t="str">
        <f t="shared" si="120"/>
        <v/>
      </c>
      <c r="F1716" s="6" t="str">
        <f t="shared" si="121"/>
        <v/>
      </c>
      <c r="G1716" s="4"/>
      <c r="H1716" s="4"/>
      <c r="I1716" s="4"/>
      <c r="J1716" s="4"/>
      <c r="K1716" s="4"/>
      <c r="L1716" s="4"/>
      <c r="M1716" s="4"/>
      <c r="N1716" s="4"/>
      <c r="O1716" s="4"/>
      <c r="P1716" s="4"/>
      <c r="Q1716" s="4"/>
      <c r="R1716" s="14"/>
      <c r="S1716" s="14"/>
      <c r="T1716" s="14"/>
      <c r="U1716" s="14"/>
      <c r="V1716" s="14"/>
      <c r="W1716" s="14"/>
      <c r="X1716" s="1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c r="AX1716" s="4"/>
      <c r="AY1716" s="4"/>
      <c r="AZ1716" s="4"/>
      <c r="BA1716" s="4"/>
      <c r="BB1716" s="4"/>
      <c r="BC1716" s="4"/>
      <c r="BD1716" s="4"/>
      <c r="BE1716" s="4"/>
      <c r="BG1716" s="4"/>
      <c r="BH1716" s="4"/>
    </row>
    <row r="1717" spans="1:60" x14ac:dyDescent="0.35">
      <c r="A1717" s="4"/>
      <c r="B1717" s="8" t="str">
        <f t="shared" si="122"/>
        <v/>
      </c>
      <c r="D1717" s="6" t="str">
        <f t="shared" si="119"/>
        <v/>
      </c>
      <c r="E1717" s="6" t="str">
        <f t="shared" si="120"/>
        <v/>
      </c>
      <c r="F1717" s="6" t="str">
        <f t="shared" si="121"/>
        <v/>
      </c>
      <c r="G1717" s="4"/>
      <c r="H1717" s="4"/>
      <c r="I1717" s="4"/>
      <c r="J1717" s="4"/>
      <c r="K1717" s="4"/>
      <c r="L1717" s="4"/>
      <c r="M1717" s="4"/>
      <c r="N1717" s="4"/>
      <c r="O1717" s="4"/>
      <c r="P1717" s="4"/>
      <c r="Q1717" s="4"/>
      <c r="R1717" s="14"/>
      <c r="S1717" s="14"/>
      <c r="T1717" s="14"/>
      <c r="U1717" s="14"/>
      <c r="V1717" s="14"/>
      <c r="W1717" s="14"/>
      <c r="X1717" s="1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c r="BB1717" s="4"/>
      <c r="BC1717" s="4"/>
      <c r="BD1717" s="4"/>
      <c r="BE1717" s="4"/>
      <c r="BG1717" s="4"/>
      <c r="BH1717" s="4"/>
    </row>
    <row r="1718" spans="1:60" x14ac:dyDescent="0.35">
      <c r="A1718" s="4"/>
      <c r="B1718" s="8" t="str">
        <f t="shared" si="122"/>
        <v/>
      </c>
      <c r="D1718" s="6" t="str">
        <f t="shared" si="119"/>
        <v/>
      </c>
      <c r="E1718" s="6" t="str">
        <f t="shared" si="120"/>
        <v/>
      </c>
      <c r="F1718" s="6" t="str">
        <f t="shared" si="121"/>
        <v/>
      </c>
      <c r="G1718" s="4"/>
      <c r="H1718" s="4"/>
      <c r="I1718" s="4"/>
      <c r="J1718" s="4"/>
      <c r="K1718" s="4"/>
      <c r="L1718" s="4"/>
      <c r="M1718" s="4"/>
      <c r="N1718" s="4"/>
      <c r="O1718" s="4"/>
      <c r="P1718" s="4"/>
      <c r="Q1718" s="4"/>
      <c r="R1718" s="14"/>
      <c r="S1718" s="14"/>
      <c r="T1718" s="14"/>
      <c r="U1718" s="14"/>
      <c r="V1718" s="14"/>
      <c r="W1718" s="14"/>
      <c r="X1718" s="1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c r="BB1718" s="4"/>
      <c r="BC1718" s="4"/>
      <c r="BD1718" s="4"/>
      <c r="BE1718" s="4"/>
      <c r="BG1718" s="4"/>
      <c r="BH1718" s="4"/>
    </row>
    <row r="1719" spans="1:60" x14ac:dyDescent="0.35">
      <c r="A1719" s="4"/>
      <c r="B1719" s="8" t="str">
        <f t="shared" si="122"/>
        <v/>
      </c>
      <c r="D1719" s="6" t="str">
        <f t="shared" si="119"/>
        <v/>
      </c>
      <c r="E1719" s="6" t="str">
        <f t="shared" si="120"/>
        <v/>
      </c>
      <c r="F1719" s="6" t="str">
        <f t="shared" si="121"/>
        <v/>
      </c>
      <c r="G1719" s="4"/>
      <c r="H1719" s="4"/>
      <c r="I1719" s="4"/>
      <c r="J1719" s="4"/>
      <c r="K1719" s="4"/>
      <c r="L1719" s="4"/>
      <c r="M1719" s="4"/>
      <c r="N1719" s="4"/>
      <c r="O1719" s="4"/>
      <c r="P1719" s="4"/>
      <c r="Q1719" s="4"/>
      <c r="R1719" s="14"/>
      <c r="S1719" s="14"/>
      <c r="T1719" s="14"/>
      <c r="U1719" s="14"/>
      <c r="V1719" s="14"/>
      <c r="W1719" s="14"/>
      <c r="X1719" s="1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c r="AX1719" s="4"/>
      <c r="AY1719" s="4"/>
      <c r="AZ1719" s="4"/>
      <c r="BA1719" s="4"/>
      <c r="BB1719" s="4"/>
      <c r="BC1719" s="4"/>
      <c r="BD1719" s="4"/>
      <c r="BE1719" s="4"/>
      <c r="BG1719" s="4"/>
      <c r="BH1719" s="4"/>
    </row>
    <row r="1720" spans="1:60" x14ac:dyDescent="0.35">
      <c r="A1720" s="4"/>
      <c r="B1720" s="8" t="str">
        <f t="shared" si="122"/>
        <v/>
      </c>
      <c r="D1720" s="6" t="str">
        <f t="shared" si="119"/>
        <v/>
      </c>
      <c r="E1720" s="6" t="str">
        <f t="shared" si="120"/>
        <v/>
      </c>
      <c r="F1720" s="6" t="str">
        <f t="shared" si="121"/>
        <v/>
      </c>
      <c r="G1720" s="4"/>
      <c r="H1720" s="4"/>
      <c r="I1720" s="4"/>
      <c r="J1720" s="4"/>
      <c r="K1720" s="4"/>
      <c r="L1720" s="4"/>
      <c r="M1720" s="4"/>
      <c r="N1720" s="4"/>
      <c r="O1720" s="4"/>
      <c r="P1720" s="4"/>
      <c r="Q1720" s="4"/>
      <c r="R1720" s="14"/>
      <c r="S1720" s="14"/>
      <c r="T1720" s="14"/>
      <c r="U1720" s="14"/>
      <c r="V1720" s="14"/>
      <c r="W1720" s="14"/>
      <c r="X1720" s="1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c r="AX1720" s="4"/>
      <c r="AY1720" s="4"/>
      <c r="AZ1720" s="4"/>
      <c r="BA1720" s="4"/>
      <c r="BB1720" s="4"/>
      <c r="BC1720" s="4"/>
      <c r="BD1720" s="4"/>
      <c r="BE1720" s="4"/>
      <c r="BG1720" s="4"/>
      <c r="BH1720" s="4"/>
    </row>
    <row r="1721" spans="1:60" x14ac:dyDescent="0.35">
      <c r="A1721" s="4"/>
      <c r="B1721" s="8" t="str">
        <f t="shared" ref="B1721:B1784" si="123">RIGHT(A1721,4)</f>
        <v/>
      </c>
      <c r="D1721" s="6" t="str">
        <f t="shared" si="119"/>
        <v/>
      </c>
      <c r="E1721" s="6" t="str">
        <f t="shared" si="120"/>
        <v/>
      </c>
      <c r="F1721" s="6" t="str">
        <f t="shared" si="121"/>
        <v/>
      </c>
      <c r="G1721" s="4"/>
      <c r="H1721" s="4"/>
      <c r="I1721" s="4"/>
      <c r="J1721" s="4"/>
      <c r="K1721" s="4"/>
      <c r="L1721" s="4"/>
      <c r="M1721" s="4"/>
      <c r="N1721" s="4"/>
      <c r="O1721" s="4"/>
      <c r="P1721" s="4"/>
      <c r="Q1721" s="4"/>
      <c r="R1721" s="14"/>
      <c r="S1721" s="14"/>
      <c r="T1721" s="14"/>
      <c r="U1721" s="14"/>
      <c r="V1721" s="14"/>
      <c r="W1721" s="14"/>
      <c r="X1721" s="1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c r="BB1721" s="4"/>
      <c r="BC1721" s="4"/>
      <c r="BD1721" s="4"/>
      <c r="BE1721" s="4"/>
      <c r="BG1721" s="4"/>
      <c r="BH1721" s="4"/>
    </row>
    <row r="1722" spans="1:60" x14ac:dyDescent="0.35">
      <c r="A1722" s="4"/>
      <c r="B1722" s="8" t="str">
        <f t="shared" si="123"/>
        <v/>
      </c>
      <c r="D1722" s="6" t="str">
        <f t="shared" si="119"/>
        <v/>
      </c>
      <c r="E1722" s="6" t="str">
        <f t="shared" si="120"/>
        <v/>
      </c>
      <c r="F1722" s="6" t="str">
        <f t="shared" si="121"/>
        <v/>
      </c>
      <c r="G1722" s="4"/>
      <c r="H1722" s="4"/>
      <c r="I1722" s="4"/>
      <c r="J1722" s="4"/>
      <c r="K1722" s="4"/>
      <c r="L1722" s="4"/>
      <c r="M1722" s="4"/>
      <c r="N1722" s="4"/>
      <c r="O1722" s="4"/>
      <c r="P1722" s="4"/>
      <c r="Q1722" s="4"/>
      <c r="R1722" s="14"/>
      <c r="S1722" s="14"/>
      <c r="T1722" s="14"/>
      <c r="U1722" s="14"/>
      <c r="V1722" s="14"/>
      <c r="W1722" s="14"/>
      <c r="X1722" s="1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c r="AX1722" s="4"/>
      <c r="AY1722" s="4"/>
      <c r="AZ1722" s="4"/>
      <c r="BA1722" s="4"/>
      <c r="BB1722" s="4"/>
      <c r="BC1722" s="4"/>
      <c r="BD1722" s="4"/>
      <c r="BE1722" s="4"/>
      <c r="BG1722" s="4"/>
      <c r="BH1722" s="4"/>
    </row>
    <row r="1723" spans="1:60" x14ac:dyDescent="0.35">
      <c r="A1723" s="4"/>
      <c r="B1723" s="8" t="str">
        <f t="shared" si="123"/>
        <v/>
      </c>
      <c r="D1723" s="6" t="str">
        <f t="shared" si="119"/>
        <v/>
      </c>
      <c r="E1723" s="6" t="str">
        <f t="shared" si="120"/>
        <v/>
      </c>
      <c r="F1723" s="6" t="str">
        <f t="shared" si="121"/>
        <v/>
      </c>
      <c r="G1723" s="4"/>
      <c r="H1723" s="4"/>
      <c r="I1723" s="4"/>
      <c r="J1723" s="4"/>
      <c r="K1723" s="4"/>
      <c r="L1723" s="4"/>
      <c r="M1723" s="4"/>
      <c r="N1723" s="4"/>
      <c r="O1723" s="4"/>
      <c r="P1723" s="4"/>
      <c r="Q1723" s="4"/>
      <c r="R1723" s="14"/>
      <c r="S1723" s="14"/>
      <c r="T1723" s="14"/>
      <c r="U1723" s="14"/>
      <c r="V1723" s="14"/>
      <c r="W1723" s="14"/>
      <c r="X1723" s="1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c r="BC1723" s="4"/>
      <c r="BD1723" s="4"/>
      <c r="BE1723" s="4"/>
      <c r="BG1723" s="4"/>
      <c r="BH1723" s="4"/>
    </row>
    <row r="1724" spans="1:60" x14ac:dyDescent="0.35">
      <c r="A1724" s="4"/>
      <c r="B1724" s="8" t="str">
        <f t="shared" si="123"/>
        <v/>
      </c>
      <c r="D1724" s="6" t="str">
        <f t="shared" si="119"/>
        <v/>
      </c>
      <c r="E1724" s="6" t="str">
        <f t="shared" si="120"/>
        <v/>
      </c>
      <c r="F1724" s="6" t="str">
        <f t="shared" si="121"/>
        <v/>
      </c>
      <c r="G1724" s="4"/>
      <c r="H1724" s="4"/>
      <c r="I1724" s="4"/>
      <c r="J1724" s="4"/>
      <c r="K1724" s="4"/>
      <c r="L1724" s="4"/>
      <c r="M1724" s="4"/>
      <c r="N1724" s="4"/>
      <c r="O1724" s="4"/>
      <c r="P1724" s="4"/>
      <c r="Q1724" s="4"/>
      <c r="R1724" s="14"/>
      <c r="S1724" s="14"/>
      <c r="T1724" s="14"/>
      <c r="U1724" s="14"/>
      <c r="V1724" s="14"/>
      <c r="W1724" s="14"/>
      <c r="X1724" s="1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c r="AX1724" s="4"/>
      <c r="AY1724" s="4"/>
      <c r="AZ1724" s="4"/>
      <c r="BA1724" s="4"/>
      <c r="BB1724" s="4"/>
      <c r="BC1724" s="4"/>
      <c r="BD1724" s="4"/>
      <c r="BE1724" s="4"/>
      <c r="BG1724" s="4"/>
      <c r="BH1724" s="4"/>
    </row>
    <row r="1725" spans="1:60" x14ac:dyDescent="0.35">
      <c r="A1725" s="4"/>
      <c r="B1725" s="8" t="str">
        <f t="shared" si="123"/>
        <v/>
      </c>
      <c r="D1725" s="6" t="str">
        <f t="shared" ref="D1725:D1788" si="124">IF(C1725="","",VLOOKUP(C1725,district_region,2,FALSE))</f>
        <v/>
      </c>
      <c r="E1725" s="6" t="str">
        <f t="shared" ref="E1725:E1788" si="125">IF(C1725="","",VLOOKUP(C1725,liste_pop,3,FALSE))</f>
        <v/>
      </c>
      <c r="F1725" s="6" t="str">
        <f t="shared" ref="F1725:F1788" si="126">IF(D1725="","",IF(D1725="Dakar",4042240,VLOOKUP(D1725,liste_pop,4,FALSE)))</f>
        <v/>
      </c>
      <c r="G1725" s="4"/>
      <c r="H1725" s="4"/>
      <c r="I1725" s="4"/>
      <c r="J1725" s="4"/>
      <c r="K1725" s="4"/>
      <c r="L1725" s="4"/>
      <c r="M1725" s="4"/>
      <c r="N1725" s="4"/>
      <c r="O1725" s="4"/>
      <c r="P1725" s="4"/>
      <c r="Q1725" s="4"/>
      <c r="R1725" s="14"/>
      <c r="S1725" s="14"/>
      <c r="T1725" s="14"/>
      <c r="U1725" s="14"/>
      <c r="V1725" s="14"/>
      <c r="W1725" s="14"/>
      <c r="X1725" s="1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c r="AX1725" s="4"/>
      <c r="AY1725" s="4"/>
      <c r="AZ1725" s="4"/>
      <c r="BA1725" s="4"/>
      <c r="BB1725" s="4"/>
      <c r="BC1725" s="4"/>
      <c r="BD1725" s="4"/>
      <c r="BE1725" s="4"/>
      <c r="BG1725" s="4"/>
      <c r="BH1725" s="4"/>
    </row>
    <row r="1726" spans="1:60" x14ac:dyDescent="0.35">
      <c r="A1726" s="4"/>
      <c r="B1726" s="8" t="str">
        <f t="shared" si="123"/>
        <v/>
      </c>
      <c r="D1726" s="6" t="str">
        <f t="shared" si="124"/>
        <v/>
      </c>
      <c r="E1726" s="6" t="str">
        <f t="shared" si="125"/>
        <v/>
      </c>
      <c r="F1726" s="6" t="str">
        <f t="shared" si="126"/>
        <v/>
      </c>
      <c r="G1726" s="4"/>
      <c r="H1726" s="4"/>
      <c r="I1726" s="4"/>
      <c r="J1726" s="4"/>
      <c r="K1726" s="4"/>
      <c r="L1726" s="4"/>
      <c r="M1726" s="4"/>
      <c r="N1726" s="4"/>
      <c r="O1726" s="4"/>
      <c r="P1726" s="4"/>
      <c r="Q1726" s="4"/>
      <c r="R1726" s="14"/>
      <c r="S1726" s="14"/>
      <c r="T1726" s="14"/>
      <c r="U1726" s="14"/>
      <c r="V1726" s="14"/>
      <c r="W1726" s="14"/>
      <c r="X1726" s="1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c r="BB1726" s="4"/>
      <c r="BC1726" s="4"/>
      <c r="BD1726" s="4"/>
      <c r="BE1726" s="4"/>
      <c r="BG1726" s="4"/>
      <c r="BH1726" s="4"/>
    </row>
    <row r="1727" spans="1:60" x14ac:dyDescent="0.35">
      <c r="A1727" s="4"/>
      <c r="B1727" s="8" t="str">
        <f t="shared" si="123"/>
        <v/>
      </c>
      <c r="D1727" s="6" t="str">
        <f t="shared" si="124"/>
        <v/>
      </c>
      <c r="E1727" s="6" t="str">
        <f t="shared" si="125"/>
        <v/>
      </c>
      <c r="F1727" s="6" t="str">
        <f t="shared" si="126"/>
        <v/>
      </c>
      <c r="G1727" s="4"/>
      <c r="H1727" s="4"/>
      <c r="I1727" s="4"/>
      <c r="J1727" s="4"/>
      <c r="K1727" s="4"/>
      <c r="L1727" s="4"/>
      <c r="M1727" s="4"/>
      <c r="N1727" s="4"/>
      <c r="O1727" s="4"/>
      <c r="P1727" s="4"/>
      <c r="Q1727" s="4"/>
      <c r="R1727" s="14"/>
      <c r="S1727" s="14"/>
      <c r="T1727" s="14"/>
      <c r="U1727" s="14"/>
      <c r="V1727" s="14"/>
      <c r="W1727" s="14"/>
      <c r="X1727" s="1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c r="AX1727" s="4"/>
      <c r="AY1727" s="4"/>
      <c r="AZ1727" s="4"/>
      <c r="BA1727" s="4"/>
      <c r="BB1727" s="4"/>
      <c r="BC1727" s="4"/>
      <c r="BD1727" s="4"/>
      <c r="BE1727" s="4"/>
      <c r="BG1727" s="4"/>
      <c r="BH1727" s="4"/>
    </row>
    <row r="1728" spans="1:60" x14ac:dyDescent="0.35">
      <c r="A1728" s="4"/>
      <c r="B1728" s="8" t="str">
        <f t="shared" si="123"/>
        <v/>
      </c>
      <c r="D1728" s="6" t="str">
        <f t="shared" si="124"/>
        <v/>
      </c>
      <c r="E1728" s="6" t="str">
        <f t="shared" si="125"/>
        <v/>
      </c>
      <c r="F1728" s="6" t="str">
        <f t="shared" si="126"/>
        <v/>
      </c>
      <c r="G1728" s="4"/>
      <c r="H1728" s="4"/>
      <c r="I1728" s="4"/>
      <c r="J1728" s="4"/>
      <c r="K1728" s="4"/>
      <c r="L1728" s="4"/>
      <c r="M1728" s="4"/>
      <c r="N1728" s="4"/>
      <c r="O1728" s="4"/>
      <c r="P1728" s="4"/>
      <c r="Q1728" s="4"/>
      <c r="R1728" s="14"/>
      <c r="S1728" s="14"/>
      <c r="T1728" s="14"/>
      <c r="U1728" s="14"/>
      <c r="V1728" s="14"/>
      <c r="W1728" s="14"/>
      <c r="X1728" s="14"/>
      <c r="Y1728" s="4"/>
      <c r="Z1728" s="4"/>
      <c r="AA1728" s="4"/>
      <c r="AB1728" s="4"/>
      <c r="AC1728" s="4"/>
      <c r="AD1728" s="4"/>
      <c r="AE1728" s="4"/>
      <c r="AF1728" s="4"/>
      <c r="AG1728" s="4"/>
      <c r="AH1728" s="4"/>
      <c r="AI1728" s="4"/>
      <c r="AJ1728" s="4"/>
      <c r="AK1728" s="4"/>
      <c r="AL1728" s="4"/>
      <c r="AM1728" s="4"/>
      <c r="AN1728" s="4"/>
      <c r="AO1728" s="4"/>
      <c r="AP1728" s="4"/>
      <c r="AQ1728" s="4"/>
      <c r="AR1728" s="4"/>
      <c r="AS1728" s="4"/>
      <c r="AT1728" s="4"/>
      <c r="AU1728" s="4"/>
      <c r="AV1728" s="4"/>
      <c r="AW1728" s="4"/>
      <c r="AX1728" s="4"/>
      <c r="AY1728" s="4"/>
      <c r="AZ1728" s="4"/>
      <c r="BA1728" s="4"/>
      <c r="BB1728" s="4"/>
      <c r="BC1728" s="4"/>
      <c r="BD1728" s="4"/>
      <c r="BE1728" s="4"/>
      <c r="BG1728" s="4"/>
      <c r="BH1728" s="4"/>
    </row>
    <row r="1729" spans="1:60" x14ac:dyDescent="0.35">
      <c r="A1729" s="4"/>
      <c r="B1729" s="8" t="str">
        <f t="shared" si="123"/>
        <v/>
      </c>
      <c r="D1729" s="6" t="str">
        <f t="shared" si="124"/>
        <v/>
      </c>
      <c r="E1729" s="6" t="str">
        <f t="shared" si="125"/>
        <v/>
      </c>
      <c r="F1729" s="6" t="str">
        <f t="shared" si="126"/>
        <v/>
      </c>
      <c r="G1729" s="4"/>
      <c r="H1729" s="4"/>
      <c r="I1729" s="4"/>
      <c r="J1729" s="4"/>
      <c r="K1729" s="4"/>
      <c r="L1729" s="4"/>
      <c r="M1729" s="4"/>
      <c r="N1729" s="4"/>
      <c r="O1729" s="4"/>
      <c r="P1729" s="4"/>
      <c r="Q1729" s="4"/>
      <c r="R1729" s="14"/>
      <c r="S1729" s="14"/>
      <c r="T1729" s="14"/>
      <c r="U1729" s="14"/>
      <c r="V1729" s="14"/>
      <c r="W1729" s="14"/>
      <c r="X1729" s="1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c r="BB1729" s="4"/>
      <c r="BC1729" s="4"/>
      <c r="BD1729" s="4"/>
      <c r="BE1729" s="4"/>
      <c r="BG1729" s="4"/>
      <c r="BH1729" s="4"/>
    </row>
    <row r="1730" spans="1:60" x14ac:dyDescent="0.35">
      <c r="A1730" s="4"/>
      <c r="B1730" s="8" t="str">
        <f t="shared" si="123"/>
        <v/>
      </c>
      <c r="D1730" s="6" t="str">
        <f t="shared" si="124"/>
        <v/>
      </c>
      <c r="E1730" s="6" t="str">
        <f t="shared" si="125"/>
        <v/>
      </c>
      <c r="F1730" s="6" t="str">
        <f t="shared" si="126"/>
        <v/>
      </c>
      <c r="G1730" s="4"/>
      <c r="H1730" s="4"/>
      <c r="I1730" s="4"/>
      <c r="J1730" s="4"/>
      <c r="K1730" s="4"/>
      <c r="L1730" s="4"/>
      <c r="M1730" s="4"/>
      <c r="N1730" s="4"/>
      <c r="O1730" s="4"/>
      <c r="P1730" s="4"/>
      <c r="Q1730" s="4"/>
      <c r="R1730" s="14"/>
      <c r="S1730" s="14"/>
      <c r="T1730" s="14"/>
      <c r="U1730" s="14"/>
      <c r="V1730" s="14"/>
      <c r="W1730" s="14"/>
      <c r="X1730" s="1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c r="AX1730" s="4"/>
      <c r="AY1730" s="4"/>
      <c r="AZ1730" s="4"/>
      <c r="BA1730" s="4"/>
      <c r="BB1730" s="4"/>
      <c r="BC1730" s="4"/>
      <c r="BD1730" s="4"/>
      <c r="BE1730" s="4"/>
      <c r="BG1730" s="4"/>
      <c r="BH1730" s="4"/>
    </row>
    <row r="1731" spans="1:60" x14ac:dyDescent="0.35">
      <c r="A1731" s="4"/>
      <c r="B1731" s="8" t="str">
        <f t="shared" si="123"/>
        <v/>
      </c>
      <c r="D1731" s="6" t="str">
        <f t="shared" si="124"/>
        <v/>
      </c>
      <c r="E1731" s="6" t="str">
        <f t="shared" si="125"/>
        <v/>
      </c>
      <c r="F1731" s="6" t="str">
        <f t="shared" si="126"/>
        <v/>
      </c>
      <c r="G1731" s="4"/>
      <c r="H1731" s="4"/>
      <c r="I1731" s="4"/>
      <c r="J1731" s="4"/>
      <c r="K1731" s="4"/>
      <c r="L1731" s="4"/>
      <c r="M1731" s="4"/>
      <c r="N1731" s="4"/>
      <c r="O1731" s="4"/>
      <c r="P1731" s="4"/>
      <c r="Q1731" s="4"/>
      <c r="R1731" s="14"/>
      <c r="S1731" s="14"/>
      <c r="T1731" s="14"/>
      <c r="U1731" s="14"/>
      <c r="V1731" s="14"/>
      <c r="W1731" s="14"/>
      <c r="X1731" s="1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c r="AX1731" s="4"/>
      <c r="AY1731" s="4"/>
      <c r="AZ1731" s="4"/>
      <c r="BA1731" s="4"/>
      <c r="BB1731" s="4"/>
      <c r="BC1731" s="4"/>
      <c r="BD1731" s="4"/>
      <c r="BE1731" s="4"/>
      <c r="BG1731" s="4"/>
      <c r="BH1731" s="4"/>
    </row>
    <row r="1732" spans="1:60" x14ac:dyDescent="0.35">
      <c r="A1732" s="4"/>
      <c r="B1732" s="8" t="str">
        <f t="shared" si="123"/>
        <v/>
      </c>
      <c r="D1732" s="6" t="str">
        <f t="shared" si="124"/>
        <v/>
      </c>
      <c r="E1732" s="6" t="str">
        <f t="shared" si="125"/>
        <v/>
      </c>
      <c r="F1732" s="6" t="str">
        <f t="shared" si="126"/>
        <v/>
      </c>
      <c r="G1732" s="4"/>
      <c r="H1732" s="4"/>
      <c r="I1732" s="4"/>
      <c r="J1732" s="4"/>
      <c r="K1732" s="4"/>
      <c r="L1732" s="4"/>
      <c r="M1732" s="4"/>
      <c r="N1732" s="4"/>
      <c r="O1732" s="4"/>
      <c r="P1732" s="4"/>
      <c r="Q1732" s="4"/>
      <c r="R1732" s="14"/>
      <c r="S1732" s="14"/>
      <c r="T1732" s="14"/>
      <c r="U1732" s="14"/>
      <c r="V1732" s="14"/>
      <c r="W1732" s="14"/>
      <c r="X1732" s="1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c r="BB1732" s="4"/>
      <c r="BC1732" s="4"/>
      <c r="BD1732" s="4"/>
      <c r="BE1732" s="4"/>
      <c r="BG1732" s="4"/>
      <c r="BH1732" s="4"/>
    </row>
    <row r="1733" spans="1:60" x14ac:dyDescent="0.35">
      <c r="A1733" s="4"/>
      <c r="B1733" s="8" t="str">
        <f t="shared" si="123"/>
        <v/>
      </c>
      <c r="D1733" s="6" t="str">
        <f t="shared" si="124"/>
        <v/>
      </c>
      <c r="E1733" s="6" t="str">
        <f t="shared" si="125"/>
        <v/>
      </c>
      <c r="F1733" s="6" t="str">
        <f t="shared" si="126"/>
        <v/>
      </c>
      <c r="G1733" s="4"/>
      <c r="H1733" s="4"/>
      <c r="I1733" s="4"/>
      <c r="J1733" s="4"/>
      <c r="K1733" s="4"/>
      <c r="L1733" s="4"/>
      <c r="M1733" s="4"/>
      <c r="N1733" s="4"/>
      <c r="O1733" s="4"/>
      <c r="P1733" s="4"/>
      <c r="Q1733" s="4"/>
      <c r="R1733" s="14"/>
      <c r="S1733" s="14"/>
      <c r="T1733" s="14"/>
      <c r="U1733" s="14"/>
      <c r="V1733" s="14"/>
      <c r="W1733" s="14"/>
      <c r="X1733" s="14"/>
      <c r="Y1733" s="4"/>
      <c r="Z1733" s="4"/>
      <c r="AA1733" s="4"/>
      <c r="AB1733" s="4"/>
      <c r="AC1733" s="4"/>
      <c r="AD1733" s="4"/>
      <c r="AE1733" s="4"/>
      <c r="AF1733" s="4"/>
      <c r="AG1733" s="4"/>
      <c r="AH1733" s="4"/>
      <c r="AI1733" s="4"/>
      <c r="AJ1733" s="4"/>
      <c r="AK1733" s="4"/>
      <c r="AL1733" s="4"/>
      <c r="AM1733" s="4"/>
      <c r="AN1733" s="4"/>
      <c r="AO1733" s="4"/>
      <c r="AP1733" s="4"/>
      <c r="AQ1733" s="4"/>
      <c r="AR1733" s="4"/>
      <c r="AS1733" s="4"/>
      <c r="AT1733" s="4"/>
      <c r="AU1733" s="4"/>
      <c r="AV1733" s="4"/>
      <c r="AW1733" s="4"/>
      <c r="AX1733" s="4"/>
      <c r="AY1733" s="4"/>
      <c r="AZ1733" s="4"/>
      <c r="BA1733" s="4"/>
      <c r="BB1733" s="4"/>
      <c r="BC1733" s="4"/>
      <c r="BD1733" s="4"/>
      <c r="BE1733" s="4"/>
      <c r="BG1733" s="4"/>
      <c r="BH1733" s="4"/>
    </row>
    <row r="1734" spans="1:60" x14ac:dyDescent="0.35">
      <c r="A1734" s="4"/>
      <c r="B1734" s="8" t="str">
        <f t="shared" si="123"/>
        <v/>
      </c>
      <c r="D1734" s="6" t="str">
        <f t="shared" si="124"/>
        <v/>
      </c>
      <c r="E1734" s="6" t="str">
        <f t="shared" si="125"/>
        <v/>
      </c>
      <c r="F1734" s="6" t="str">
        <f t="shared" si="126"/>
        <v/>
      </c>
      <c r="G1734" s="4"/>
      <c r="H1734" s="4"/>
      <c r="I1734" s="4"/>
      <c r="J1734" s="4"/>
      <c r="K1734" s="4"/>
      <c r="L1734" s="4"/>
      <c r="M1734" s="4"/>
      <c r="N1734" s="4"/>
      <c r="O1734" s="4"/>
      <c r="P1734" s="4"/>
      <c r="Q1734" s="4"/>
      <c r="R1734" s="14"/>
      <c r="S1734" s="14"/>
      <c r="T1734" s="14"/>
      <c r="U1734" s="14"/>
      <c r="V1734" s="14"/>
      <c r="W1734" s="14"/>
      <c r="X1734" s="1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c r="BB1734" s="4"/>
      <c r="BC1734" s="4"/>
      <c r="BD1734" s="4"/>
      <c r="BE1734" s="4"/>
      <c r="BG1734" s="4"/>
      <c r="BH1734" s="4"/>
    </row>
    <row r="1735" spans="1:60" x14ac:dyDescent="0.35">
      <c r="A1735" s="4"/>
      <c r="B1735" s="8" t="str">
        <f t="shared" si="123"/>
        <v/>
      </c>
      <c r="D1735" s="6" t="str">
        <f t="shared" si="124"/>
        <v/>
      </c>
      <c r="E1735" s="6" t="str">
        <f t="shared" si="125"/>
        <v/>
      </c>
      <c r="F1735" s="6" t="str">
        <f t="shared" si="126"/>
        <v/>
      </c>
      <c r="G1735" s="4"/>
      <c r="H1735" s="4"/>
      <c r="I1735" s="4"/>
      <c r="J1735" s="4"/>
      <c r="K1735" s="4"/>
      <c r="L1735" s="4"/>
      <c r="M1735" s="4"/>
      <c r="N1735" s="4"/>
      <c r="O1735" s="4"/>
      <c r="P1735" s="4"/>
      <c r="Q1735" s="4"/>
      <c r="R1735" s="14"/>
      <c r="S1735" s="14"/>
      <c r="T1735" s="14"/>
      <c r="U1735" s="14"/>
      <c r="V1735" s="14"/>
      <c r="W1735" s="14"/>
      <c r="X1735" s="1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c r="BB1735" s="4"/>
      <c r="BC1735" s="4"/>
      <c r="BD1735" s="4"/>
      <c r="BE1735" s="4"/>
      <c r="BG1735" s="4"/>
      <c r="BH1735" s="4"/>
    </row>
    <row r="1736" spans="1:60" x14ac:dyDescent="0.35">
      <c r="A1736" s="4"/>
      <c r="B1736" s="8" t="str">
        <f t="shared" si="123"/>
        <v/>
      </c>
      <c r="D1736" s="6" t="str">
        <f t="shared" si="124"/>
        <v/>
      </c>
      <c r="E1736" s="6" t="str">
        <f t="shared" si="125"/>
        <v/>
      </c>
      <c r="F1736" s="6" t="str">
        <f t="shared" si="126"/>
        <v/>
      </c>
      <c r="G1736" s="4"/>
      <c r="H1736" s="4"/>
      <c r="I1736" s="4"/>
      <c r="J1736" s="4"/>
      <c r="K1736" s="4"/>
      <c r="L1736" s="4"/>
      <c r="M1736" s="4"/>
      <c r="N1736" s="4"/>
      <c r="O1736" s="4"/>
      <c r="P1736" s="4"/>
      <c r="Q1736" s="4"/>
      <c r="R1736" s="14"/>
      <c r="S1736" s="14"/>
      <c r="T1736" s="14"/>
      <c r="U1736" s="14"/>
      <c r="V1736" s="14"/>
      <c r="W1736" s="14"/>
      <c r="X1736" s="1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c r="BB1736" s="4"/>
      <c r="BC1736" s="4"/>
      <c r="BD1736" s="4"/>
      <c r="BE1736" s="4"/>
      <c r="BG1736" s="4"/>
      <c r="BH1736" s="4"/>
    </row>
    <row r="1737" spans="1:60" x14ac:dyDescent="0.35">
      <c r="A1737" s="4"/>
      <c r="B1737" s="8" t="str">
        <f t="shared" si="123"/>
        <v/>
      </c>
      <c r="D1737" s="6" t="str">
        <f t="shared" si="124"/>
        <v/>
      </c>
      <c r="E1737" s="6" t="str">
        <f t="shared" si="125"/>
        <v/>
      </c>
      <c r="F1737" s="6" t="str">
        <f t="shared" si="126"/>
        <v/>
      </c>
      <c r="G1737" s="4"/>
      <c r="H1737" s="4"/>
      <c r="I1737" s="4"/>
      <c r="J1737" s="4"/>
      <c r="K1737" s="4"/>
      <c r="L1737" s="4"/>
      <c r="M1737" s="4"/>
      <c r="N1737" s="4"/>
      <c r="O1737" s="4"/>
      <c r="P1737" s="4"/>
      <c r="Q1737" s="4"/>
      <c r="R1737" s="14"/>
      <c r="S1737" s="14"/>
      <c r="T1737" s="14"/>
      <c r="U1737" s="14"/>
      <c r="V1737" s="14"/>
      <c r="W1737" s="14"/>
      <c r="X1737" s="1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c r="AX1737" s="4"/>
      <c r="AY1737" s="4"/>
      <c r="AZ1737" s="4"/>
      <c r="BA1737" s="4"/>
      <c r="BB1737" s="4"/>
      <c r="BC1737" s="4"/>
      <c r="BD1737" s="4"/>
      <c r="BE1737" s="4"/>
      <c r="BG1737" s="4"/>
      <c r="BH1737" s="4"/>
    </row>
    <row r="1738" spans="1:60" x14ac:dyDescent="0.35">
      <c r="A1738" s="4"/>
      <c r="B1738" s="8" t="str">
        <f t="shared" si="123"/>
        <v/>
      </c>
      <c r="D1738" s="6" t="str">
        <f t="shared" si="124"/>
        <v/>
      </c>
      <c r="E1738" s="6" t="str">
        <f t="shared" si="125"/>
        <v/>
      </c>
      <c r="F1738" s="6" t="str">
        <f t="shared" si="126"/>
        <v/>
      </c>
      <c r="G1738" s="4"/>
      <c r="H1738" s="4"/>
      <c r="I1738" s="4"/>
      <c r="J1738" s="4"/>
      <c r="K1738" s="4"/>
      <c r="L1738" s="4"/>
      <c r="M1738" s="4"/>
      <c r="N1738" s="4"/>
      <c r="O1738" s="4"/>
      <c r="P1738" s="4"/>
      <c r="Q1738" s="4"/>
      <c r="R1738" s="14"/>
      <c r="S1738" s="14"/>
      <c r="T1738" s="14"/>
      <c r="U1738" s="14"/>
      <c r="V1738" s="14"/>
      <c r="W1738" s="14"/>
      <c r="X1738" s="14"/>
      <c r="Y1738" s="4"/>
      <c r="Z1738" s="4"/>
      <c r="AA1738" s="4"/>
      <c r="AB1738" s="4"/>
      <c r="AC1738" s="4"/>
      <c r="AD1738" s="4"/>
      <c r="AE1738" s="4"/>
      <c r="AF1738" s="4"/>
      <c r="AG1738" s="4"/>
      <c r="AH1738" s="4"/>
      <c r="AI1738" s="4"/>
      <c r="AJ1738" s="4"/>
      <c r="AK1738" s="4"/>
      <c r="AL1738" s="4"/>
      <c r="AM1738" s="4"/>
      <c r="AN1738" s="4"/>
      <c r="AO1738" s="4"/>
      <c r="AP1738" s="4"/>
      <c r="AQ1738" s="4"/>
      <c r="AR1738" s="4"/>
      <c r="AS1738" s="4"/>
      <c r="AT1738" s="4"/>
      <c r="AU1738" s="4"/>
      <c r="AV1738" s="4"/>
      <c r="AW1738" s="4"/>
      <c r="AX1738" s="4"/>
      <c r="AY1738" s="4"/>
      <c r="AZ1738" s="4"/>
      <c r="BA1738" s="4"/>
      <c r="BB1738" s="4"/>
      <c r="BC1738" s="4"/>
      <c r="BD1738" s="4"/>
      <c r="BE1738" s="4"/>
      <c r="BG1738" s="4"/>
      <c r="BH1738" s="4"/>
    </row>
    <row r="1739" spans="1:60" x14ac:dyDescent="0.35">
      <c r="A1739" s="4"/>
      <c r="B1739" s="8" t="str">
        <f t="shared" si="123"/>
        <v/>
      </c>
      <c r="D1739" s="6" t="str">
        <f t="shared" si="124"/>
        <v/>
      </c>
      <c r="E1739" s="6" t="str">
        <f t="shared" si="125"/>
        <v/>
      </c>
      <c r="F1739" s="6" t="str">
        <f t="shared" si="126"/>
        <v/>
      </c>
      <c r="G1739" s="4"/>
      <c r="H1739" s="4"/>
      <c r="I1739" s="4"/>
      <c r="J1739" s="4"/>
      <c r="K1739" s="4"/>
      <c r="L1739" s="4"/>
      <c r="M1739" s="4"/>
      <c r="N1739" s="4"/>
      <c r="O1739" s="4"/>
      <c r="P1739" s="4"/>
      <c r="Q1739" s="4"/>
      <c r="R1739" s="14"/>
      <c r="S1739" s="14"/>
      <c r="T1739" s="14"/>
      <c r="U1739" s="14"/>
      <c r="V1739" s="14"/>
      <c r="W1739" s="14"/>
      <c r="X1739" s="1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c r="AX1739" s="4"/>
      <c r="AY1739" s="4"/>
      <c r="AZ1739" s="4"/>
      <c r="BA1739" s="4"/>
      <c r="BB1739" s="4"/>
      <c r="BC1739" s="4"/>
      <c r="BD1739" s="4"/>
      <c r="BE1739" s="4"/>
      <c r="BG1739" s="4"/>
      <c r="BH1739" s="4"/>
    </row>
    <row r="1740" spans="1:60" x14ac:dyDescent="0.35">
      <c r="A1740" s="4"/>
      <c r="B1740" s="8" t="str">
        <f t="shared" si="123"/>
        <v/>
      </c>
      <c r="D1740" s="6" t="str">
        <f t="shared" si="124"/>
        <v/>
      </c>
      <c r="E1740" s="6" t="str">
        <f t="shared" si="125"/>
        <v/>
      </c>
      <c r="F1740" s="6" t="str">
        <f t="shared" si="126"/>
        <v/>
      </c>
      <c r="G1740" s="4"/>
      <c r="H1740" s="4"/>
      <c r="I1740" s="4"/>
      <c r="J1740" s="4"/>
      <c r="K1740" s="4"/>
      <c r="L1740" s="4"/>
      <c r="M1740" s="4"/>
      <c r="N1740" s="4"/>
      <c r="O1740" s="4"/>
      <c r="P1740" s="4"/>
      <c r="Q1740" s="4"/>
      <c r="R1740" s="14"/>
      <c r="S1740" s="14"/>
      <c r="T1740" s="14"/>
      <c r="U1740" s="14"/>
      <c r="V1740" s="14"/>
      <c r="W1740" s="14"/>
      <c r="X1740" s="1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c r="AX1740" s="4"/>
      <c r="AY1740" s="4"/>
      <c r="AZ1740" s="4"/>
      <c r="BA1740" s="4"/>
      <c r="BB1740" s="4"/>
      <c r="BC1740" s="4"/>
      <c r="BD1740" s="4"/>
      <c r="BE1740" s="4"/>
      <c r="BG1740" s="4"/>
      <c r="BH1740" s="4"/>
    </row>
    <row r="1741" spans="1:60" x14ac:dyDescent="0.35">
      <c r="A1741" s="4"/>
      <c r="B1741" s="8" t="str">
        <f t="shared" si="123"/>
        <v/>
      </c>
      <c r="D1741" s="6" t="str">
        <f t="shared" si="124"/>
        <v/>
      </c>
      <c r="E1741" s="6" t="str">
        <f t="shared" si="125"/>
        <v/>
      </c>
      <c r="F1741" s="6" t="str">
        <f t="shared" si="126"/>
        <v/>
      </c>
      <c r="G1741" s="4"/>
      <c r="H1741" s="4"/>
      <c r="I1741" s="4"/>
      <c r="J1741" s="4"/>
      <c r="K1741" s="4"/>
      <c r="L1741" s="4"/>
      <c r="M1741" s="4"/>
      <c r="N1741" s="4"/>
      <c r="O1741" s="4"/>
      <c r="P1741" s="4"/>
      <c r="Q1741" s="4"/>
      <c r="R1741" s="14"/>
      <c r="S1741" s="14"/>
      <c r="T1741" s="14"/>
      <c r="U1741" s="14"/>
      <c r="V1741" s="14"/>
      <c r="W1741" s="14"/>
      <c r="X1741" s="1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c r="BB1741" s="4"/>
      <c r="BC1741" s="4"/>
      <c r="BD1741" s="4"/>
      <c r="BE1741" s="4"/>
      <c r="BG1741" s="4"/>
      <c r="BH1741" s="4"/>
    </row>
    <row r="1742" spans="1:60" x14ac:dyDescent="0.35">
      <c r="A1742" s="4"/>
      <c r="B1742" s="8" t="str">
        <f t="shared" si="123"/>
        <v/>
      </c>
      <c r="D1742" s="6" t="str">
        <f t="shared" si="124"/>
        <v/>
      </c>
      <c r="E1742" s="6" t="str">
        <f t="shared" si="125"/>
        <v/>
      </c>
      <c r="F1742" s="6" t="str">
        <f t="shared" si="126"/>
        <v/>
      </c>
      <c r="G1742" s="4"/>
      <c r="H1742" s="4"/>
      <c r="I1742" s="4"/>
      <c r="J1742" s="4"/>
      <c r="K1742" s="4"/>
      <c r="L1742" s="4"/>
      <c r="M1742" s="4"/>
      <c r="N1742" s="4"/>
      <c r="O1742" s="4"/>
      <c r="P1742" s="4"/>
      <c r="Q1742" s="4"/>
      <c r="R1742" s="14"/>
      <c r="S1742" s="14"/>
      <c r="T1742" s="14"/>
      <c r="U1742" s="14"/>
      <c r="V1742" s="14"/>
      <c r="W1742" s="14"/>
      <c r="X1742" s="1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c r="AX1742" s="4"/>
      <c r="AY1742" s="4"/>
      <c r="AZ1742" s="4"/>
      <c r="BA1742" s="4"/>
      <c r="BB1742" s="4"/>
      <c r="BC1742" s="4"/>
      <c r="BD1742" s="4"/>
      <c r="BE1742" s="4"/>
      <c r="BG1742" s="4"/>
      <c r="BH1742" s="4"/>
    </row>
    <row r="1743" spans="1:60" x14ac:dyDescent="0.35">
      <c r="A1743" s="4"/>
      <c r="B1743" s="8" t="str">
        <f t="shared" si="123"/>
        <v/>
      </c>
      <c r="D1743" s="6" t="str">
        <f t="shared" si="124"/>
        <v/>
      </c>
      <c r="E1743" s="6" t="str">
        <f t="shared" si="125"/>
        <v/>
      </c>
      <c r="F1743" s="6" t="str">
        <f t="shared" si="126"/>
        <v/>
      </c>
      <c r="G1743" s="4"/>
      <c r="H1743" s="4"/>
      <c r="I1743" s="4"/>
      <c r="J1743" s="4"/>
      <c r="K1743" s="4"/>
      <c r="L1743" s="4"/>
      <c r="M1743" s="4"/>
      <c r="N1743" s="4"/>
      <c r="O1743" s="4"/>
      <c r="P1743" s="4"/>
      <c r="Q1743" s="4"/>
      <c r="R1743" s="14"/>
      <c r="S1743" s="14"/>
      <c r="T1743" s="14"/>
      <c r="U1743" s="14"/>
      <c r="V1743" s="14"/>
      <c r="W1743" s="14"/>
      <c r="X1743" s="1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4"/>
      <c r="AU1743" s="4"/>
      <c r="AV1743" s="4"/>
      <c r="AW1743" s="4"/>
      <c r="AX1743" s="4"/>
      <c r="AY1743" s="4"/>
      <c r="AZ1743" s="4"/>
      <c r="BA1743" s="4"/>
      <c r="BB1743" s="4"/>
      <c r="BC1743" s="4"/>
      <c r="BD1743" s="4"/>
      <c r="BE1743" s="4"/>
      <c r="BG1743" s="4"/>
      <c r="BH1743" s="4"/>
    </row>
    <row r="1744" spans="1:60" x14ac:dyDescent="0.35">
      <c r="A1744" s="4"/>
      <c r="B1744" s="8" t="str">
        <f t="shared" si="123"/>
        <v/>
      </c>
      <c r="D1744" s="6" t="str">
        <f t="shared" si="124"/>
        <v/>
      </c>
      <c r="E1744" s="6" t="str">
        <f t="shared" si="125"/>
        <v/>
      </c>
      <c r="F1744" s="6" t="str">
        <f t="shared" si="126"/>
        <v/>
      </c>
      <c r="G1744" s="4"/>
      <c r="H1744" s="4"/>
      <c r="I1744" s="4"/>
      <c r="J1744" s="4"/>
      <c r="K1744" s="4"/>
      <c r="L1744" s="4"/>
      <c r="M1744" s="4"/>
      <c r="N1744" s="4"/>
      <c r="O1744" s="4"/>
      <c r="P1744" s="4"/>
      <c r="Q1744" s="4"/>
      <c r="R1744" s="14"/>
      <c r="S1744" s="14"/>
      <c r="T1744" s="14"/>
      <c r="U1744" s="14"/>
      <c r="V1744" s="14"/>
      <c r="W1744" s="14"/>
      <c r="X1744" s="1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c r="AX1744" s="4"/>
      <c r="AY1744" s="4"/>
      <c r="AZ1744" s="4"/>
      <c r="BA1744" s="4"/>
      <c r="BB1744" s="4"/>
      <c r="BC1744" s="4"/>
      <c r="BD1744" s="4"/>
      <c r="BE1744" s="4"/>
      <c r="BG1744" s="4"/>
      <c r="BH1744" s="4"/>
    </row>
    <row r="1745" spans="1:60" x14ac:dyDescent="0.35">
      <c r="A1745" s="4"/>
      <c r="B1745" s="8" t="str">
        <f t="shared" si="123"/>
        <v/>
      </c>
      <c r="D1745" s="6" t="str">
        <f t="shared" si="124"/>
        <v/>
      </c>
      <c r="E1745" s="6" t="str">
        <f t="shared" si="125"/>
        <v/>
      </c>
      <c r="F1745" s="6" t="str">
        <f t="shared" si="126"/>
        <v/>
      </c>
      <c r="G1745" s="4"/>
      <c r="H1745" s="4"/>
      <c r="I1745" s="4"/>
      <c r="J1745" s="4"/>
      <c r="K1745" s="4"/>
      <c r="L1745" s="4"/>
      <c r="M1745" s="4"/>
      <c r="N1745" s="4"/>
      <c r="O1745" s="4"/>
      <c r="P1745" s="4"/>
      <c r="Q1745" s="4"/>
      <c r="R1745" s="14"/>
      <c r="S1745" s="14"/>
      <c r="T1745" s="14"/>
      <c r="U1745" s="14"/>
      <c r="V1745" s="14"/>
      <c r="W1745" s="14"/>
      <c r="X1745" s="1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c r="BB1745" s="4"/>
      <c r="BC1745" s="4"/>
      <c r="BD1745" s="4"/>
      <c r="BE1745" s="4"/>
      <c r="BG1745" s="4"/>
      <c r="BH1745" s="4"/>
    </row>
    <row r="1746" spans="1:60" x14ac:dyDescent="0.35">
      <c r="A1746" s="4"/>
      <c r="B1746" s="8" t="str">
        <f t="shared" si="123"/>
        <v/>
      </c>
      <c r="D1746" s="6" t="str">
        <f t="shared" si="124"/>
        <v/>
      </c>
      <c r="E1746" s="6" t="str">
        <f t="shared" si="125"/>
        <v/>
      </c>
      <c r="F1746" s="6" t="str">
        <f t="shared" si="126"/>
        <v/>
      </c>
      <c r="G1746" s="4"/>
      <c r="H1746" s="4"/>
      <c r="I1746" s="4"/>
      <c r="J1746" s="4"/>
      <c r="K1746" s="4"/>
      <c r="L1746" s="4"/>
      <c r="M1746" s="4"/>
      <c r="N1746" s="4"/>
      <c r="O1746" s="4"/>
      <c r="P1746" s="4"/>
      <c r="Q1746" s="4"/>
      <c r="R1746" s="14"/>
      <c r="S1746" s="14"/>
      <c r="T1746" s="14"/>
      <c r="U1746" s="14"/>
      <c r="V1746" s="14"/>
      <c r="W1746" s="14"/>
      <c r="X1746" s="1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c r="AX1746" s="4"/>
      <c r="AY1746" s="4"/>
      <c r="AZ1746" s="4"/>
      <c r="BA1746" s="4"/>
      <c r="BB1746" s="4"/>
      <c r="BC1746" s="4"/>
      <c r="BD1746" s="4"/>
      <c r="BE1746" s="4"/>
      <c r="BG1746" s="4"/>
      <c r="BH1746" s="4"/>
    </row>
    <row r="1747" spans="1:60" x14ac:dyDescent="0.35">
      <c r="A1747" s="4"/>
      <c r="B1747" s="8" t="str">
        <f t="shared" si="123"/>
        <v/>
      </c>
      <c r="D1747" s="6" t="str">
        <f t="shared" si="124"/>
        <v/>
      </c>
      <c r="E1747" s="6" t="str">
        <f t="shared" si="125"/>
        <v/>
      </c>
      <c r="F1747" s="6" t="str">
        <f t="shared" si="126"/>
        <v/>
      </c>
      <c r="G1747" s="4"/>
      <c r="H1747" s="4"/>
      <c r="I1747" s="4"/>
      <c r="J1747" s="4"/>
      <c r="K1747" s="4"/>
      <c r="L1747" s="4"/>
      <c r="M1747" s="4"/>
      <c r="N1747" s="4"/>
      <c r="O1747" s="4"/>
      <c r="P1747" s="4"/>
      <c r="Q1747" s="4"/>
      <c r="R1747" s="14"/>
      <c r="S1747" s="14"/>
      <c r="T1747" s="14"/>
      <c r="U1747" s="14"/>
      <c r="V1747" s="14"/>
      <c r="W1747" s="14"/>
      <c r="X1747" s="1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c r="BC1747" s="4"/>
      <c r="BD1747" s="4"/>
      <c r="BE1747" s="4"/>
      <c r="BG1747" s="4"/>
      <c r="BH1747" s="4"/>
    </row>
    <row r="1748" spans="1:60" x14ac:dyDescent="0.35">
      <c r="A1748" s="4"/>
      <c r="B1748" s="8" t="str">
        <f t="shared" si="123"/>
        <v/>
      </c>
      <c r="D1748" s="6" t="str">
        <f t="shared" si="124"/>
        <v/>
      </c>
      <c r="E1748" s="6" t="str">
        <f t="shared" si="125"/>
        <v/>
      </c>
      <c r="F1748" s="6" t="str">
        <f t="shared" si="126"/>
        <v/>
      </c>
      <c r="G1748" s="4"/>
      <c r="H1748" s="4"/>
      <c r="I1748" s="4"/>
      <c r="J1748" s="4"/>
      <c r="K1748" s="4"/>
      <c r="L1748" s="4"/>
      <c r="M1748" s="4"/>
      <c r="N1748" s="4"/>
      <c r="O1748" s="4"/>
      <c r="P1748" s="4"/>
      <c r="Q1748" s="4"/>
      <c r="R1748" s="14"/>
      <c r="S1748" s="14"/>
      <c r="T1748" s="14"/>
      <c r="U1748" s="14"/>
      <c r="V1748" s="14"/>
      <c r="W1748" s="14"/>
      <c r="X1748" s="1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4"/>
      <c r="AU1748" s="4"/>
      <c r="AV1748" s="4"/>
      <c r="AW1748" s="4"/>
      <c r="AX1748" s="4"/>
      <c r="AY1748" s="4"/>
      <c r="AZ1748" s="4"/>
      <c r="BA1748" s="4"/>
      <c r="BB1748" s="4"/>
      <c r="BC1748" s="4"/>
      <c r="BD1748" s="4"/>
      <c r="BE1748" s="4"/>
      <c r="BG1748" s="4"/>
      <c r="BH1748" s="4"/>
    </row>
    <row r="1749" spans="1:60" x14ac:dyDescent="0.35">
      <c r="A1749" s="4"/>
      <c r="B1749" s="8" t="str">
        <f t="shared" si="123"/>
        <v/>
      </c>
      <c r="D1749" s="6" t="str">
        <f t="shared" si="124"/>
        <v/>
      </c>
      <c r="E1749" s="6" t="str">
        <f t="shared" si="125"/>
        <v/>
      </c>
      <c r="F1749" s="6" t="str">
        <f t="shared" si="126"/>
        <v/>
      </c>
      <c r="G1749" s="4"/>
      <c r="H1749" s="4"/>
      <c r="I1749" s="4"/>
      <c r="J1749" s="4"/>
      <c r="K1749" s="4"/>
      <c r="L1749" s="4"/>
      <c r="M1749" s="4"/>
      <c r="N1749" s="4"/>
      <c r="O1749" s="4"/>
      <c r="P1749" s="4"/>
      <c r="Q1749" s="4"/>
      <c r="R1749" s="14"/>
      <c r="S1749" s="14"/>
      <c r="T1749" s="14"/>
      <c r="U1749" s="14"/>
      <c r="V1749" s="14"/>
      <c r="W1749" s="14"/>
      <c r="X1749" s="1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c r="BA1749" s="4"/>
      <c r="BB1749" s="4"/>
      <c r="BC1749" s="4"/>
      <c r="BD1749" s="4"/>
      <c r="BE1749" s="4"/>
      <c r="BG1749" s="4"/>
      <c r="BH1749" s="4"/>
    </row>
    <row r="1750" spans="1:60" x14ac:dyDescent="0.35">
      <c r="A1750" s="4"/>
      <c r="B1750" s="8" t="str">
        <f t="shared" si="123"/>
        <v/>
      </c>
      <c r="D1750" s="6" t="str">
        <f t="shared" si="124"/>
        <v/>
      </c>
      <c r="E1750" s="6" t="str">
        <f t="shared" si="125"/>
        <v/>
      </c>
      <c r="F1750" s="6" t="str">
        <f t="shared" si="126"/>
        <v/>
      </c>
      <c r="G1750" s="4"/>
      <c r="H1750" s="4"/>
      <c r="I1750" s="4"/>
      <c r="J1750" s="4"/>
      <c r="K1750" s="4"/>
      <c r="L1750" s="4"/>
      <c r="M1750" s="4"/>
      <c r="N1750" s="4"/>
      <c r="O1750" s="4"/>
      <c r="P1750" s="4"/>
      <c r="Q1750" s="4"/>
      <c r="R1750" s="14"/>
      <c r="S1750" s="14"/>
      <c r="T1750" s="14"/>
      <c r="U1750" s="14"/>
      <c r="V1750" s="14"/>
      <c r="W1750" s="14"/>
      <c r="X1750" s="1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c r="BB1750" s="4"/>
      <c r="BC1750" s="4"/>
      <c r="BD1750" s="4"/>
      <c r="BE1750" s="4"/>
      <c r="BG1750" s="4"/>
      <c r="BH1750" s="4"/>
    </row>
    <row r="1751" spans="1:60" x14ac:dyDescent="0.35">
      <c r="A1751" s="4"/>
      <c r="B1751" s="8" t="str">
        <f t="shared" si="123"/>
        <v/>
      </c>
      <c r="D1751" s="6" t="str">
        <f t="shared" si="124"/>
        <v/>
      </c>
      <c r="E1751" s="6" t="str">
        <f t="shared" si="125"/>
        <v/>
      </c>
      <c r="F1751" s="6" t="str">
        <f t="shared" si="126"/>
        <v/>
      </c>
      <c r="G1751" s="4"/>
      <c r="H1751" s="4"/>
      <c r="I1751" s="4"/>
      <c r="J1751" s="4"/>
      <c r="K1751" s="4"/>
      <c r="L1751" s="4"/>
      <c r="M1751" s="4"/>
      <c r="N1751" s="4"/>
      <c r="O1751" s="4"/>
      <c r="P1751" s="4"/>
      <c r="Q1751" s="4"/>
      <c r="R1751" s="14"/>
      <c r="S1751" s="14"/>
      <c r="T1751" s="14"/>
      <c r="U1751" s="14"/>
      <c r="V1751" s="14"/>
      <c r="W1751" s="14"/>
      <c r="X1751" s="1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c r="BA1751" s="4"/>
      <c r="BB1751" s="4"/>
      <c r="BC1751" s="4"/>
      <c r="BD1751" s="4"/>
      <c r="BE1751" s="4"/>
      <c r="BG1751" s="4"/>
      <c r="BH1751" s="4"/>
    </row>
    <row r="1752" spans="1:60" x14ac:dyDescent="0.35">
      <c r="A1752" s="4"/>
      <c r="B1752" s="8" t="str">
        <f t="shared" si="123"/>
        <v/>
      </c>
      <c r="D1752" s="6" t="str">
        <f t="shared" si="124"/>
        <v/>
      </c>
      <c r="E1752" s="6" t="str">
        <f t="shared" si="125"/>
        <v/>
      </c>
      <c r="F1752" s="6" t="str">
        <f t="shared" si="126"/>
        <v/>
      </c>
      <c r="G1752" s="4"/>
      <c r="H1752" s="4"/>
      <c r="I1752" s="4"/>
      <c r="J1752" s="4"/>
      <c r="K1752" s="4"/>
      <c r="L1752" s="4"/>
      <c r="M1752" s="4"/>
      <c r="N1752" s="4"/>
      <c r="O1752" s="4"/>
      <c r="P1752" s="4"/>
      <c r="Q1752" s="4"/>
      <c r="R1752" s="14"/>
      <c r="S1752" s="14"/>
      <c r="T1752" s="14"/>
      <c r="U1752" s="14"/>
      <c r="V1752" s="14"/>
      <c r="W1752" s="14"/>
      <c r="X1752" s="1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c r="BB1752" s="4"/>
      <c r="BC1752" s="4"/>
      <c r="BD1752" s="4"/>
      <c r="BE1752" s="4"/>
      <c r="BG1752" s="4"/>
      <c r="BH1752" s="4"/>
    </row>
    <row r="1753" spans="1:60" x14ac:dyDescent="0.35">
      <c r="A1753" s="4"/>
      <c r="B1753" s="8" t="str">
        <f t="shared" si="123"/>
        <v/>
      </c>
      <c r="D1753" s="6" t="str">
        <f t="shared" si="124"/>
        <v/>
      </c>
      <c r="E1753" s="6" t="str">
        <f t="shared" si="125"/>
        <v/>
      </c>
      <c r="F1753" s="6" t="str">
        <f t="shared" si="126"/>
        <v/>
      </c>
      <c r="G1753" s="4"/>
      <c r="H1753" s="4"/>
      <c r="I1753" s="4"/>
      <c r="J1753" s="4"/>
      <c r="K1753" s="4"/>
      <c r="L1753" s="4"/>
      <c r="M1753" s="4"/>
      <c r="N1753" s="4"/>
      <c r="O1753" s="4"/>
      <c r="P1753" s="4"/>
      <c r="Q1753" s="4"/>
      <c r="R1753" s="14"/>
      <c r="S1753" s="14"/>
      <c r="T1753" s="14"/>
      <c r="U1753" s="14"/>
      <c r="V1753" s="14"/>
      <c r="W1753" s="14"/>
      <c r="X1753" s="1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c r="BB1753" s="4"/>
      <c r="BC1753" s="4"/>
      <c r="BD1753" s="4"/>
      <c r="BE1753" s="4"/>
      <c r="BG1753" s="4"/>
      <c r="BH1753" s="4"/>
    </row>
    <row r="1754" spans="1:60" x14ac:dyDescent="0.35">
      <c r="A1754" s="4"/>
      <c r="B1754" s="8" t="str">
        <f t="shared" si="123"/>
        <v/>
      </c>
      <c r="D1754" s="6" t="str">
        <f t="shared" si="124"/>
        <v/>
      </c>
      <c r="E1754" s="6" t="str">
        <f t="shared" si="125"/>
        <v/>
      </c>
      <c r="F1754" s="6" t="str">
        <f t="shared" si="126"/>
        <v/>
      </c>
      <c r="G1754" s="4"/>
      <c r="H1754" s="4"/>
      <c r="I1754" s="4"/>
      <c r="J1754" s="4"/>
      <c r="K1754" s="4"/>
      <c r="L1754" s="4"/>
      <c r="M1754" s="4"/>
      <c r="N1754" s="4"/>
      <c r="O1754" s="4"/>
      <c r="P1754" s="4"/>
      <c r="Q1754" s="4"/>
      <c r="R1754" s="14"/>
      <c r="S1754" s="14"/>
      <c r="T1754" s="14"/>
      <c r="U1754" s="14"/>
      <c r="V1754" s="14"/>
      <c r="W1754" s="14"/>
      <c r="X1754" s="1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c r="BB1754" s="4"/>
      <c r="BC1754" s="4"/>
      <c r="BD1754" s="4"/>
      <c r="BE1754" s="4"/>
      <c r="BG1754" s="4"/>
      <c r="BH1754" s="4"/>
    </row>
    <row r="1755" spans="1:60" x14ac:dyDescent="0.35">
      <c r="A1755" s="4"/>
      <c r="B1755" s="8" t="str">
        <f t="shared" si="123"/>
        <v/>
      </c>
      <c r="D1755" s="6" t="str">
        <f t="shared" si="124"/>
        <v/>
      </c>
      <c r="E1755" s="6" t="str">
        <f t="shared" si="125"/>
        <v/>
      </c>
      <c r="F1755" s="6" t="str">
        <f t="shared" si="126"/>
        <v/>
      </c>
      <c r="G1755" s="4"/>
      <c r="H1755" s="4"/>
      <c r="I1755" s="4"/>
      <c r="J1755" s="4"/>
      <c r="K1755" s="4"/>
      <c r="L1755" s="4"/>
      <c r="M1755" s="4"/>
      <c r="N1755" s="4"/>
      <c r="O1755" s="4"/>
      <c r="P1755" s="4"/>
      <c r="Q1755" s="4"/>
      <c r="R1755" s="14"/>
      <c r="S1755" s="14"/>
      <c r="T1755" s="14"/>
      <c r="U1755" s="14"/>
      <c r="V1755" s="14"/>
      <c r="W1755" s="14"/>
      <c r="X1755" s="1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c r="BB1755" s="4"/>
      <c r="BC1755" s="4"/>
      <c r="BD1755" s="4"/>
      <c r="BE1755" s="4"/>
      <c r="BG1755" s="4"/>
      <c r="BH1755" s="4"/>
    </row>
    <row r="1756" spans="1:60" x14ac:dyDescent="0.35">
      <c r="A1756" s="4"/>
      <c r="B1756" s="8" t="str">
        <f t="shared" si="123"/>
        <v/>
      </c>
      <c r="D1756" s="6" t="str">
        <f t="shared" si="124"/>
        <v/>
      </c>
      <c r="E1756" s="6" t="str">
        <f t="shared" si="125"/>
        <v/>
      </c>
      <c r="F1756" s="6" t="str">
        <f t="shared" si="126"/>
        <v/>
      </c>
      <c r="G1756" s="4"/>
      <c r="H1756" s="4"/>
      <c r="I1756" s="4"/>
      <c r="J1756" s="4"/>
      <c r="K1756" s="4"/>
      <c r="L1756" s="4"/>
      <c r="M1756" s="4"/>
      <c r="N1756" s="4"/>
      <c r="O1756" s="4"/>
      <c r="P1756" s="4"/>
      <c r="Q1756" s="4"/>
      <c r="R1756" s="14"/>
      <c r="S1756" s="14"/>
      <c r="T1756" s="14"/>
      <c r="U1756" s="14"/>
      <c r="V1756" s="14"/>
      <c r="W1756" s="14"/>
      <c r="X1756" s="1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G1756" s="4"/>
      <c r="BH1756" s="4"/>
    </row>
    <row r="1757" spans="1:60" x14ac:dyDescent="0.35">
      <c r="A1757" s="4"/>
      <c r="B1757" s="8" t="str">
        <f t="shared" si="123"/>
        <v/>
      </c>
      <c r="D1757" s="6" t="str">
        <f t="shared" si="124"/>
        <v/>
      </c>
      <c r="E1757" s="6" t="str">
        <f t="shared" si="125"/>
        <v/>
      </c>
      <c r="F1757" s="6" t="str">
        <f t="shared" si="126"/>
        <v/>
      </c>
      <c r="G1757" s="4"/>
      <c r="H1757" s="4"/>
      <c r="I1757" s="4"/>
      <c r="J1757" s="4"/>
      <c r="K1757" s="4"/>
      <c r="L1757" s="4"/>
      <c r="M1757" s="4"/>
      <c r="N1757" s="4"/>
      <c r="O1757" s="4"/>
      <c r="P1757" s="4"/>
      <c r="Q1757" s="4"/>
      <c r="R1757" s="14"/>
      <c r="S1757" s="14"/>
      <c r="T1757" s="14"/>
      <c r="U1757" s="14"/>
      <c r="V1757" s="14"/>
      <c r="W1757" s="14"/>
      <c r="X1757" s="1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c r="BB1757" s="4"/>
      <c r="BC1757" s="4"/>
      <c r="BD1757" s="4"/>
      <c r="BE1757" s="4"/>
      <c r="BG1757" s="4"/>
      <c r="BH1757" s="4"/>
    </row>
    <row r="1758" spans="1:60" x14ac:dyDescent="0.35">
      <c r="A1758" s="4"/>
      <c r="B1758" s="8" t="str">
        <f t="shared" si="123"/>
        <v/>
      </c>
      <c r="D1758" s="6" t="str">
        <f t="shared" si="124"/>
        <v/>
      </c>
      <c r="E1758" s="6" t="str">
        <f t="shared" si="125"/>
        <v/>
      </c>
      <c r="F1758" s="6" t="str">
        <f t="shared" si="126"/>
        <v/>
      </c>
      <c r="G1758" s="4"/>
      <c r="H1758" s="4"/>
      <c r="I1758" s="4"/>
      <c r="J1758" s="4"/>
      <c r="K1758" s="4"/>
      <c r="L1758" s="4"/>
      <c r="M1758" s="4"/>
      <c r="N1758" s="4"/>
      <c r="O1758" s="4"/>
      <c r="P1758" s="4"/>
      <c r="Q1758" s="4"/>
      <c r="R1758" s="14"/>
      <c r="S1758" s="14"/>
      <c r="T1758" s="14"/>
      <c r="U1758" s="14"/>
      <c r="V1758" s="14"/>
      <c r="W1758" s="14"/>
      <c r="X1758" s="1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c r="BC1758" s="4"/>
      <c r="BD1758" s="4"/>
      <c r="BE1758" s="4"/>
      <c r="BG1758" s="4"/>
      <c r="BH1758" s="4"/>
    </row>
    <row r="1759" spans="1:60" x14ac:dyDescent="0.35">
      <c r="A1759" s="4"/>
      <c r="B1759" s="8" t="str">
        <f t="shared" si="123"/>
        <v/>
      </c>
      <c r="D1759" s="6" t="str">
        <f t="shared" si="124"/>
        <v/>
      </c>
      <c r="E1759" s="6" t="str">
        <f t="shared" si="125"/>
        <v/>
      </c>
      <c r="F1759" s="6" t="str">
        <f t="shared" si="126"/>
        <v/>
      </c>
      <c r="G1759" s="4"/>
      <c r="H1759" s="4"/>
      <c r="I1759" s="4"/>
      <c r="J1759" s="4"/>
      <c r="K1759" s="4"/>
      <c r="L1759" s="4"/>
      <c r="M1759" s="4"/>
      <c r="N1759" s="4"/>
      <c r="O1759" s="4"/>
      <c r="P1759" s="4"/>
      <c r="Q1759" s="4"/>
      <c r="R1759" s="14"/>
      <c r="S1759" s="14"/>
      <c r="T1759" s="14"/>
      <c r="U1759" s="14"/>
      <c r="V1759" s="14"/>
      <c r="W1759" s="14"/>
      <c r="X1759" s="1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4"/>
      <c r="AU1759" s="4"/>
      <c r="AV1759" s="4"/>
      <c r="AW1759" s="4"/>
      <c r="AX1759" s="4"/>
      <c r="AY1759" s="4"/>
      <c r="AZ1759" s="4"/>
      <c r="BA1759" s="4"/>
      <c r="BB1759" s="4"/>
      <c r="BC1759" s="4"/>
      <c r="BD1759" s="4"/>
      <c r="BE1759" s="4"/>
      <c r="BG1759" s="4"/>
      <c r="BH1759" s="4"/>
    </row>
    <row r="1760" spans="1:60" x14ac:dyDescent="0.35">
      <c r="A1760" s="4"/>
      <c r="B1760" s="8" t="str">
        <f t="shared" si="123"/>
        <v/>
      </c>
      <c r="D1760" s="6" t="str">
        <f t="shared" si="124"/>
        <v/>
      </c>
      <c r="E1760" s="6" t="str">
        <f t="shared" si="125"/>
        <v/>
      </c>
      <c r="F1760" s="6" t="str">
        <f t="shared" si="126"/>
        <v/>
      </c>
      <c r="G1760" s="4"/>
      <c r="H1760" s="4"/>
      <c r="I1760" s="4"/>
      <c r="J1760" s="4"/>
      <c r="K1760" s="4"/>
      <c r="L1760" s="4"/>
      <c r="M1760" s="4"/>
      <c r="N1760" s="4"/>
      <c r="O1760" s="4"/>
      <c r="P1760" s="4"/>
      <c r="Q1760" s="4"/>
      <c r="R1760" s="14"/>
      <c r="S1760" s="14"/>
      <c r="T1760" s="14"/>
      <c r="U1760" s="14"/>
      <c r="V1760" s="14"/>
      <c r="W1760" s="14"/>
      <c r="X1760" s="1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c r="BC1760" s="4"/>
      <c r="BD1760" s="4"/>
      <c r="BE1760" s="4"/>
      <c r="BG1760" s="4"/>
      <c r="BH1760" s="4"/>
    </row>
    <row r="1761" spans="1:60" x14ac:dyDescent="0.35">
      <c r="A1761" s="4"/>
      <c r="B1761" s="8" t="str">
        <f t="shared" si="123"/>
        <v/>
      </c>
      <c r="D1761" s="6" t="str">
        <f t="shared" si="124"/>
        <v/>
      </c>
      <c r="E1761" s="6" t="str">
        <f t="shared" si="125"/>
        <v/>
      </c>
      <c r="F1761" s="6" t="str">
        <f t="shared" si="126"/>
        <v/>
      </c>
      <c r="G1761" s="4"/>
      <c r="H1761" s="4"/>
      <c r="I1761" s="4"/>
      <c r="J1761" s="4"/>
      <c r="K1761" s="4"/>
      <c r="L1761" s="4"/>
      <c r="M1761" s="4"/>
      <c r="N1761" s="4"/>
      <c r="O1761" s="4"/>
      <c r="P1761" s="4"/>
      <c r="Q1761" s="4"/>
      <c r="R1761" s="14"/>
      <c r="S1761" s="14"/>
      <c r="T1761" s="14"/>
      <c r="U1761" s="14"/>
      <c r="V1761" s="14"/>
      <c r="W1761" s="14"/>
      <c r="X1761" s="1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c r="BA1761" s="4"/>
      <c r="BB1761" s="4"/>
      <c r="BC1761" s="4"/>
      <c r="BD1761" s="4"/>
      <c r="BE1761" s="4"/>
      <c r="BG1761" s="4"/>
      <c r="BH1761" s="4"/>
    </row>
    <row r="1762" spans="1:60" x14ac:dyDescent="0.35">
      <c r="A1762" s="4"/>
      <c r="B1762" s="8" t="str">
        <f t="shared" si="123"/>
        <v/>
      </c>
      <c r="D1762" s="6" t="str">
        <f t="shared" si="124"/>
        <v/>
      </c>
      <c r="E1762" s="6" t="str">
        <f t="shared" si="125"/>
        <v/>
      </c>
      <c r="F1762" s="6" t="str">
        <f t="shared" si="126"/>
        <v/>
      </c>
      <c r="G1762" s="4"/>
      <c r="H1762" s="4"/>
      <c r="I1762" s="4"/>
      <c r="J1762" s="4"/>
      <c r="K1762" s="4"/>
      <c r="L1762" s="4"/>
      <c r="M1762" s="4"/>
      <c r="N1762" s="4"/>
      <c r="O1762" s="4"/>
      <c r="P1762" s="4"/>
      <c r="Q1762" s="4"/>
      <c r="R1762" s="14"/>
      <c r="S1762" s="14"/>
      <c r="T1762" s="14"/>
      <c r="U1762" s="14"/>
      <c r="V1762" s="14"/>
      <c r="W1762" s="14"/>
      <c r="X1762" s="1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c r="BA1762" s="4"/>
      <c r="BB1762" s="4"/>
      <c r="BC1762" s="4"/>
      <c r="BD1762" s="4"/>
      <c r="BE1762" s="4"/>
      <c r="BG1762" s="4"/>
      <c r="BH1762" s="4"/>
    </row>
    <row r="1763" spans="1:60" x14ac:dyDescent="0.35">
      <c r="A1763" s="4"/>
      <c r="B1763" s="8" t="str">
        <f t="shared" si="123"/>
        <v/>
      </c>
      <c r="D1763" s="6" t="str">
        <f t="shared" si="124"/>
        <v/>
      </c>
      <c r="E1763" s="6" t="str">
        <f t="shared" si="125"/>
        <v/>
      </c>
      <c r="F1763" s="6" t="str">
        <f t="shared" si="126"/>
        <v/>
      </c>
      <c r="G1763" s="4"/>
      <c r="H1763" s="4"/>
      <c r="I1763" s="4"/>
      <c r="J1763" s="4"/>
      <c r="K1763" s="4"/>
      <c r="L1763" s="4"/>
      <c r="M1763" s="4"/>
      <c r="N1763" s="4"/>
      <c r="O1763" s="4"/>
      <c r="P1763" s="4"/>
      <c r="Q1763" s="4"/>
      <c r="R1763" s="14"/>
      <c r="S1763" s="14"/>
      <c r="T1763" s="14"/>
      <c r="U1763" s="14"/>
      <c r="V1763" s="14"/>
      <c r="W1763" s="14"/>
      <c r="X1763" s="1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c r="BA1763" s="4"/>
      <c r="BB1763" s="4"/>
      <c r="BC1763" s="4"/>
      <c r="BD1763" s="4"/>
      <c r="BE1763" s="4"/>
      <c r="BG1763" s="4"/>
      <c r="BH1763" s="4"/>
    </row>
    <row r="1764" spans="1:60" x14ac:dyDescent="0.35">
      <c r="A1764" s="4"/>
      <c r="B1764" s="8" t="str">
        <f t="shared" si="123"/>
        <v/>
      </c>
      <c r="D1764" s="6" t="str">
        <f t="shared" si="124"/>
        <v/>
      </c>
      <c r="E1764" s="6" t="str">
        <f t="shared" si="125"/>
        <v/>
      </c>
      <c r="F1764" s="6" t="str">
        <f t="shared" si="126"/>
        <v/>
      </c>
      <c r="G1764" s="4"/>
      <c r="H1764" s="4"/>
      <c r="I1764" s="4"/>
      <c r="J1764" s="4"/>
      <c r="K1764" s="4"/>
      <c r="L1764" s="4"/>
      <c r="M1764" s="4"/>
      <c r="N1764" s="4"/>
      <c r="O1764" s="4"/>
      <c r="P1764" s="4"/>
      <c r="Q1764" s="4"/>
      <c r="R1764" s="14"/>
      <c r="S1764" s="14"/>
      <c r="T1764" s="14"/>
      <c r="U1764" s="14"/>
      <c r="V1764" s="14"/>
      <c r="W1764" s="14"/>
      <c r="X1764" s="1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c r="BA1764" s="4"/>
      <c r="BB1764" s="4"/>
      <c r="BC1764" s="4"/>
      <c r="BD1764" s="4"/>
      <c r="BE1764" s="4"/>
      <c r="BG1764" s="4"/>
      <c r="BH1764" s="4"/>
    </row>
    <row r="1765" spans="1:60" x14ac:dyDescent="0.35">
      <c r="A1765" s="4"/>
      <c r="B1765" s="8" t="str">
        <f t="shared" si="123"/>
        <v/>
      </c>
      <c r="D1765" s="6" t="str">
        <f t="shared" si="124"/>
        <v/>
      </c>
      <c r="E1765" s="6" t="str">
        <f t="shared" si="125"/>
        <v/>
      </c>
      <c r="F1765" s="6" t="str">
        <f t="shared" si="126"/>
        <v/>
      </c>
      <c r="G1765" s="4"/>
      <c r="H1765" s="4"/>
      <c r="I1765" s="4"/>
      <c r="J1765" s="4"/>
      <c r="K1765" s="4"/>
      <c r="L1765" s="4"/>
      <c r="M1765" s="4"/>
      <c r="N1765" s="4"/>
      <c r="O1765" s="4"/>
      <c r="P1765" s="4"/>
      <c r="Q1765" s="4"/>
      <c r="R1765" s="14"/>
      <c r="S1765" s="14"/>
      <c r="T1765" s="14"/>
      <c r="U1765" s="14"/>
      <c r="V1765" s="14"/>
      <c r="W1765" s="14"/>
      <c r="X1765" s="1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c r="AW1765" s="4"/>
      <c r="AX1765" s="4"/>
      <c r="AY1765" s="4"/>
      <c r="AZ1765" s="4"/>
      <c r="BA1765" s="4"/>
      <c r="BB1765" s="4"/>
      <c r="BC1765" s="4"/>
      <c r="BD1765" s="4"/>
      <c r="BE1765" s="4"/>
      <c r="BG1765" s="4"/>
      <c r="BH1765" s="4"/>
    </row>
    <row r="1766" spans="1:60" x14ac:dyDescent="0.35">
      <c r="A1766" s="4"/>
      <c r="B1766" s="8" t="str">
        <f t="shared" si="123"/>
        <v/>
      </c>
      <c r="D1766" s="6" t="str">
        <f t="shared" si="124"/>
        <v/>
      </c>
      <c r="E1766" s="6" t="str">
        <f t="shared" si="125"/>
        <v/>
      </c>
      <c r="F1766" s="6" t="str">
        <f t="shared" si="126"/>
        <v/>
      </c>
      <c r="G1766" s="4"/>
      <c r="H1766" s="4"/>
      <c r="I1766" s="4"/>
      <c r="J1766" s="4"/>
      <c r="K1766" s="4"/>
      <c r="L1766" s="4"/>
      <c r="M1766" s="4"/>
      <c r="N1766" s="4"/>
      <c r="O1766" s="4"/>
      <c r="P1766" s="4"/>
      <c r="Q1766" s="4"/>
      <c r="R1766" s="14"/>
      <c r="S1766" s="14"/>
      <c r="T1766" s="14"/>
      <c r="U1766" s="14"/>
      <c r="V1766" s="14"/>
      <c r="W1766" s="14"/>
      <c r="X1766" s="1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c r="BC1766" s="4"/>
      <c r="BD1766" s="4"/>
      <c r="BE1766" s="4"/>
      <c r="BG1766" s="4"/>
      <c r="BH1766" s="4"/>
    </row>
    <row r="1767" spans="1:60" x14ac:dyDescent="0.35">
      <c r="A1767" s="4"/>
      <c r="B1767" s="8" t="str">
        <f t="shared" si="123"/>
        <v/>
      </c>
      <c r="D1767" s="6" t="str">
        <f t="shared" si="124"/>
        <v/>
      </c>
      <c r="E1767" s="6" t="str">
        <f t="shared" si="125"/>
        <v/>
      </c>
      <c r="F1767" s="6" t="str">
        <f t="shared" si="126"/>
        <v/>
      </c>
      <c r="G1767" s="4"/>
      <c r="H1767" s="4"/>
      <c r="I1767" s="4"/>
      <c r="J1767" s="4"/>
      <c r="K1767" s="4"/>
      <c r="L1767" s="4"/>
      <c r="M1767" s="4"/>
      <c r="N1767" s="4"/>
      <c r="O1767" s="4"/>
      <c r="P1767" s="4"/>
      <c r="Q1767" s="4"/>
      <c r="R1767" s="14"/>
      <c r="S1767" s="14"/>
      <c r="T1767" s="14"/>
      <c r="U1767" s="14"/>
      <c r="V1767" s="14"/>
      <c r="W1767" s="14"/>
      <c r="X1767" s="1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c r="AX1767" s="4"/>
      <c r="AY1767" s="4"/>
      <c r="AZ1767" s="4"/>
      <c r="BA1767" s="4"/>
      <c r="BB1767" s="4"/>
      <c r="BC1767" s="4"/>
      <c r="BD1767" s="4"/>
      <c r="BE1767" s="4"/>
      <c r="BG1767" s="4"/>
      <c r="BH1767" s="4"/>
    </row>
    <row r="1768" spans="1:60" x14ac:dyDescent="0.35">
      <c r="A1768" s="4"/>
      <c r="B1768" s="8" t="str">
        <f t="shared" si="123"/>
        <v/>
      </c>
      <c r="D1768" s="6" t="str">
        <f t="shared" si="124"/>
        <v/>
      </c>
      <c r="E1768" s="6" t="str">
        <f t="shared" si="125"/>
        <v/>
      </c>
      <c r="F1768" s="6" t="str">
        <f t="shared" si="126"/>
        <v/>
      </c>
      <c r="G1768" s="4"/>
      <c r="H1768" s="4"/>
      <c r="I1768" s="4"/>
      <c r="J1768" s="4"/>
      <c r="K1768" s="4"/>
      <c r="L1768" s="4"/>
      <c r="M1768" s="4"/>
      <c r="N1768" s="4"/>
      <c r="O1768" s="4"/>
      <c r="P1768" s="4"/>
      <c r="Q1768" s="4"/>
      <c r="R1768" s="14"/>
      <c r="S1768" s="14"/>
      <c r="T1768" s="14"/>
      <c r="U1768" s="14"/>
      <c r="V1768" s="14"/>
      <c r="W1768" s="14"/>
      <c r="X1768" s="1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c r="BB1768" s="4"/>
      <c r="BC1768" s="4"/>
      <c r="BD1768" s="4"/>
      <c r="BE1768" s="4"/>
      <c r="BG1768" s="4"/>
      <c r="BH1768" s="4"/>
    </row>
    <row r="1769" spans="1:60" x14ac:dyDescent="0.35">
      <c r="A1769" s="4"/>
      <c r="B1769" s="8" t="str">
        <f t="shared" si="123"/>
        <v/>
      </c>
      <c r="D1769" s="6" t="str">
        <f t="shared" si="124"/>
        <v/>
      </c>
      <c r="E1769" s="6" t="str">
        <f t="shared" si="125"/>
        <v/>
      </c>
      <c r="F1769" s="6" t="str">
        <f t="shared" si="126"/>
        <v/>
      </c>
      <c r="G1769" s="4"/>
      <c r="H1769" s="4"/>
      <c r="I1769" s="4"/>
      <c r="J1769" s="4"/>
      <c r="K1769" s="4"/>
      <c r="L1769" s="4"/>
      <c r="M1769" s="4"/>
      <c r="N1769" s="4"/>
      <c r="O1769" s="4"/>
      <c r="P1769" s="4"/>
      <c r="Q1769" s="4"/>
      <c r="R1769" s="14"/>
      <c r="S1769" s="14"/>
      <c r="T1769" s="14"/>
      <c r="U1769" s="14"/>
      <c r="V1769" s="14"/>
      <c r="W1769" s="14"/>
      <c r="X1769" s="1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c r="BB1769" s="4"/>
      <c r="BC1769" s="4"/>
      <c r="BD1769" s="4"/>
      <c r="BE1769" s="4"/>
      <c r="BG1769" s="4"/>
      <c r="BH1769" s="4"/>
    </row>
    <row r="1770" spans="1:60" x14ac:dyDescent="0.35">
      <c r="A1770" s="4"/>
      <c r="B1770" s="8" t="str">
        <f t="shared" si="123"/>
        <v/>
      </c>
      <c r="D1770" s="6" t="str">
        <f t="shared" si="124"/>
        <v/>
      </c>
      <c r="E1770" s="6" t="str">
        <f t="shared" si="125"/>
        <v/>
      </c>
      <c r="F1770" s="6" t="str">
        <f t="shared" si="126"/>
        <v/>
      </c>
      <c r="G1770" s="4"/>
      <c r="H1770" s="4"/>
      <c r="I1770" s="4"/>
      <c r="J1770" s="4"/>
      <c r="K1770" s="4"/>
      <c r="L1770" s="4"/>
      <c r="M1770" s="4"/>
      <c r="N1770" s="4"/>
      <c r="O1770" s="4"/>
      <c r="P1770" s="4"/>
      <c r="Q1770" s="4"/>
      <c r="R1770" s="14"/>
      <c r="S1770" s="14"/>
      <c r="T1770" s="14"/>
      <c r="U1770" s="14"/>
      <c r="V1770" s="14"/>
      <c r="W1770" s="14"/>
      <c r="X1770" s="1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c r="AX1770" s="4"/>
      <c r="AY1770" s="4"/>
      <c r="AZ1770" s="4"/>
      <c r="BA1770" s="4"/>
      <c r="BB1770" s="4"/>
      <c r="BC1770" s="4"/>
      <c r="BD1770" s="4"/>
      <c r="BE1770" s="4"/>
      <c r="BG1770" s="4"/>
      <c r="BH1770" s="4"/>
    </row>
    <row r="1771" spans="1:60" x14ac:dyDescent="0.35">
      <c r="A1771" s="4"/>
      <c r="B1771" s="8" t="str">
        <f t="shared" si="123"/>
        <v/>
      </c>
      <c r="D1771" s="6" t="str">
        <f t="shared" si="124"/>
        <v/>
      </c>
      <c r="E1771" s="6" t="str">
        <f t="shared" si="125"/>
        <v/>
      </c>
      <c r="F1771" s="6" t="str">
        <f t="shared" si="126"/>
        <v/>
      </c>
      <c r="G1771" s="4"/>
      <c r="H1771" s="4"/>
      <c r="I1771" s="4"/>
      <c r="J1771" s="4"/>
      <c r="K1771" s="4"/>
      <c r="L1771" s="4"/>
      <c r="M1771" s="4"/>
      <c r="N1771" s="4"/>
      <c r="O1771" s="4"/>
      <c r="P1771" s="4"/>
      <c r="Q1771" s="4"/>
      <c r="R1771" s="14"/>
      <c r="S1771" s="14"/>
      <c r="T1771" s="14"/>
      <c r="U1771" s="14"/>
      <c r="V1771" s="14"/>
      <c r="W1771" s="14"/>
      <c r="X1771" s="1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c r="BC1771" s="4"/>
      <c r="BD1771" s="4"/>
      <c r="BE1771" s="4"/>
      <c r="BG1771" s="4"/>
      <c r="BH1771" s="4"/>
    </row>
    <row r="1772" spans="1:60" x14ac:dyDescent="0.35">
      <c r="A1772" s="4"/>
      <c r="B1772" s="8" t="str">
        <f t="shared" si="123"/>
        <v/>
      </c>
      <c r="D1772" s="6" t="str">
        <f t="shared" si="124"/>
        <v/>
      </c>
      <c r="E1772" s="6" t="str">
        <f t="shared" si="125"/>
        <v/>
      </c>
      <c r="F1772" s="6" t="str">
        <f t="shared" si="126"/>
        <v/>
      </c>
      <c r="G1772" s="4"/>
      <c r="H1772" s="4"/>
      <c r="I1772" s="4"/>
      <c r="J1772" s="4"/>
      <c r="K1772" s="4"/>
      <c r="L1772" s="4"/>
      <c r="M1772" s="4"/>
      <c r="N1772" s="4"/>
      <c r="O1772" s="4"/>
      <c r="P1772" s="4"/>
      <c r="Q1772" s="4"/>
      <c r="R1772" s="14"/>
      <c r="S1772" s="14"/>
      <c r="T1772" s="14"/>
      <c r="U1772" s="14"/>
      <c r="V1772" s="14"/>
      <c r="W1772" s="14"/>
      <c r="X1772" s="1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c r="BB1772" s="4"/>
      <c r="BC1772" s="4"/>
      <c r="BD1772" s="4"/>
      <c r="BE1772" s="4"/>
      <c r="BG1772" s="4"/>
      <c r="BH1772" s="4"/>
    </row>
    <row r="1773" spans="1:60" x14ac:dyDescent="0.35">
      <c r="A1773" s="4"/>
      <c r="B1773" s="8" t="str">
        <f t="shared" si="123"/>
        <v/>
      </c>
      <c r="D1773" s="6" t="str">
        <f t="shared" si="124"/>
        <v/>
      </c>
      <c r="E1773" s="6" t="str">
        <f t="shared" si="125"/>
        <v/>
      </c>
      <c r="F1773" s="6" t="str">
        <f t="shared" si="126"/>
        <v/>
      </c>
      <c r="G1773" s="4"/>
      <c r="H1773" s="4"/>
      <c r="I1773" s="4"/>
      <c r="J1773" s="4"/>
      <c r="K1773" s="4"/>
      <c r="L1773" s="4"/>
      <c r="M1773" s="4"/>
      <c r="N1773" s="4"/>
      <c r="O1773" s="4"/>
      <c r="P1773" s="4"/>
      <c r="Q1773" s="4"/>
      <c r="R1773" s="14"/>
      <c r="S1773" s="14"/>
      <c r="T1773" s="14"/>
      <c r="U1773" s="14"/>
      <c r="V1773" s="14"/>
      <c r="W1773" s="14"/>
      <c r="X1773" s="1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c r="AX1773" s="4"/>
      <c r="AY1773" s="4"/>
      <c r="AZ1773" s="4"/>
      <c r="BA1773" s="4"/>
      <c r="BB1773" s="4"/>
      <c r="BC1773" s="4"/>
      <c r="BD1773" s="4"/>
      <c r="BE1773" s="4"/>
      <c r="BG1773" s="4"/>
      <c r="BH1773" s="4"/>
    </row>
    <row r="1774" spans="1:60" x14ac:dyDescent="0.35">
      <c r="A1774" s="4"/>
      <c r="B1774" s="8" t="str">
        <f t="shared" si="123"/>
        <v/>
      </c>
      <c r="D1774" s="6" t="str">
        <f t="shared" si="124"/>
        <v/>
      </c>
      <c r="E1774" s="6" t="str">
        <f t="shared" si="125"/>
        <v/>
      </c>
      <c r="F1774" s="6" t="str">
        <f t="shared" si="126"/>
        <v/>
      </c>
      <c r="G1774" s="4"/>
      <c r="H1774" s="4"/>
      <c r="I1774" s="4"/>
      <c r="J1774" s="4"/>
      <c r="K1774" s="4"/>
      <c r="L1774" s="4"/>
      <c r="M1774" s="4"/>
      <c r="N1774" s="4"/>
      <c r="O1774" s="4"/>
      <c r="P1774" s="4"/>
      <c r="Q1774" s="4"/>
      <c r="R1774" s="14"/>
      <c r="S1774" s="14"/>
      <c r="T1774" s="14"/>
      <c r="U1774" s="14"/>
      <c r="V1774" s="14"/>
      <c r="W1774" s="14"/>
      <c r="X1774" s="1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c r="BB1774" s="4"/>
      <c r="BC1774" s="4"/>
      <c r="BD1774" s="4"/>
      <c r="BE1774" s="4"/>
      <c r="BG1774" s="4"/>
      <c r="BH1774" s="4"/>
    </row>
    <row r="1775" spans="1:60" x14ac:dyDescent="0.35">
      <c r="A1775" s="4"/>
      <c r="B1775" s="8" t="str">
        <f t="shared" si="123"/>
        <v/>
      </c>
      <c r="D1775" s="6" t="str">
        <f t="shared" si="124"/>
        <v/>
      </c>
      <c r="E1775" s="6" t="str">
        <f t="shared" si="125"/>
        <v/>
      </c>
      <c r="F1775" s="6" t="str">
        <f t="shared" si="126"/>
        <v/>
      </c>
      <c r="G1775" s="4"/>
      <c r="H1775" s="4"/>
      <c r="I1775" s="4"/>
      <c r="J1775" s="4"/>
      <c r="K1775" s="4"/>
      <c r="L1775" s="4"/>
      <c r="M1775" s="4"/>
      <c r="N1775" s="4"/>
      <c r="O1775" s="4"/>
      <c r="P1775" s="4"/>
      <c r="Q1775" s="4"/>
      <c r="R1775" s="14"/>
      <c r="S1775" s="14"/>
      <c r="T1775" s="14"/>
      <c r="U1775" s="14"/>
      <c r="V1775" s="14"/>
      <c r="W1775" s="14"/>
      <c r="X1775" s="1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c r="AX1775" s="4"/>
      <c r="AY1775" s="4"/>
      <c r="AZ1775" s="4"/>
      <c r="BA1775" s="4"/>
      <c r="BB1775" s="4"/>
      <c r="BC1775" s="4"/>
      <c r="BD1775" s="4"/>
      <c r="BE1775" s="4"/>
      <c r="BG1775" s="4"/>
      <c r="BH1775" s="4"/>
    </row>
    <row r="1776" spans="1:60" x14ac:dyDescent="0.35">
      <c r="A1776" s="4"/>
      <c r="B1776" s="8" t="str">
        <f t="shared" si="123"/>
        <v/>
      </c>
      <c r="D1776" s="6" t="str">
        <f t="shared" si="124"/>
        <v/>
      </c>
      <c r="E1776" s="6" t="str">
        <f t="shared" si="125"/>
        <v/>
      </c>
      <c r="F1776" s="6" t="str">
        <f t="shared" si="126"/>
        <v/>
      </c>
      <c r="G1776" s="4"/>
      <c r="H1776" s="4"/>
      <c r="I1776" s="4"/>
      <c r="J1776" s="4"/>
      <c r="K1776" s="4"/>
      <c r="L1776" s="4"/>
      <c r="M1776" s="4"/>
      <c r="N1776" s="4"/>
      <c r="O1776" s="4"/>
      <c r="P1776" s="4"/>
      <c r="Q1776" s="4"/>
      <c r="R1776" s="14"/>
      <c r="S1776" s="14"/>
      <c r="T1776" s="14"/>
      <c r="U1776" s="14"/>
      <c r="V1776" s="14"/>
      <c r="W1776" s="14"/>
      <c r="X1776" s="1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c r="BB1776" s="4"/>
      <c r="BC1776" s="4"/>
      <c r="BD1776" s="4"/>
      <c r="BE1776" s="4"/>
      <c r="BG1776" s="4"/>
      <c r="BH1776" s="4"/>
    </row>
    <row r="1777" spans="1:60" x14ac:dyDescent="0.35">
      <c r="A1777" s="4"/>
      <c r="B1777" s="8" t="str">
        <f t="shared" si="123"/>
        <v/>
      </c>
      <c r="D1777" s="6" t="str">
        <f t="shared" si="124"/>
        <v/>
      </c>
      <c r="E1777" s="6" t="str">
        <f t="shared" si="125"/>
        <v/>
      </c>
      <c r="F1777" s="6" t="str">
        <f t="shared" si="126"/>
        <v/>
      </c>
      <c r="G1777" s="4"/>
      <c r="H1777" s="4"/>
      <c r="I1777" s="4"/>
      <c r="J1777" s="4"/>
      <c r="K1777" s="4"/>
      <c r="L1777" s="4"/>
      <c r="M1777" s="4"/>
      <c r="N1777" s="4"/>
      <c r="O1777" s="4"/>
      <c r="P1777" s="4"/>
      <c r="Q1777" s="4"/>
      <c r="R1777" s="14"/>
      <c r="S1777" s="14"/>
      <c r="T1777" s="14"/>
      <c r="U1777" s="14"/>
      <c r="V1777" s="14"/>
      <c r="W1777" s="14"/>
      <c r="X1777" s="1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c r="BB1777" s="4"/>
      <c r="BC1777" s="4"/>
      <c r="BD1777" s="4"/>
      <c r="BE1777" s="4"/>
      <c r="BG1777" s="4"/>
      <c r="BH1777" s="4"/>
    </row>
    <row r="1778" spans="1:60" x14ac:dyDescent="0.35">
      <c r="A1778" s="4"/>
      <c r="B1778" s="8" t="str">
        <f t="shared" si="123"/>
        <v/>
      </c>
      <c r="D1778" s="6" t="str">
        <f t="shared" si="124"/>
        <v/>
      </c>
      <c r="E1778" s="6" t="str">
        <f t="shared" si="125"/>
        <v/>
      </c>
      <c r="F1778" s="6" t="str">
        <f t="shared" si="126"/>
        <v/>
      </c>
      <c r="G1778" s="4"/>
      <c r="H1778" s="4"/>
      <c r="I1778" s="4"/>
      <c r="J1778" s="4"/>
      <c r="K1778" s="4"/>
      <c r="L1778" s="4"/>
      <c r="M1778" s="4"/>
      <c r="N1778" s="4"/>
      <c r="O1778" s="4"/>
      <c r="P1778" s="4"/>
      <c r="Q1778" s="4"/>
      <c r="R1778" s="14"/>
      <c r="S1778" s="14"/>
      <c r="T1778" s="14"/>
      <c r="U1778" s="14"/>
      <c r="V1778" s="14"/>
      <c r="W1778" s="14"/>
      <c r="X1778" s="1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c r="BB1778" s="4"/>
      <c r="BC1778" s="4"/>
      <c r="BD1778" s="4"/>
      <c r="BE1778" s="4"/>
      <c r="BG1778" s="4"/>
      <c r="BH1778" s="4"/>
    </row>
    <row r="1779" spans="1:60" x14ac:dyDescent="0.35">
      <c r="A1779" s="4"/>
      <c r="B1779" s="8" t="str">
        <f t="shared" si="123"/>
        <v/>
      </c>
      <c r="D1779" s="6" t="str">
        <f t="shared" si="124"/>
        <v/>
      </c>
      <c r="E1779" s="6" t="str">
        <f t="shared" si="125"/>
        <v/>
      </c>
      <c r="F1779" s="6" t="str">
        <f t="shared" si="126"/>
        <v/>
      </c>
      <c r="G1779" s="4"/>
      <c r="H1779" s="4"/>
      <c r="I1779" s="4"/>
      <c r="J1779" s="4"/>
      <c r="K1779" s="4"/>
      <c r="L1779" s="4"/>
      <c r="M1779" s="4"/>
      <c r="N1779" s="4"/>
      <c r="O1779" s="4"/>
      <c r="P1779" s="4"/>
      <c r="Q1779" s="4"/>
      <c r="R1779" s="14"/>
      <c r="S1779" s="14"/>
      <c r="T1779" s="14"/>
      <c r="U1779" s="14"/>
      <c r="V1779" s="14"/>
      <c r="W1779" s="14"/>
      <c r="X1779" s="1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c r="AX1779" s="4"/>
      <c r="AY1779" s="4"/>
      <c r="AZ1779" s="4"/>
      <c r="BA1779" s="4"/>
      <c r="BB1779" s="4"/>
      <c r="BC1779" s="4"/>
      <c r="BD1779" s="4"/>
      <c r="BE1779" s="4"/>
      <c r="BG1779" s="4"/>
      <c r="BH1779" s="4"/>
    </row>
    <row r="1780" spans="1:60" x14ac:dyDescent="0.35">
      <c r="A1780" s="4"/>
      <c r="B1780" s="8" t="str">
        <f t="shared" si="123"/>
        <v/>
      </c>
      <c r="D1780" s="6" t="str">
        <f t="shared" si="124"/>
        <v/>
      </c>
      <c r="E1780" s="6" t="str">
        <f t="shared" si="125"/>
        <v/>
      </c>
      <c r="F1780" s="6" t="str">
        <f t="shared" si="126"/>
        <v/>
      </c>
      <c r="G1780" s="4"/>
      <c r="H1780" s="4"/>
      <c r="I1780" s="4"/>
      <c r="J1780" s="4"/>
      <c r="K1780" s="4"/>
      <c r="L1780" s="4"/>
      <c r="M1780" s="4"/>
      <c r="N1780" s="4"/>
      <c r="O1780" s="4"/>
      <c r="P1780" s="4"/>
      <c r="Q1780" s="4"/>
      <c r="R1780" s="14"/>
      <c r="S1780" s="14"/>
      <c r="T1780" s="14"/>
      <c r="U1780" s="14"/>
      <c r="V1780" s="14"/>
      <c r="W1780" s="14"/>
      <c r="X1780" s="1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c r="BB1780" s="4"/>
      <c r="BC1780" s="4"/>
      <c r="BD1780" s="4"/>
      <c r="BE1780" s="4"/>
      <c r="BG1780" s="4"/>
      <c r="BH1780" s="4"/>
    </row>
    <row r="1781" spans="1:60" x14ac:dyDescent="0.35">
      <c r="A1781" s="4"/>
      <c r="B1781" s="8" t="str">
        <f t="shared" si="123"/>
        <v/>
      </c>
      <c r="D1781" s="6" t="str">
        <f t="shared" si="124"/>
        <v/>
      </c>
      <c r="E1781" s="6" t="str">
        <f t="shared" si="125"/>
        <v/>
      </c>
      <c r="F1781" s="6" t="str">
        <f t="shared" si="126"/>
        <v/>
      </c>
      <c r="G1781" s="4"/>
      <c r="H1781" s="4"/>
      <c r="I1781" s="4"/>
      <c r="J1781" s="4"/>
      <c r="K1781" s="4"/>
      <c r="L1781" s="4"/>
      <c r="M1781" s="4"/>
      <c r="N1781" s="4"/>
      <c r="O1781" s="4"/>
      <c r="P1781" s="4"/>
      <c r="Q1781" s="4"/>
      <c r="R1781" s="14"/>
      <c r="S1781" s="14"/>
      <c r="T1781" s="14"/>
      <c r="U1781" s="14"/>
      <c r="V1781" s="14"/>
      <c r="W1781" s="14"/>
      <c r="X1781" s="1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4"/>
      <c r="AU1781" s="4"/>
      <c r="AV1781" s="4"/>
      <c r="AW1781" s="4"/>
      <c r="AX1781" s="4"/>
      <c r="AY1781" s="4"/>
      <c r="AZ1781" s="4"/>
      <c r="BA1781" s="4"/>
      <c r="BB1781" s="4"/>
      <c r="BC1781" s="4"/>
      <c r="BD1781" s="4"/>
      <c r="BE1781" s="4"/>
      <c r="BG1781" s="4"/>
      <c r="BH1781" s="4"/>
    </row>
    <row r="1782" spans="1:60" x14ac:dyDescent="0.35">
      <c r="A1782" s="4"/>
      <c r="B1782" s="8" t="str">
        <f t="shared" si="123"/>
        <v/>
      </c>
      <c r="D1782" s="6" t="str">
        <f t="shared" si="124"/>
        <v/>
      </c>
      <c r="E1782" s="6" t="str">
        <f t="shared" si="125"/>
        <v/>
      </c>
      <c r="F1782" s="6" t="str">
        <f t="shared" si="126"/>
        <v/>
      </c>
      <c r="G1782" s="4"/>
      <c r="H1782" s="4"/>
      <c r="I1782" s="4"/>
      <c r="J1782" s="4"/>
      <c r="K1782" s="4"/>
      <c r="L1782" s="4"/>
      <c r="M1782" s="4"/>
      <c r="N1782" s="4"/>
      <c r="O1782" s="4"/>
      <c r="P1782" s="4"/>
      <c r="Q1782" s="4"/>
      <c r="R1782" s="14"/>
      <c r="S1782" s="14"/>
      <c r="T1782" s="14"/>
      <c r="U1782" s="14"/>
      <c r="V1782" s="14"/>
      <c r="W1782" s="14"/>
      <c r="X1782" s="1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c r="BB1782" s="4"/>
      <c r="BC1782" s="4"/>
      <c r="BD1782" s="4"/>
      <c r="BE1782" s="4"/>
      <c r="BG1782" s="4"/>
      <c r="BH1782" s="4"/>
    </row>
    <row r="1783" spans="1:60" x14ac:dyDescent="0.35">
      <c r="A1783" s="4"/>
      <c r="B1783" s="8" t="str">
        <f t="shared" si="123"/>
        <v/>
      </c>
      <c r="D1783" s="6" t="str">
        <f t="shared" si="124"/>
        <v/>
      </c>
      <c r="E1783" s="6" t="str">
        <f t="shared" si="125"/>
        <v/>
      </c>
      <c r="F1783" s="6" t="str">
        <f t="shared" si="126"/>
        <v/>
      </c>
      <c r="G1783" s="4"/>
      <c r="H1783" s="4"/>
      <c r="I1783" s="4"/>
      <c r="J1783" s="4"/>
      <c r="K1783" s="4"/>
      <c r="L1783" s="4"/>
      <c r="M1783" s="4"/>
      <c r="N1783" s="4"/>
      <c r="O1783" s="4"/>
      <c r="P1783" s="4"/>
      <c r="Q1783" s="4"/>
      <c r="R1783" s="14"/>
      <c r="S1783" s="14"/>
      <c r="T1783" s="14"/>
      <c r="U1783" s="14"/>
      <c r="V1783" s="14"/>
      <c r="W1783" s="14"/>
      <c r="X1783" s="1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c r="BB1783" s="4"/>
      <c r="BC1783" s="4"/>
      <c r="BD1783" s="4"/>
      <c r="BE1783" s="4"/>
      <c r="BG1783" s="4"/>
      <c r="BH1783" s="4"/>
    </row>
    <row r="1784" spans="1:60" x14ac:dyDescent="0.35">
      <c r="A1784" s="4"/>
      <c r="B1784" s="8" t="str">
        <f t="shared" si="123"/>
        <v/>
      </c>
      <c r="D1784" s="6" t="str">
        <f t="shared" si="124"/>
        <v/>
      </c>
      <c r="E1784" s="6" t="str">
        <f t="shared" si="125"/>
        <v/>
      </c>
      <c r="F1784" s="6" t="str">
        <f t="shared" si="126"/>
        <v/>
      </c>
      <c r="G1784" s="4"/>
      <c r="H1784" s="4"/>
      <c r="I1784" s="4"/>
      <c r="J1784" s="4"/>
      <c r="K1784" s="4"/>
      <c r="L1784" s="4"/>
      <c r="M1784" s="4"/>
      <c r="N1784" s="4"/>
      <c r="O1784" s="4"/>
      <c r="P1784" s="4"/>
      <c r="Q1784" s="4"/>
      <c r="R1784" s="14"/>
      <c r="S1784" s="14"/>
      <c r="T1784" s="14"/>
      <c r="U1784" s="14"/>
      <c r="V1784" s="14"/>
      <c r="W1784" s="14"/>
      <c r="X1784" s="1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c r="BC1784" s="4"/>
      <c r="BD1784" s="4"/>
      <c r="BE1784" s="4"/>
      <c r="BG1784" s="4"/>
      <c r="BH1784" s="4"/>
    </row>
    <row r="1785" spans="1:60" x14ac:dyDescent="0.35">
      <c r="A1785" s="4"/>
      <c r="B1785" s="8" t="str">
        <f t="shared" ref="B1785:B1848" si="127">RIGHT(A1785,4)</f>
        <v/>
      </c>
      <c r="D1785" s="6" t="str">
        <f t="shared" si="124"/>
        <v/>
      </c>
      <c r="E1785" s="6" t="str">
        <f t="shared" si="125"/>
        <v/>
      </c>
      <c r="F1785" s="6" t="str">
        <f t="shared" si="126"/>
        <v/>
      </c>
      <c r="G1785" s="4"/>
      <c r="H1785" s="4"/>
      <c r="I1785" s="4"/>
      <c r="J1785" s="4"/>
      <c r="K1785" s="4"/>
      <c r="L1785" s="4"/>
      <c r="M1785" s="4"/>
      <c r="N1785" s="4"/>
      <c r="O1785" s="4"/>
      <c r="P1785" s="4"/>
      <c r="Q1785" s="4"/>
      <c r="R1785" s="14"/>
      <c r="S1785" s="14"/>
      <c r="T1785" s="14"/>
      <c r="U1785" s="14"/>
      <c r="V1785" s="14"/>
      <c r="W1785" s="14"/>
      <c r="X1785" s="1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c r="BB1785" s="4"/>
      <c r="BC1785" s="4"/>
      <c r="BD1785" s="4"/>
      <c r="BE1785" s="4"/>
      <c r="BG1785" s="4"/>
      <c r="BH1785" s="4"/>
    </row>
    <row r="1786" spans="1:60" x14ac:dyDescent="0.35">
      <c r="A1786" s="4"/>
      <c r="B1786" s="8" t="str">
        <f t="shared" si="127"/>
        <v/>
      </c>
      <c r="D1786" s="6" t="str">
        <f t="shared" si="124"/>
        <v/>
      </c>
      <c r="E1786" s="6" t="str">
        <f t="shared" si="125"/>
        <v/>
      </c>
      <c r="F1786" s="6" t="str">
        <f t="shared" si="126"/>
        <v/>
      </c>
      <c r="G1786" s="4"/>
      <c r="H1786" s="4"/>
      <c r="I1786" s="4"/>
      <c r="J1786" s="4"/>
      <c r="K1786" s="4"/>
      <c r="L1786" s="4"/>
      <c r="M1786" s="4"/>
      <c r="N1786" s="4"/>
      <c r="O1786" s="4"/>
      <c r="P1786" s="4"/>
      <c r="Q1786" s="4"/>
      <c r="R1786" s="14"/>
      <c r="S1786" s="14"/>
      <c r="T1786" s="14"/>
      <c r="U1786" s="14"/>
      <c r="V1786" s="14"/>
      <c r="W1786" s="14"/>
      <c r="X1786" s="1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c r="AX1786" s="4"/>
      <c r="AY1786" s="4"/>
      <c r="AZ1786" s="4"/>
      <c r="BA1786" s="4"/>
      <c r="BB1786" s="4"/>
      <c r="BC1786" s="4"/>
      <c r="BD1786" s="4"/>
      <c r="BE1786" s="4"/>
      <c r="BG1786" s="4"/>
      <c r="BH1786" s="4"/>
    </row>
    <row r="1787" spans="1:60" x14ac:dyDescent="0.35">
      <c r="A1787" s="4"/>
      <c r="B1787" s="8" t="str">
        <f t="shared" si="127"/>
        <v/>
      </c>
      <c r="D1787" s="6" t="str">
        <f t="shared" si="124"/>
        <v/>
      </c>
      <c r="E1787" s="6" t="str">
        <f t="shared" si="125"/>
        <v/>
      </c>
      <c r="F1787" s="6" t="str">
        <f t="shared" si="126"/>
        <v/>
      </c>
      <c r="G1787" s="4"/>
      <c r="H1787" s="4"/>
      <c r="I1787" s="4"/>
      <c r="J1787" s="4"/>
      <c r="K1787" s="4"/>
      <c r="L1787" s="4"/>
      <c r="M1787" s="4"/>
      <c r="N1787" s="4"/>
      <c r="O1787" s="4"/>
      <c r="P1787" s="4"/>
      <c r="Q1787" s="4"/>
      <c r="R1787" s="14"/>
      <c r="S1787" s="14"/>
      <c r="T1787" s="14"/>
      <c r="U1787" s="14"/>
      <c r="V1787" s="14"/>
      <c r="W1787" s="14"/>
      <c r="X1787" s="1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c r="BB1787" s="4"/>
      <c r="BC1787" s="4"/>
      <c r="BD1787" s="4"/>
      <c r="BE1787" s="4"/>
      <c r="BG1787" s="4"/>
      <c r="BH1787" s="4"/>
    </row>
    <row r="1788" spans="1:60" x14ac:dyDescent="0.35">
      <c r="A1788" s="4"/>
      <c r="B1788" s="8" t="str">
        <f t="shared" si="127"/>
        <v/>
      </c>
      <c r="D1788" s="6" t="str">
        <f t="shared" si="124"/>
        <v/>
      </c>
      <c r="E1788" s="6" t="str">
        <f t="shared" si="125"/>
        <v/>
      </c>
      <c r="F1788" s="6" t="str">
        <f t="shared" si="126"/>
        <v/>
      </c>
      <c r="G1788" s="4"/>
      <c r="H1788" s="4"/>
      <c r="I1788" s="4"/>
      <c r="J1788" s="4"/>
      <c r="K1788" s="4"/>
      <c r="L1788" s="4"/>
      <c r="M1788" s="4"/>
      <c r="N1788" s="4"/>
      <c r="O1788" s="4"/>
      <c r="P1788" s="4"/>
      <c r="Q1788" s="4"/>
      <c r="R1788" s="14"/>
      <c r="S1788" s="14"/>
      <c r="T1788" s="14"/>
      <c r="U1788" s="14"/>
      <c r="V1788" s="14"/>
      <c r="W1788" s="14"/>
      <c r="X1788" s="1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c r="AX1788" s="4"/>
      <c r="AY1788" s="4"/>
      <c r="AZ1788" s="4"/>
      <c r="BA1788" s="4"/>
      <c r="BB1788" s="4"/>
      <c r="BC1788" s="4"/>
      <c r="BD1788" s="4"/>
      <c r="BE1788" s="4"/>
      <c r="BG1788" s="4"/>
      <c r="BH1788" s="4"/>
    </row>
    <row r="1789" spans="1:60" x14ac:dyDescent="0.35">
      <c r="A1789" s="4"/>
      <c r="B1789" s="8" t="str">
        <f t="shared" si="127"/>
        <v/>
      </c>
      <c r="D1789" s="6" t="str">
        <f t="shared" ref="D1789:D1852" si="128">IF(C1789="","",VLOOKUP(C1789,district_region,2,FALSE))</f>
        <v/>
      </c>
      <c r="E1789" s="6" t="str">
        <f t="shared" ref="E1789:E1852" si="129">IF(C1789="","",VLOOKUP(C1789,liste_pop,3,FALSE))</f>
        <v/>
      </c>
      <c r="F1789" s="6" t="str">
        <f t="shared" ref="F1789:F1852" si="130">IF(D1789="","",IF(D1789="Dakar",4042240,VLOOKUP(D1789,liste_pop,4,FALSE)))</f>
        <v/>
      </c>
      <c r="G1789" s="4"/>
      <c r="H1789" s="4"/>
      <c r="I1789" s="4"/>
      <c r="J1789" s="4"/>
      <c r="K1789" s="4"/>
      <c r="L1789" s="4"/>
      <c r="M1789" s="4"/>
      <c r="N1789" s="4"/>
      <c r="O1789" s="4"/>
      <c r="P1789" s="4"/>
      <c r="Q1789" s="4"/>
      <c r="R1789" s="14"/>
      <c r="S1789" s="14"/>
      <c r="T1789" s="14"/>
      <c r="U1789" s="14"/>
      <c r="V1789" s="14"/>
      <c r="W1789" s="14"/>
      <c r="X1789" s="1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c r="AX1789" s="4"/>
      <c r="AY1789" s="4"/>
      <c r="AZ1789" s="4"/>
      <c r="BA1789" s="4"/>
      <c r="BB1789" s="4"/>
      <c r="BC1789" s="4"/>
      <c r="BD1789" s="4"/>
      <c r="BE1789" s="4"/>
      <c r="BG1789" s="4"/>
      <c r="BH1789" s="4"/>
    </row>
    <row r="1790" spans="1:60" x14ac:dyDescent="0.35">
      <c r="A1790" s="4"/>
      <c r="B1790" s="8" t="str">
        <f t="shared" si="127"/>
        <v/>
      </c>
      <c r="D1790" s="6" t="str">
        <f t="shared" si="128"/>
        <v/>
      </c>
      <c r="E1790" s="6" t="str">
        <f t="shared" si="129"/>
        <v/>
      </c>
      <c r="F1790" s="6" t="str">
        <f t="shared" si="130"/>
        <v/>
      </c>
      <c r="G1790" s="4"/>
      <c r="H1790" s="4"/>
      <c r="I1790" s="4"/>
      <c r="J1790" s="4"/>
      <c r="K1790" s="4"/>
      <c r="L1790" s="4"/>
      <c r="M1790" s="4"/>
      <c r="N1790" s="4"/>
      <c r="O1790" s="4"/>
      <c r="P1790" s="4"/>
      <c r="Q1790" s="4"/>
      <c r="R1790" s="14"/>
      <c r="S1790" s="14"/>
      <c r="T1790" s="14"/>
      <c r="U1790" s="14"/>
      <c r="V1790" s="14"/>
      <c r="W1790" s="14"/>
      <c r="X1790" s="1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c r="BB1790" s="4"/>
      <c r="BC1790" s="4"/>
      <c r="BD1790" s="4"/>
      <c r="BE1790" s="4"/>
      <c r="BG1790" s="4"/>
      <c r="BH1790" s="4"/>
    </row>
    <row r="1791" spans="1:60" x14ac:dyDescent="0.35">
      <c r="A1791" s="4"/>
      <c r="B1791" s="8" t="str">
        <f t="shared" si="127"/>
        <v/>
      </c>
      <c r="D1791" s="6" t="str">
        <f t="shared" si="128"/>
        <v/>
      </c>
      <c r="E1791" s="6" t="str">
        <f t="shared" si="129"/>
        <v/>
      </c>
      <c r="F1791" s="6" t="str">
        <f t="shared" si="130"/>
        <v/>
      </c>
      <c r="G1791" s="4"/>
      <c r="H1791" s="4"/>
      <c r="I1791" s="4"/>
      <c r="J1791" s="4"/>
      <c r="K1791" s="4"/>
      <c r="L1791" s="4"/>
      <c r="M1791" s="4"/>
      <c r="N1791" s="4"/>
      <c r="O1791" s="4"/>
      <c r="P1791" s="4"/>
      <c r="Q1791" s="4"/>
      <c r="R1791" s="14"/>
      <c r="S1791" s="14"/>
      <c r="T1791" s="14"/>
      <c r="U1791" s="14"/>
      <c r="V1791" s="14"/>
      <c r="W1791" s="14"/>
      <c r="X1791" s="1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c r="AX1791" s="4"/>
      <c r="AY1791" s="4"/>
      <c r="AZ1791" s="4"/>
      <c r="BA1791" s="4"/>
      <c r="BB1791" s="4"/>
      <c r="BC1791" s="4"/>
      <c r="BD1791" s="4"/>
      <c r="BE1791" s="4"/>
      <c r="BG1791" s="4"/>
      <c r="BH1791" s="4"/>
    </row>
    <row r="1792" spans="1:60" x14ac:dyDescent="0.35">
      <c r="A1792" s="4"/>
      <c r="B1792" s="8" t="str">
        <f t="shared" si="127"/>
        <v/>
      </c>
      <c r="D1792" s="6" t="str">
        <f t="shared" si="128"/>
        <v/>
      </c>
      <c r="E1792" s="6" t="str">
        <f t="shared" si="129"/>
        <v/>
      </c>
      <c r="F1792" s="6" t="str">
        <f t="shared" si="130"/>
        <v/>
      </c>
      <c r="G1792" s="4"/>
      <c r="H1792" s="4"/>
      <c r="I1792" s="4"/>
      <c r="J1792" s="4"/>
      <c r="K1792" s="4"/>
      <c r="L1792" s="4"/>
      <c r="M1792" s="4"/>
      <c r="N1792" s="4"/>
      <c r="O1792" s="4"/>
      <c r="P1792" s="4"/>
      <c r="Q1792" s="4"/>
      <c r="R1792" s="14"/>
      <c r="S1792" s="14"/>
      <c r="T1792" s="14"/>
      <c r="U1792" s="14"/>
      <c r="V1792" s="14"/>
      <c r="W1792" s="14"/>
      <c r="X1792" s="1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c r="BB1792" s="4"/>
      <c r="BC1792" s="4"/>
      <c r="BD1792" s="4"/>
      <c r="BE1792" s="4"/>
      <c r="BG1792" s="4"/>
      <c r="BH1792" s="4"/>
    </row>
    <row r="1793" spans="1:60" x14ac:dyDescent="0.35">
      <c r="A1793" s="4"/>
      <c r="B1793" s="8" t="str">
        <f t="shared" si="127"/>
        <v/>
      </c>
      <c r="D1793" s="6" t="str">
        <f t="shared" si="128"/>
        <v/>
      </c>
      <c r="E1793" s="6" t="str">
        <f t="shared" si="129"/>
        <v/>
      </c>
      <c r="F1793" s="6" t="str">
        <f t="shared" si="130"/>
        <v/>
      </c>
      <c r="G1793" s="4"/>
      <c r="H1793" s="4"/>
      <c r="I1793" s="4"/>
      <c r="J1793" s="4"/>
      <c r="K1793" s="4"/>
      <c r="L1793" s="4"/>
      <c r="M1793" s="4"/>
      <c r="N1793" s="4"/>
      <c r="O1793" s="4"/>
      <c r="P1793" s="4"/>
      <c r="Q1793" s="4"/>
      <c r="R1793" s="14"/>
      <c r="S1793" s="14"/>
      <c r="T1793" s="14"/>
      <c r="U1793" s="14"/>
      <c r="V1793" s="14"/>
      <c r="W1793" s="14"/>
      <c r="X1793" s="1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c r="BB1793" s="4"/>
      <c r="BC1793" s="4"/>
      <c r="BD1793" s="4"/>
      <c r="BE1793" s="4"/>
      <c r="BG1793" s="4"/>
      <c r="BH1793" s="4"/>
    </row>
    <row r="1794" spans="1:60" x14ac:dyDescent="0.35">
      <c r="A1794" s="4"/>
      <c r="B1794" s="8" t="str">
        <f t="shared" si="127"/>
        <v/>
      </c>
      <c r="D1794" s="6" t="str">
        <f t="shared" si="128"/>
        <v/>
      </c>
      <c r="E1794" s="6" t="str">
        <f t="shared" si="129"/>
        <v/>
      </c>
      <c r="F1794" s="6" t="str">
        <f t="shared" si="130"/>
        <v/>
      </c>
      <c r="G1794" s="4"/>
      <c r="H1794" s="4"/>
      <c r="I1794" s="4"/>
      <c r="J1794" s="4"/>
      <c r="K1794" s="4"/>
      <c r="L1794" s="4"/>
      <c r="M1794" s="4"/>
      <c r="N1794" s="4"/>
      <c r="O1794" s="4"/>
      <c r="P1794" s="4"/>
      <c r="Q1794" s="4"/>
      <c r="R1794" s="14"/>
      <c r="S1794" s="14"/>
      <c r="T1794" s="14"/>
      <c r="U1794" s="14"/>
      <c r="V1794" s="14"/>
      <c r="W1794" s="14"/>
      <c r="X1794" s="1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c r="AX1794" s="4"/>
      <c r="AY1794" s="4"/>
      <c r="AZ1794" s="4"/>
      <c r="BA1794" s="4"/>
      <c r="BB1794" s="4"/>
      <c r="BC1794" s="4"/>
      <c r="BD1794" s="4"/>
      <c r="BE1794" s="4"/>
      <c r="BG1794" s="4"/>
      <c r="BH1794" s="4"/>
    </row>
    <row r="1795" spans="1:60" x14ac:dyDescent="0.35">
      <c r="A1795" s="4"/>
      <c r="B1795" s="8" t="str">
        <f t="shared" si="127"/>
        <v/>
      </c>
      <c r="D1795" s="6" t="str">
        <f t="shared" si="128"/>
        <v/>
      </c>
      <c r="E1795" s="6" t="str">
        <f t="shared" si="129"/>
        <v/>
      </c>
      <c r="F1795" s="6" t="str">
        <f t="shared" si="130"/>
        <v/>
      </c>
      <c r="G1795" s="4"/>
      <c r="H1795" s="4"/>
      <c r="I1795" s="4"/>
      <c r="J1795" s="4"/>
      <c r="K1795" s="4"/>
      <c r="L1795" s="4"/>
      <c r="M1795" s="4"/>
      <c r="N1795" s="4"/>
      <c r="O1795" s="4"/>
      <c r="P1795" s="4"/>
      <c r="Q1795" s="4"/>
      <c r="R1795" s="14"/>
      <c r="S1795" s="14"/>
      <c r="T1795" s="14"/>
      <c r="U1795" s="14"/>
      <c r="V1795" s="14"/>
      <c r="W1795" s="14"/>
      <c r="X1795" s="1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c r="BC1795" s="4"/>
      <c r="BD1795" s="4"/>
      <c r="BE1795" s="4"/>
      <c r="BG1795" s="4"/>
      <c r="BH1795" s="4"/>
    </row>
    <row r="1796" spans="1:60" x14ac:dyDescent="0.35">
      <c r="A1796" s="4"/>
      <c r="B1796" s="8" t="str">
        <f t="shared" si="127"/>
        <v/>
      </c>
      <c r="D1796" s="6" t="str">
        <f t="shared" si="128"/>
        <v/>
      </c>
      <c r="E1796" s="6" t="str">
        <f t="shared" si="129"/>
        <v/>
      </c>
      <c r="F1796" s="6" t="str">
        <f t="shared" si="130"/>
        <v/>
      </c>
      <c r="G1796" s="4"/>
      <c r="H1796" s="4"/>
      <c r="I1796" s="4"/>
      <c r="J1796" s="4"/>
      <c r="K1796" s="4"/>
      <c r="L1796" s="4"/>
      <c r="M1796" s="4"/>
      <c r="N1796" s="4"/>
      <c r="O1796" s="4"/>
      <c r="P1796" s="4"/>
      <c r="Q1796" s="4"/>
      <c r="R1796" s="14"/>
      <c r="S1796" s="14"/>
      <c r="T1796" s="14"/>
      <c r="U1796" s="14"/>
      <c r="V1796" s="14"/>
      <c r="W1796" s="14"/>
      <c r="X1796" s="1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c r="BB1796" s="4"/>
      <c r="BC1796" s="4"/>
      <c r="BD1796" s="4"/>
      <c r="BE1796" s="4"/>
      <c r="BG1796" s="4"/>
      <c r="BH1796" s="4"/>
    </row>
    <row r="1797" spans="1:60" x14ac:dyDescent="0.35">
      <c r="A1797" s="4"/>
      <c r="B1797" s="8" t="str">
        <f t="shared" si="127"/>
        <v/>
      </c>
      <c r="D1797" s="6" t="str">
        <f t="shared" si="128"/>
        <v/>
      </c>
      <c r="E1797" s="6" t="str">
        <f t="shared" si="129"/>
        <v/>
      </c>
      <c r="F1797" s="6" t="str">
        <f t="shared" si="130"/>
        <v/>
      </c>
      <c r="G1797" s="4"/>
      <c r="H1797" s="4"/>
      <c r="I1797" s="4"/>
      <c r="J1797" s="4"/>
      <c r="K1797" s="4"/>
      <c r="L1797" s="4"/>
      <c r="M1797" s="4"/>
      <c r="N1797" s="4"/>
      <c r="O1797" s="4"/>
      <c r="P1797" s="4"/>
      <c r="Q1797" s="4"/>
      <c r="R1797" s="14"/>
      <c r="S1797" s="14"/>
      <c r="T1797" s="14"/>
      <c r="U1797" s="14"/>
      <c r="V1797" s="14"/>
      <c r="W1797" s="14"/>
      <c r="X1797" s="1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c r="BB1797" s="4"/>
      <c r="BC1797" s="4"/>
      <c r="BD1797" s="4"/>
      <c r="BE1797" s="4"/>
      <c r="BG1797" s="4"/>
      <c r="BH1797" s="4"/>
    </row>
    <row r="1798" spans="1:60" x14ac:dyDescent="0.35">
      <c r="A1798" s="4"/>
      <c r="B1798" s="8" t="str">
        <f t="shared" si="127"/>
        <v/>
      </c>
      <c r="D1798" s="6" t="str">
        <f t="shared" si="128"/>
        <v/>
      </c>
      <c r="E1798" s="6" t="str">
        <f t="shared" si="129"/>
        <v/>
      </c>
      <c r="F1798" s="6" t="str">
        <f t="shared" si="130"/>
        <v/>
      </c>
      <c r="G1798" s="4"/>
      <c r="H1798" s="4"/>
      <c r="I1798" s="4"/>
      <c r="J1798" s="4"/>
      <c r="K1798" s="4"/>
      <c r="L1798" s="4"/>
      <c r="M1798" s="4"/>
      <c r="N1798" s="4"/>
      <c r="O1798" s="4"/>
      <c r="P1798" s="4"/>
      <c r="Q1798" s="4"/>
      <c r="R1798" s="14"/>
      <c r="S1798" s="14"/>
      <c r="T1798" s="14"/>
      <c r="U1798" s="14"/>
      <c r="V1798" s="14"/>
      <c r="W1798" s="14"/>
      <c r="X1798" s="1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c r="BB1798" s="4"/>
      <c r="BC1798" s="4"/>
      <c r="BD1798" s="4"/>
      <c r="BE1798" s="4"/>
      <c r="BG1798" s="4"/>
      <c r="BH1798" s="4"/>
    </row>
    <row r="1799" spans="1:60" x14ac:dyDescent="0.35">
      <c r="A1799" s="4"/>
      <c r="B1799" s="8" t="str">
        <f t="shared" si="127"/>
        <v/>
      </c>
      <c r="D1799" s="6" t="str">
        <f t="shared" si="128"/>
        <v/>
      </c>
      <c r="E1799" s="6" t="str">
        <f t="shared" si="129"/>
        <v/>
      </c>
      <c r="F1799" s="6" t="str">
        <f t="shared" si="130"/>
        <v/>
      </c>
      <c r="G1799" s="4"/>
      <c r="H1799" s="4"/>
      <c r="I1799" s="4"/>
      <c r="J1799" s="4"/>
      <c r="K1799" s="4"/>
      <c r="L1799" s="4"/>
      <c r="M1799" s="4"/>
      <c r="N1799" s="4"/>
      <c r="O1799" s="4"/>
      <c r="P1799" s="4"/>
      <c r="Q1799" s="4"/>
      <c r="R1799" s="14"/>
      <c r="S1799" s="14"/>
      <c r="T1799" s="14"/>
      <c r="U1799" s="14"/>
      <c r="V1799" s="14"/>
      <c r="W1799" s="14"/>
      <c r="X1799" s="1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c r="AX1799" s="4"/>
      <c r="AY1799" s="4"/>
      <c r="AZ1799" s="4"/>
      <c r="BA1799" s="4"/>
      <c r="BB1799" s="4"/>
      <c r="BC1799" s="4"/>
      <c r="BD1799" s="4"/>
      <c r="BE1799" s="4"/>
      <c r="BG1799" s="4"/>
      <c r="BH1799" s="4"/>
    </row>
    <row r="1800" spans="1:60" x14ac:dyDescent="0.35">
      <c r="A1800" s="4"/>
      <c r="B1800" s="8" t="str">
        <f t="shared" si="127"/>
        <v/>
      </c>
      <c r="D1800" s="6" t="str">
        <f t="shared" si="128"/>
        <v/>
      </c>
      <c r="E1800" s="6" t="str">
        <f t="shared" si="129"/>
        <v/>
      </c>
      <c r="F1800" s="6" t="str">
        <f t="shared" si="130"/>
        <v/>
      </c>
      <c r="G1800" s="4"/>
      <c r="H1800" s="4"/>
      <c r="I1800" s="4"/>
      <c r="J1800" s="4"/>
      <c r="K1800" s="4"/>
      <c r="L1800" s="4"/>
      <c r="M1800" s="4"/>
      <c r="N1800" s="4"/>
      <c r="O1800" s="4"/>
      <c r="P1800" s="4"/>
      <c r="Q1800" s="4"/>
      <c r="R1800" s="14"/>
      <c r="S1800" s="14"/>
      <c r="T1800" s="14"/>
      <c r="U1800" s="14"/>
      <c r="V1800" s="14"/>
      <c r="W1800" s="14"/>
      <c r="X1800" s="1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c r="AX1800" s="4"/>
      <c r="AY1800" s="4"/>
      <c r="AZ1800" s="4"/>
      <c r="BA1800" s="4"/>
      <c r="BB1800" s="4"/>
      <c r="BC1800" s="4"/>
      <c r="BD1800" s="4"/>
      <c r="BE1800" s="4"/>
      <c r="BG1800" s="4"/>
      <c r="BH1800" s="4"/>
    </row>
    <row r="1801" spans="1:60" x14ac:dyDescent="0.35">
      <c r="A1801" s="4"/>
      <c r="B1801" s="8" t="str">
        <f t="shared" si="127"/>
        <v/>
      </c>
      <c r="D1801" s="6" t="str">
        <f t="shared" si="128"/>
        <v/>
      </c>
      <c r="E1801" s="6" t="str">
        <f t="shared" si="129"/>
        <v/>
      </c>
      <c r="F1801" s="6" t="str">
        <f t="shared" si="130"/>
        <v/>
      </c>
      <c r="G1801" s="4"/>
      <c r="H1801" s="4"/>
      <c r="I1801" s="4"/>
      <c r="J1801" s="4"/>
      <c r="K1801" s="4"/>
      <c r="L1801" s="4"/>
      <c r="M1801" s="4"/>
      <c r="N1801" s="4"/>
      <c r="O1801" s="4"/>
      <c r="P1801" s="4"/>
      <c r="Q1801" s="4"/>
      <c r="R1801" s="14"/>
      <c r="S1801" s="14"/>
      <c r="T1801" s="14"/>
      <c r="U1801" s="14"/>
      <c r="V1801" s="14"/>
      <c r="W1801" s="14"/>
      <c r="X1801" s="1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c r="BB1801" s="4"/>
      <c r="BC1801" s="4"/>
      <c r="BD1801" s="4"/>
      <c r="BE1801" s="4"/>
      <c r="BG1801" s="4"/>
      <c r="BH1801" s="4"/>
    </row>
    <row r="1802" spans="1:60" x14ac:dyDescent="0.35">
      <c r="A1802" s="4"/>
      <c r="B1802" s="8" t="str">
        <f t="shared" si="127"/>
        <v/>
      </c>
      <c r="D1802" s="6" t="str">
        <f t="shared" si="128"/>
        <v/>
      </c>
      <c r="E1802" s="6" t="str">
        <f t="shared" si="129"/>
        <v/>
      </c>
      <c r="F1802" s="6" t="str">
        <f t="shared" si="130"/>
        <v/>
      </c>
      <c r="G1802" s="4"/>
      <c r="H1802" s="4"/>
      <c r="I1802" s="4"/>
      <c r="J1802" s="4"/>
      <c r="K1802" s="4"/>
      <c r="L1802" s="4"/>
      <c r="M1802" s="4"/>
      <c r="N1802" s="4"/>
      <c r="O1802" s="4"/>
      <c r="P1802" s="4"/>
      <c r="Q1802" s="4"/>
      <c r="R1802" s="14"/>
      <c r="S1802" s="14"/>
      <c r="T1802" s="14"/>
      <c r="U1802" s="14"/>
      <c r="V1802" s="14"/>
      <c r="W1802" s="14"/>
      <c r="X1802" s="1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4"/>
      <c r="AU1802" s="4"/>
      <c r="AV1802" s="4"/>
      <c r="AW1802" s="4"/>
      <c r="AX1802" s="4"/>
      <c r="AY1802" s="4"/>
      <c r="AZ1802" s="4"/>
      <c r="BA1802" s="4"/>
      <c r="BB1802" s="4"/>
      <c r="BC1802" s="4"/>
      <c r="BD1802" s="4"/>
      <c r="BE1802" s="4"/>
      <c r="BG1802" s="4"/>
      <c r="BH1802" s="4"/>
    </row>
    <row r="1803" spans="1:60" x14ac:dyDescent="0.35">
      <c r="A1803" s="4"/>
      <c r="B1803" s="8" t="str">
        <f t="shared" si="127"/>
        <v/>
      </c>
      <c r="D1803" s="6" t="str">
        <f t="shared" si="128"/>
        <v/>
      </c>
      <c r="E1803" s="6" t="str">
        <f t="shared" si="129"/>
        <v/>
      </c>
      <c r="F1803" s="6" t="str">
        <f t="shared" si="130"/>
        <v/>
      </c>
      <c r="G1803" s="4"/>
      <c r="H1803" s="4"/>
      <c r="I1803" s="4"/>
      <c r="J1803" s="4"/>
      <c r="K1803" s="4"/>
      <c r="L1803" s="4"/>
      <c r="M1803" s="4"/>
      <c r="N1803" s="4"/>
      <c r="O1803" s="4"/>
      <c r="P1803" s="4"/>
      <c r="Q1803" s="4"/>
      <c r="R1803" s="14"/>
      <c r="S1803" s="14"/>
      <c r="T1803" s="14"/>
      <c r="U1803" s="14"/>
      <c r="V1803" s="14"/>
      <c r="W1803" s="14"/>
      <c r="X1803" s="1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c r="AX1803" s="4"/>
      <c r="AY1803" s="4"/>
      <c r="AZ1803" s="4"/>
      <c r="BA1803" s="4"/>
      <c r="BB1803" s="4"/>
      <c r="BC1803" s="4"/>
      <c r="BD1803" s="4"/>
      <c r="BE1803" s="4"/>
      <c r="BG1803" s="4"/>
      <c r="BH1803" s="4"/>
    </row>
    <row r="1804" spans="1:60" x14ac:dyDescent="0.35">
      <c r="A1804" s="4"/>
      <c r="B1804" s="8" t="str">
        <f t="shared" si="127"/>
        <v/>
      </c>
      <c r="D1804" s="6" t="str">
        <f t="shared" si="128"/>
        <v/>
      </c>
      <c r="E1804" s="6" t="str">
        <f t="shared" si="129"/>
        <v/>
      </c>
      <c r="F1804" s="6" t="str">
        <f t="shared" si="130"/>
        <v/>
      </c>
      <c r="G1804" s="4"/>
      <c r="H1804" s="4"/>
      <c r="I1804" s="4"/>
      <c r="J1804" s="4"/>
      <c r="K1804" s="4"/>
      <c r="L1804" s="4"/>
      <c r="M1804" s="4"/>
      <c r="N1804" s="4"/>
      <c r="O1804" s="4"/>
      <c r="P1804" s="4"/>
      <c r="Q1804" s="4"/>
      <c r="R1804" s="14"/>
      <c r="S1804" s="14"/>
      <c r="T1804" s="14"/>
      <c r="U1804" s="14"/>
      <c r="V1804" s="14"/>
      <c r="W1804" s="14"/>
      <c r="X1804" s="1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c r="BB1804" s="4"/>
      <c r="BC1804" s="4"/>
      <c r="BD1804" s="4"/>
      <c r="BE1804" s="4"/>
      <c r="BG1804" s="4"/>
      <c r="BH1804" s="4"/>
    </row>
    <row r="1805" spans="1:60" x14ac:dyDescent="0.35">
      <c r="A1805" s="4"/>
      <c r="B1805" s="8" t="str">
        <f t="shared" si="127"/>
        <v/>
      </c>
      <c r="D1805" s="6" t="str">
        <f t="shared" si="128"/>
        <v/>
      </c>
      <c r="E1805" s="6" t="str">
        <f t="shared" si="129"/>
        <v/>
      </c>
      <c r="F1805" s="6" t="str">
        <f t="shared" si="130"/>
        <v/>
      </c>
      <c r="G1805" s="4"/>
      <c r="H1805" s="4"/>
      <c r="I1805" s="4"/>
      <c r="J1805" s="4"/>
      <c r="K1805" s="4"/>
      <c r="L1805" s="4"/>
      <c r="M1805" s="4"/>
      <c r="N1805" s="4"/>
      <c r="O1805" s="4"/>
      <c r="P1805" s="4"/>
      <c r="Q1805" s="4"/>
      <c r="R1805" s="14"/>
      <c r="S1805" s="14"/>
      <c r="T1805" s="14"/>
      <c r="U1805" s="14"/>
      <c r="V1805" s="14"/>
      <c r="W1805" s="14"/>
      <c r="X1805" s="1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4"/>
      <c r="AU1805" s="4"/>
      <c r="AV1805" s="4"/>
      <c r="AW1805" s="4"/>
      <c r="AX1805" s="4"/>
      <c r="AY1805" s="4"/>
      <c r="AZ1805" s="4"/>
      <c r="BA1805" s="4"/>
      <c r="BB1805" s="4"/>
      <c r="BC1805" s="4"/>
      <c r="BD1805" s="4"/>
      <c r="BE1805" s="4"/>
      <c r="BG1805" s="4"/>
      <c r="BH1805" s="4"/>
    </row>
    <row r="1806" spans="1:60" x14ac:dyDescent="0.35">
      <c r="A1806" s="4"/>
      <c r="B1806" s="8" t="str">
        <f t="shared" si="127"/>
        <v/>
      </c>
      <c r="D1806" s="6" t="str">
        <f t="shared" si="128"/>
        <v/>
      </c>
      <c r="E1806" s="6" t="str">
        <f t="shared" si="129"/>
        <v/>
      </c>
      <c r="F1806" s="6" t="str">
        <f t="shared" si="130"/>
        <v/>
      </c>
      <c r="G1806" s="4"/>
      <c r="H1806" s="4"/>
      <c r="I1806" s="4"/>
      <c r="J1806" s="4"/>
      <c r="K1806" s="4"/>
      <c r="L1806" s="4"/>
      <c r="M1806" s="4"/>
      <c r="N1806" s="4"/>
      <c r="O1806" s="4"/>
      <c r="P1806" s="4"/>
      <c r="Q1806" s="4"/>
      <c r="R1806" s="14"/>
      <c r="S1806" s="14"/>
      <c r="T1806" s="14"/>
      <c r="U1806" s="14"/>
      <c r="V1806" s="14"/>
      <c r="W1806" s="14"/>
      <c r="X1806" s="1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c r="AX1806" s="4"/>
      <c r="AY1806" s="4"/>
      <c r="AZ1806" s="4"/>
      <c r="BA1806" s="4"/>
      <c r="BB1806" s="4"/>
      <c r="BC1806" s="4"/>
      <c r="BD1806" s="4"/>
      <c r="BE1806" s="4"/>
      <c r="BG1806" s="4"/>
      <c r="BH1806" s="4"/>
    </row>
    <row r="1807" spans="1:60" x14ac:dyDescent="0.35">
      <c r="A1807" s="4"/>
      <c r="B1807" s="8" t="str">
        <f t="shared" si="127"/>
        <v/>
      </c>
      <c r="D1807" s="6" t="str">
        <f t="shared" si="128"/>
        <v/>
      </c>
      <c r="E1807" s="6" t="str">
        <f t="shared" si="129"/>
        <v/>
      </c>
      <c r="F1807" s="6" t="str">
        <f t="shared" si="130"/>
        <v/>
      </c>
      <c r="G1807" s="4"/>
      <c r="H1807" s="4"/>
      <c r="I1807" s="4"/>
      <c r="J1807" s="4"/>
      <c r="K1807" s="4"/>
      <c r="L1807" s="4"/>
      <c r="M1807" s="4"/>
      <c r="N1807" s="4"/>
      <c r="O1807" s="4"/>
      <c r="P1807" s="4"/>
      <c r="Q1807" s="4"/>
      <c r="R1807" s="14"/>
      <c r="S1807" s="14"/>
      <c r="T1807" s="14"/>
      <c r="U1807" s="14"/>
      <c r="V1807" s="14"/>
      <c r="W1807" s="14"/>
      <c r="X1807" s="14"/>
      <c r="Y1807" s="4"/>
      <c r="Z1807" s="4"/>
      <c r="AA1807" s="4"/>
      <c r="AB1807" s="4"/>
      <c r="AC1807" s="4"/>
      <c r="AD1807" s="4"/>
      <c r="AE1807" s="4"/>
      <c r="AF1807" s="4"/>
      <c r="AG1807" s="4"/>
      <c r="AH1807" s="4"/>
      <c r="AI1807" s="4"/>
      <c r="AJ1807" s="4"/>
      <c r="AK1807" s="4"/>
      <c r="AL1807" s="4"/>
      <c r="AM1807" s="4"/>
      <c r="AN1807" s="4"/>
      <c r="AO1807" s="4"/>
      <c r="AP1807" s="4"/>
      <c r="AQ1807" s="4"/>
      <c r="AR1807" s="4"/>
      <c r="AS1807" s="4"/>
      <c r="AT1807" s="4"/>
      <c r="AU1807" s="4"/>
      <c r="AV1807" s="4"/>
      <c r="AW1807" s="4"/>
      <c r="AX1807" s="4"/>
      <c r="AY1807" s="4"/>
      <c r="AZ1807" s="4"/>
      <c r="BA1807" s="4"/>
      <c r="BB1807" s="4"/>
      <c r="BC1807" s="4"/>
      <c r="BD1807" s="4"/>
      <c r="BE1807" s="4"/>
      <c r="BG1807" s="4"/>
      <c r="BH1807" s="4"/>
    </row>
    <row r="1808" spans="1:60" x14ac:dyDescent="0.35">
      <c r="A1808" s="4"/>
      <c r="B1808" s="8" t="str">
        <f t="shared" si="127"/>
        <v/>
      </c>
      <c r="D1808" s="6" t="str">
        <f t="shared" si="128"/>
        <v/>
      </c>
      <c r="E1808" s="6" t="str">
        <f t="shared" si="129"/>
        <v/>
      </c>
      <c r="F1808" s="6" t="str">
        <f t="shared" si="130"/>
        <v/>
      </c>
      <c r="G1808" s="4"/>
      <c r="H1808" s="4"/>
      <c r="I1808" s="4"/>
      <c r="J1808" s="4"/>
      <c r="K1808" s="4"/>
      <c r="L1808" s="4"/>
      <c r="M1808" s="4"/>
      <c r="N1808" s="4"/>
      <c r="O1808" s="4"/>
      <c r="P1808" s="4"/>
      <c r="Q1808" s="4"/>
      <c r="R1808" s="14"/>
      <c r="S1808" s="14"/>
      <c r="T1808" s="14"/>
      <c r="U1808" s="14"/>
      <c r="V1808" s="14"/>
      <c r="W1808" s="14"/>
      <c r="X1808" s="1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c r="BC1808" s="4"/>
      <c r="BD1808" s="4"/>
      <c r="BE1808" s="4"/>
      <c r="BG1808" s="4"/>
      <c r="BH1808" s="4"/>
    </row>
    <row r="1809" spans="1:60" x14ac:dyDescent="0.35">
      <c r="A1809" s="4"/>
      <c r="B1809" s="8" t="str">
        <f t="shared" si="127"/>
        <v/>
      </c>
      <c r="D1809" s="6" t="str">
        <f t="shared" si="128"/>
        <v/>
      </c>
      <c r="E1809" s="6" t="str">
        <f t="shared" si="129"/>
        <v/>
      </c>
      <c r="F1809" s="6" t="str">
        <f t="shared" si="130"/>
        <v/>
      </c>
      <c r="G1809" s="4"/>
      <c r="H1809" s="4"/>
      <c r="I1809" s="4"/>
      <c r="J1809" s="4"/>
      <c r="K1809" s="4"/>
      <c r="L1809" s="4"/>
      <c r="M1809" s="4"/>
      <c r="N1809" s="4"/>
      <c r="O1809" s="4"/>
      <c r="P1809" s="4"/>
      <c r="Q1809" s="4"/>
      <c r="R1809" s="14"/>
      <c r="S1809" s="14"/>
      <c r="T1809" s="14"/>
      <c r="U1809" s="14"/>
      <c r="V1809" s="14"/>
      <c r="W1809" s="14"/>
      <c r="X1809" s="1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4"/>
      <c r="AU1809" s="4"/>
      <c r="AV1809" s="4"/>
      <c r="AW1809" s="4"/>
      <c r="AX1809" s="4"/>
      <c r="AY1809" s="4"/>
      <c r="AZ1809" s="4"/>
      <c r="BA1809" s="4"/>
      <c r="BB1809" s="4"/>
      <c r="BC1809" s="4"/>
      <c r="BD1809" s="4"/>
      <c r="BE1809" s="4"/>
      <c r="BG1809" s="4"/>
      <c r="BH1809" s="4"/>
    </row>
    <row r="1810" spans="1:60" x14ac:dyDescent="0.35">
      <c r="A1810" s="4"/>
      <c r="B1810" s="8" t="str">
        <f t="shared" si="127"/>
        <v/>
      </c>
      <c r="D1810" s="6" t="str">
        <f t="shared" si="128"/>
        <v/>
      </c>
      <c r="E1810" s="6" t="str">
        <f t="shared" si="129"/>
        <v/>
      </c>
      <c r="F1810" s="6" t="str">
        <f t="shared" si="130"/>
        <v/>
      </c>
      <c r="G1810" s="4"/>
      <c r="H1810" s="4"/>
      <c r="I1810" s="4"/>
      <c r="J1810" s="4"/>
      <c r="K1810" s="4"/>
      <c r="L1810" s="4"/>
      <c r="M1810" s="4"/>
      <c r="N1810" s="4"/>
      <c r="O1810" s="4"/>
      <c r="P1810" s="4"/>
      <c r="Q1810" s="4"/>
      <c r="R1810" s="14"/>
      <c r="S1810" s="14"/>
      <c r="T1810" s="14"/>
      <c r="U1810" s="14"/>
      <c r="V1810" s="14"/>
      <c r="W1810" s="14"/>
      <c r="X1810" s="1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4"/>
      <c r="AU1810" s="4"/>
      <c r="AV1810" s="4"/>
      <c r="AW1810" s="4"/>
      <c r="AX1810" s="4"/>
      <c r="AY1810" s="4"/>
      <c r="AZ1810" s="4"/>
      <c r="BA1810" s="4"/>
      <c r="BB1810" s="4"/>
      <c r="BC1810" s="4"/>
      <c r="BD1810" s="4"/>
      <c r="BE1810" s="4"/>
      <c r="BG1810" s="4"/>
      <c r="BH1810" s="4"/>
    </row>
    <row r="1811" spans="1:60" x14ac:dyDescent="0.35">
      <c r="A1811" s="4"/>
      <c r="B1811" s="8" t="str">
        <f t="shared" si="127"/>
        <v/>
      </c>
      <c r="D1811" s="6" t="str">
        <f t="shared" si="128"/>
        <v/>
      </c>
      <c r="E1811" s="6" t="str">
        <f t="shared" si="129"/>
        <v/>
      </c>
      <c r="F1811" s="6" t="str">
        <f t="shared" si="130"/>
        <v/>
      </c>
      <c r="G1811" s="4"/>
      <c r="H1811" s="4"/>
      <c r="I1811" s="4"/>
      <c r="J1811" s="4"/>
      <c r="K1811" s="4"/>
      <c r="L1811" s="4"/>
      <c r="M1811" s="4"/>
      <c r="N1811" s="4"/>
      <c r="O1811" s="4"/>
      <c r="P1811" s="4"/>
      <c r="Q1811" s="4"/>
      <c r="R1811" s="14"/>
      <c r="S1811" s="14"/>
      <c r="T1811" s="14"/>
      <c r="U1811" s="14"/>
      <c r="V1811" s="14"/>
      <c r="W1811" s="14"/>
      <c r="X1811" s="1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4"/>
      <c r="AU1811" s="4"/>
      <c r="AV1811" s="4"/>
      <c r="AW1811" s="4"/>
      <c r="AX1811" s="4"/>
      <c r="AY1811" s="4"/>
      <c r="AZ1811" s="4"/>
      <c r="BA1811" s="4"/>
      <c r="BB1811" s="4"/>
      <c r="BC1811" s="4"/>
      <c r="BD1811" s="4"/>
      <c r="BE1811" s="4"/>
      <c r="BG1811" s="4"/>
      <c r="BH1811" s="4"/>
    </row>
    <row r="1812" spans="1:60" x14ac:dyDescent="0.35">
      <c r="A1812" s="4"/>
      <c r="B1812" s="8" t="str">
        <f t="shared" si="127"/>
        <v/>
      </c>
      <c r="D1812" s="6" t="str">
        <f t="shared" si="128"/>
        <v/>
      </c>
      <c r="E1812" s="6" t="str">
        <f t="shared" si="129"/>
        <v/>
      </c>
      <c r="F1812" s="6" t="str">
        <f t="shared" si="130"/>
        <v/>
      </c>
      <c r="G1812" s="4"/>
      <c r="H1812" s="4"/>
      <c r="I1812" s="4"/>
      <c r="J1812" s="4"/>
      <c r="K1812" s="4"/>
      <c r="L1812" s="4"/>
      <c r="M1812" s="4"/>
      <c r="N1812" s="4"/>
      <c r="O1812" s="4"/>
      <c r="P1812" s="4"/>
      <c r="Q1812" s="4"/>
      <c r="R1812" s="14"/>
      <c r="S1812" s="14"/>
      <c r="T1812" s="14"/>
      <c r="U1812" s="14"/>
      <c r="V1812" s="14"/>
      <c r="W1812" s="14"/>
      <c r="X1812" s="14"/>
      <c r="Y1812" s="4"/>
      <c r="Z1812" s="4"/>
      <c r="AA1812" s="4"/>
      <c r="AB1812" s="4"/>
      <c r="AC1812" s="4"/>
      <c r="AD1812" s="4"/>
      <c r="AE1812" s="4"/>
      <c r="AF1812" s="4"/>
      <c r="AG1812" s="4"/>
      <c r="AH1812" s="4"/>
      <c r="AI1812" s="4"/>
      <c r="AJ1812" s="4"/>
      <c r="AK1812" s="4"/>
      <c r="AL1812" s="4"/>
      <c r="AM1812" s="4"/>
      <c r="AN1812" s="4"/>
      <c r="AO1812" s="4"/>
      <c r="AP1812" s="4"/>
      <c r="AQ1812" s="4"/>
      <c r="AR1812" s="4"/>
      <c r="AS1812" s="4"/>
      <c r="AT1812" s="4"/>
      <c r="AU1812" s="4"/>
      <c r="AV1812" s="4"/>
      <c r="AW1812" s="4"/>
      <c r="AX1812" s="4"/>
      <c r="AY1812" s="4"/>
      <c r="AZ1812" s="4"/>
      <c r="BA1812" s="4"/>
      <c r="BB1812" s="4"/>
      <c r="BC1812" s="4"/>
      <c r="BD1812" s="4"/>
      <c r="BE1812" s="4"/>
      <c r="BG1812" s="4"/>
      <c r="BH1812" s="4"/>
    </row>
    <row r="1813" spans="1:60" x14ac:dyDescent="0.35">
      <c r="A1813" s="4"/>
      <c r="B1813" s="8" t="str">
        <f t="shared" si="127"/>
        <v/>
      </c>
      <c r="D1813" s="6" t="str">
        <f t="shared" si="128"/>
        <v/>
      </c>
      <c r="E1813" s="6" t="str">
        <f t="shared" si="129"/>
        <v/>
      </c>
      <c r="F1813" s="6" t="str">
        <f t="shared" si="130"/>
        <v/>
      </c>
      <c r="G1813" s="4"/>
      <c r="H1813" s="4"/>
      <c r="I1813" s="4"/>
      <c r="J1813" s="4"/>
      <c r="K1813" s="4"/>
      <c r="L1813" s="4"/>
      <c r="M1813" s="4"/>
      <c r="N1813" s="4"/>
      <c r="O1813" s="4"/>
      <c r="P1813" s="4"/>
      <c r="Q1813" s="4"/>
      <c r="R1813" s="14"/>
      <c r="S1813" s="14"/>
      <c r="T1813" s="14"/>
      <c r="U1813" s="14"/>
      <c r="V1813" s="14"/>
      <c r="W1813" s="14"/>
      <c r="X1813" s="1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c r="AX1813" s="4"/>
      <c r="AY1813" s="4"/>
      <c r="AZ1813" s="4"/>
      <c r="BA1813" s="4"/>
      <c r="BB1813" s="4"/>
      <c r="BC1813" s="4"/>
      <c r="BD1813" s="4"/>
      <c r="BE1813" s="4"/>
      <c r="BG1813" s="4"/>
      <c r="BH1813" s="4"/>
    </row>
    <row r="1814" spans="1:60" x14ac:dyDescent="0.35">
      <c r="A1814" s="4"/>
      <c r="B1814" s="8" t="str">
        <f t="shared" si="127"/>
        <v/>
      </c>
      <c r="D1814" s="6" t="str">
        <f t="shared" si="128"/>
        <v/>
      </c>
      <c r="E1814" s="6" t="str">
        <f t="shared" si="129"/>
        <v/>
      </c>
      <c r="F1814" s="6" t="str">
        <f t="shared" si="130"/>
        <v/>
      </c>
      <c r="G1814" s="4"/>
      <c r="H1814" s="4"/>
      <c r="I1814" s="4"/>
      <c r="J1814" s="4"/>
      <c r="K1814" s="4"/>
      <c r="L1814" s="4"/>
      <c r="M1814" s="4"/>
      <c r="N1814" s="4"/>
      <c r="O1814" s="4"/>
      <c r="P1814" s="4"/>
      <c r="Q1814" s="4"/>
      <c r="R1814" s="14"/>
      <c r="S1814" s="14"/>
      <c r="T1814" s="14"/>
      <c r="U1814" s="14"/>
      <c r="V1814" s="14"/>
      <c r="W1814" s="14"/>
      <c r="X1814" s="1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4"/>
      <c r="AU1814" s="4"/>
      <c r="AV1814" s="4"/>
      <c r="AW1814" s="4"/>
      <c r="AX1814" s="4"/>
      <c r="AY1814" s="4"/>
      <c r="AZ1814" s="4"/>
      <c r="BA1814" s="4"/>
      <c r="BB1814" s="4"/>
      <c r="BC1814" s="4"/>
      <c r="BD1814" s="4"/>
      <c r="BE1814" s="4"/>
      <c r="BG1814" s="4"/>
      <c r="BH1814" s="4"/>
    </row>
    <row r="1815" spans="1:60" x14ac:dyDescent="0.35">
      <c r="A1815" s="4"/>
      <c r="B1815" s="8" t="str">
        <f t="shared" si="127"/>
        <v/>
      </c>
      <c r="D1815" s="6" t="str">
        <f t="shared" si="128"/>
        <v/>
      </c>
      <c r="E1815" s="6" t="str">
        <f t="shared" si="129"/>
        <v/>
      </c>
      <c r="F1815" s="6" t="str">
        <f t="shared" si="130"/>
        <v/>
      </c>
      <c r="G1815" s="4"/>
      <c r="H1815" s="4"/>
      <c r="I1815" s="4"/>
      <c r="J1815" s="4"/>
      <c r="K1815" s="4"/>
      <c r="L1815" s="4"/>
      <c r="M1815" s="4"/>
      <c r="N1815" s="4"/>
      <c r="O1815" s="4"/>
      <c r="P1815" s="4"/>
      <c r="Q1815" s="4"/>
      <c r="R1815" s="14"/>
      <c r="S1815" s="14"/>
      <c r="T1815" s="14"/>
      <c r="U1815" s="14"/>
      <c r="V1815" s="14"/>
      <c r="W1815" s="14"/>
      <c r="X1815" s="1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c r="AX1815" s="4"/>
      <c r="AY1815" s="4"/>
      <c r="AZ1815" s="4"/>
      <c r="BA1815" s="4"/>
      <c r="BB1815" s="4"/>
      <c r="BC1815" s="4"/>
      <c r="BD1815" s="4"/>
      <c r="BE1815" s="4"/>
      <c r="BG1815" s="4"/>
      <c r="BH1815" s="4"/>
    </row>
    <row r="1816" spans="1:60" x14ac:dyDescent="0.35">
      <c r="A1816" s="4"/>
      <c r="B1816" s="8" t="str">
        <f t="shared" si="127"/>
        <v/>
      </c>
      <c r="D1816" s="6" t="str">
        <f t="shared" si="128"/>
        <v/>
      </c>
      <c r="E1816" s="6" t="str">
        <f t="shared" si="129"/>
        <v/>
      </c>
      <c r="F1816" s="6" t="str">
        <f t="shared" si="130"/>
        <v/>
      </c>
      <c r="G1816" s="4"/>
      <c r="H1816" s="4"/>
      <c r="I1816" s="4"/>
      <c r="J1816" s="4"/>
      <c r="K1816" s="4"/>
      <c r="L1816" s="4"/>
      <c r="M1816" s="4"/>
      <c r="N1816" s="4"/>
      <c r="O1816" s="4"/>
      <c r="P1816" s="4"/>
      <c r="Q1816" s="4"/>
      <c r="R1816" s="14"/>
      <c r="S1816" s="14"/>
      <c r="T1816" s="14"/>
      <c r="U1816" s="14"/>
      <c r="V1816" s="14"/>
      <c r="W1816" s="14"/>
      <c r="X1816" s="1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c r="AX1816" s="4"/>
      <c r="AY1816" s="4"/>
      <c r="AZ1816" s="4"/>
      <c r="BA1816" s="4"/>
      <c r="BB1816" s="4"/>
      <c r="BC1816" s="4"/>
      <c r="BD1816" s="4"/>
      <c r="BE1816" s="4"/>
      <c r="BG1816" s="4"/>
      <c r="BH1816" s="4"/>
    </row>
    <row r="1817" spans="1:60" x14ac:dyDescent="0.35">
      <c r="A1817" s="4"/>
      <c r="B1817" s="8" t="str">
        <f t="shared" si="127"/>
        <v/>
      </c>
      <c r="D1817" s="6" t="str">
        <f t="shared" si="128"/>
        <v/>
      </c>
      <c r="E1817" s="6" t="str">
        <f t="shared" si="129"/>
        <v/>
      </c>
      <c r="F1817" s="6" t="str">
        <f t="shared" si="130"/>
        <v/>
      </c>
      <c r="G1817" s="4"/>
      <c r="H1817" s="4"/>
      <c r="I1817" s="4"/>
      <c r="J1817" s="4"/>
      <c r="K1817" s="4"/>
      <c r="L1817" s="4"/>
      <c r="M1817" s="4"/>
      <c r="N1817" s="4"/>
      <c r="O1817" s="4"/>
      <c r="P1817" s="4"/>
      <c r="Q1817" s="4"/>
      <c r="R1817" s="14"/>
      <c r="S1817" s="14"/>
      <c r="T1817" s="14"/>
      <c r="U1817" s="14"/>
      <c r="V1817" s="14"/>
      <c r="W1817" s="14"/>
      <c r="X1817" s="1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4"/>
      <c r="AU1817" s="4"/>
      <c r="AV1817" s="4"/>
      <c r="AW1817" s="4"/>
      <c r="AX1817" s="4"/>
      <c r="AY1817" s="4"/>
      <c r="AZ1817" s="4"/>
      <c r="BA1817" s="4"/>
      <c r="BB1817" s="4"/>
      <c r="BC1817" s="4"/>
      <c r="BD1817" s="4"/>
      <c r="BE1817" s="4"/>
      <c r="BG1817" s="4"/>
      <c r="BH1817" s="4"/>
    </row>
    <row r="1818" spans="1:60" x14ac:dyDescent="0.35">
      <c r="A1818" s="4"/>
      <c r="B1818" s="8" t="str">
        <f t="shared" si="127"/>
        <v/>
      </c>
      <c r="D1818" s="6" t="str">
        <f t="shared" si="128"/>
        <v/>
      </c>
      <c r="E1818" s="6" t="str">
        <f t="shared" si="129"/>
        <v/>
      </c>
      <c r="F1818" s="6" t="str">
        <f t="shared" si="130"/>
        <v/>
      </c>
      <c r="G1818" s="4"/>
      <c r="H1818" s="4"/>
      <c r="I1818" s="4"/>
      <c r="J1818" s="4"/>
      <c r="K1818" s="4"/>
      <c r="L1818" s="4"/>
      <c r="M1818" s="4"/>
      <c r="N1818" s="4"/>
      <c r="O1818" s="4"/>
      <c r="P1818" s="4"/>
      <c r="Q1818" s="4"/>
      <c r="R1818" s="14"/>
      <c r="S1818" s="14"/>
      <c r="T1818" s="14"/>
      <c r="U1818" s="14"/>
      <c r="V1818" s="14"/>
      <c r="W1818" s="14"/>
      <c r="X1818" s="1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c r="BB1818" s="4"/>
      <c r="BC1818" s="4"/>
      <c r="BD1818" s="4"/>
      <c r="BE1818" s="4"/>
      <c r="BG1818" s="4"/>
      <c r="BH1818" s="4"/>
    </row>
    <row r="1819" spans="1:60" x14ac:dyDescent="0.35">
      <c r="A1819" s="4"/>
      <c r="B1819" s="8" t="str">
        <f t="shared" si="127"/>
        <v/>
      </c>
      <c r="D1819" s="6" t="str">
        <f t="shared" si="128"/>
        <v/>
      </c>
      <c r="E1819" s="6" t="str">
        <f t="shared" si="129"/>
        <v/>
      </c>
      <c r="F1819" s="6" t="str">
        <f t="shared" si="130"/>
        <v/>
      </c>
      <c r="G1819" s="4"/>
      <c r="H1819" s="4"/>
      <c r="I1819" s="4"/>
      <c r="J1819" s="4"/>
      <c r="K1819" s="4"/>
      <c r="L1819" s="4"/>
      <c r="M1819" s="4"/>
      <c r="N1819" s="4"/>
      <c r="O1819" s="4"/>
      <c r="P1819" s="4"/>
      <c r="Q1819" s="4"/>
      <c r="R1819" s="14"/>
      <c r="S1819" s="14"/>
      <c r="T1819" s="14"/>
      <c r="U1819" s="14"/>
      <c r="V1819" s="14"/>
      <c r="W1819" s="14"/>
      <c r="X1819" s="1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c r="AX1819" s="4"/>
      <c r="AY1819" s="4"/>
      <c r="AZ1819" s="4"/>
      <c r="BA1819" s="4"/>
      <c r="BB1819" s="4"/>
      <c r="BC1819" s="4"/>
      <c r="BD1819" s="4"/>
      <c r="BE1819" s="4"/>
      <c r="BG1819" s="4"/>
      <c r="BH1819" s="4"/>
    </row>
    <row r="1820" spans="1:60" x14ac:dyDescent="0.35">
      <c r="A1820" s="4"/>
      <c r="B1820" s="8" t="str">
        <f t="shared" si="127"/>
        <v/>
      </c>
      <c r="D1820" s="6" t="str">
        <f t="shared" si="128"/>
        <v/>
      </c>
      <c r="E1820" s="6" t="str">
        <f t="shared" si="129"/>
        <v/>
      </c>
      <c r="F1820" s="6" t="str">
        <f t="shared" si="130"/>
        <v/>
      </c>
      <c r="G1820" s="4"/>
      <c r="H1820" s="4"/>
      <c r="I1820" s="4"/>
      <c r="J1820" s="4"/>
      <c r="K1820" s="4"/>
      <c r="L1820" s="4"/>
      <c r="M1820" s="4"/>
      <c r="N1820" s="4"/>
      <c r="O1820" s="4"/>
      <c r="P1820" s="4"/>
      <c r="Q1820" s="4"/>
      <c r="R1820" s="14"/>
      <c r="S1820" s="14"/>
      <c r="T1820" s="14"/>
      <c r="U1820" s="14"/>
      <c r="V1820" s="14"/>
      <c r="W1820" s="14"/>
      <c r="X1820" s="1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c r="AX1820" s="4"/>
      <c r="AY1820" s="4"/>
      <c r="AZ1820" s="4"/>
      <c r="BA1820" s="4"/>
      <c r="BB1820" s="4"/>
      <c r="BC1820" s="4"/>
      <c r="BD1820" s="4"/>
      <c r="BE1820" s="4"/>
      <c r="BG1820" s="4"/>
      <c r="BH1820" s="4"/>
    </row>
    <row r="1821" spans="1:60" x14ac:dyDescent="0.35">
      <c r="A1821" s="4"/>
      <c r="B1821" s="8" t="str">
        <f t="shared" si="127"/>
        <v/>
      </c>
      <c r="D1821" s="6" t="str">
        <f t="shared" si="128"/>
        <v/>
      </c>
      <c r="E1821" s="6" t="str">
        <f t="shared" si="129"/>
        <v/>
      </c>
      <c r="F1821" s="6" t="str">
        <f t="shared" si="130"/>
        <v/>
      </c>
      <c r="G1821" s="4"/>
      <c r="H1821" s="4"/>
      <c r="I1821" s="4"/>
      <c r="J1821" s="4"/>
      <c r="K1821" s="4"/>
      <c r="L1821" s="4"/>
      <c r="M1821" s="4"/>
      <c r="N1821" s="4"/>
      <c r="O1821" s="4"/>
      <c r="P1821" s="4"/>
      <c r="Q1821" s="4"/>
      <c r="R1821" s="14"/>
      <c r="S1821" s="14"/>
      <c r="T1821" s="14"/>
      <c r="U1821" s="14"/>
      <c r="V1821" s="14"/>
      <c r="W1821" s="14"/>
      <c r="X1821" s="1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4"/>
      <c r="AU1821" s="4"/>
      <c r="AV1821" s="4"/>
      <c r="AW1821" s="4"/>
      <c r="AX1821" s="4"/>
      <c r="AY1821" s="4"/>
      <c r="AZ1821" s="4"/>
      <c r="BA1821" s="4"/>
      <c r="BB1821" s="4"/>
      <c r="BC1821" s="4"/>
      <c r="BD1821" s="4"/>
      <c r="BE1821" s="4"/>
      <c r="BG1821" s="4"/>
      <c r="BH1821" s="4"/>
    </row>
    <row r="1822" spans="1:60" x14ac:dyDescent="0.35">
      <c r="A1822" s="4"/>
      <c r="B1822" s="8" t="str">
        <f t="shared" si="127"/>
        <v/>
      </c>
      <c r="D1822" s="6" t="str">
        <f t="shared" si="128"/>
        <v/>
      </c>
      <c r="E1822" s="6" t="str">
        <f t="shared" si="129"/>
        <v/>
      </c>
      <c r="F1822" s="6" t="str">
        <f t="shared" si="130"/>
        <v/>
      </c>
      <c r="G1822" s="4"/>
      <c r="H1822" s="4"/>
      <c r="I1822" s="4"/>
      <c r="J1822" s="4"/>
      <c r="K1822" s="4"/>
      <c r="L1822" s="4"/>
      <c r="M1822" s="4"/>
      <c r="N1822" s="4"/>
      <c r="O1822" s="4"/>
      <c r="P1822" s="4"/>
      <c r="Q1822" s="4"/>
      <c r="R1822" s="14"/>
      <c r="S1822" s="14"/>
      <c r="T1822" s="14"/>
      <c r="U1822" s="14"/>
      <c r="V1822" s="14"/>
      <c r="W1822" s="14"/>
      <c r="X1822" s="14"/>
      <c r="Y1822" s="4"/>
      <c r="Z1822" s="4"/>
      <c r="AA1822" s="4"/>
      <c r="AB1822" s="4"/>
      <c r="AC1822" s="4"/>
      <c r="AD1822" s="4"/>
      <c r="AE1822" s="4"/>
      <c r="AF1822" s="4"/>
      <c r="AG1822" s="4"/>
      <c r="AH1822" s="4"/>
      <c r="AI1822" s="4"/>
      <c r="AJ1822" s="4"/>
      <c r="AK1822" s="4"/>
      <c r="AL1822" s="4"/>
      <c r="AM1822" s="4"/>
      <c r="AN1822" s="4"/>
      <c r="AO1822" s="4"/>
      <c r="AP1822" s="4"/>
      <c r="AQ1822" s="4"/>
      <c r="AR1822" s="4"/>
      <c r="AS1822" s="4"/>
      <c r="AT1822" s="4"/>
      <c r="AU1822" s="4"/>
      <c r="AV1822" s="4"/>
      <c r="AW1822" s="4"/>
      <c r="AX1822" s="4"/>
      <c r="AY1822" s="4"/>
      <c r="AZ1822" s="4"/>
      <c r="BA1822" s="4"/>
      <c r="BB1822" s="4"/>
      <c r="BC1822" s="4"/>
      <c r="BD1822" s="4"/>
      <c r="BE1822" s="4"/>
      <c r="BG1822" s="4"/>
      <c r="BH1822" s="4"/>
    </row>
    <row r="1823" spans="1:60" x14ac:dyDescent="0.35">
      <c r="A1823" s="4"/>
      <c r="B1823" s="8" t="str">
        <f t="shared" si="127"/>
        <v/>
      </c>
      <c r="D1823" s="6" t="str">
        <f t="shared" si="128"/>
        <v/>
      </c>
      <c r="E1823" s="6" t="str">
        <f t="shared" si="129"/>
        <v/>
      </c>
      <c r="F1823" s="6" t="str">
        <f t="shared" si="130"/>
        <v/>
      </c>
      <c r="G1823" s="4"/>
      <c r="H1823" s="4"/>
      <c r="I1823" s="4"/>
      <c r="J1823" s="4"/>
      <c r="K1823" s="4"/>
      <c r="L1823" s="4"/>
      <c r="M1823" s="4"/>
      <c r="N1823" s="4"/>
      <c r="O1823" s="4"/>
      <c r="P1823" s="4"/>
      <c r="Q1823" s="4"/>
      <c r="R1823" s="14"/>
      <c r="S1823" s="14"/>
      <c r="T1823" s="14"/>
      <c r="U1823" s="14"/>
      <c r="V1823" s="14"/>
      <c r="W1823" s="14"/>
      <c r="X1823" s="1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c r="AX1823" s="4"/>
      <c r="AY1823" s="4"/>
      <c r="AZ1823" s="4"/>
      <c r="BA1823" s="4"/>
      <c r="BB1823" s="4"/>
      <c r="BC1823" s="4"/>
      <c r="BD1823" s="4"/>
      <c r="BE1823" s="4"/>
      <c r="BG1823" s="4"/>
      <c r="BH1823" s="4"/>
    </row>
    <row r="1824" spans="1:60" x14ac:dyDescent="0.35">
      <c r="A1824" s="4"/>
      <c r="B1824" s="8" t="str">
        <f t="shared" si="127"/>
        <v/>
      </c>
      <c r="D1824" s="6" t="str">
        <f t="shared" si="128"/>
        <v/>
      </c>
      <c r="E1824" s="6" t="str">
        <f t="shared" si="129"/>
        <v/>
      </c>
      <c r="F1824" s="6" t="str">
        <f t="shared" si="130"/>
        <v/>
      </c>
      <c r="G1824" s="4"/>
      <c r="H1824" s="4"/>
      <c r="I1824" s="4"/>
      <c r="J1824" s="4"/>
      <c r="K1824" s="4"/>
      <c r="L1824" s="4"/>
      <c r="M1824" s="4"/>
      <c r="N1824" s="4"/>
      <c r="O1824" s="4"/>
      <c r="P1824" s="4"/>
      <c r="Q1824" s="4"/>
      <c r="R1824" s="14"/>
      <c r="S1824" s="14"/>
      <c r="T1824" s="14"/>
      <c r="U1824" s="14"/>
      <c r="V1824" s="14"/>
      <c r="W1824" s="14"/>
      <c r="X1824" s="1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4"/>
      <c r="AU1824" s="4"/>
      <c r="AV1824" s="4"/>
      <c r="AW1824" s="4"/>
      <c r="AX1824" s="4"/>
      <c r="AY1824" s="4"/>
      <c r="AZ1824" s="4"/>
      <c r="BA1824" s="4"/>
      <c r="BB1824" s="4"/>
      <c r="BC1824" s="4"/>
      <c r="BD1824" s="4"/>
      <c r="BE1824" s="4"/>
      <c r="BG1824" s="4"/>
      <c r="BH1824" s="4"/>
    </row>
    <row r="1825" spans="1:60" x14ac:dyDescent="0.35">
      <c r="A1825" s="4"/>
      <c r="B1825" s="8" t="str">
        <f t="shared" si="127"/>
        <v/>
      </c>
      <c r="D1825" s="6" t="str">
        <f t="shared" si="128"/>
        <v/>
      </c>
      <c r="E1825" s="6" t="str">
        <f t="shared" si="129"/>
        <v/>
      </c>
      <c r="F1825" s="6" t="str">
        <f t="shared" si="130"/>
        <v/>
      </c>
      <c r="G1825" s="4"/>
      <c r="H1825" s="4"/>
      <c r="I1825" s="4"/>
      <c r="J1825" s="4"/>
      <c r="K1825" s="4"/>
      <c r="L1825" s="4"/>
      <c r="M1825" s="4"/>
      <c r="N1825" s="4"/>
      <c r="O1825" s="4"/>
      <c r="P1825" s="4"/>
      <c r="Q1825" s="4"/>
      <c r="R1825" s="14"/>
      <c r="S1825" s="14"/>
      <c r="T1825" s="14"/>
      <c r="U1825" s="14"/>
      <c r="V1825" s="14"/>
      <c r="W1825" s="14"/>
      <c r="X1825" s="1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4"/>
      <c r="AU1825" s="4"/>
      <c r="AV1825" s="4"/>
      <c r="AW1825" s="4"/>
      <c r="AX1825" s="4"/>
      <c r="AY1825" s="4"/>
      <c r="AZ1825" s="4"/>
      <c r="BA1825" s="4"/>
      <c r="BB1825" s="4"/>
      <c r="BC1825" s="4"/>
      <c r="BD1825" s="4"/>
      <c r="BE1825" s="4"/>
      <c r="BG1825" s="4"/>
      <c r="BH1825" s="4"/>
    </row>
    <row r="1826" spans="1:60" x14ac:dyDescent="0.35">
      <c r="A1826" s="4"/>
      <c r="B1826" s="8" t="str">
        <f t="shared" si="127"/>
        <v/>
      </c>
      <c r="D1826" s="6" t="str">
        <f t="shared" si="128"/>
        <v/>
      </c>
      <c r="E1826" s="6" t="str">
        <f t="shared" si="129"/>
        <v/>
      </c>
      <c r="F1826" s="6" t="str">
        <f t="shared" si="130"/>
        <v/>
      </c>
      <c r="G1826" s="4"/>
      <c r="H1826" s="4"/>
      <c r="I1826" s="4"/>
      <c r="J1826" s="4"/>
      <c r="K1826" s="4"/>
      <c r="L1826" s="4"/>
      <c r="M1826" s="4"/>
      <c r="N1826" s="4"/>
      <c r="O1826" s="4"/>
      <c r="P1826" s="4"/>
      <c r="Q1826" s="4"/>
      <c r="R1826" s="14"/>
      <c r="S1826" s="14"/>
      <c r="T1826" s="14"/>
      <c r="U1826" s="14"/>
      <c r="V1826" s="14"/>
      <c r="W1826" s="14"/>
      <c r="X1826" s="1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4"/>
      <c r="AU1826" s="4"/>
      <c r="AV1826" s="4"/>
      <c r="AW1826" s="4"/>
      <c r="AX1826" s="4"/>
      <c r="AY1826" s="4"/>
      <c r="AZ1826" s="4"/>
      <c r="BA1826" s="4"/>
      <c r="BB1826" s="4"/>
      <c r="BC1826" s="4"/>
      <c r="BD1826" s="4"/>
      <c r="BE1826" s="4"/>
      <c r="BG1826" s="4"/>
      <c r="BH1826" s="4"/>
    </row>
    <row r="1827" spans="1:60" x14ac:dyDescent="0.35">
      <c r="A1827" s="4"/>
      <c r="B1827" s="8" t="str">
        <f t="shared" si="127"/>
        <v/>
      </c>
      <c r="D1827" s="6" t="str">
        <f t="shared" si="128"/>
        <v/>
      </c>
      <c r="E1827" s="6" t="str">
        <f t="shared" si="129"/>
        <v/>
      </c>
      <c r="F1827" s="6" t="str">
        <f t="shared" si="130"/>
        <v/>
      </c>
      <c r="G1827" s="4"/>
      <c r="H1827" s="4"/>
      <c r="I1827" s="4"/>
      <c r="J1827" s="4"/>
      <c r="K1827" s="4"/>
      <c r="L1827" s="4"/>
      <c r="M1827" s="4"/>
      <c r="N1827" s="4"/>
      <c r="O1827" s="4"/>
      <c r="P1827" s="4"/>
      <c r="Q1827" s="4"/>
      <c r="R1827" s="14"/>
      <c r="S1827" s="14"/>
      <c r="T1827" s="14"/>
      <c r="U1827" s="14"/>
      <c r="V1827" s="14"/>
      <c r="W1827" s="14"/>
      <c r="X1827" s="14"/>
      <c r="Y1827" s="4"/>
      <c r="Z1827" s="4"/>
      <c r="AA1827" s="4"/>
      <c r="AB1827" s="4"/>
      <c r="AC1827" s="4"/>
      <c r="AD1827" s="4"/>
      <c r="AE1827" s="4"/>
      <c r="AF1827" s="4"/>
      <c r="AG1827" s="4"/>
      <c r="AH1827" s="4"/>
      <c r="AI1827" s="4"/>
      <c r="AJ1827" s="4"/>
      <c r="AK1827" s="4"/>
      <c r="AL1827" s="4"/>
      <c r="AM1827" s="4"/>
      <c r="AN1827" s="4"/>
      <c r="AO1827" s="4"/>
      <c r="AP1827" s="4"/>
      <c r="AQ1827" s="4"/>
      <c r="AR1827" s="4"/>
      <c r="AS1827" s="4"/>
      <c r="AT1827" s="4"/>
      <c r="AU1827" s="4"/>
      <c r="AV1827" s="4"/>
      <c r="AW1827" s="4"/>
      <c r="AX1827" s="4"/>
      <c r="AY1827" s="4"/>
      <c r="AZ1827" s="4"/>
      <c r="BA1827" s="4"/>
      <c r="BB1827" s="4"/>
      <c r="BC1827" s="4"/>
      <c r="BD1827" s="4"/>
      <c r="BE1827" s="4"/>
      <c r="BG1827" s="4"/>
      <c r="BH1827" s="4"/>
    </row>
    <row r="1828" spans="1:60" x14ac:dyDescent="0.35">
      <c r="A1828" s="4"/>
      <c r="B1828" s="8" t="str">
        <f t="shared" si="127"/>
        <v/>
      </c>
      <c r="D1828" s="6" t="str">
        <f t="shared" si="128"/>
        <v/>
      </c>
      <c r="E1828" s="6" t="str">
        <f t="shared" si="129"/>
        <v/>
      </c>
      <c r="F1828" s="6" t="str">
        <f t="shared" si="130"/>
        <v/>
      </c>
      <c r="G1828" s="4"/>
      <c r="H1828" s="4"/>
      <c r="I1828" s="4"/>
      <c r="J1828" s="4"/>
      <c r="K1828" s="4"/>
      <c r="L1828" s="4"/>
      <c r="M1828" s="4"/>
      <c r="N1828" s="4"/>
      <c r="O1828" s="4"/>
      <c r="P1828" s="4"/>
      <c r="Q1828" s="4"/>
      <c r="R1828" s="14"/>
      <c r="S1828" s="14"/>
      <c r="T1828" s="14"/>
      <c r="U1828" s="14"/>
      <c r="V1828" s="14"/>
      <c r="W1828" s="14"/>
      <c r="X1828" s="1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4"/>
      <c r="AU1828" s="4"/>
      <c r="AV1828" s="4"/>
      <c r="AW1828" s="4"/>
      <c r="AX1828" s="4"/>
      <c r="AY1828" s="4"/>
      <c r="AZ1828" s="4"/>
      <c r="BA1828" s="4"/>
      <c r="BB1828" s="4"/>
      <c r="BC1828" s="4"/>
      <c r="BD1828" s="4"/>
      <c r="BE1828" s="4"/>
      <c r="BG1828" s="4"/>
      <c r="BH1828" s="4"/>
    </row>
    <row r="1829" spans="1:60" x14ac:dyDescent="0.35">
      <c r="A1829" s="4"/>
      <c r="B1829" s="8" t="str">
        <f t="shared" si="127"/>
        <v/>
      </c>
      <c r="D1829" s="6" t="str">
        <f t="shared" si="128"/>
        <v/>
      </c>
      <c r="E1829" s="6" t="str">
        <f t="shared" si="129"/>
        <v/>
      </c>
      <c r="F1829" s="6" t="str">
        <f t="shared" si="130"/>
        <v/>
      </c>
      <c r="G1829" s="4"/>
      <c r="H1829" s="4"/>
      <c r="I1829" s="4"/>
      <c r="J1829" s="4"/>
      <c r="K1829" s="4"/>
      <c r="L1829" s="4"/>
      <c r="M1829" s="4"/>
      <c r="N1829" s="4"/>
      <c r="O1829" s="4"/>
      <c r="P1829" s="4"/>
      <c r="Q1829" s="4"/>
      <c r="R1829" s="14"/>
      <c r="S1829" s="14"/>
      <c r="T1829" s="14"/>
      <c r="U1829" s="14"/>
      <c r="V1829" s="14"/>
      <c r="W1829" s="14"/>
      <c r="X1829" s="1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c r="AX1829" s="4"/>
      <c r="AY1829" s="4"/>
      <c r="AZ1829" s="4"/>
      <c r="BA1829" s="4"/>
      <c r="BB1829" s="4"/>
      <c r="BC1829" s="4"/>
      <c r="BD1829" s="4"/>
      <c r="BE1829" s="4"/>
      <c r="BG1829" s="4"/>
      <c r="BH1829" s="4"/>
    </row>
    <row r="1830" spans="1:60" x14ac:dyDescent="0.35">
      <c r="A1830" s="4"/>
      <c r="B1830" s="8" t="str">
        <f t="shared" si="127"/>
        <v/>
      </c>
      <c r="D1830" s="6" t="str">
        <f t="shared" si="128"/>
        <v/>
      </c>
      <c r="E1830" s="6" t="str">
        <f t="shared" si="129"/>
        <v/>
      </c>
      <c r="F1830" s="6" t="str">
        <f t="shared" si="130"/>
        <v/>
      </c>
      <c r="G1830" s="4"/>
      <c r="H1830" s="4"/>
      <c r="I1830" s="4"/>
      <c r="J1830" s="4"/>
      <c r="K1830" s="4"/>
      <c r="L1830" s="4"/>
      <c r="M1830" s="4"/>
      <c r="N1830" s="4"/>
      <c r="O1830" s="4"/>
      <c r="P1830" s="4"/>
      <c r="Q1830" s="4"/>
      <c r="R1830" s="14"/>
      <c r="S1830" s="14"/>
      <c r="T1830" s="14"/>
      <c r="U1830" s="14"/>
      <c r="V1830" s="14"/>
      <c r="W1830" s="14"/>
      <c r="X1830" s="1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4"/>
      <c r="AU1830" s="4"/>
      <c r="AV1830" s="4"/>
      <c r="AW1830" s="4"/>
      <c r="AX1830" s="4"/>
      <c r="AY1830" s="4"/>
      <c r="AZ1830" s="4"/>
      <c r="BA1830" s="4"/>
      <c r="BB1830" s="4"/>
      <c r="BC1830" s="4"/>
      <c r="BD1830" s="4"/>
      <c r="BE1830" s="4"/>
      <c r="BG1830" s="4"/>
      <c r="BH1830" s="4"/>
    </row>
    <row r="1831" spans="1:60" x14ac:dyDescent="0.35">
      <c r="A1831" s="4"/>
      <c r="B1831" s="8" t="str">
        <f t="shared" si="127"/>
        <v/>
      </c>
      <c r="D1831" s="6" t="str">
        <f t="shared" si="128"/>
        <v/>
      </c>
      <c r="E1831" s="6" t="str">
        <f t="shared" si="129"/>
        <v/>
      </c>
      <c r="F1831" s="6" t="str">
        <f t="shared" si="130"/>
        <v/>
      </c>
      <c r="G1831" s="4"/>
      <c r="H1831" s="4"/>
      <c r="I1831" s="4"/>
      <c r="J1831" s="4"/>
      <c r="K1831" s="4"/>
      <c r="L1831" s="4"/>
      <c r="M1831" s="4"/>
      <c r="N1831" s="4"/>
      <c r="O1831" s="4"/>
      <c r="P1831" s="4"/>
      <c r="Q1831" s="4"/>
      <c r="R1831" s="14"/>
      <c r="S1831" s="14"/>
      <c r="T1831" s="14"/>
      <c r="U1831" s="14"/>
      <c r="V1831" s="14"/>
      <c r="W1831" s="14"/>
      <c r="X1831" s="14"/>
      <c r="Y1831" s="4"/>
      <c r="Z1831" s="4"/>
      <c r="AA1831" s="4"/>
      <c r="AB1831" s="4"/>
      <c r="AC1831" s="4"/>
      <c r="AD1831" s="4"/>
      <c r="AE1831" s="4"/>
      <c r="AF1831" s="4"/>
      <c r="AG1831" s="4"/>
      <c r="AH1831" s="4"/>
      <c r="AI1831" s="4"/>
      <c r="AJ1831" s="4"/>
      <c r="AK1831" s="4"/>
      <c r="AL1831" s="4"/>
      <c r="AM1831" s="4"/>
      <c r="AN1831" s="4"/>
      <c r="AO1831" s="4"/>
      <c r="AP1831" s="4"/>
      <c r="AQ1831" s="4"/>
      <c r="AR1831" s="4"/>
      <c r="AS1831" s="4"/>
      <c r="AT1831" s="4"/>
      <c r="AU1831" s="4"/>
      <c r="AV1831" s="4"/>
      <c r="AW1831" s="4"/>
      <c r="AX1831" s="4"/>
      <c r="AY1831" s="4"/>
      <c r="AZ1831" s="4"/>
      <c r="BA1831" s="4"/>
      <c r="BB1831" s="4"/>
      <c r="BC1831" s="4"/>
      <c r="BD1831" s="4"/>
      <c r="BE1831" s="4"/>
      <c r="BG1831" s="4"/>
      <c r="BH1831" s="4"/>
    </row>
    <row r="1832" spans="1:60" x14ac:dyDescent="0.35">
      <c r="A1832" s="4"/>
      <c r="B1832" s="8" t="str">
        <f t="shared" si="127"/>
        <v/>
      </c>
      <c r="D1832" s="6" t="str">
        <f t="shared" si="128"/>
        <v/>
      </c>
      <c r="E1832" s="6" t="str">
        <f t="shared" si="129"/>
        <v/>
      </c>
      <c r="F1832" s="6" t="str">
        <f t="shared" si="130"/>
        <v/>
      </c>
      <c r="G1832" s="4"/>
      <c r="H1832" s="4"/>
      <c r="I1832" s="4"/>
      <c r="J1832" s="4"/>
      <c r="K1832" s="4"/>
      <c r="L1832" s="4"/>
      <c r="M1832" s="4"/>
      <c r="N1832" s="4"/>
      <c r="O1832" s="4"/>
      <c r="P1832" s="4"/>
      <c r="Q1832" s="4"/>
      <c r="R1832" s="14"/>
      <c r="S1832" s="14"/>
      <c r="T1832" s="14"/>
      <c r="U1832" s="14"/>
      <c r="V1832" s="14"/>
      <c r="W1832" s="14"/>
      <c r="X1832" s="1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c r="AX1832" s="4"/>
      <c r="AY1832" s="4"/>
      <c r="AZ1832" s="4"/>
      <c r="BA1832" s="4"/>
      <c r="BB1832" s="4"/>
      <c r="BC1832" s="4"/>
      <c r="BD1832" s="4"/>
      <c r="BE1832" s="4"/>
      <c r="BG1832" s="4"/>
      <c r="BH1832" s="4"/>
    </row>
    <row r="1833" spans="1:60" x14ac:dyDescent="0.35">
      <c r="A1833" s="4"/>
      <c r="B1833" s="8" t="str">
        <f t="shared" si="127"/>
        <v/>
      </c>
      <c r="D1833" s="6" t="str">
        <f t="shared" si="128"/>
        <v/>
      </c>
      <c r="E1833" s="6" t="str">
        <f t="shared" si="129"/>
        <v/>
      </c>
      <c r="F1833" s="6" t="str">
        <f t="shared" si="130"/>
        <v/>
      </c>
      <c r="G1833" s="4"/>
      <c r="H1833" s="4"/>
      <c r="I1833" s="4"/>
      <c r="J1833" s="4"/>
      <c r="K1833" s="4"/>
      <c r="L1833" s="4"/>
      <c r="M1833" s="4"/>
      <c r="N1833" s="4"/>
      <c r="O1833" s="4"/>
      <c r="P1833" s="4"/>
      <c r="Q1833" s="4"/>
      <c r="R1833" s="14"/>
      <c r="S1833" s="14"/>
      <c r="T1833" s="14"/>
      <c r="U1833" s="14"/>
      <c r="V1833" s="14"/>
      <c r="W1833" s="14"/>
      <c r="X1833" s="1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c r="AX1833" s="4"/>
      <c r="AY1833" s="4"/>
      <c r="AZ1833" s="4"/>
      <c r="BA1833" s="4"/>
      <c r="BB1833" s="4"/>
      <c r="BC1833" s="4"/>
      <c r="BD1833" s="4"/>
      <c r="BE1833" s="4"/>
      <c r="BG1833" s="4"/>
      <c r="BH1833" s="4"/>
    </row>
    <row r="1834" spans="1:60" x14ac:dyDescent="0.35">
      <c r="A1834" s="4"/>
      <c r="B1834" s="8" t="str">
        <f t="shared" si="127"/>
        <v/>
      </c>
      <c r="D1834" s="6" t="str">
        <f t="shared" si="128"/>
        <v/>
      </c>
      <c r="E1834" s="6" t="str">
        <f t="shared" si="129"/>
        <v/>
      </c>
      <c r="F1834" s="6" t="str">
        <f t="shared" si="130"/>
        <v/>
      </c>
      <c r="G1834" s="4"/>
      <c r="H1834" s="4"/>
      <c r="I1834" s="4"/>
      <c r="J1834" s="4"/>
      <c r="K1834" s="4"/>
      <c r="L1834" s="4"/>
      <c r="M1834" s="4"/>
      <c r="N1834" s="4"/>
      <c r="O1834" s="4"/>
      <c r="P1834" s="4"/>
      <c r="Q1834" s="4"/>
      <c r="R1834" s="14"/>
      <c r="S1834" s="14"/>
      <c r="T1834" s="14"/>
      <c r="U1834" s="14"/>
      <c r="V1834" s="14"/>
      <c r="W1834" s="14"/>
      <c r="X1834" s="1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4"/>
      <c r="AU1834" s="4"/>
      <c r="AV1834" s="4"/>
      <c r="AW1834" s="4"/>
      <c r="AX1834" s="4"/>
      <c r="AY1834" s="4"/>
      <c r="AZ1834" s="4"/>
      <c r="BA1834" s="4"/>
      <c r="BB1834" s="4"/>
      <c r="BC1834" s="4"/>
      <c r="BD1834" s="4"/>
      <c r="BE1834" s="4"/>
      <c r="BG1834" s="4"/>
      <c r="BH1834" s="4"/>
    </row>
    <row r="1835" spans="1:60" x14ac:dyDescent="0.35">
      <c r="A1835" s="4"/>
      <c r="B1835" s="8" t="str">
        <f t="shared" si="127"/>
        <v/>
      </c>
      <c r="D1835" s="6" t="str">
        <f t="shared" si="128"/>
        <v/>
      </c>
      <c r="E1835" s="6" t="str">
        <f t="shared" si="129"/>
        <v/>
      </c>
      <c r="F1835" s="6" t="str">
        <f t="shared" si="130"/>
        <v/>
      </c>
      <c r="G1835" s="4"/>
      <c r="H1835" s="4"/>
      <c r="I1835" s="4"/>
      <c r="J1835" s="4"/>
      <c r="K1835" s="4"/>
      <c r="L1835" s="4"/>
      <c r="M1835" s="4"/>
      <c r="N1835" s="4"/>
      <c r="O1835" s="4"/>
      <c r="P1835" s="4"/>
      <c r="Q1835" s="4"/>
      <c r="R1835" s="14"/>
      <c r="S1835" s="14"/>
      <c r="T1835" s="14"/>
      <c r="U1835" s="14"/>
      <c r="V1835" s="14"/>
      <c r="W1835" s="14"/>
      <c r="X1835" s="1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4"/>
      <c r="AU1835" s="4"/>
      <c r="AV1835" s="4"/>
      <c r="AW1835" s="4"/>
      <c r="AX1835" s="4"/>
      <c r="AY1835" s="4"/>
      <c r="AZ1835" s="4"/>
      <c r="BA1835" s="4"/>
      <c r="BB1835" s="4"/>
      <c r="BC1835" s="4"/>
      <c r="BD1835" s="4"/>
      <c r="BE1835" s="4"/>
      <c r="BG1835" s="4"/>
      <c r="BH1835" s="4"/>
    </row>
    <row r="1836" spans="1:60" x14ac:dyDescent="0.35">
      <c r="A1836" s="4"/>
      <c r="B1836" s="8" t="str">
        <f t="shared" si="127"/>
        <v/>
      </c>
      <c r="D1836" s="6" t="str">
        <f t="shared" si="128"/>
        <v/>
      </c>
      <c r="E1836" s="6" t="str">
        <f t="shared" si="129"/>
        <v/>
      </c>
      <c r="F1836" s="6" t="str">
        <f t="shared" si="130"/>
        <v/>
      </c>
      <c r="G1836" s="4"/>
      <c r="H1836" s="4"/>
      <c r="I1836" s="4"/>
      <c r="J1836" s="4"/>
      <c r="K1836" s="4"/>
      <c r="L1836" s="4"/>
      <c r="M1836" s="4"/>
      <c r="N1836" s="4"/>
      <c r="O1836" s="4"/>
      <c r="P1836" s="4"/>
      <c r="Q1836" s="4"/>
      <c r="R1836" s="14"/>
      <c r="S1836" s="14"/>
      <c r="T1836" s="14"/>
      <c r="U1836" s="14"/>
      <c r="V1836" s="14"/>
      <c r="W1836" s="14"/>
      <c r="X1836" s="14"/>
      <c r="Y1836" s="4"/>
      <c r="Z1836" s="4"/>
      <c r="AA1836" s="4"/>
      <c r="AB1836" s="4"/>
      <c r="AC1836" s="4"/>
      <c r="AD1836" s="4"/>
      <c r="AE1836" s="4"/>
      <c r="AF1836" s="4"/>
      <c r="AG1836" s="4"/>
      <c r="AH1836" s="4"/>
      <c r="AI1836" s="4"/>
      <c r="AJ1836" s="4"/>
      <c r="AK1836" s="4"/>
      <c r="AL1836" s="4"/>
      <c r="AM1836" s="4"/>
      <c r="AN1836" s="4"/>
      <c r="AO1836" s="4"/>
      <c r="AP1836" s="4"/>
      <c r="AQ1836" s="4"/>
      <c r="AR1836" s="4"/>
      <c r="AS1836" s="4"/>
      <c r="AT1836" s="4"/>
      <c r="AU1836" s="4"/>
      <c r="AV1836" s="4"/>
      <c r="AW1836" s="4"/>
      <c r="AX1836" s="4"/>
      <c r="AY1836" s="4"/>
      <c r="AZ1836" s="4"/>
      <c r="BA1836" s="4"/>
      <c r="BB1836" s="4"/>
      <c r="BC1836" s="4"/>
      <c r="BD1836" s="4"/>
      <c r="BE1836" s="4"/>
      <c r="BG1836" s="4"/>
      <c r="BH1836" s="4"/>
    </row>
    <row r="1837" spans="1:60" x14ac:dyDescent="0.35">
      <c r="A1837" s="4"/>
      <c r="B1837" s="8" t="str">
        <f t="shared" si="127"/>
        <v/>
      </c>
      <c r="D1837" s="6" t="str">
        <f t="shared" si="128"/>
        <v/>
      </c>
      <c r="E1837" s="6" t="str">
        <f t="shared" si="129"/>
        <v/>
      </c>
      <c r="F1837" s="6" t="str">
        <f t="shared" si="130"/>
        <v/>
      </c>
      <c r="G1837" s="4"/>
      <c r="H1837" s="4"/>
      <c r="I1837" s="4"/>
      <c r="J1837" s="4"/>
      <c r="K1837" s="4"/>
      <c r="L1837" s="4"/>
      <c r="M1837" s="4"/>
      <c r="N1837" s="4"/>
      <c r="O1837" s="4"/>
      <c r="P1837" s="4"/>
      <c r="Q1837" s="4"/>
      <c r="R1837" s="14"/>
      <c r="S1837" s="14"/>
      <c r="T1837" s="14"/>
      <c r="U1837" s="14"/>
      <c r="V1837" s="14"/>
      <c r="W1837" s="14"/>
      <c r="X1837" s="1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4"/>
      <c r="AU1837" s="4"/>
      <c r="AV1837" s="4"/>
      <c r="AW1837" s="4"/>
      <c r="AX1837" s="4"/>
      <c r="AY1837" s="4"/>
      <c r="AZ1837" s="4"/>
      <c r="BA1837" s="4"/>
      <c r="BB1837" s="4"/>
      <c r="BC1837" s="4"/>
      <c r="BD1837" s="4"/>
      <c r="BE1837" s="4"/>
      <c r="BG1837" s="4"/>
      <c r="BH1837" s="4"/>
    </row>
    <row r="1838" spans="1:60" x14ac:dyDescent="0.35">
      <c r="A1838" s="4"/>
      <c r="B1838" s="8" t="str">
        <f t="shared" si="127"/>
        <v/>
      </c>
      <c r="D1838" s="6" t="str">
        <f t="shared" si="128"/>
        <v/>
      </c>
      <c r="E1838" s="6" t="str">
        <f t="shared" si="129"/>
        <v/>
      </c>
      <c r="F1838" s="6" t="str">
        <f t="shared" si="130"/>
        <v/>
      </c>
      <c r="G1838" s="4"/>
      <c r="H1838" s="4"/>
      <c r="I1838" s="4"/>
      <c r="J1838" s="4"/>
      <c r="K1838" s="4"/>
      <c r="L1838" s="4"/>
      <c r="M1838" s="4"/>
      <c r="N1838" s="4"/>
      <c r="O1838" s="4"/>
      <c r="P1838" s="4"/>
      <c r="Q1838" s="4"/>
      <c r="R1838" s="14"/>
      <c r="S1838" s="14"/>
      <c r="T1838" s="14"/>
      <c r="U1838" s="14"/>
      <c r="V1838" s="14"/>
      <c r="W1838" s="14"/>
      <c r="X1838" s="1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c r="AX1838" s="4"/>
      <c r="AY1838" s="4"/>
      <c r="AZ1838" s="4"/>
      <c r="BA1838" s="4"/>
      <c r="BB1838" s="4"/>
      <c r="BC1838" s="4"/>
      <c r="BD1838" s="4"/>
      <c r="BE1838" s="4"/>
      <c r="BG1838" s="4"/>
      <c r="BH1838" s="4"/>
    </row>
    <row r="1839" spans="1:60" x14ac:dyDescent="0.35">
      <c r="A1839" s="4"/>
      <c r="B1839" s="8" t="str">
        <f t="shared" si="127"/>
        <v/>
      </c>
      <c r="D1839" s="6" t="str">
        <f t="shared" si="128"/>
        <v/>
      </c>
      <c r="E1839" s="6" t="str">
        <f t="shared" si="129"/>
        <v/>
      </c>
      <c r="F1839" s="6" t="str">
        <f t="shared" si="130"/>
        <v/>
      </c>
      <c r="G1839" s="4"/>
      <c r="H1839" s="4"/>
      <c r="I1839" s="4"/>
      <c r="J1839" s="4"/>
      <c r="K1839" s="4"/>
      <c r="L1839" s="4"/>
      <c r="M1839" s="4"/>
      <c r="N1839" s="4"/>
      <c r="O1839" s="4"/>
      <c r="P1839" s="4"/>
      <c r="Q1839" s="4"/>
      <c r="R1839" s="14"/>
      <c r="S1839" s="14"/>
      <c r="T1839" s="14"/>
      <c r="U1839" s="14"/>
      <c r="V1839" s="14"/>
      <c r="W1839" s="14"/>
      <c r="X1839" s="1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4"/>
      <c r="AU1839" s="4"/>
      <c r="AV1839" s="4"/>
      <c r="AW1839" s="4"/>
      <c r="AX1839" s="4"/>
      <c r="AY1839" s="4"/>
      <c r="AZ1839" s="4"/>
      <c r="BA1839" s="4"/>
      <c r="BB1839" s="4"/>
      <c r="BC1839" s="4"/>
      <c r="BD1839" s="4"/>
      <c r="BE1839" s="4"/>
      <c r="BG1839" s="4"/>
      <c r="BH1839" s="4"/>
    </row>
    <row r="1840" spans="1:60" x14ac:dyDescent="0.35">
      <c r="A1840" s="4"/>
      <c r="B1840" s="8" t="str">
        <f t="shared" si="127"/>
        <v/>
      </c>
      <c r="D1840" s="6" t="str">
        <f t="shared" si="128"/>
        <v/>
      </c>
      <c r="E1840" s="6" t="str">
        <f t="shared" si="129"/>
        <v/>
      </c>
      <c r="F1840" s="6" t="str">
        <f t="shared" si="130"/>
        <v/>
      </c>
      <c r="G1840" s="4"/>
      <c r="H1840" s="4"/>
      <c r="I1840" s="4"/>
      <c r="J1840" s="4"/>
      <c r="K1840" s="4"/>
      <c r="L1840" s="4"/>
      <c r="M1840" s="4"/>
      <c r="N1840" s="4"/>
      <c r="O1840" s="4"/>
      <c r="P1840" s="4"/>
      <c r="Q1840" s="4"/>
      <c r="R1840" s="14"/>
      <c r="S1840" s="14"/>
      <c r="T1840" s="14"/>
      <c r="U1840" s="14"/>
      <c r="V1840" s="14"/>
      <c r="W1840" s="14"/>
      <c r="X1840" s="1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4"/>
      <c r="AU1840" s="4"/>
      <c r="AV1840" s="4"/>
      <c r="AW1840" s="4"/>
      <c r="AX1840" s="4"/>
      <c r="AY1840" s="4"/>
      <c r="AZ1840" s="4"/>
      <c r="BA1840" s="4"/>
      <c r="BB1840" s="4"/>
      <c r="BC1840" s="4"/>
      <c r="BD1840" s="4"/>
      <c r="BE1840" s="4"/>
      <c r="BG1840" s="4"/>
      <c r="BH1840" s="4"/>
    </row>
    <row r="1841" spans="1:60" x14ac:dyDescent="0.35">
      <c r="A1841" s="4"/>
      <c r="B1841" s="8" t="str">
        <f t="shared" si="127"/>
        <v/>
      </c>
      <c r="D1841" s="6" t="str">
        <f t="shared" si="128"/>
        <v/>
      </c>
      <c r="E1841" s="6" t="str">
        <f t="shared" si="129"/>
        <v/>
      </c>
      <c r="F1841" s="6" t="str">
        <f t="shared" si="130"/>
        <v/>
      </c>
      <c r="G1841" s="4"/>
      <c r="H1841" s="4"/>
      <c r="I1841" s="4"/>
      <c r="J1841" s="4"/>
      <c r="K1841" s="4"/>
      <c r="L1841" s="4"/>
      <c r="M1841" s="4"/>
      <c r="N1841" s="4"/>
      <c r="O1841" s="4"/>
      <c r="P1841" s="4"/>
      <c r="Q1841" s="4"/>
      <c r="R1841" s="14"/>
      <c r="S1841" s="14"/>
      <c r="T1841" s="14"/>
      <c r="U1841" s="14"/>
      <c r="V1841" s="14"/>
      <c r="W1841" s="14"/>
      <c r="X1841" s="14"/>
      <c r="Y1841" s="4"/>
      <c r="Z1841" s="4"/>
      <c r="AA1841" s="4"/>
      <c r="AB1841" s="4"/>
      <c r="AC1841" s="4"/>
      <c r="AD1841" s="4"/>
      <c r="AE1841" s="4"/>
      <c r="AF1841" s="4"/>
      <c r="AG1841" s="4"/>
      <c r="AH1841" s="4"/>
      <c r="AI1841" s="4"/>
      <c r="AJ1841" s="4"/>
      <c r="AK1841" s="4"/>
      <c r="AL1841" s="4"/>
      <c r="AM1841" s="4"/>
      <c r="AN1841" s="4"/>
      <c r="AO1841" s="4"/>
      <c r="AP1841" s="4"/>
      <c r="AQ1841" s="4"/>
      <c r="AR1841" s="4"/>
      <c r="AS1841" s="4"/>
      <c r="AT1841" s="4"/>
      <c r="AU1841" s="4"/>
      <c r="AV1841" s="4"/>
      <c r="AW1841" s="4"/>
      <c r="AX1841" s="4"/>
      <c r="AY1841" s="4"/>
      <c r="AZ1841" s="4"/>
      <c r="BA1841" s="4"/>
      <c r="BB1841" s="4"/>
      <c r="BC1841" s="4"/>
      <c r="BD1841" s="4"/>
      <c r="BE1841" s="4"/>
      <c r="BG1841" s="4"/>
      <c r="BH1841" s="4"/>
    </row>
    <row r="1842" spans="1:60" x14ac:dyDescent="0.35">
      <c r="A1842" s="4"/>
      <c r="B1842" s="8" t="str">
        <f t="shared" si="127"/>
        <v/>
      </c>
      <c r="D1842" s="6" t="str">
        <f t="shared" si="128"/>
        <v/>
      </c>
      <c r="E1842" s="6" t="str">
        <f t="shared" si="129"/>
        <v/>
      </c>
      <c r="F1842" s="6" t="str">
        <f t="shared" si="130"/>
        <v/>
      </c>
      <c r="G1842" s="4"/>
      <c r="H1842" s="4"/>
      <c r="I1842" s="4"/>
      <c r="J1842" s="4"/>
      <c r="K1842" s="4"/>
      <c r="L1842" s="4"/>
      <c r="M1842" s="4"/>
      <c r="N1842" s="4"/>
      <c r="O1842" s="4"/>
      <c r="P1842" s="4"/>
      <c r="Q1842" s="4"/>
      <c r="R1842" s="14"/>
      <c r="S1842" s="14"/>
      <c r="T1842" s="14"/>
      <c r="U1842" s="14"/>
      <c r="V1842" s="14"/>
      <c r="W1842" s="14"/>
      <c r="X1842" s="1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c r="BB1842" s="4"/>
      <c r="BC1842" s="4"/>
      <c r="BD1842" s="4"/>
      <c r="BE1842" s="4"/>
      <c r="BG1842" s="4"/>
      <c r="BH1842" s="4"/>
    </row>
    <row r="1843" spans="1:60" x14ac:dyDescent="0.35">
      <c r="A1843" s="4"/>
      <c r="B1843" s="8" t="str">
        <f t="shared" si="127"/>
        <v/>
      </c>
      <c r="D1843" s="6" t="str">
        <f t="shared" si="128"/>
        <v/>
      </c>
      <c r="E1843" s="6" t="str">
        <f t="shared" si="129"/>
        <v/>
      </c>
      <c r="F1843" s="6" t="str">
        <f t="shared" si="130"/>
        <v/>
      </c>
      <c r="G1843" s="4"/>
      <c r="H1843" s="4"/>
      <c r="I1843" s="4"/>
      <c r="J1843" s="4"/>
      <c r="K1843" s="4"/>
      <c r="L1843" s="4"/>
      <c r="M1843" s="4"/>
      <c r="N1843" s="4"/>
      <c r="O1843" s="4"/>
      <c r="P1843" s="4"/>
      <c r="Q1843" s="4"/>
      <c r="R1843" s="14"/>
      <c r="S1843" s="14"/>
      <c r="T1843" s="14"/>
      <c r="U1843" s="14"/>
      <c r="V1843" s="14"/>
      <c r="W1843" s="14"/>
      <c r="X1843" s="1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4"/>
      <c r="AU1843" s="4"/>
      <c r="AV1843" s="4"/>
      <c r="AW1843" s="4"/>
      <c r="AX1843" s="4"/>
      <c r="AY1843" s="4"/>
      <c r="AZ1843" s="4"/>
      <c r="BA1843" s="4"/>
      <c r="BB1843" s="4"/>
      <c r="BC1843" s="4"/>
      <c r="BD1843" s="4"/>
      <c r="BE1843" s="4"/>
      <c r="BG1843" s="4"/>
      <c r="BH1843" s="4"/>
    </row>
    <row r="1844" spans="1:60" x14ac:dyDescent="0.35">
      <c r="A1844" s="4"/>
      <c r="B1844" s="8" t="str">
        <f t="shared" si="127"/>
        <v/>
      </c>
      <c r="D1844" s="6" t="str">
        <f t="shared" si="128"/>
        <v/>
      </c>
      <c r="E1844" s="6" t="str">
        <f t="shared" si="129"/>
        <v/>
      </c>
      <c r="F1844" s="6" t="str">
        <f t="shared" si="130"/>
        <v/>
      </c>
      <c r="G1844" s="4"/>
      <c r="H1844" s="4"/>
      <c r="I1844" s="4"/>
      <c r="J1844" s="4"/>
      <c r="K1844" s="4"/>
      <c r="L1844" s="4"/>
      <c r="M1844" s="4"/>
      <c r="N1844" s="4"/>
      <c r="O1844" s="4"/>
      <c r="P1844" s="4"/>
      <c r="Q1844" s="4"/>
      <c r="R1844" s="14"/>
      <c r="S1844" s="14"/>
      <c r="T1844" s="14"/>
      <c r="U1844" s="14"/>
      <c r="V1844" s="14"/>
      <c r="W1844" s="14"/>
      <c r="X1844" s="1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c r="AX1844" s="4"/>
      <c r="AY1844" s="4"/>
      <c r="AZ1844" s="4"/>
      <c r="BA1844" s="4"/>
      <c r="BB1844" s="4"/>
      <c r="BC1844" s="4"/>
      <c r="BD1844" s="4"/>
      <c r="BE1844" s="4"/>
      <c r="BG1844" s="4"/>
      <c r="BH1844" s="4"/>
    </row>
    <row r="1845" spans="1:60" x14ac:dyDescent="0.35">
      <c r="A1845" s="4"/>
      <c r="B1845" s="8" t="str">
        <f t="shared" si="127"/>
        <v/>
      </c>
      <c r="D1845" s="6" t="str">
        <f t="shared" si="128"/>
        <v/>
      </c>
      <c r="E1845" s="6" t="str">
        <f t="shared" si="129"/>
        <v/>
      </c>
      <c r="F1845" s="6" t="str">
        <f t="shared" si="130"/>
        <v/>
      </c>
      <c r="G1845" s="4"/>
      <c r="H1845" s="4"/>
      <c r="I1845" s="4"/>
      <c r="J1845" s="4"/>
      <c r="K1845" s="4"/>
      <c r="L1845" s="4"/>
      <c r="M1845" s="4"/>
      <c r="N1845" s="4"/>
      <c r="O1845" s="4"/>
      <c r="P1845" s="4"/>
      <c r="Q1845" s="4"/>
      <c r="R1845" s="14"/>
      <c r="S1845" s="14"/>
      <c r="T1845" s="14"/>
      <c r="U1845" s="14"/>
      <c r="V1845" s="14"/>
      <c r="W1845" s="14"/>
      <c r="X1845" s="1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c r="AX1845" s="4"/>
      <c r="AY1845" s="4"/>
      <c r="AZ1845" s="4"/>
      <c r="BA1845" s="4"/>
      <c r="BB1845" s="4"/>
      <c r="BC1845" s="4"/>
      <c r="BD1845" s="4"/>
      <c r="BE1845" s="4"/>
      <c r="BG1845" s="4"/>
      <c r="BH1845" s="4"/>
    </row>
    <row r="1846" spans="1:60" x14ac:dyDescent="0.35">
      <c r="A1846" s="4"/>
      <c r="B1846" s="8" t="str">
        <f t="shared" si="127"/>
        <v/>
      </c>
      <c r="D1846" s="6" t="str">
        <f t="shared" si="128"/>
        <v/>
      </c>
      <c r="E1846" s="6" t="str">
        <f t="shared" si="129"/>
        <v/>
      </c>
      <c r="F1846" s="6" t="str">
        <f t="shared" si="130"/>
        <v/>
      </c>
      <c r="G1846" s="4"/>
      <c r="H1846" s="4"/>
      <c r="I1846" s="4"/>
      <c r="J1846" s="4"/>
      <c r="K1846" s="4"/>
      <c r="L1846" s="4"/>
      <c r="M1846" s="4"/>
      <c r="N1846" s="4"/>
      <c r="O1846" s="4"/>
      <c r="P1846" s="4"/>
      <c r="Q1846" s="4"/>
      <c r="R1846" s="14"/>
      <c r="S1846" s="14"/>
      <c r="T1846" s="14"/>
      <c r="U1846" s="14"/>
      <c r="V1846" s="14"/>
      <c r="W1846" s="14"/>
      <c r="X1846" s="1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c r="BB1846" s="4"/>
      <c r="BC1846" s="4"/>
      <c r="BD1846" s="4"/>
      <c r="BE1846" s="4"/>
      <c r="BG1846" s="4"/>
      <c r="BH1846" s="4"/>
    </row>
    <row r="1847" spans="1:60" x14ac:dyDescent="0.35">
      <c r="A1847" s="4"/>
      <c r="B1847" s="8" t="str">
        <f t="shared" si="127"/>
        <v/>
      </c>
      <c r="D1847" s="6" t="str">
        <f t="shared" si="128"/>
        <v/>
      </c>
      <c r="E1847" s="6" t="str">
        <f t="shared" si="129"/>
        <v/>
      </c>
      <c r="F1847" s="6" t="str">
        <f t="shared" si="130"/>
        <v/>
      </c>
      <c r="G1847" s="4"/>
      <c r="H1847" s="4"/>
      <c r="I1847" s="4"/>
      <c r="J1847" s="4"/>
      <c r="K1847" s="4"/>
      <c r="L1847" s="4"/>
      <c r="M1847" s="4"/>
      <c r="N1847" s="4"/>
      <c r="O1847" s="4"/>
      <c r="P1847" s="4"/>
      <c r="Q1847" s="4"/>
      <c r="R1847" s="14"/>
      <c r="S1847" s="14"/>
      <c r="T1847" s="14"/>
      <c r="U1847" s="14"/>
      <c r="V1847" s="14"/>
      <c r="W1847" s="14"/>
      <c r="X1847" s="1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c r="BB1847" s="4"/>
      <c r="BC1847" s="4"/>
      <c r="BD1847" s="4"/>
      <c r="BE1847" s="4"/>
      <c r="BG1847" s="4"/>
      <c r="BH1847" s="4"/>
    </row>
    <row r="1848" spans="1:60" x14ac:dyDescent="0.35">
      <c r="A1848" s="4"/>
      <c r="B1848" s="8" t="str">
        <f t="shared" si="127"/>
        <v/>
      </c>
      <c r="D1848" s="6" t="str">
        <f t="shared" si="128"/>
        <v/>
      </c>
      <c r="E1848" s="6" t="str">
        <f t="shared" si="129"/>
        <v/>
      </c>
      <c r="F1848" s="6" t="str">
        <f t="shared" si="130"/>
        <v/>
      </c>
      <c r="G1848" s="4"/>
      <c r="H1848" s="4"/>
      <c r="I1848" s="4"/>
      <c r="J1848" s="4"/>
      <c r="K1848" s="4"/>
      <c r="L1848" s="4"/>
      <c r="M1848" s="4"/>
      <c r="N1848" s="4"/>
      <c r="O1848" s="4"/>
      <c r="P1848" s="4"/>
      <c r="Q1848" s="4"/>
      <c r="R1848" s="14"/>
      <c r="S1848" s="14"/>
      <c r="T1848" s="14"/>
      <c r="U1848" s="14"/>
      <c r="V1848" s="14"/>
      <c r="W1848" s="14"/>
      <c r="X1848" s="1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c r="BA1848" s="4"/>
      <c r="BB1848" s="4"/>
      <c r="BC1848" s="4"/>
      <c r="BD1848" s="4"/>
      <c r="BE1848" s="4"/>
      <c r="BG1848" s="4"/>
      <c r="BH1848" s="4"/>
    </row>
    <row r="1849" spans="1:60" x14ac:dyDescent="0.35">
      <c r="A1849" s="4"/>
      <c r="B1849" s="8" t="str">
        <f t="shared" ref="B1849:B1912" si="131">RIGHT(A1849,4)</f>
        <v/>
      </c>
      <c r="D1849" s="6" t="str">
        <f t="shared" si="128"/>
        <v/>
      </c>
      <c r="E1849" s="6" t="str">
        <f t="shared" si="129"/>
        <v/>
      </c>
      <c r="F1849" s="6" t="str">
        <f t="shared" si="130"/>
        <v/>
      </c>
      <c r="G1849" s="4"/>
      <c r="H1849" s="4"/>
      <c r="I1849" s="4"/>
      <c r="J1849" s="4"/>
      <c r="K1849" s="4"/>
      <c r="L1849" s="4"/>
      <c r="M1849" s="4"/>
      <c r="N1849" s="4"/>
      <c r="O1849" s="4"/>
      <c r="P1849" s="4"/>
      <c r="Q1849" s="4"/>
      <c r="R1849" s="14"/>
      <c r="S1849" s="14"/>
      <c r="T1849" s="14"/>
      <c r="U1849" s="14"/>
      <c r="V1849" s="14"/>
      <c r="W1849" s="14"/>
      <c r="X1849" s="14"/>
      <c r="Y1849" s="4"/>
      <c r="Z1849" s="4"/>
      <c r="AA1849" s="4"/>
      <c r="AB1849" s="4"/>
      <c r="AC1849" s="4"/>
      <c r="AD1849" s="4"/>
      <c r="AE1849" s="4"/>
      <c r="AF1849" s="4"/>
      <c r="AG1849" s="4"/>
      <c r="AH1849" s="4"/>
      <c r="AI1849" s="4"/>
      <c r="AJ1849" s="4"/>
      <c r="AK1849" s="4"/>
      <c r="AL1849" s="4"/>
      <c r="AM1849" s="4"/>
      <c r="AN1849" s="4"/>
      <c r="AO1849" s="4"/>
      <c r="AP1849" s="4"/>
      <c r="AQ1849" s="4"/>
      <c r="AR1849" s="4"/>
      <c r="AS1849" s="4"/>
      <c r="AT1849" s="4"/>
      <c r="AU1849" s="4"/>
      <c r="AV1849" s="4"/>
      <c r="AW1849" s="4"/>
      <c r="AX1849" s="4"/>
      <c r="AY1849" s="4"/>
      <c r="AZ1849" s="4"/>
      <c r="BA1849" s="4"/>
      <c r="BB1849" s="4"/>
      <c r="BC1849" s="4"/>
      <c r="BD1849" s="4"/>
      <c r="BE1849" s="4"/>
      <c r="BG1849" s="4"/>
      <c r="BH1849" s="4"/>
    </row>
    <row r="1850" spans="1:60" x14ac:dyDescent="0.35">
      <c r="A1850" s="4"/>
      <c r="B1850" s="8" t="str">
        <f t="shared" si="131"/>
        <v/>
      </c>
      <c r="D1850" s="6" t="str">
        <f t="shared" si="128"/>
        <v/>
      </c>
      <c r="E1850" s="6" t="str">
        <f t="shared" si="129"/>
        <v/>
      </c>
      <c r="F1850" s="6" t="str">
        <f t="shared" si="130"/>
        <v/>
      </c>
      <c r="G1850" s="4"/>
      <c r="H1850" s="4"/>
      <c r="I1850" s="4"/>
      <c r="J1850" s="4"/>
      <c r="K1850" s="4"/>
      <c r="L1850" s="4"/>
      <c r="M1850" s="4"/>
      <c r="N1850" s="4"/>
      <c r="O1850" s="4"/>
      <c r="P1850" s="4"/>
      <c r="Q1850" s="4"/>
      <c r="R1850" s="14"/>
      <c r="S1850" s="14"/>
      <c r="T1850" s="14"/>
      <c r="U1850" s="14"/>
      <c r="V1850" s="14"/>
      <c r="W1850" s="14"/>
      <c r="X1850" s="1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4"/>
      <c r="AU1850" s="4"/>
      <c r="AV1850" s="4"/>
      <c r="AW1850" s="4"/>
      <c r="AX1850" s="4"/>
      <c r="AY1850" s="4"/>
      <c r="AZ1850" s="4"/>
      <c r="BA1850" s="4"/>
      <c r="BB1850" s="4"/>
      <c r="BC1850" s="4"/>
      <c r="BD1850" s="4"/>
      <c r="BE1850" s="4"/>
      <c r="BG1850" s="4"/>
      <c r="BH1850" s="4"/>
    </row>
    <row r="1851" spans="1:60" x14ac:dyDescent="0.35">
      <c r="A1851" s="4"/>
      <c r="B1851" s="8" t="str">
        <f t="shared" si="131"/>
        <v/>
      </c>
      <c r="D1851" s="6" t="str">
        <f t="shared" si="128"/>
        <v/>
      </c>
      <c r="E1851" s="6" t="str">
        <f t="shared" si="129"/>
        <v/>
      </c>
      <c r="F1851" s="6" t="str">
        <f t="shared" si="130"/>
        <v/>
      </c>
      <c r="G1851" s="4"/>
      <c r="H1851" s="4"/>
      <c r="I1851" s="4"/>
      <c r="J1851" s="4"/>
      <c r="K1851" s="4"/>
      <c r="L1851" s="4"/>
      <c r="M1851" s="4"/>
      <c r="N1851" s="4"/>
      <c r="O1851" s="4"/>
      <c r="P1851" s="4"/>
      <c r="Q1851" s="4"/>
      <c r="R1851" s="14"/>
      <c r="S1851" s="14"/>
      <c r="T1851" s="14"/>
      <c r="U1851" s="14"/>
      <c r="V1851" s="14"/>
      <c r="W1851" s="14"/>
      <c r="X1851" s="1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c r="AX1851" s="4"/>
      <c r="AY1851" s="4"/>
      <c r="AZ1851" s="4"/>
      <c r="BA1851" s="4"/>
      <c r="BB1851" s="4"/>
      <c r="BC1851" s="4"/>
      <c r="BD1851" s="4"/>
      <c r="BE1851" s="4"/>
      <c r="BG1851" s="4"/>
      <c r="BH1851" s="4"/>
    </row>
    <row r="1852" spans="1:60" x14ac:dyDescent="0.35">
      <c r="A1852" s="4"/>
      <c r="B1852" s="8" t="str">
        <f t="shared" si="131"/>
        <v/>
      </c>
      <c r="D1852" s="6" t="str">
        <f t="shared" si="128"/>
        <v/>
      </c>
      <c r="E1852" s="6" t="str">
        <f t="shared" si="129"/>
        <v/>
      </c>
      <c r="F1852" s="6" t="str">
        <f t="shared" si="130"/>
        <v/>
      </c>
      <c r="G1852" s="4"/>
      <c r="H1852" s="4"/>
      <c r="I1852" s="4"/>
      <c r="J1852" s="4"/>
      <c r="K1852" s="4"/>
      <c r="L1852" s="4"/>
      <c r="M1852" s="4"/>
      <c r="N1852" s="4"/>
      <c r="O1852" s="4"/>
      <c r="P1852" s="4"/>
      <c r="Q1852" s="4"/>
      <c r="R1852" s="14"/>
      <c r="S1852" s="14"/>
      <c r="T1852" s="14"/>
      <c r="U1852" s="14"/>
      <c r="V1852" s="14"/>
      <c r="W1852" s="14"/>
      <c r="X1852" s="1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c r="BB1852" s="4"/>
      <c r="BC1852" s="4"/>
      <c r="BD1852" s="4"/>
      <c r="BE1852" s="4"/>
      <c r="BG1852" s="4"/>
      <c r="BH1852" s="4"/>
    </row>
    <row r="1853" spans="1:60" x14ac:dyDescent="0.35">
      <c r="A1853" s="4"/>
      <c r="B1853" s="8" t="str">
        <f t="shared" si="131"/>
        <v/>
      </c>
      <c r="D1853" s="6" t="str">
        <f t="shared" ref="D1853:D1916" si="132">IF(C1853="","",VLOOKUP(C1853,district_region,2,FALSE))</f>
        <v/>
      </c>
      <c r="E1853" s="6" t="str">
        <f t="shared" ref="E1853:E1916" si="133">IF(C1853="","",VLOOKUP(C1853,liste_pop,3,FALSE))</f>
        <v/>
      </c>
      <c r="F1853" s="6" t="str">
        <f t="shared" ref="F1853:F1916" si="134">IF(D1853="","",IF(D1853="Dakar",4042240,VLOOKUP(D1853,liste_pop,4,FALSE)))</f>
        <v/>
      </c>
      <c r="G1853" s="4"/>
      <c r="H1853" s="4"/>
      <c r="I1853" s="4"/>
      <c r="J1853" s="4"/>
      <c r="K1853" s="4"/>
      <c r="L1853" s="4"/>
      <c r="M1853" s="4"/>
      <c r="N1853" s="4"/>
      <c r="O1853" s="4"/>
      <c r="P1853" s="4"/>
      <c r="Q1853" s="4"/>
      <c r="R1853" s="14"/>
      <c r="S1853" s="14"/>
      <c r="T1853" s="14"/>
      <c r="U1853" s="14"/>
      <c r="V1853" s="14"/>
      <c r="W1853" s="14"/>
      <c r="X1853" s="1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c r="BB1853" s="4"/>
      <c r="BC1853" s="4"/>
      <c r="BD1853" s="4"/>
      <c r="BE1853" s="4"/>
      <c r="BG1853" s="4"/>
      <c r="BH1853" s="4"/>
    </row>
    <row r="1854" spans="1:60" x14ac:dyDescent="0.35">
      <c r="A1854" s="4"/>
      <c r="B1854" s="8" t="str">
        <f t="shared" si="131"/>
        <v/>
      </c>
      <c r="D1854" s="6" t="str">
        <f t="shared" si="132"/>
        <v/>
      </c>
      <c r="E1854" s="6" t="str">
        <f t="shared" si="133"/>
        <v/>
      </c>
      <c r="F1854" s="6" t="str">
        <f t="shared" si="134"/>
        <v/>
      </c>
      <c r="G1854" s="4"/>
      <c r="H1854" s="4"/>
      <c r="I1854" s="4"/>
      <c r="J1854" s="4"/>
      <c r="K1854" s="4"/>
      <c r="L1854" s="4"/>
      <c r="M1854" s="4"/>
      <c r="N1854" s="4"/>
      <c r="O1854" s="4"/>
      <c r="P1854" s="4"/>
      <c r="Q1854" s="4"/>
      <c r="R1854" s="14"/>
      <c r="S1854" s="14"/>
      <c r="T1854" s="14"/>
      <c r="U1854" s="14"/>
      <c r="V1854" s="14"/>
      <c r="W1854" s="14"/>
      <c r="X1854" s="1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G1854" s="4"/>
      <c r="BH1854" s="4"/>
    </row>
    <row r="1855" spans="1:60" x14ac:dyDescent="0.35">
      <c r="A1855" s="4"/>
      <c r="B1855" s="8" t="str">
        <f t="shared" si="131"/>
        <v/>
      </c>
      <c r="D1855" s="6" t="str">
        <f t="shared" si="132"/>
        <v/>
      </c>
      <c r="E1855" s="6" t="str">
        <f t="shared" si="133"/>
        <v/>
      </c>
      <c r="F1855" s="6" t="str">
        <f t="shared" si="134"/>
        <v/>
      </c>
      <c r="G1855" s="4"/>
      <c r="H1855" s="4"/>
      <c r="I1855" s="4"/>
      <c r="J1855" s="4"/>
      <c r="K1855" s="4"/>
      <c r="L1855" s="4"/>
      <c r="M1855" s="4"/>
      <c r="N1855" s="4"/>
      <c r="O1855" s="4"/>
      <c r="P1855" s="4"/>
      <c r="Q1855" s="4"/>
      <c r="R1855" s="14"/>
      <c r="S1855" s="14"/>
      <c r="T1855" s="14"/>
      <c r="U1855" s="14"/>
      <c r="V1855" s="14"/>
      <c r="W1855" s="14"/>
      <c r="X1855" s="1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4"/>
      <c r="AU1855" s="4"/>
      <c r="AV1855" s="4"/>
      <c r="AW1855" s="4"/>
      <c r="AX1855" s="4"/>
      <c r="AY1855" s="4"/>
      <c r="AZ1855" s="4"/>
      <c r="BA1855" s="4"/>
      <c r="BB1855" s="4"/>
      <c r="BC1855" s="4"/>
      <c r="BD1855" s="4"/>
      <c r="BE1855" s="4"/>
      <c r="BG1855" s="4"/>
      <c r="BH1855" s="4"/>
    </row>
    <row r="1856" spans="1:60" x14ac:dyDescent="0.35">
      <c r="A1856" s="4"/>
      <c r="B1856" s="8" t="str">
        <f t="shared" si="131"/>
        <v/>
      </c>
      <c r="D1856" s="6" t="str">
        <f t="shared" si="132"/>
        <v/>
      </c>
      <c r="E1856" s="6" t="str">
        <f t="shared" si="133"/>
        <v/>
      </c>
      <c r="F1856" s="6" t="str">
        <f t="shared" si="134"/>
        <v/>
      </c>
      <c r="G1856" s="4"/>
      <c r="H1856" s="4"/>
      <c r="I1856" s="4"/>
      <c r="J1856" s="4"/>
      <c r="K1856" s="4"/>
      <c r="L1856" s="4"/>
      <c r="M1856" s="4"/>
      <c r="N1856" s="4"/>
      <c r="O1856" s="4"/>
      <c r="P1856" s="4"/>
      <c r="Q1856" s="4"/>
      <c r="R1856" s="14"/>
      <c r="S1856" s="14"/>
      <c r="T1856" s="14"/>
      <c r="U1856" s="14"/>
      <c r="V1856" s="14"/>
      <c r="W1856" s="14"/>
      <c r="X1856" s="1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4"/>
      <c r="AU1856" s="4"/>
      <c r="AV1856" s="4"/>
      <c r="AW1856" s="4"/>
      <c r="AX1856" s="4"/>
      <c r="AY1856" s="4"/>
      <c r="AZ1856" s="4"/>
      <c r="BA1856" s="4"/>
      <c r="BB1856" s="4"/>
      <c r="BC1856" s="4"/>
      <c r="BD1856" s="4"/>
      <c r="BE1856" s="4"/>
      <c r="BG1856" s="4"/>
      <c r="BH1856" s="4"/>
    </row>
    <row r="1857" spans="1:60" x14ac:dyDescent="0.35">
      <c r="A1857" s="4"/>
      <c r="B1857" s="8" t="str">
        <f t="shared" si="131"/>
        <v/>
      </c>
      <c r="D1857" s="6" t="str">
        <f t="shared" si="132"/>
        <v/>
      </c>
      <c r="E1857" s="6" t="str">
        <f t="shared" si="133"/>
        <v/>
      </c>
      <c r="F1857" s="6" t="str">
        <f t="shared" si="134"/>
        <v/>
      </c>
      <c r="G1857" s="4"/>
      <c r="H1857" s="4"/>
      <c r="I1857" s="4"/>
      <c r="J1857" s="4"/>
      <c r="K1857" s="4"/>
      <c r="L1857" s="4"/>
      <c r="M1857" s="4"/>
      <c r="N1857" s="4"/>
      <c r="O1857" s="4"/>
      <c r="P1857" s="4"/>
      <c r="Q1857" s="4"/>
      <c r="R1857" s="14"/>
      <c r="S1857" s="14"/>
      <c r="T1857" s="14"/>
      <c r="U1857" s="14"/>
      <c r="V1857" s="14"/>
      <c r="W1857" s="14"/>
      <c r="X1857" s="1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c r="BB1857" s="4"/>
      <c r="BC1857" s="4"/>
      <c r="BD1857" s="4"/>
      <c r="BE1857" s="4"/>
      <c r="BG1857" s="4"/>
      <c r="BH1857" s="4"/>
    </row>
    <row r="1858" spans="1:60" x14ac:dyDescent="0.35">
      <c r="A1858" s="4"/>
      <c r="B1858" s="8" t="str">
        <f t="shared" si="131"/>
        <v/>
      </c>
      <c r="D1858" s="6" t="str">
        <f t="shared" si="132"/>
        <v/>
      </c>
      <c r="E1858" s="6" t="str">
        <f t="shared" si="133"/>
        <v/>
      </c>
      <c r="F1858" s="6" t="str">
        <f t="shared" si="134"/>
        <v/>
      </c>
      <c r="G1858" s="4"/>
      <c r="H1858" s="4"/>
      <c r="I1858" s="4"/>
      <c r="J1858" s="4"/>
      <c r="K1858" s="4"/>
      <c r="L1858" s="4"/>
      <c r="M1858" s="4"/>
      <c r="N1858" s="4"/>
      <c r="O1858" s="4"/>
      <c r="P1858" s="4"/>
      <c r="Q1858" s="4"/>
      <c r="R1858" s="14"/>
      <c r="S1858" s="14"/>
      <c r="T1858" s="14"/>
      <c r="U1858" s="14"/>
      <c r="V1858" s="14"/>
      <c r="W1858" s="14"/>
      <c r="X1858" s="1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4"/>
      <c r="AU1858" s="4"/>
      <c r="AV1858" s="4"/>
      <c r="AW1858" s="4"/>
      <c r="AX1858" s="4"/>
      <c r="AY1858" s="4"/>
      <c r="AZ1858" s="4"/>
      <c r="BA1858" s="4"/>
      <c r="BB1858" s="4"/>
      <c r="BC1858" s="4"/>
      <c r="BD1858" s="4"/>
      <c r="BE1858" s="4"/>
      <c r="BG1858" s="4"/>
      <c r="BH1858" s="4"/>
    </row>
    <row r="1859" spans="1:60" x14ac:dyDescent="0.35">
      <c r="A1859" s="4"/>
      <c r="B1859" s="8" t="str">
        <f t="shared" si="131"/>
        <v/>
      </c>
      <c r="D1859" s="6" t="str">
        <f t="shared" si="132"/>
        <v/>
      </c>
      <c r="E1859" s="6" t="str">
        <f t="shared" si="133"/>
        <v/>
      </c>
      <c r="F1859" s="6" t="str">
        <f t="shared" si="134"/>
        <v/>
      </c>
      <c r="G1859" s="4"/>
      <c r="H1859" s="4"/>
      <c r="I1859" s="4"/>
      <c r="J1859" s="4"/>
      <c r="K1859" s="4"/>
      <c r="L1859" s="4"/>
      <c r="M1859" s="4"/>
      <c r="N1859" s="4"/>
      <c r="O1859" s="4"/>
      <c r="P1859" s="4"/>
      <c r="Q1859" s="4"/>
      <c r="R1859" s="14"/>
      <c r="S1859" s="14"/>
      <c r="T1859" s="14"/>
      <c r="U1859" s="14"/>
      <c r="V1859" s="14"/>
      <c r="W1859" s="14"/>
      <c r="X1859" s="1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4"/>
      <c r="AU1859" s="4"/>
      <c r="AV1859" s="4"/>
      <c r="AW1859" s="4"/>
      <c r="AX1859" s="4"/>
      <c r="AY1859" s="4"/>
      <c r="AZ1859" s="4"/>
      <c r="BA1859" s="4"/>
      <c r="BB1859" s="4"/>
      <c r="BC1859" s="4"/>
      <c r="BD1859" s="4"/>
      <c r="BE1859" s="4"/>
      <c r="BG1859" s="4"/>
      <c r="BH1859" s="4"/>
    </row>
    <row r="1860" spans="1:60" x14ac:dyDescent="0.35">
      <c r="A1860" s="4"/>
      <c r="B1860" s="8" t="str">
        <f t="shared" si="131"/>
        <v/>
      </c>
      <c r="D1860" s="6" t="str">
        <f t="shared" si="132"/>
        <v/>
      </c>
      <c r="E1860" s="6" t="str">
        <f t="shared" si="133"/>
        <v/>
      </c>
      <c r="F1860" s="6" t="str">
        <f t="shared" si="134"/>
        <v/>
      </c>
      <c r="G1860" s="4"/>
      <c r="H1860" s="4"/>
      <c r="I1860" s="4"/>
      <c r="J1860" s="4"/>
      <c r="K1860" s="4"/>
      <c r="L1860" s="4"/>
      <c r="M1860" s="4"/>
      <c r="N1860" s="4"/>
      <c r="O1860" s="4"/>
      <c r="P1860" s="4"/>
      <c r="Q1860" s="4"/>
      <c r="R1860" s="14"/>
      <c r="S1860" s="14"/>
      <c r="T1860" s="14"/>
      <c r="U1860" s="14"/>
      <c r="V1860" s="14"/>
      <c r="W1860" s="14"/>
      <c r="X1860" s="1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4"/>
      <c r="AU1860" s="4"/>
      <c r="AV1860" s="4"/>
      <c r="AW1860" s="4"/>
      <c r="AX1860" s="4"/>
      <c r="AY1860" s="4"/>
      <c r="AZ1860" s="4"/>
      <c r="BA1860" s="4"/>
      <c r="BB1860" s="4"/>
      <c r="BC1860" s="4"/>
      <c r="BD1860" s="4"/>
      <c r="BE1860" s="4"/>
      <c r="BG1860" s="4"/>
      <c r="BH1860" s="4"/>
    </row>
    <row r="1861" spans="1:60" x14ac:dyDescent="0.35">
      <c r="A1861" s="4"/>
      <c r="B1861" s="8" t="str">
        <f t="shared" si="131"/>
        <v/>
      </c>
      <c r="D1861" s="6" t="str">
        <f t="shared" si="132"/>
        <v/>
      </c>
      <c r="E1861" s="6" t="str">
        <f t="shared" si="133"/>
        <v/>
      </c>
      <c r="F1861" s="6" t="str">
        <f t="shared" si="134"/>
        <v/>
      </c>
      <c r="G1861" s="4"/>
      <c r="H1861" s="4"/>
      <c r="I1861" s="4"/>
      <c r="J1861" s="4"/>
      <c r="K1861" s="4"/>
      <c r="L1861" s="4"/>
      <c r="M1861" s="4"/>
      <c r="N1861" s="4"/>
      <c r="O1861" s="4"/>
      <c r="P1861" s="4"/>
      <c r="Q1861" s="4"/>
      <c r="R1861" s="14"/>
      <c r="S1861" s="14"/>
      <c r="T1861" s="14"/>
      <c r="U1861" s="14"/>
      <c r="V1861" s="14"/>
      <c r="W1861" s="14"/>
      <c r="X1861" s="1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c r="BB1861" s="4"/>
      <c r="BC1861" s="4"/>
      <c r="BD1861" s="4"/>
      <c r="BE1861" s="4"/>
      <c r="BG1861" s="4"/>
      <c r="BH1861" s="4"/>
    </row>
    <row r="1862" spans="1:60" x14ac:dyDescent="0.35">
      <c r="A1862" s="4"/>
      <c r="B1862" s="8" t="str">
        <f t="shared" si="131"/>
        <v/>
      </c>
      <c r="D1862" s="6" t="str">
        <f t="shared" si="132"/>
        <v/>
      </c>
      <c r="E1862" s="6" t="str">
        <f t="shared" si="133"/>
        <v/>
      </c>
      <c r="F1862" s="6" t="str">
        <f t="shared" si="134"/>
        <v/>
      </c>
      <c r="G1862" s="4"/>
      <c r="H1862" s="4"/>
      <c r="I1862" s="4"/>
      <c r="J1862" s="4"/>
      <c r="K1862" s="4"/>
      <c r="L1862" s="4"/>
      <c r="M1862" s="4"/>
      <c r="N1862" s="4"/>
      <c r="O1862" s="4"/>
      <c r="P1862" s="4"/>
      <c r="Q1862" s="4"/>
      <c r="R1862" s="14"/>
      <c r="S1862" s="14"/>
      <c r="T1862" s="14"/>
      <c r="U1862" s="14"/>
      <c r="V1862" s="14"/>
      <c r="W1862" s="14"/>
      <c r="X1862" s="1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c r="AX1862" s="4"/>
      <c r="AY1862" s="4"/>
      <c r="AZ1862" s="4"/>
      <c r="BA1862" s="4"/>
      <c r="BB1862" s="4"/>
      <c r="BC1862" s="4"/>
      <c r="BD1862" s="4"/>
      <c r="BE1862" s="4"/>
      <c r="BG1862" s="4"/>
      <c r="BH1862" s="4"/>
    </row>
    <row r="1863" spans="1:60" x14ac:dyDescent="0.35">
      <c r="A1863" s="4"/>
      <c r="B1863" s="8" t="str">
        <f t="shared" si="131"/>
        <v/>
      </c>
      <c r="D1863" s="6" t="str">
        <f t="shared" si="132"/>
        <v/>
      </c>
      <c r="E1863" s="6" t="str">
        <f t="shared" si="133"/>
        <v/>
      </c>
      <c r="F1863" s="6" t="str">
        <f t="shared" si="134"/>
        <v/>
      </c>
      <c r="G1863" s="4"/>
      <c r="H1863" s="4"/>
      <c r="I1863" s="4"/>
      <c r="J1863" s="4"/>
      <c r="K1863" s="4"/>
      <c r="L1863" s="4"/>
      <c r="M1863" s="4"/>
      <c r="N1863" s="4"/>
      <c r="O1863" s="4"/>
      <c r="P1863" s="4"/>
      <c r="Q1863" s="4"/>
      <c r="R1863" s="14"/>
      <c r="S1863" s="14"/>
      <c r="T1863" s="14"/>
      <c r="U1863" s="14"/>
      <c r="V1863" s="14"/>
      <c r="W1863" s="14"/>
      <c r="X1863" s="1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4"/>
      <c r="AU1863" s="4"/>
      <c r="AV1863" s="4"/>
      <c r="AW1863" s="4"/>
      <c r="AX1863" s="4"/>
      <c r="AY1863" s="4"/>
      <c r="AZ1863" s="4"/>
      <c r="BA1863" s="4"/>
      <c r="BB1863" s="4"/>
      <c r="BC1863" s="4"/>
      <c r="BD1863" s="4"/>
      <c r="BE1863" s="4"/>
      <c r="BG1863" s="4"/>
      <c r="BH1863" s="4"/>
    </row>
    <row r="1864" spans="1:60" x14ac:dyDescent="0.35">
      <c r="A1864" s="4"/>
      <c r="B1864" s="8" t="str">
        <f t="shared" si="131"/>
        <v/>
      </c>
      <c r="D1864" s="6" t="str">
        <f t="shared" si="132"/>
        <v/>
      </c>
      <c r="E1864" s="6" t="str">
        <f t="shared" si="133"/>
        <v/>
      </c>
      <c r="F1864" s="6" t="str">
        <f t="shared" si="134"/>
        <v/>
      </c>
      <c r="G1864" s="4"/>
      <c r="H1864" s="4"/>
      <c r="I1864" s="4"/>
      <c r="J1864" s="4"/>
      <c r="K1864" s="4"/>
      <c r="L1864" s="4"/>
      <c r="M1864" s="4"/>
      <c r="N1864" s="4"/>
      <c r="O1864" s="4"/>
      <c r="P1864" s="4"/>
      <c r="Q1864" s="4"/>
      <c r="R1864" s="14"/>
      <c r="S1864" s="14"/>
      <c r="T1864" s="14"/>
      <c r="U1864" s="14"/>
      <c r="V1864" s="14"/>
      <c r="W1864" s="14"/>
      <c r="X1864" s="1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4"/>
      <c r="AU1864" s="4"/>
      <c r="AV1864" s="4"/>
      <c r="AW1864" s="4"/>
      <c r="AX1864" s="4"/>
      <c r="AY1864" s="4"/>
      <c r="AZ1864" s="4"/>
      <c r="BA1864" s="4"/>
      <c r="BB1864" s="4"/>
      <c r="BC1864" s="4"/>
      <c r="BD1864" s="4"/>
      <c r="BE1864" s="4"/>
      <c r="BG1864" s="4"/>
      <c r="BH1864" s="4"/>
    </row>
    <row r="1865" spans="1:60" x14ac:dyDescent="0.35">
      <c r="A1865" s="4"/>
      <c r="B1865" s="8" t="str">
        <f t="shared" si="131"/>
        <v/>
      </c>
      <c r="D1865" s="6" t="str">
        <f t="shared" si="132"/>
        <v/>
      </c>
      <c r="E1865" s="6" t="str">
        <f t="shared" si="133"/>
        <v/>
      </c>
      <c r="F1865" s="6" t="str">
        <f t="shared" si="134"/>
        <v/>
      </c>
      <c r="G1865" s="4"/>
      <c r="H1865" s="4"/>
      <c r="I1865" s="4"/>
      <c r="J1865" s="4"/>
      <c r="K1865" s="4"/>
      <c r="L1865" s="4"/>
      <c r="M1865" s="4"/>
      <c r="N1865" s="4"/>
      <c r="O1865" s="4"/>
      <c r="P1865" s="4"/>
      <c r="Q1865" s="4"/>
      <c r="R1865" s="14"/>
      <c r="S1865" s="14"/>
      <c r="T1865" s="14"/>
      <c r="U1865" s="14"/>
      <c r="V1865" s="14"/>
      <c r="W1865" s="14"/>
      <c r="X1865" s="1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4"/>
      <c r="AU1865" s="4"/>
      <c r="AV1865" s="4"/>
      <c r="AW1865" s="4"/>
      <c r="AX1865" s="4"/>
      <c r="AY1865" s="4"/>
      <c r="AZ1865" s="4"/>
      <c r="BA1865" s="4"/>
      <c r="BB1865" s="4"/>
      <c r="BC1865" s="4"/>
      <c r="BD1865" s="4"/>
      <c r="BE1865" s="4"/>
      <c r="BG1865" s="4"/>
      <c r="BH1865" s="4"/>
    </row>
    <row r="1866" spans="1:60" x14ac:dyDescent="0.35">
      <c r="A1866" s="4"/>
      <c r="B1866" s="8" t="str">
        <f t="shared" si="131"/>
        <v/>
      </c>
      <c r="D1866" s="6" t="str">
        <f t="shared" si="132"/>
        <v/>
      </c>
      <c r="E1866" s="6" t="str">
        <f t="shared" si="133"/>
        <v/>
      </c>
      <c r="F1866" s="6" t="str">
        <f t="shared" si="134"/>
        <v/>
      </c>
      <c r="G1866" s="4"/>
      <c r="H1866" s="4"/>
      <c r="I1866" s="4"/>
      <c r="J1866" s="4"/>
      <c r="K1866" s="4"/>
      <c r="L1866" s="4"/>
      <c r="M1866" s="4"/>
      <c r="N1866" s="4"/>
      <c r="O1866" s="4"/>
      <c r="P1866" s="4"/>
      <c r="Q1866" s="4"/>
      <c r="R1866" s="14"/>
      <c r="S1866" s="14"/>
      <c r="T1866" s="14"/>
      <c r="U1866" s="14"/>
      <c r="V1866" s="14"/>
      <c r="W1866" s="14"/>
      <c r="X1866" s="1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c r="BB1866" s="4"/>
      <c r="BC1866" s="4"/>
      <c r="BD1866" s="4"/>
      <c r="BE1866" s="4"/>
      <c r="BG1866" s="4"/>
      <c r="BH1866" s="4"/>
    </row>
    <row r="1867" spans="1:60" x14ac:dyDescent="0.35">
      <c r="A1867" s="4"/>
      <c r="B1867" s="8" t="str">
        <f t="shared" si="131"/>
        <v/>
      </c>
      <c r="D1867" s="6" t="str">
        <f t="shared" si="132"/>
        <v/>
      </c>
      <c r="E1867" s="6" t="str">
        <f t="shared" si="133"/>
        <v/>
      </c>
      <c r="F1867" s="6" t="str">
        <f t="shared" si="134"/>
        <v/>
      </c>
      <c r="G1867" s="4"/>
      <c r="H1867" s="4"/>
      <c r="I1867" s="4"/>
      <c r="J1867" s="4"/>
      <c r="K1867" s="4"/>
      <c r="L1867" s="4"/>
      <c r="M1867" s="4"/>
      <c r="N1867" s="4"/>
      <c r="O1867" s="4"/>
      <c r="P1867" s="4"/>
      <c r="Q1867" s="4"/>
      <c r="R1867" s="14"/>
      <c r="S1867" s="14"/>
      <c r="T1867" s="14"/>
      <c r="U1867" s="14"/>
      <c r="V1867" s="14"/>
      <c r="W1867" s="14"/>
      <c r="X1867" s="1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4"/>
      <c r="AU1867" s="4"/>
      <c r="AV1867" s="4"/>
      <c r="AW1867" s="4"/>
      <c r="AX1867" s="4"/>
      <c r="AY1867" s="4"/>
      <c r="AZ1867" s="4"/>
      <c r="BA1867" s="4"/>
      <c r="BB1867" s="4"/>
      <c r="BC1867" s="4"/>
      <c r="BD1867" s="4"/>
      <c r="BE1867" s="4"/>
      <c r="BG1867" s="4"/>
      <c r="BH1867" s="4"/>
    </row>
    <row r="1868" spans="1:60" x14ac:dyDescent="0.35">
      <c r="A1868" s="4"/>
      <c r="B1868" s="8" t="str">
        <f t="shared" si="131"/>
        <v/>
      </c>
      <c r="D1868" s="6" t="str">
        <f t="shared" si="132"/>
        <v/>
      </c>
      <c r="E1868" s="6" t="str">
        <f t="shared" si="133"/>
        <v/>
      </c>
      <c r="F1868" s="6" t="str">
        <f t="shared" si="134"/>
        <v/>
      </c>
      <c r="G1868" s="4"/>
      <c r="H1868" s="4"/>
      <c r="I1868" s="4"/>
      <c r="J1868" s="4"/>
      <c r="K1868" s="4"/>
      <c r="L1868" s="4"/>
      <c r="M1868" s="4"/>
      <c r="N1868" s="4"/>
      <c r="O1868" s="4"/>
      <c r="P1868" s="4"/>
      <c r="Q1868" s="4"/>
      <c r="R1868" s="14"/>
      <c r="S1868" s="14"/>
      <c r="T1868" s="14"/>
      <c r="U1868" s="14"/>
      <c r="V1868" s="14"/>
      <c r="W1868" s="14"/>
      <c r="X1868" s="1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c r="AX1868" s="4"/>
      <c r="AY1868" s="4"/>
      <c r="AZ1868" s="4"/>
      <c r="BA1868" s="4"/>
      <c r="BB1868" s="4"/>
      <c r="BC1868" s="4"/>
      <c r="BD1868" s="4"/>
      <c r="BE1868" s="4"/>
      <c r="BG1868" s="4"/>
      <c r="BH1868" s="4"/>
    </row>
    <row r="1869" spans="1:60" x14ac:dyDescent="0.35">
      <c r="A1869" s="4"/>
      <c r="B1869" s="8" t="str">
        <f t="shared" si="131"/>
        <v/>
      </c>
      <c r="D1869" s="6" t="str">
        <f t="shared" si="132"/>
        <v/>
      </c>
      <c r="E1869" s="6" t="str">
        <f t="shared" si="133"/>
        <v/>
      </c>
      <c r="F1869" s="6" t="str">
        <f t="shared" si="134"/>
        <v/>
      </c>
      <c r="G1869" s="4"/>
      <c r="H1869" s="4"/>
      <c r="I1869" s="4"/>
      <c r="J1869" s="4"/>
      <c r="K1869" s="4"/>
      <c r="L1869" s="4"/>
      <c r="M1869" s="4"/>
      <c r="N1869" s="4"/>
      <c r="O1869" s="4"/>
      <c r="P1869" s="4"/>
      <c r="Q1869" s="4"/>
      <c r="R1869" s="14"/>
      <c r="S1869" s="14"/>
      <c r="T1869" s="14"/>
      <c r="U1869" s="14"/>
      <c r="V1869" s="14"/>
      <c r="W1869" s="14"/>
      <c r="X1869" s="1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4"/>
      <c r="AU1869" s="4"/>
      <c r="AV1869" s="4"/>
      <c r="AW1869" s="4"/>
      <c r="AX1869" s="4"/>
      <c r="AY1869" s="4"/>
      <c r="AZ1869" s="4"/>
      <c r="BA1869" s="4"/>
      <c r="BB1869" s="4"/>
      <c r="BC1869" s="4"/>
      <c r="BD1869" s="4"/>
      <c r="BE1869" s="4"/>
      <c r="BG1869" s="4"/>
      <c r="BH1869" s="4"/>
    </row>
    <row r="1870" spans="1:60" x14ac:dyDescent="0.35">
      <c r="A1870" s="4"/>
      <c r="B1870" s="8" t="str">
        <f t="shared" si="131"/>
        <v/>
      </c>
      <c r="D1870" s="6" t="str">
        <f t="shared" si="132"/>
        <v/>
      </c>
      <c r="E1870" s="6" t="str">
        <f t="shared" si="133"/>
        <v/>
      </c>
      <c r="F1870" s="6" t="str">
        <f t="shared" si="134"/>
        <v/>
      </c>
      <c r="G1870" s="4"/>
      <c r="H1870" s="4"/>
      <c r="I1870" s="4"/>
      <c r="J1870" s="4"/>
      <c r="K1870" s="4"/>
      <c r="L1870" s="4"/>
      <c r="M1870" s="4"/>
      <c r="N1870" s="4"/>
      <c r="O1870" s="4"/>
      <c r="P1870" s="4"/>
      <c r="Q1870" s="4"/>
      <c r="R1870" s="14"/>
      <c r="S1870" s="14"/>
      <c r="T1870" s="14"/>
      <c r="U1870" s="14"/>
      <c r="V1870" s="14"/>
      <c r="W1870" s="14"/>
      <c r="X1870" s="14"/>
      <c r="Y1870" s="4"/>
      <c r="Z1870" s="4"/>
      <c r="AA1870" s="4"/>
      <c r="AB1870" s="4"/>
      <c r="AC1870" s="4"/>
      <c r="AD1870" s="4"/>
      <c r="AE1870" s="4"/>
      <c r="AF1870" s="4"/>
      <c r="AG1870" s="4"/>
      <c r="AH1870" s="4"/>
      <c r="AI1870" s="4"/>
      <c r="AJ1870" s="4"/>
      <c r="AK1870" s="4"/>
      <c r="AL1870" s="4"/>
      <c r="AM1870" s="4"/>
      <c r="AN1870" s="4"/>
      <c r="AO1870" s="4"/>
      <c r="AP1870" s="4"/>
      <c r="AQ1870" s="4"/>
      <c r="AR1870" s="4"/>
      <c r="AS1870" s="4"/>
      <c r="AT1870" s="4"/>
      <c r="AU1870" s="4"/>
      <c r="AV1870" s="4"/>
      <c r="AW1870" s="4"/>
      <c r="AX1870" s="4"/>
      <c r="AY1870" s="4"/>
      <c r="AZ1870" s="4"/>
      <c r="BA1870" s="4"/>
      <c r="BB1870" s="4"/>
      <c r="BC1870" s="4"/>
      <c r="BD1870" s="4"/>
      <c r="BE1870" s="4"/>
      <c r="BG1870" s="4"/>
      <c r="BH1870" s="4"/>
    </row>
    <row r="1871" spans="1:60" x14ac:dyDescent="0.35">
      <c r="A1871" s="4"/>
      <c r="B1871" s="8" t="str">
        <f t="shared" si="131"/>
        <v/>
      </c>
      <c r="D1871" s="6" t="str">
        <f t="shared" si="132"/>
        <v/>
      </c>
      <c r="E1871" s="6" t="str">
        <f t="shared" si="133"/>
        <v/>
      </c>
      <c r="F1871" s="6" t="str">
        <f t="shared" si="134"/>
        <v/>
      </c>
      <c r="G1871" s="4"/>
      <c r="H1871" s="4"/>
      <c r="I1871" s="4"/>
      <c r="J1871" s="4"/>
      <c r="K1871" s="4"/>
      <c r="L1871" s="4"/>
      <c r="M1871" s="4"/>
      <c r="N1871" s="4"/>
      <c r="O1871" s="4"/>
      <c r="P1871" s="4"/>
      <c r="Q1871" s="4"/>
      <c r="R1871" s="14"/>
      <c r="S1871" s="14"/>
      <c r="T1871" s="14"/>
      <c r="U1871" s="14"/>
      <c r="V1871" s="14"/>
      <c r="W1871" s="14"/>
      <c r="X1871" s="1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c r="BA1871" s="4"/>
      <c r="BB1871" s="4"/>
      <c r="BC1871" s="4"/>
      <c r="BD1871" s="4"/>
      <c r="BE1871" s="4"/>
      <c r="BG1871" s="4"/>
      <c r="BH1871" s="4"/>
    </row>
    <row r="1872" spans="1:60" x14ac:dyDescent="0.35">
      <c r="A1872" s="4"/>
      <c r="B1872" s="8" t="str">
        <f t="shared" si="131"/>
        <v/>
      </c>
      <c r="D1872" s="6" t="str">
        <f t="shared" si="132"/>
        <v/>
      </c>
      <c r="E1872" s="6" t="str">
        <f t="shared" si="133"/>
        <v/>
      </c>
      <c r="F1872" s="6" t="str">
        <f t="shared" si="134"/>
        <v/>
      </c>
      <c r="G1872" s="4"/>
      <c r="H1872" s="4"/>
      <c r="I1872" s="4"/>
      <c r="J1872" s="4"/>
      <c r="K1872" s="4"/>
      <c r="L1872" s="4"/>
      <c r="M1872" s="4"/>
      <c r="N1872" s="4"/>
      <c r="O1872" s="4"/>
      <c r="P1872" s="4"/>
      <c r="Q1872" s="4"/>
      <c r="R1872" s="14"/>
      <c r="S1872" s="14"/>
      <c r="T1872" s="14"/>
      <c r="U1872" s="14"/>
      <c r="V1872" s="14"/>
      <c r="W1872" s="14"/>
      <c r="X1872" s="1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4"/>
      <c r="AU1872" s="4"/>
      <c r="AV1872" s="4"/>
      <c r="AW1872" s="4"/>
      <c r="AX1872" s="4"/>
      <c r="AY1872" s="4"/>
      <c r="AZ1872" s="4"/>
      <c r="BA1872" s="4"/>
      <c r="BB1872" s="4"/>
      <c r="BC1872" s="4"/>
      <c r="BD1872" s="4"/>
      <c r="BE1872" s="4"/>
      <c r="BG1872" s="4"/>
      <c r="BH1872" s="4"/>
    </row>
    <row r="1873" spans="1:60" x14ac:dyDescent="0.35">
      <c r="A1873" s="4"/>
      <c r="B1873" s="8" t="str">
        <f t="shared" si="131"/>
        <v/>
      </c>
      <c r="D1873" s="6" t="str">
        <f t="shared" si="132"/>
        <v/>
      </c>
      <c r="E1873" s="6" t="str">
        <f t="shared" si="133"/>
        <v/>
      </c>
      <c r="F1873" s="6" t="str">
        <f t="shared" si="134"/>
        <v/>
      </c>
      <c r="G1873" s="4"/>
      <c r="H1873" s="4"/>
      <c r="I1873" s="4"/>
      <c r="J1873" s="4"/>
      <c r="K1873" s="4"/>
      <c r="L1873" s="4"/>
      <c r="M1873" s="4"/>
      <c r="N1873" s="4"/>
      <c r="O1873" s="4"/>
      <c r="P1873" s="4"/>
      <c r="Q1873" s="4"/>
      <c r="R1873" s="14"/>
      <c r="S1873" s="14"/>
      <c r="T1873" s="14"/>
      <c r="U1873" s="14"/>
      <c r="V1873" s="14"/>
      <c r="W1873" s="14"/>
      <c r="X1873" s="14"/>
      <c r="Y1873" s="4"/>
      <c r="Z1873" s="4"/>
      <c r="AA1873" s="4"/>
      <c r="AB1873" s="4"/>
      <c r="AC1873" s="4"/>
      <c r="AD1873" s="4"/>
      <c r="AE1873" s="4"/>
      <c r="AF1873" s="4"/>
      <c r="AG1873" s="4"/>
      <c r="AH1873" s="4"/>
      <c r="AI1873" s="4"/>
      <c r="AJ1873" s="4"/>
      <c r="AK1873" s="4"/>
      <c r="AL1873" s="4"/>
      <c r="AM1873" s="4"/>
      <c r="AN1873" s="4"/>
      <c r="AO1873" s="4"/>
      <c r="AP1873" s="4"/>
      <c r="AQ1873" s="4"/>
      <c r="AR1873" s="4"/>
      <c r="AS1873" s="4"/>
      <c r="AT1873" s="4"/>
      <c r="AU1873" s="4"/>
      <c r="AV1873" s="4"/>
      <c r="AW1873" s="4"/>
      <c r="AX1873" s="4"/>
      <c r="AY1873" s="4"/>
      <c r="AZ1873" s="4"/>
      <c r="BA1873" s="4"/>
      <c r="BB1873" s="4"/>
      <c r="BC1873" s="4"/>
      <c r="BD1873" s="4"/>
      <c r="BE1873" s="4"/>
      <c r="BG1873" s="4"/>
      <c r="BH1873" s="4"/>
    </row>
    <row r="1874" spans="1:60" x14ac:dyDescent="0.35">
      <c r="A1874" s="4"/>
      <c r="B1874" s="8" t="str">
        <f t="shared" si="131"/>
        <v/>
      </c>
      <c r="D1874" s="6" t="str">
        <f t="shared" si="132"/>
        <v/>
      </c>
      <c r="E1874" s="6" t="str">
        <f t="shared" si="133"/>
        <v/>
      </c>
      <c r="F1874" s="6" t="str">
        <f t="shared" si="134"/>
        <v/>
      </c>
      <c r="G1874" s="4"/>
      <c r="H1874" s="4"/>
      <c r="I1874" s="4"/>
      <c r="J1874" s="4"/>
      <c r="K1874" s="4"/>
      <c r="L1874" s="4"/>
      <c r="M1874" s="4"/>
      <c r="N1874" s="4"/>
      <c r="O1874" s="4"/>
      <c r="P1874" s="4"/>
      <c r="Q1874" s="4"/>
      <c r="R1874" s="14"/>
      <c r="S1874" s="14"/>
      <c r="T1874" s="14"/>
      <c r="U1874" s="14"/>
      <c r="V1874" s="14"/>
      <c r="W1874" s="14"/>
      <c r="X1874" s="14"/>
      <c r="Y1874" s="4"/>
      <c r="Z1874" s="4"/>
      <c r="AA1874" s="4"/>
      <c r="AB1874" s="4"/>
      <c r="AC1874" s="4"/>
      <c r="AD1874" s="4"/>
      <c r="AE1874" s="4"/>
      <c r="AF1874" s="4"/>
      <c r="AG1874" s="4"/>
      <c r="AH1874" s="4"/>
      <c r="AI1874" s="4"/>
      <c r="AJ1874" s="4"/>
      <c r="AK1874" s="4"/>
      <c r="AL1874" s="4"/>
      <c r="AM1874" s="4"/>
      <c r="AN1874" s="4"/>
      <c r="AO1874" s="4"/>
      <c r="AP1874" s="4"/>
      <c r="AQ1874" s="4"/>
      <c r="AR1874" s="4"/>
      <c r="AS1874" s="4"/>
      <c r="AT1874" s="4"/>
      <c r="AU1874" s="4"/>
      <c r="AV1874" s="4"/>
      <c r="AW1874" s="4"/>
      <c r="AX1874" s="4"/>
      <c r="AY1874" s="4"/>
      <c r="AZ1874" s="4"/>
      <c r="BA1874" s="4"/>
      <c r="BB1874" s="4"/>
      <c r="BC1874" s="4"/>
      <c r="BD1874" s="4"/>
      <c r="BE1874" s="4"/>
      <c r="BG1874" s="4"/>
      <c r="BH1874" s="4"/>
    </row>
    <row r="1875" spans="1:60" x14ac:dyDescent="0.35">
      <c r="A1875" s="4"/>
      <c r="B1875" s="8" t="str">
        <f t="shared" si="131"/>
        <v/>
      </c>
      <c r="D1875" s="6" t="str">
        <f t="shared" si="132"/>
        <v/>
      </c>
      <c r="E1875" s="6" t="str">
        <f t="shared" si="133"/>
        <v/>
      </c>
      <c r="F1875" s="6" t="str">
        <f t="shared" si="134"/>
        <v/>
      </c>
      <c r="G1875" s="4"/>
      <c r="H1875" s="4"/>
      <c r="I1875" s="4"/>
      <c r="J1875" s="4"/>
      <c r="K1875" s="4"/>
      <c r="L1875" s="4"/>
      <c r="M1875" s="4"/>
      <c r="N1875" s="4"/>
      <c r="O1875" s="4"/>
      <c r="P1875" s="4"/>
      <c r="Q1875" s="4"/>
      <c r="R1875" s="14"/>
      <c r="S1875" s="14"/>
      <c r="T1875" s="14"/>
      <c r="U1875" s="14"/>
      <c r="V1875" s="14"/>
      <c r="W1875" s="14"/>
      <c r="X1875" s="14"/>
      <c r="Y1875" s="4"/>
      <c r="Z1875" s="4"/>
      <c r="AA1875" s="4"/>
      <c r="AB1875" s="4"/>
      <c r="AC1875" s="4"/>
      <c r="AD1875" s="4"/>
      <c r="AE1875" s="4"/>
      <c r="AF1875" s="4"/>
      <c r="AG1875" s="4"/>
      <c r="AH1875" s="4"/>
      <c r="AI1875" s="4"/>
      <c r="AJ1875" s="4"/>
      <c r="AK1875" s="4"/>
      <c r="AL1875" s="4"/>
      <c r="AM1875" s="4"/>
      <c r="AN1875" s="4"/>
      <c r="AO1875" s="4"/>
      <c r="AP1875" s="4"/>
      <c r="AQ1875" s="4"/>
      <c r="AR1875" s="4"/>
      <c r="AS1875" s="4"/>
      <c r="AT1875" s="4"/>
      <c r="AU1875" s="4"/>
      <c r="AV1875" s="4"/>
      <c r="AW1875" s="4"/>
      <c r="AX1875" s="4"/>
      <c r="AY1875" s="4"/>
      <c r="AZ1875" s="4"/>
      <c r="BA1875" s="4"/>
      <c r="BB1875" s="4"/>
      <c r="BC1875" s="4"/>
      <c r="BD1875" s="4"/>
      <c r="BE1875" s="4"/>
      <c r="BG1875" s="4"/>
      <c r="BH1875" s="4"/>
    </row>
    <row r="1876" spans="1:60" x14ac:dyDescent="0.35">
      <c r="A1876" s="4"/>
      <c r="B1876" s="8" t="str">
        <f t="shared" si="131"/>
        <v/>
      </c>
      <c r="D1876" s="6" t="str">
        <f t="shared" si="132"/>
        <v/>
      </c>
      <c r="E1876" s="6" t="str">
        <f t="shared" si="133"/>
        <v/>
      </c>
      <c r="F1876" s="6" t="str">
        <f t="shared" si="134"/>
        <v/>
      </c>
      <c r="G1876" s="4"/>
      <c r="H1876" s="4"/>
      <c r="I1876" s="4"/>
      <c r="J1876" s="4"/>
      <c r="K1876" s="4"/>
      <c r="L1876" s="4"/>
      <c r="M1876" s="4"/>
      <c r="N1876" s="4"/>
      <c r="O1876" s="4"/>
      <c r="P1876" s="4"/>
      <c r="Q1876" s="4"/>
      <c r="R1876" s="14"/>
      <c r="S1876" s="14"/>
      <c r="T1876" s="14"/>
      <c r="U1876" s="14"/>
      <c r="V1876" s="14"/>
      <c r="W1876" s="14"/>
      <c r="X1876" s="14"/>
      <c r="Y1876" s="4"/>
      <c r="Z1876" s="4"/>
      <c r="AA1876" s="4"/>
      <c r="AB1876" s="4"/>
      <c r="AC1876" s="4"/>
      <c r="AD1876" s="4"/>
      <c r="AE1876" s="4"/>
      <c r="AF1876" s="4"/>
      <c r="AG1876" s="4"/>
      <c r="AH1876" s="4"/>
      <c r="AI1876" s="4"/>
      <c r="AJ1876" s="4"/>
      <c r="AK1876" s="4"/>
      <c r="AL1876" s="4"/>
      <c r="AM1876" s="4"/>
      <c r="AN1876" s="4"/>
      <c r="AO1876" s="4"/>
      <c r="AP1876" s="4"/>
      <c r="AQ1876" s="4"/>
      <c r="AR1876" s="4"/>
      <c r="AS1876" s="4"/>
      <c r="AT1876" s="4"/>
      <c r="AU1876" s="4"/>
      <c r="AV1876" s="4"/>
      <c r="AW1876" s="4"/>
      <c r="AX1876" s="4"/>
      <c r="AY1876" s="4"/>
      <c r="AZ1876" s="4"/>
      <c r="BA1876" s="4"/>
      <c r="BB1876" s="4"/>
      <c r="BC1876" s="4"/>
      <c r="BD1876" s="4"/>
      <c r="BE1876" s="4"/>
      <c r="BG1876" s="4"/>
      <c r="BH1876" s="4"/>
    </row>
    <row r="1877" spans="1:60" x14ac:dyDescent="0.35">
      <c r="A1877" s="4"/>
      <c r="B1877" s="8" t="str">
        <f t="shared" si="131"/>
        <v/>
      </c>
      <c r="D1877" s="6" t="str">
        <f t="shared" si="132"/>
        <v/>
      </c>
      <c r="E1877" s="6" t="str">
        <f t="shared" si="133"/>
        <v/>
      </c>
      <c r="F1877" s="6" t="str">
        <f t="shared" si="134"/>
        <v/>
      </c>
      <c r="G1877" s="4"/>
      <c r="H1877" s="4"/>
      <c r="I1877" s="4"/>
      <c r="J1877" s="4"/>
      <c r="K1877" s="4"/>
      <c r="L1877" s="4"/>
      <c r="M1877" s="4"/>
      <c r="N1877" s="4"/>
      <c r="O1877" s="4"/>
      <c r="P1877" s="4"/>
      <c r="Q1877" s="4"/>
      <c r="R1877" s="14"/>
      <c r="S1877" s="14"/>
      <c r="T1877" s="14"/>
      <c r="U1877" s="14"/>
      <c r="V1877" s="14"/>
      <c r="W1877" s="14"/>
      <c r="X1877" s="14"/>
      <c r="Y1877" s="4"/>
      <c r="Z1877" s="4"/>
      <c r="AA1877" s="4"/>
      <c r="AB1877" s="4"/>
      <c r="AC1877" s="4"/>
      <c r="AD1877" s="4"/>
      <c r="AE1877" s="4"/>
      <c r="AF1877" s="4"/>
      <c r="AG1877" s="4"/>
      <c r="AH1877" s="4"/>
      <c r="AI1877" s="4"/>
      <c r="AJ1877" s="4"/>
      <c r="AK1877" s="4"/>
      <c r="AL1877" s="4"/>
      <c r="AM1877" s="4"/>
      <c r="AN1877" s="4"/>
      <c r="AO1877" s="4"/>
      <c r="AP1877" s="4"/>
      <c r="AQ1877" s="4"/>
      <c r="AR1877" s="4"/>
      <c r="AS1877" s="4"/>
      <c r="AT1877" s="4"/>
      <c r="AU1877" s="4"/>
      <c r="AV1877" s="4"/>
      <c r="AW1877" s="4"/>
      <c r="AX1877" s="4"/>
      <c r="AY1877" s="4"/>
      <c r="AZ1877" s="4"/>
      <c r="BA1877" s="4"/>
      <c r="BB1877" s="4"/>
      <c r="BC1877" s="4"/>
      <c r="BD1877" s="4"/>
      <c r="BE1877" s="4"/>
      <c r="BG1877" s="4"/>
      <c r="BH1877" s="4"/>
    </row>
    <row r="1878" spans="1:60" x14ac:dyDescent="0.35">
      <c r="A1878" s="4"/>
      <c r="B1878" s="8" t="str">
        <f t="shared" si="131"/>
        <v/>
      </c>
      <c r="D1878" s="6" t="str">
        <f t="shared" si="132"/>
        <v/>
      </c>
      <c r="E1878" s="6" t="str">
        <f t="shared" si="133"/>
        <v/>
      </c>
      <c r="F1878" s="6" t="str">
        <f t="shared" si="134"/>
        <v/>
      </c>
      <c r="G1878" s="4"/>
      <c r="H1878" s="4"/>
      <c r="I1878" s="4"/>
      <c r="J1878" s="4"/>
      <c r="K1878" s="4"/>
      <c r="L1878" s="4"/>
      <c r="M1878" s="4"/>
      <c r="N1878" s="4"/>
      <c r="O1878" s="4"/>
      <c r="P1878" s="4"/>
      <c r="Q1878" s="4"/>
      <c r="R1878" s="14"/>
      <c r="S1878" s="14"/>
      <c r="T1878" s="14"/>
      <c r="U1878" s="14"/>
      <c r="V1878" s="14"/>
      <c r="W1878" s="14"/>
      <c r="X1878" s="14"/>
      <c r="Y1878" s="4"/>
      <c r="Z1878" s="4"/>
      <c r="AA1878" s="4"/>
      <c r="AB1878" s="4"/>
      <c r="AC1878" s="4"/>
      <c r="AD1878" s="4"/>
      <c r="AE1878" s="4"/>
      <c r="AF1878" s="4"/>
      <c r="AG1878" s="4"/>
      <c r="AH1878" s="4"/>
      <c r="AI1878" s="4"/>
      <c r="AJ1878" s="4"/>
      <c r="AK1878" s="4"/>
      <c r="AL1878" s="4"/>
      <c r="AM1878" s="4"/>
      <c r="AN1878" s="4"/>
      <c r="AO1878" s="4"/>
      <c r="AP1878" s="4"/>
      <c r="AQ1878" s="4"/>
      <c r="AR1878" s="4"/>
      <c r="AS1878" s="4"/>
      <c r="AT1878" s="4"/>
      <c r="AU1878" s="4"/>
      <c r="AV1878" s="4"/>
      <c r="AW1878" s="4"/>
      <c r="AX1878" s="4"/>
      <c r="AY1878" s="4"/>
      <c r="AZ1878" s="4"/>
      <c r="BA1878" s="4"/>
      <c r="BB1878" s="4"/>
      <c r="BC1878" s="4"/>
      <c r="BD1878" s="4"/>
      <c r="BE1878" s="4"/>
      <c r="BG1878" s="4"/>
      <c r="BH1878" s="4"/>
    </row>
    <row r="1879" spans="1:60" x14ac:dyDescent="0.35">
      <c r="A1879" s="4"/>
      <c r="B1879" s="8" t="str">
        <f t="shared" si="131"/>
        <v/>
      </c>
      <c r="D1879" s="6" t="str">
        <f t="shared" si="132"/>
        <v/>
      </c>
      <c r="E1879" s="6" t="str">
        <f t="shared" si="133"/>
        <v/>
      </c>
      <c r="F1879" s="6" t="str">
        <f t="shared" si="134"/>
        <v/>
      </c>
      <c r="G1879" s="4"/>
      <c r="H1879" s="4"/>
      <c r="I1879" s="4"/>
      <c r="J1879" s="4"/>
      <c r="K1879" s="4"/>
      <c r="L1879" s="4"/>
      <c r="M1879" s="4"/>
      <c r="N1879" s="4"/>
      <c r="O1879" s="4"/>
      <c r="P1879" s="4"/>
      <c r="Q1879" s="4"/>
      <c r="R1879" s="14"/>
      <c r="S1879" s="14"/>
      <c r="T1879" s="14"/>
      <c r="U1879" s="14"/>
      <c r="V1879" s="14"/>
      <c r="W1879" s="14"/>
      <c r="X1879" s="14"/>
      <c r="Y1879" s="4"/>
      <c r="Z1879" s="4"/>
      <c r="AA1879" s="4"/>
      <c r="AB1879" s="4"/>
      <c r="AC1879" s="4"/>
      <c r="AD1879" s="4"/>
      <c r="AE1879" s="4"/>
      <c r="AF1879" s="4"/>
      <c r="AG1879" s="4"/>
      <c r="AH1879" s="4"/>
      <c r="AI1879" s="4"/>
      <c r="AJ1879" s="4"/>
      <c r="AK1879" s="4"/>
      <c r="AL1879" s="4"/>
      <c r="AM1879" s="4"/>
      <c r="AN1879" s="4"/>
      <c r="AO1879" s="4"/>
      <c r="AP1879" s="4"/>
      <c r="AQ1879" s="4"/>
      <c r="AR1879" s="4"/>
      <c r="AS1879" s="4"/>
      <c r="AT1879" s="4"/>
      <c r="AU1879" s="4"/>
      <c r="AV1879" s="4"/>
      <c r="AW1879" s="4"/>
      <c r="AX1879" s="4"/>
      <c r="AY1879" s="4"/>
      <c r="AZ1879" s="4"/>
      <c r="BA1879" s="4"/>
      <c r="BB1879" s="4"/>
      <c r="BC1879" s="4"/>
      <c r="BD1879" s="4"/>
      <c r="BE1879" s="4"/>
      <c r="BG1879" s="4"/>
      <c r="BH1879" s="4"/>
    </row>
    <row r="1880" spans="1:60" x14ac:dyDescent="0.35">
      <c r="A1880" s="4"/>
      <c r="B1880" s="8" t="str">
        <f t="shared" si="131"/>
        <v/>
      </c>
      <c r="D1880" s="6" t="str">
        <f t="shared" si="132"/>
        <v/>
      </c>
      <c r="E1880" s="6" t="str">
        <f t="shared" si="133"/>
        <v/>
      </c>
      <c r="F1880" s="6" t="str">
        <f t="shared" si="134"/>
        <v/>
      </c>
      <c r="G1880" s="4"/>
      <c r="H1880" s="4"/>
      <c r="I1880" s="4"/>
      <c r="J1880" s="4"/>
      <c r="K1880" s="4"/>
      <c r="L1880" s="4"/>
      <c r="M1880" s="4"/>
      <c r="N1880" s="4"/>
      <c r="O1880" s="4"/>
      <c r="P1880" s="4"/>
      <c r="Q1880" s="4"/>
      <c r="R1880" s="14"/>
      <c r="S1880" s="14"/>
      <c r="T1880" s="14"/>
      <c r="U1880" s="14"/>
      <c r="V1880" s="14"/>
      <c r="W1880" s="14"/>
      <c r="X1880" s="14"/>
      <c r="Y1880" s="4"/>
      <c r="Z1880" s="4"/>
      <c r="AA1880" s="4"/>
      <c r="AB1880" s="4"/>
      <c r="AC1880" s="4"/>
      <c r="AD1880" s="4"/>
      <c r="AE1880" s="4"/>
      <c r="AF1880" s="4"/>
      <c r="AG1880" s="4"/>
      <c r="AH1880" s="4"/>
      <c r="AI1880" s="4"/>
      <c r="AJ1880" s="4"/>
      <c r="AK1880" s="4"/>
      <c r="AL1880" s="4"/>
      <c r="AM1880" s="4"/>
      <c r="AN1880" s="4"/>
      <c r="AO1880" s="4"/>
      <c r="AP1880" s="4"/>
      <c r="AQ1880" s="4"/>
      <c r="AR1880" s="4"/>
      <c r="AS1880" s="4"/>
      <c r="AT1880" s="4"/>
      <c r="AU1880" s="4"/>
      <c r="AV1880" s="4"/>
      <c r="AW1880" s="4"/>
      <c r="AX1880" s="4"/>
      <c r="AY1880" s="4"/>
      <c r="AZ1880" s="4"/>
      <c r="BA1880" s="4"/>
      <c r="BB1880" s="4"/>
      <c r="BC1880" s="4"/>
      <c r="BD1880" s="4"/>
      <c r="BE1880" s="4"/>
      <c r="BG1880" s="4"/>
      <c r="BH1880" s="4"/>
    </row>
    <row r="1881" spans="1:60" x14ac:dyDescent="0.35">
      <c r="A1881" s="4"/>
      <c r="B1881" s="8" t="str">
        <f t="shared" si="131"/>
        <v/>
      </c>
      <c r="D1881" s="6" t="str">
        <f t="shared" si="132"/>
        <v/>
      </c>
      <c r="E1881" s="6" t="str">
        <f t="shared" si="133"/>
        <v/>
      </c>
      <c r="F1881" s="6" t="str">
        <f t="shared" si="134"/>
        <v/>
      </c>
      <c r="G1881" s="4"/>
      <c r="H1881" s="4"/>
      <c r="I1881" s="4"/>
      <c r="J1881" s="4"/>
      <c r="K1881" s="4"/>
      <c r="L1881" s="4"/>
      <c r="M1881" s="4"/>
      <c r="N1881" s="4"/>
      <c r="O1881" s="4"/>
      <c r="P1881" s="4"/>
      <c r="Q1881" s="4"/>
      <c r="R1881" s="14"/>
      <c r="S1881" s="14"/>
      <c r="T1881" s="14"/>
      <c r="U1881" s="14"/>
      <c r="V1881" s="14"/>
      <c r="W1881" s="14"/>
      <c r="X1881" s="14"/>
      <c r="Y1881" s="4"/>
      <c r="Z1881" s="4"/>
      <c r="AA1881" s="4"/>
      <c r="AB1881" s="4"/>
      <c r="AC1881" s="4"/>
      <c r="AD1881" s="4"/>
      <c r="AE1881" s="4"/>
      <c r="AF1881" s="4"/>
      <c r="AG1881" s="4"/>
      <c r="AH1881" s="4"/>
      <c r="AI1881" s="4"/>
      <c r="AJ1881" s="4"/>
      <c r="AK1881" s="4"/>
      <c r="AL1881" s="4"/>
      <c r="AM1881" s="4"/>
      <c r="AN1881" s="4"/>
      <c r="AO1881" s="4"/>
      <c r="AP1881" s="4"/>
      <c r="AQ1881" s="4"/>
      <c r="AR1881" s="4"/>
      <c r="AS1881" s="4"/>
      <c r="AT1881" s="4"/>
      <c r="AU1881" s="4"/>
      <c r="AV1881" s="4"/>
      <c r="AW1881" s="4"/>
      <c r="AX1881" s="4"/>
      <c r="AY1881" s="4"/>
      <c r="AZ1881" s="4"/>
      <c r="BA1881" s="4"/>
      <c r="BB1881" s="4"/>
      <c r="BC1881" s="4"/>
      <c r="BD1881" s="4"/>
      <c r="BE1881" s="4"/>
      <c r="BG1881" s="4"/>
      <c r="BH1881" s="4"/>
    </row>
    <row r="1882" spans="1:60" x14ac:dyDescent="0.35">
      <c r="A1882" s="4"/>
      <c r="B1882" s="8" t="str">
        <f t="shared" si="131"/>
        <v/>
      </c>
      <c r="D1882" s="6" t="str">
        <f t="shared" si="132"/>
        <v/>
      </c>
      <c r="E1882" s="6" t="str">
        <f t="shared" si="133"/>
        <v/>
      </c>
      <c r="F1882" s="6" t="str">
        <f t="shared" si="134"/>
        <v/>
      </c>
      <c r="G1882" s="4"/>
      <c r="H1882" s="4"/>
      <c r="I1882" s="4"/>
      <c r="J1882" s="4"/>
      <c r="K1882" s="4"/>
      <c r="L1882" s="4"/>
      <c r="M1882" s="4"/>
      <c r="N1882" s="4"/>
      <c r="O1882" s="4"/>
      <c r="P1882" s="4"/>
      <c r="Q1882" s="4"/>
      <c r="R1882" s="14"/>
      <c r="S1882" s="14"/>
      <c r="T1882" s="14"/>
      <c r="U1882" s="14"/>
      <c r="V1882" s="14"/>
      <c r="W1882" s="14"/>
      <c r="X1882" s="14"/>
      <c r="Y1882" s="4"/>
      <c r="Z1882" s="4"/>
      <c r="AA1882" s="4"/>
      <c r="AB1882" s="4"/>
      <c r="AC1882" s="4"/>
      <c r="AD1882" s="4"/>
      <c r="AE1882" s="4"/>
      <c r="AF1882" s="4"/>
      <c r="AG1882" s="4"/>
      <c r="AH1882" s="4"/>
      <c r="AI1882" s="4"/>
      <c r="AJ1882" s="4"/>
      <c r="AK1882" s="4"/>
      <c r="AL1882" s="4"/>
      <c r="AM1882" s="4"/>
      <c r="AN1882" s="4"/>
      <c r="AO1882" s="4"/>
      <c r="AP1882" s="4"/>
      <c r="AQ1882" s="4"/>
      <c r="AR1882" s="4"/>
      <c r="AS1882" s="4"/>
      <c r="AT1882" s="4"/>
      <c r="AU1882" s="4"/>
      <c r="AV1882" s="4"/>
      <c r="AW1882" s="4"/>
      <c r="AX1882" s="4"/>
      <c r="AY1882" s="4"/>
      <c r="AZ1882" s="4"/>
      <c r="BA1882" s="4"/>
      <c r="BB1882" s="4"/>
      <c r="BC1882" s="4"/>
      <c r="BD1882" s="4"/>
      <c r="BE1882" s="4"/>
      <c r="BG1882" s="4"/>
      <c r="BH1882" s="4"/>
    </row>
    <row r="1883" spans="1:60" x14ac:dyDescent="0.35">
      <c r="A1883" s="4"/>
      <c r="B1883" s="8" t="str">
        <f t="shared" si="131"/>
        <v/>
      </c>
      <c r="D1883" s="6" t="str">
        <f t="shared" si="132"/>
        <v/>
      </c>
      <c r="E1883" s="6" t="str">
        <f t="shared" si="133"/>
        <v/>
      </c>
      <c r="F1883" s="6" t="str">
        <f t="shared" si="134"/>
        <v/>
      </c>
      <c r="G1883" s="4"/>
      <c r="H1883" s="4"/>
      <c r="I1883" s="4"/>
      <c r="J1883" s="4"/>
      <c r="K1883" s="4"/>
      <c r="L1883" s="4"/>
      <c r="M1883" s="4"/>
      <c r="N1883" s="4"/>
      <c r="O1883" s="4"/>
      <c r="P1883" s="4"/>
      <c r="Q1883" s="4"/>
      <c r="R1883" s="14"/>
      <c r="S1883" s="14"/>
      <c r="T1883" s="14"/>
      <c r="U1883" s="14"/>
      <c r="V1883" s="14"/>
      <c r="W1883" s="14"/>
      <c r="X1883" s="14"/>
      <c r="Y1883" s="4"/>
      <c r="Z1883" s="4"/>
      <c r="AA1883" s="4"/>
      <c r="AB1883" s="4"/>
      <c r="AC1883" s="4"/>
      <c r="AD1883" s="4"/>
      <c r="AE1883" s="4"/>
      <c r="AF1883" s="4"/>
      <c r="AG1883" s="4"/>
      <c r="AH1883" s="4"/>
      <c r="AI1883" s="4"/>
      <c r="AJ1883" s="4"/>
      <c r="AK1883" s="4"/>
      <c r="AL1883" s="4"/>
      <c r="AM1883" s="4"/>
      <c r="AN1883" s="4"/>
      <c r="AO1883" s="4"/>
      <c r="AP1883" s="4"/>
      <c r="AQ1883" s="4"/>
      <c r="AR1883" s="4"/>
      <c r="AS1883" s="4"/>
      <c r="AT1883" s="4"/>
      <c r="AU1883" s="4"/>
      <c r="AV1883" s="4"/>
      <c r="AW1883" s="4"/>
      <c r="AX1883" s="4"/>
      <c r="AY1883" s="4"/>
      <c r="AZ1883" s="4"/>
      <c r="BA1883" s="4"/>
      <c r="BB1883" s="4"/>
      <c r="BC1883" s="4"/>
      <c r="BD1883" s="4"/>
      <c r="BE1883" s="4"/>
      <c r="BG1883" s="4"/>
      <c r="BH1883" s="4"/>
    </row>
    <row r="1884" spans="1:60" x14ac:dyDescent="0.35">
      <c r="A1884" s="4"/>
      <c r="B1884" s="8" t="str">
        <f t="shared" si="131"/>
        <v/>
      </c>
      <c r="D1884" s="6" t="str">
        <f t="shared" si="132"/>
        <v/>
      </c>
      <c r="E1884" s="6" t="str">
        <f t="shared" si="133"/>
        <v/>
      </c>
      <c r="F1884" s="6" t="str">
        <f t="shared" si="134"/>
        <v/>
      </c>
      <c r="G1884" s="4"/>
      <c r="H1884" s="4"/>
      <c r="I1884" s="4"/>
      <c r="J1884" s="4"/>
      <c r="K1884" s="4"/>
      <c r="L1884" s="4"/>
      <c r="M1884" s="4"/>
      <c r="N1884" s="4"/>
      <c r="O1884" s="4"/>
      <c r="P1884" s="4"/>
      <c r="Q1884" s="4"/>
      <c r="R1884" s="14"/>
      <c r="S1884" s="14"/>
      <c r="T1884" s="14"/>
      <c r="U1884" s="14"/>
      <c r="V1884" s="14"/>
      <c r="W1884" s="14"/>
      <c r="X1884" s="14"/>
      <c r="Y1884" s="4"/>
      <c r="Z1884" s="4"/>
      <c r="AA1884" s="4"/>
      <c r="AB1884" s="4"/>
      <c r="AC1884" s="4"/>
      <c r="AD1884" s="4"/>
      <c r="AE1884" s="4"/>
      <c r="AF1884" s="4"/>
      <c r="AG1884" s="4"/>
      <c r="AH1884" s="4"/>
      <c r="AI1884" s="4"/>
      <c r="AJ1884" s="4"/>
      <c r="AK1884" s="4"/>
      <c r="AL1884" s="4"/>
      <c r="AM1884" s="4"/>
      <c r="AN1884" s="4"/>
      <c r="AO1884" s="4"/>
      <c r="AP1884" s="4"/>
      <c r="AQ1884" s="4"/>
      <c r="AR1884" s="4"/>
      <c r="AS1884" s="4"/>
      <c r="AT1884" s="4"/>
      <c r="AU1884" s="4"/>
      <c r="AV1884" s="4"/>
      <c r="AW1884" s="4"/>
      <c r="AX1884" s="4"/>
      <c r="AY1884" s="4"/>
      <c r="AZ1884" s="4"/>
      <c r="BA1884" s="4"/>
      <c r="BB1884" s="4"/>
      <c r="BC1884" s="4"/>
      <c r="BD1884" s="4"/>
      <c r="BE1884" s="4"/>
      <c r="BG1884" s="4"/>
      <c r="BH1884" s="4"/>
    </row>
    <row r="1885" spans="1:60" x14ac:dyDescent="0.35">
      <c r="A1885" s="4"/>
      <c r="B1885" s="8" t="str">
        <f t="shared" si="131"/>
        <v/>
      </c>
      <c r="D1885" s="6" t="str">
        <f t="shared" si="132"/>
        <v/>
      </c>
      <c r="E1885" s="6" t="str">
        <f t="shared" si="133"/>
        <v/>
      </c>
      <c r="F1885" s="6" t="str">
        <f t="shared" si="134"/>
        <v/>
      </c>
      <c r="G1885" s="4"/>
      <c r="H1885" s="4"/>
      <c r="I1885" s="4"/>
      <c r="J1885" s="4"/>
      <c r="K1885" s="4"/>
      <c r="L1885" s="4"/>
      <c r="M1885" s="4"/>
      <c r="N1885" s="4"/>
      <c r="O1885" s="4"/>
      <c r="P1885" s="4"/>
      <c r="Q1885" s="4"/>
      <c r="R1885" s="14"/>
      <c r="S1885" s="14"/>
      <c r="T1885" s="14"/>
      <c r="U1885" s="14"/>
      <c r="V1885" s="14"/>
      <c r="W1885" s="14"/>
      <c r="X1885" s="14"/>
      <c r="Y1885" s="4"/>
      <c r="Z1885" s="4"/>
      <c r="AA1885" s="4"/>
      <c r="AB1885" s="4"/>
      <c r="AC1885" s="4"/>
      <c r="AD1885" s="4"/>
      <c r="AE1885" s="4"/>
      <c r="AF1885" s="4"/>
      <c r="AG1885" s="4"/>
      <c r="AH1885" s="4"/>
      <c r="AI1885" s="4"/>
      <c r="AJ1885" s="4"/>
      <c r="AK1885" s="4"/>
      <c r="AL1885" s="4"/>
      <c r="AM1885" s="4"/>
      <c r="AN1885" s="4"/>
      <c r="AO1885" s="4"/>
      <c r="AP1885" s="4"/>
      <c r="AQ1885" s="4"/>
      <c r="AR1885" s="4"/>
      <c r="AS1885" s="4"/>
      <c r="AT1885" s="4"/>
      <c r="AU1885" s="4"/>
      <c r="AV1885" s="4"/>
      <c r="AW1885" s="4"/>
      <c r="AX1885" s="4"/>
      <c r="AY1885" s="4"/>
      <c r="AZ1885" s="4"/>
      <c r="BA1885" s="4"/>
      <c r="BB1885" s="4"/>
      <c r="BC1885" s="4"/>
      <c r="BD1885" s="4"/>
      <c r="BE1885" s="4"/>
      <c r="BG1885" s="4"/>
      <c r="BH1885" s="4"/>
    </row>
    <row r="1886" spans="1:60" x14ac:dyDescent="0.35">
      <c r="A1886" s="4"/>
      <c r="B1886" s="8" t="str">
        <f t="shared" si="131"/>
        <v/>
      </c>
      <c r="D1886" s="6" t="str">
        <f t="shared" si="132"/>
        <v/>
      </c>
      <c r="E1886" s="6" t="str">
        <f t="shared" si="133"/>
        <v/>
      </c>
      <c r="F1886" s="6" t="str">
        <f t="shared" si="134"/>
        <v/>
      </c>
      <c r="G1886" s="4"/>
      <c r="H1886" s="4"/>
      <c r="I1886" s="4"/>
      <c r="J1886" s="4"/>
      <c r="K1886" s="4"/>
      <c r="L1886" s="4"/>
      <c r="M1886" s="4"/>
      <c r="N1886" s="4"/>
      <c r="O1886" s="4"/>
      <c r="P1886" s="4"/>
      <c r="Q1886" s="4"/>
      <c r="R1886" s="14"/>
      <c r="S1886" s="14"/>
      <c r="T1886" s="14"/>
      <c r="U1886" s="14"/>
      <c r="V1886" s="14"/>
      <c r="W1886" s="14"/>
      <c r="X1886" s="14"/>
      <c r="Y1886" s="4"/>
      <c r="Z1886" s="4"/>
      <c r="AA1886" s="4"/>
      <c r="AB1886" s="4"/>
      <c r="AC1886" s="4"/>
      <c r="AD1886" s="4"/>
      <c r="AE1886" s="4"/>
      <c r="AF1886" s="4"/>
      <c r="AG1886" s="4"/>
      <c r="AH1886" s="4"/>
      <c r="AI1886" s="4"/>
      <c r="AJ1886" s="4"/>
      <c r="AK1886" s="4"/>
      <c r="AL1886" s="4"/>
      <c r="AM1886" s="4"/>
      <c r="AN1886" s="4"/>
      <c r="AO1886" s="4"/>
      <c r="AP1886" s="4"/>
      <c r="AQ1886" s="4"/>
      <c r="AR1886" s="4"/>
      <c r="AS1886" s="4"/>
      <c r="AT1886" s="4"/>
      <c r="AU1886" s="4"/>
      <c r="AV1886" s="4"/>
      <c r="AW1886" s="4"/>
      <c r="AX1886" s="4"/>
      <c r="AY1886" s="4"/>
      <c r="AZ1886" s="4"/>
      <c r="BA1886" s="4"/>
      <c r="BB1886" s="4"/>
      <c r="BC1886" s="4"/>
      <c r="BD1886" s="4"/>
      <c r="BE1886" s="4"/>
      <c r="BG1886" s="4"/>
      <c r="BH1886" s="4"/>
    </row>
    <row r="1887" spans="1:60" x14ac:dyDescent="0.35">
      <c r="A1887" s="4"/>
      <c r="B1887" s="8" t="str">
        <f t="shared" si="131"/>
        <v/>
      </c>
      <c r="D1887" s="6" t="str">
        <f t="shared" si="132"/>
        <v/>
      </c>
      <c r="E1887" s="6" t="str">
        <f t="shared" si="133"/>
        <v/>
      </c>
      <c r="F1887" s="6" t="str">
        <f t="shared" si="134"/>
        <v/>
      </c>
      <c r="G1887" s="4"/>
      <c r="H1887" s="4"/>
      <c r="I1887" s="4"/>
      <c r="J1887" s="4"/>
      <c r="K1887" s="4"/>
      <c r="L1887" s="4"/>
      <c r="M1887" s="4"/>
      <c r="N1887" s="4"/>
      <c r="O1887" s="4"/>
      <c r="P1887" s="4"/>
      <c r="Q1887" s="4"/>
      <c r="R1887" s="14"/>
      <c r="S1887" s="14"/>
      <c r="T1887" s="14"/>
      <c r="U1887" s="14"/>
      <c r="V1887" s="14"/>
      <c r="W1887" s="14"/>
      <c r="X1887" s="14"/>
      <c r="Y1887" s="4"/>
      <c r="Z1887" s="4"/>
      <c r="AA1887" s="4"/>
      <c r="AB1887" s="4"/>
      <c r="AC1887" s="4"/>
      <c r="AD1887" s="4"/>
      <c r="AE1887" s="4"/>
      <c r="AF1887" s="4"/>
      <c r="AG1887" s="4"/>
      <c r="AH1887" s="4"/>
      <c r="AI1887" s="4"/>
      <c r="AJ1887" s="4"/>
      <c r="AK1887" s="4"/>
      <c r="AL1887" s="4"/>
      <c r="AM1887" s="4"/>
      <c r="AN1887" s="4"/>
      <c r="AO1887" s="4"/>
      <c r="AP1887" s="4"/>
      <c r="AQ1887" s="4"/>
      <c r="AR1887" s="4"/>
      <c r="AS1887" s="4"/>
      <c r="AT1887" s="4"/>
      <c r="AU1887" s="4"/>
      <c r="AV1887" s="4"/>
      <c r="AW1887" s="4"/>
      <c r="AX1887" s="4"/>
      <c r="AY1887" s="4"/>
      <c r="AZ1887" s="4"/>
      <c r="BA1887" s="4"/>
      <c r="BB1887" s="4"/>
      <c r="BC1887" s="4"/>
      <c r="BD1887" s="4"/>
      <c r="BE1887" s="4"/>
      <c r="BG1887" s="4"/>
      <c r="BH1887" s="4"/>
    </row>
    <row r="1888" spans="1:60" x14ac:dyDescent="0.35">
      <c r="A1888" s="4"/>
      <c r="B1888" s="8" t="str">
        <f t="shared" si="131"/>
        <v/>
      </c>
      <c r="D1888" s="6" t="str">
        <f t="shared" si="132"/>
        <v/>
      </c>
      <c r="E1888" s="6" t="str">
        <f t="shared" si="133"/>
        <v/>
      </c>
      <c r="F1888" s="6" t="str">
        <f t="shared" si="134"/>
        <v/>
      </c>
      <c r="G1888" s="4"/>
      <c r="H1888" s="4"/>
      <c r="I1888" s="4"/>
      <c r="J1888" s="4"/>
      <c r="K1888" s="4"/>
      <c r="L1888" s="4"/>
      <c r="M1888" s="4"/>
      <c r="N1888" s="4"/>
      <c r="O1888" s="4"/>
      <c r="P1888" s="4"/>
      <c r="Q1888" s="4"/>
      <c r="R1888" s="14"/>
      <c r="S1888" s="14"/>
      <c r="T1888" s="14"/>
      <c r="U1888" s="14"/>
      <c r="V1888" s="14"/>
      <c r="W1888" s="14"/>
      <c r="X1888" s="14"/>
      <c r="Y1888" s="4"/>
      <c r="Z1888" s="4"/>
      <c r="AA1888" s="4"/>
      <c r="AB1888" s="4"/>
      <c r="AC1888" s="4"/>
      <c r="AD1888" s="4"/>
      <c r="AE1888" s="4"/>
      <c r="AF1888" s="4"/>
      <c r="AG1888" s="4"/>
      <c r="AH1888" s="4"/>
      <c r="AI1888" s="4"/>
      <c r="AJ1888" s="4"/>
      <c r="AK1888" s="4"/>
      <c r="AL1888" s="4"/>
      <c r="AM1888" s="4"/>
      <c r="AN1888" s="4"/>
      <c r="AO1888" s="4"/>
      <c r="AP1888" s="4"/>
      <c r="AQ1888" s="4"/>
      <c r="AR1888" s="4"/>
      <c r="AS1888" s="4"/>
      <c r="AT1888" s="4"/>
      <c r="AU1888" s="4"/>
      <c r="AV1888" s="4"/>
      <c r="AW1888" s="4"/>
      <c r="AX1888" s="4"/>
      <c r="AY1888" s="4"/>
      <c r="AZ1888" s="4"/>
      <c r="BA1888" s="4"/>
      <c r="BB1888" s="4"/>
      <c r="BC1888" s="4"/>
      <c r="BD1888" s="4"/>
      <c r="BE1888" s="4"/>
      <c r="BG1888" s="4"/>
      <c r="BH1888" s="4"/>
    </row>
    <row r="1889" spans="1:60" x14ac:dyDescent="0.35">
      <c r="A1889" s="4"/>
      <c r="B1889" s="8" t="str">
        <f t="shared" si="131"/>
        <v/>
      </c>
      <c r="D1889" s="6" t="str">
        <f t="shared" si="132"/>
        <v/>
      </c>
      <c r="E1889" s="6" t="str">
        <f t="shared" si="133"/>
        <v/>
      </c>
      <c r="F1889" s="6" t="str">
        <f t="shared" si="134"/>
        <v/>
      </c>
      <c r="G1889" s="4"/>
      <c r="H1889" s="4"/>
      <c r="I1889" s="4"/>
      <c r="J1889" s="4"/>
      <c r="K1889" s="4"/>
      <c r="L1889" s="4"/>
      <c r="M1889" s="4"/>
      <c r="N1889" s="4"/>
      <c r="O1889" s="4"/>
      <c r="P1889" s="4"/>
      <c r="Q1889" s="4"/>
      <c r="R1889" s="14"/>
      <c r="S1889" s="14"/>
      <c r="T1889" s="14"/>
      <c r="U1889" s="14"/>
      <c r="V1889" s="14"/>
      <c r="W1889" s="14"/>
      <c r="X1889" s="14"/>
      <c r="Y1889" s="4"/>
      <c r="Z1889" s="4"/>
      <c r="AA1889" s="4"/>
      <c r="AB1889" s="4"/>
      <c r="AC1889" s="4"/>
      <c r="AD1889" s="4"/>
      <c r="AE1889" s="4"/>
      <c r="AF1889" s="4"/>
      <c r="AG1889" s="4"/>
      <c r="AH1889" s="4"/>
      <c r="AI1889" s="4"/>
      <c r="AJ1889" s="4"/>
      <c r="AK1889" s="4"/>
      <c r="AL1889" s="4"/>
      <c r="AM1889" s="4"/>
      <c r="AN1889" s="4"/>
      <c r="AO1889" s="4"/>
      <c r="AP1889" s="4"/>
      <c r="AQ1889" s="4"/>
      <c r="AR1889" s="4"/>
      <c r="AS1889" s="4"/>
      <c r="AT1889" s="4"/>
      <c r="AU1889" s="4"/>
      <c r="AV1889" s="4"/>
      <c r="AW1889" s="4"/>
      <c r="AX1889" s="4"/>
      <c r="AY1889" s="4"/>
      <c r="AZ1889" s="4"/>
      <c r="BA1889" s="4"/>
      <c r="BB1889" s="4"/>
      <c r="BC1889" s="4"/>
      <c r="BD1889" s="4"/>
      <c r="BE1889" s="4"/>
      <c r="BG1889" s="4"/>
      <c r="BH1889" s="4"/>
    </row>
    <row r="1890" spans="1:60" x14ac:dyDescent="0.35">
      <c r="A1890" s="4"/>
      <c r="B1890" s="8" t="str">
        <f t="shared" si="131"/>
        <v/>
      </c>
      <c r="D1890" s="6" t="str">
        <f t="shared" si="132"/>
        <v/>
      </c>
      <c r="E1890" s="6" t="str">
        <f t="shared" si="133"/>
        <v/>
      </c>
      <c r="F1890" s="6" t="str">
        <f t="shared" si="134"/>
        <v/>
      </c>
      <c r="G1890" s="4"/>
      <c r="H1890" s="4"/>
      <c r="I1890" s="4"/>
      <c r="J1890" s="4"/>
      <c r="K1890" s="4"/>
      <c r="L1890" s="4"/>
      <c r="M1890" s="4"/>
      <c r="N1890" s="4"/>
      <c r="O1890" s="4"/>
      <c r="P1890" s="4"/>
      <c r="Q1890" s="4"/>
      <c r="R1890" s="14"/>
      <c r="S1890" s="14"/>
      <c r="T1890" s="14"/>
      <c r="U1890" s="14"/>
      <c r="V1890" s="14"/>
      <c r="W1890" s="14"/>
      <c r="X1890" s="14"/>
      <c r="Y1890" s="4"/>
      <c r="Z1890" s="4"/>
      <c r="AA1890" s="4"/>
      <c r="AB1890" s="4"/>
      <c r="AC1890" s="4"/>
      <c r="AD1890" s="4"/>
      <c r="AE1890" s="4"/>
      <c r="AF1890" s="4"/>
      <c r="AG1890" s="4"/>
      <c r="AH1890" s="4"/>
      <c r="AI1890" s="4"/>
      <c r="AJ1890" s="4"/>
      <c r="AK1890" s="4"/>
      <c r="AL1890" s="4"/>
      <c r="AM1890" s="4"/>
      <c r="AN1890" s="4"/>
      <c r="AO1890" s="4"/>
      <c r="AP1890" s="4"/>
      <c r="AQ1890" s="4"/>
      <c r="AR1890" s="4"/>
      <c r="AS1890" s="4"/>
      <c r="AT1890" s="4"/>
      <c r="AU1890" s="4"/>
      <c r="AV1890" s="4"/>
      <c r="AW1890" s="4"/>
      <c r="AX1890" s="4"/>
      <c r="AY1890" s="4"/>
      <c r="AZ1890" s="4"/>
      <c r="BA1890" s="4"/>
      <c r="BB1890" s="4"/>
      <c r="BC1890" s="4"/>
      <c r="BD1890" s="4"/>
      <c r="BE1890" s="4"/>
      <c r="BG1890" s="4"/>
      <c r="BH1890" s="4"/>
    </row>
    <row r="1891" spans="1:60" x14ac:dyDescent="0.35">
      <c r="A1891" s="4"/>
      <c r="B1891" s="8" t="str">
        <f t="shared" si="131"/>
        <v/>
      </c>
      <c r="D1891" s="6" t="str">
        <f t="shared" si="132"/>
        <v/>
      </c>
      <c r="E1891" s="6" t="str">
        <f t="shared" si="133"/>
        <v/>
      </c>
      <c r="F1891" s="6" t="str">
        <f t="shared" si="134"/>
        <v/>
      </c>
      <c r="G1891" s="4"/>
      <c r="H1891" s="4"/>
      <c r="I1891" s="4"/>
      <c r="J1891" s="4"/>
      <c r="K1891" s="4"/>
      <c r="L1891" s="4"/>
      <c r="M1891" s="4"/>
      <c r="N1891" s="4"/>
      <c r="O1891" s="4"/>
      <c r="P1891" s="4"/>
      <c r="Q1891" s="4"/>
      <c r="R1891" s="14"/>
      <c r="S1891" s="14"/>
      <c r="T1891" s="14"/>
      <c r="U1891" s="14"/>
      <c r="V1891" s="14"/>
      <c r="W1891" s="14"/>
      <c r="X1891" s="14"/>
      <c r="Y1891" s="4"/>
      <c r="Z1891" s="4"/>
      <c r="AA1891" s="4"/>
      <c r="AB1891" s="4"/>
      <c r="AC1891" s="4"/>
      <c r="AD1891" s="4"/>
      <c r="AE1891" s="4"/>
      <c r="AF1891" s="4"/>
      <c r="AG1891" s="4"/>
      <c r="AH1891" s="4"/>
      <c r="AI1891" s="4"/>
      <c r="AJ1891" s="4"/>
      <c r="AK1891" s="4"/>
      <c r="AL1891" s="4"/>
      <c r="AM1891" s="4"/>
      <c r="AN1891" s="4"/>
      <c r="AO1891" s="4"/>
      <c r="AP1891" s="4"/>
      <c r="AQ1891" s="4"/>
      <c r="AR1891" s="4"/>
      <c r="AS1891" s="4"/>
      <c r="AT1891" s="4"/>
      <c r="AU1891" s="4"/>
      <c r="AV1891" s="4"/>
      <c r="AW1891" s="4"/>
      <c r="AX1891" s="4"/>
      <c r="AY1891" s="4"/>
      <c r="AZ1891" s="4"/>
      <c r="BA1891" s="4"/>
      <c r="BB1891" s="4"/>
      <c r="BC1891" s="4"/>
      <c r="BD1891" s="4"/>
      <c r="BE1891" s="4"/>
      <c r="BG1891" s="4"/>
      <c r="BH1891" s="4"/>
    </row>
    <row r="1892" spans="1:60" x14ac:dyDescent="0.35">
      <c r="A1892" s="4"/>
      <c r="B1892" s="8" t="str">
        <f t="shared" si="131"/>
        <v/>
      </c>
      <c r="D1892" s="6" t="str">
        <f t="shared" si="132"/>
        <v/>
      </c>
      <c r="E1892" s="6" t="str">
        <f t="shared" si="133"/>
        <v/>
      </c>
      <c r="F1892" s="6" t="str">
        <f t="shared" si="134"/>
        <v/>
      </c>
      <c r="G1892" s="4"/>
      <c r="H1892" s="4"/>
      <c r="I1892" s="4"/>
      <c r="J1892" s="4"/>
      <c r="K1892" s="4"/>
      <c r="L1892" s="4"/>
      <c r="M1892" s="4"/>
      <c r="N1892" s="4"/>
      <c r="O1892" s="4"/>
      <c r="P1892" s="4"/>
      <c r="Q1892" s="4"/>
      <c r="R1892" s="14"/>
      <c r="S1892" s="14"/>
      <c r="T1892" s="14"/>
      <c r="U1892" s="14"/>
      <c r="V1892" s="14"/>
      <c r="W1892" s="14"/>
      <c r="X1892" s="1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4"/>
      <c r="AU1892" s="4"/>
      <c r="AV1892" s="4"/>
      <c r="AW1892" s="4"/>
      <c r="AX1892" s="4"/>
      <c r="AY1892" s="4"/>
      <c r="AZ1892" s="4"/>
      <c r="BA1892" s="4"/>
      <c r="BB1892" s="4"/>
      <c r="BC1892" s="4"/>
      <c r="BD1892" s="4"/>
      <c r="BE1892" s="4"/>
      <c r="BG1892" s="4"/>
      <c r="BH1892" s="4"/>
    </row>
    <row r="1893" spans="1:60" x14ac:dyDescent="0.35">
      <c r="A1893" s="4"/>
      <c r="B1893" s="8" t="str">
        <f t="shared" si="131"/>
        <v/>
      </c>
      <c r="D1893" s="6" t="str">
        <f t="shared" si="132"/>
        <v/>
      </c>
      <c r="E1893" s="6" t="str">
        <f t="shared" si="133"/>
        <v/>
      </c>
      <c r="F1893" s="6" t="str">
        <f t="shared" si="134"/>
        <v/>
      </c>
      <c r="G1893" s="4"/>
      <c r="H1893" s="4"/>
      <c r="I1893" s="4"/>
      <c r="J1893" s="4"/>
      <c r="K1893" s="4"/>
      <c r="L1893" s="4"/>
      <c r="M1893" s="4"/>
      <c r="N1893" s="4"/>
      <c r="O1893" s="4"/>
      <c r="P1893" s="4"/>
      <c r="Q1893" s="4"/>
      <c r="R1893" s="14"/>
      <c r="S1893" s="14"/>
      <c r="T1893" s="14"/>
      <c r="U1893" s="14"/>
      <c r="V1893" s="14"/>
      <c r="W1893" s="14"/>
      <c r="X1893" s="14"/>
      <c r="Y1893" s="4"/>
      <c r="Z1893" s="4"/>
      <c r="AA1893" s="4"/>
      <c r="AB1893" s="4"/>
      <c r="AC1893" s="4"/>
      <c r="AD1893" s="4"/>
      <c r="AE1893" s="4"/>
      <c r="AF1893" s="4"/>
      <c r="AG1893" s="4"/>
      <c r="AH1893" s="4"/>
      <c r="AI1893" s="4"/>
      <c r="AJ1893" s="4"/>
      <c r="AK1893" s="4"/>
      <c r="AL1893" s="4"/>
      <c r="AM1893" s="4"/>
      <c r="AN1893" s="4"/>
      <c r="AO1893" s="4"/>
      <c r="AP1893" s="4"/>
      <c r="AQ1893" s="4"/>
      <c r="AR1893" s="4"/>
      <c r="AS1893" s="4"/>
      <c r="AT1893" s="4"/>
      <c r="AU1893" s="4"/>
      <c r="AV1893" s="4"/>
      <c r="AW1893" s="4"/>
      <c r="AX1893" s="4"/>
      <c r="AY1893" s="4"/>
      <c r="AZ1893" s="4"/>
      <c r="BA1893" s="4"/>
      <c r="BB1893" s="4"/>
      <c r="BC1893" s="4"/>
      <c r="BD1893" s="4"/>
      <c r="BE1893" s="4"/>
      <c r="BG1893" s="4"/>
      <c r="BH1893" s="4"/>
    </row>
    <row r="1894" spans="1:60" x14ac:dyDescent="0.35">
      <c r="A1894" s="4"/>
      <c r="B1894" s="8" t="str">
        <f t="shared" si="131"/>
        <v/>
      </c>
      <c r="D1894" s="6" t="str">
        <f t="shared" si="132"/>
        <v/>
      </c>
      <c r="E1894" s="6" t="str">
        <f t="shared" si="133"/>
        <v/>
      </c>
      <c r="F1894" s="6" t="str">
        <f t="shared" si="134"/>
        <v/>
      </c>
      <c r="G1894" s="4"/>
      <c r="H1894" s="4"/>
      <c r="I1894" s="4"/>
      <c r="J1894" s="4"/>
      <c r="K1894" s="4"/>
      <c r="L1894" s="4"/>
      <c r="M1894" s="4"/>
      <c r="N1894" s="4"/>
      <c r="O1894" s="4"/>
      <c r="P1894" s="4"/>
      <c r="Q1894" s="4"/>
      <c r="R1894" s="14"/>
      <c r="S1894" s="14"/>
      <c r="T1894" s="14"/>
      <c r="U1894" s="14"/>
      <c r="V1894" s="14"/>
      <c r="W1894" s="14"/>
      <c r="X1894" s="14"/>
      <c r="Y1894" s="4"/>
      <c r="Z1894" s="4"/>
      <c r="AA1894" s="4"/>
      <c r="AB1894" s="4"/>
      <c r="AC1894" s="4"/>
      <c r="AD1894" s="4"/>
      <c r="AE1894" s="4"/>
      <c r="AF1894" s="4"/>
      <c r="AG1894" s="4"/>
      <c r="AH1894" s="4"/>
      <c r="AI1894" s="4"/>
      <c r="AJ1894" s="4"/>
      <c r="AK1894" s="4"/>
      <c r="AL1894" s="4"/>
      <c r="AM1894" s="4"/>
      <c r="AN1894" s="4"/>
      <c r="AO1894" s="4"/>
      <c r="AP1894" s="4"/>
      <c r="AQ1894" s="4"/>
      <c r="AR1894" s="4"/>
      <c r="AS1894" s="4"/>
      <c r="AT1894" s="4"/>
      <c r="AU1894" s="4"/>
      <c r="AV1894" s="4"/>
      <c r="AW1894" s="4"/>
      <c r="AX1894" s="4"/>
      <c r="AY1894" s="4"/>
      <c r="AZ1894" s="4"/>
      <c r="BA1894" s="4"/>
      <c r="BB1894" s="4"/>
      <c r="BC1894" s="4"/>
      <c r="BD1894" s="4"/>
      <c r="BE1894" s="4"/>
      <c r="BG1894" s="4"/>
      <c r="BH1894" s="4"/>
    </row>
    <row r="1895" spans="1:60" x14ac:dyDescent="0.35">
      <c r="A1895" s="4"/>
      <c r="B1895" s="8" t="str">
        <f t="shared" si="131"/>
        <v/>
      </c>
      <c r="D1895" s="6" t="str">
        <f t="shared" si="132"/>
        <v/>
      </c>
      <c r="E1895" s="6" t="str">
        <f t="shared" si="133"/>
        <v/>
      </c>
      <c r="F1895" s="6" t="str">
        <f t="shared" si="134"/>
        <v/>
      </c>
      <c r="G1895" s="4"/>
      <c r="H1895" s="4"/>
      <c r="I1895" s="4"/>
      <c r="J1895" s="4"/>
      <c r="K1895" s="4"/>
      <c r="L1895" s="4"/>
      <c r="M1895" s="4"/>
      <c r="N1895" s="4"/>
      <c r="O1895" s="4"/>
      <c r="P1895" s="4"/>
      <c r="Q1895" s="4"/>
      <c r="R1895" s="14"/>
      <c r="S1895" s="14"/>
      <c r="T1895" s="14"/>
      <c r="U1895" s="14"/>
      <c r="V1895" s="14"/>
      <c r="W1895" s="14"/>
      <c r="X1895" s="1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4"/>
      <c r="AU1895" s="4"/>
      <c r="AV1895" s="4"/>
      <c r="AW1895" s="4"/>
      <c r="AX1895" s="4"/>
      <c r="AY1895" s="4"/>
      <c r="AZ1895" s="4"/>
      <c r="BA1895" s="4"/>
      <c r="BB1895" s="4"/>
      <c r="BC1895" s="4"/>
      <c r="BD1895" s="4"/>
      <c r="BE1895" s="4"/>
      <c r="BG1895" s="4"/>
      <c r="BH1895" s="4"/>
    </row>
    <row r="1896" spans="1:60" x14ac:dyDescent="0.35">
      <c r="A1896" s="4"/>
      <c r="B1896" s="8" t="str">
        <f t="shared" si="131"/>
        <v/>
      </c>
      <c r="D1896" s="6" t="str">
        <f t="shared" si="132"/>
        <v/>
      </c>
      <c r="E1896" s="6" t="str">
        <f t="shared" si="133"/>
        <v/>
      </c>
      <c r="F1896" s="6" t="str">
        <f t="shared" si="134"/>
        <v/>
      </c>
      <c r="G1896" s="4"/>
      <c r="H1896" s="4"/>
      <c r="I1896" s="4"/>
      <c r="J1896" s="4"/>
      <c r="K1896" s="4"/>
      <c r="L1896" s="4"/>
      <c r="M1896" s="4"/>
      <c r="N1896" s="4"/>
      <c r="O1896" s="4"/>
      <c r="P1896" s="4"/>
      <c r="Q1896" s="4"/>
      <c r="R1896" s="14"/>
      <c r="S1896" s="14"/>
      <c r="T1896" s="14"/>
      <c r="U1896" s="14"/>
      <c r="V1896" s="14"/>
      <c r="W1896" s="14"/>
      <c r="X1896" s="14"/>
      <c r="Y1896" s="4"/>
      <c r="Z1896" s="4"/>
      <c r="AA1896" s="4"/>
      <c r="AB1896" s="4"/>
      <c r="AC1896" s="4"/>
      <c r="AD1896" s="4"/>
      <c r="AE1896" s="4"/>
      <c r="AF1896" s="4"/>
      <c r="AG1896" s="4"/>
      <c r="AH1896" s="4"/>
      <c r="AI1896" s="4"/>
      <c r="AJ1896" s="4"/>
      <c r="AK1896" s="4"/>
      <c r="AL1896" s="4"/>
      <c r="AM1896" s="4"/>
      <c r="AN1896" s="4"/>
      <c r="AO1896" s="4"/>
      <c r="AP1896" s="4"/>
      <c r="AQ1896" s="4"/>
      <c r="AR1896" s="4"/>
      <c r="AS1896" s="4"/>
      <c r="AT1896" s="4"/>
      <c r="AU1896" s="4"/>
      <c r="AV1896" s="4"/>
      <c r="AW1896" s="4"/>
      <c r="AX1896" s="4"/>
      <c r="AY1896" s="4"/>
      <c r="AZ1896" s="4"/>
      <c r="BA1896" s="4"/>
      <c r="BB1896" s="4"/>
      <c r="BC1896" s="4"/>
      <c r="BD1896" s="4"/>
      <c r="BE1896" s="4"/>
      <c r="BG1896" s="4"/>
      <c r="BH1896" s="4"/>
    </row>
    <row r="1897" spans="1:60" x14ac:dyDescent="0.35">
      <c r="A1897" s="4"/>
      <c r="B1897" s="8" t="str">
        <f t="shared" si="131"/>
        <v/>
      </c>
      <c r="D1897" s="6" t="str">
        <f t="shared" si="132"/>
        <v/>
      </c>
      <c r="E1897" s="6" t="str">
        <f t="shared" si="133"/>
        <v/>
      </c>
      <c r="F1897" s="6" t="str">
        <f t="shared" si="134"/>
        <v/>
      </c>
      <c r="G1897" s="4"/>
      <c r="H1897" s="4"/>
      <c r="I1897" s="4"/>
      <c r="J1897" s="4"/>
      <c r="K1897" s="4"/>
      <c r="L1897" s="4"/>
      <c r="M1897" s="4"/>
      <c r="N1897" s="4"/>
      <c r="O1897" s="4"/>
      <c r="P1897" s="4"/>
      <c r="Q1897" s="4"/>
      <c r="R1897" s="14"/>
      <c r="S1897" s="14"/>
      <c r="T1897" s="14"/>
      <c r="U1897" s="14"/>
      <c r="V1897" s="14"/>
      <c r="W1897" s="14"/>
      <c r="X1897" s="14"/>
      <c r="Y1897" s="4"/>
      <c r="Z1897" s="4"/>
      <c r="AA1897" s="4"/>
      <c r="AB1897" s="4"/>
      <c r="AC1897" s="4"/>
      <c r="AD1897" s="4"/>
      <c r="AE1897" s="4"/>
      <c r="AF1897" s="4"/>
      <c r="AG1897" s="4"/>
      <c r="AH1897" s="4"/>
      <c r="AI1897" s="4"/>
      <c r="AJ1897" s="4"/>
      <c r="AK1897" s="4"/>
      <c r="AL1897" s="4"/>
      <c r="AM1897" s="4"/>
      <c r="AN1897" s="4"/>
      <c r="AO1897" s="4"/>
      <c r="AP1897" s="4"/>
      <c r="AQ1897" s="4"/>
      <c r="AR1897" s="4"/>
      <c r="AS1897" s="4"/>
      <c r="AT1897" s="4"/>
      <c r="AU1897" s="4"/>
      <c r="AV1897" s="4"/>
      <c r="AW1897" s="4"/>
      <c r="AX1897" s="4"/>
      <c r="AY1897" s="4"/>
      <c r="AZ1897" s="4"/>
      <c r="BA1897" s="4"/>
      <c r="BB1897" s="4"/>
      <c r="BC1897" s="4"/>
      <c r="BD1897" s="4"/>
      <c r="BE1897" s="4"/>
      <c r="BG1897" s="4"/>
      <c r="BH1897" s="4"/>
    </row>
    <row r="1898" spans="1:60" x14ac:dyDescent="0.35">
      <c r="A1898" s="4"/>
      <c r="B1898" s="8" t="str">
        <f t="shared" si="131"/>
        <v/>
      </c>
      <c r="D1898" s="6" t="str">
        <f t="shared" si="132"/>
        <v/>
      </c>
      <c r="E1898" s="6" t="str">
        <f t="shared" si="133"/>
        <v/>
      </c>
      <c r="F1898" s="6" t="str">
        <f t="shared" si="134"/>
        <v/>
      </c>
      <c r="G1898" s="4"/>
      <c r="H1898" s="4"/>
      <c r="I1898" s="4"/>
      <c r="J1898" s="4"/>
      <c r="K1898" s="4"/>
      <c r="L1898" s="4"/>
      <c r="M1898" s="4"/>
      <c r="N1898" s="4"/>
      <c r="O1898" s="4"/>
      <c r="P1898" s="4"/>
      <c r="Q1898" s="4"/>
      <c r="R1898" s="14"/>
      <c r="S1898" s="14"/>
      <c r="T1898" s="14"/>
      <c r="U1898" s="14"/>
      <c r="V1898" s="14"/>
      <c r="W1898" s="14"/>
      <c r="X1898" s="14"/>
      <c r="Y1898" s="4"/>
      <c r="Z1898" s="4"/>
      <c r="AA1898" s="4"/>
      <c r="AB1898" s="4"/>
      <c r="AC1898" s="4"/>
      <c r="AD1898" s="4"/>
      <c r="AE1898" s="4"/>
      <c r="AF1898" s="4"/>
      <c r="AG1898" s="4"/>
      <c r="AH1898" s="4"/>
      <c r="AI1898" s="4"/>
      <c r="AJ1898" s="4"/>
      <c r="AK1898" s="4"/>
      <c r="AL1898" s="4"/>
      <c r="AM1898" s="4"/>
      <c r="AN1898" s="4"/>
      <c r="AO1898" s="4"/>
      <c r="AP1898" s="4"/>
      <c r="AQ1898" s="4"/>
      <c r="AR1898" s="4"/>
      <c r="AS1898" s="4"/>
      <c r="AT1898" s="4"/>
      <c r="AU1898" s="4"/>
      <c r="AV1898" s="4"/>
      <c r="AW1898" s="4"/>
      <c r="AX1898" s="4"/>
      <c r="AY1898" s="4"/>
      <c r="AZ1898" s="4"/>
      <c r="BA1898" s="4"/>
      <c r="BB1898" s="4"/>
      <c r="BC1898" s="4"/>
      <c r="BD1898" s="4"/>
      <c r="BE1898" s="4"/>
      <c r="BG1898" s="4"/>
      <c r="BH1898" s="4"/>
    </row>
    <row r="1899" spans="1:60" x14ac:dyDescent="0.35">
      <c r="A1899" s="4"/>
      <c r="B1899" s="8" t="str">
        <f t="shared" si="131"/>
        <v/>
      </c>
      <c r="D1899" s="6" t="str">
        <f t="shared" si="132"/>
        <v/>
      </c>
      <c r="E1899" s="6" t="str">
        <f t="shared" si="133"/>
        <v/>
      </c>
      <c r="F1899" s="6" t="str">
        <f t="shared" si="134"/>
        <v/>
      </c>
      <c r="G1899" s="4"/>
      <c r="H1899" s="4"/>
      <c r="I1899" s="4"/>
      <c r="J1899" s="4"/>
      <c r="K1899" s="4"/>
      <c r="L1899" s="4"/>
      <c r="M1899" s="4"/>
      <c r="N1899" s="4"/>
      <c r="O1899" s="4"/>
      <c r="P1899" s="4"/>
      <c r="Q1899" s="4"/>
      <c r="R1899" s="14"/>
      <c r="S1899" s="14"/>
      <c r="T1899" s="14"/>
      <c r="U1899" s="14"/>
      <c r="V1899" s="14"/>
      <c r="W1899" s="14"/>
      <c r="X1899" s="14"/>
      <c r="Y1899" s="4"/>
      <c r="Z1899" s="4"/>
      <c r="AA1899" s="4"/>
      <c r="AB1899" s="4"/>
      <c r="AC1899" s="4"/>
      <c r="AD1899" s="4"/>
      <c r="AE1899" s="4"/>
      <c r="AF1899" s="4"/>
      <c r="AG1899" s="4"/>
      <c r="AH1899" s="4"/>
      <c r="AI1899" s="4"/>
      <c r="AJ1899" s="4"/>
      <c r="AK1899" s="4"/>
      <c r="AL1899" s="4"/>
      <c r="AM1899" s="4"/>
      <c r="AN1899" s="4"/>
      <c r="AO1899" s="4"/>
      <c r="AP1899" s="4"/>
      <c r="AQ1899" s="4"/>
      <c r="AR1899" s="4"/>
      <c r="AS1899" s="4"/>
      <c r="AT1899" s="4"/>
      <c r="AU1899" s="4"/>
      <c r="AV1899" s="4"/>
      <c r="AW1899" s="4"/>
      <c r="AX1899" s="4"/>
      <c r="AY1899" s="4"/>
      <c r="AZ1899" s="4"/>
      <c r="BA1899" s="4"/>
      <c r="BB1899" s="4"/>
      <c r="BC1899" s="4"/>
      <c r="BD1899" s="4"/>
      <c r="BE1899" s="4"/>
      <c r="BG1899" s="4"/>
      <c r="BH1899" s="4"/>
    </row>
    <row r="1900" spans="1:60" x14ac:dyDescent="0.35">
      <c r="A1900" s="4"/>
      <c r="B1900" s="8" t="str">
        <f t="shared" si="131"/>
        <v/>
      </c>
      <c r="D1900" s="6" t="str">
        <f t="shared" si="132"/>
        <v/>
      </c>
      <c r="E1900" s="6" t="str">
        <f t="shared" si="133"/>
        <v/>
      </c>
      <c r="F1900" s="6" t="str">
        <f t="shared" si="134"/>
        <v/>
      </c>
      <c r="G1900" s="4"/>
      <c r="H1900" s="4"/>
      <c r="I1900" s="4"/>
      <c r="J1900" s="4"/>
      <c r="K1900" s="4"/>
      <c r="L1900" s="4"/>
      <c r="M1900" s="4"/>
      <c r="N1900" s="4"/>
      <c r="O1900" s="4"/>
      <c r="P1900" s="4"/>
      <c r="Q1900" s="4"/>
      <c r="R1900" s="14"/>
      <c r="S1900" s="14"/>
      <c r="T1900" s="14"/>
      <c r="U1900" s="14"/>
      <c r="V1900" s="14"/>
      <c r="W1900" s="14"/>
      <c r="X1900" s="14"/>
      <c r="Y1900" s="4"/>
      <c r="Z1900" s="4"/>
      <c r="AA1900" s="4"/>
      <c r="AB1900" s="4"/>
      <c r="AC1900" s="4"/>
      <c r="AD1900" s="4"/>
      <c r="AE1900" s="4"/>
      <c r="AF1900" s="4"/>
      <c r="AG1900" s="4"/>
      <c r="AH1900" s="4"/>
      <c r="AI1900" s="4"/>
      <c r="AJ1900" s="4"/>
      <c r="AK1900" s="4"/>
      <c r="AL1900" s="4"/>
      <c r="AM1900" s="4"/>
      <c r="AN1900" s="4"/>
      <c r="AO1900" s="4"/>
      <c r="AP1900" s="4"/>
      <c r="AQ1900" s="4"/>
      <c r="AR1900" s="4"/>
      <c r="AS1900" s="4"/>
      <c r="AT1900" s="4"/>
      <c r="AU1900" s="4"/>
      <c r="AV1900" s="4"/>
      <c r="AW1900" s="4"/>
      <c r="AX1900" s="4"/>
      <c r="AY1900" s="4"/>
      <c r="AZ1900" s="4"/>
      <c r="BA1900" s="4"/>
      <c r="BB1900" s="4"/>
      <c r="BC1900" s="4"/>
      <c r="BD1900" s="4"/>
      <c r="BE1900" s="4"/>
      <c r="BG1900" s="4"/>
      <c r="BH1900" s="4"/>
    </row>
    <row r="1901" spans="1:60" x14ac:dyDescent="0.35">
      <c r="A1901" s="4"/>
      <c r="B1901" s="8" t="str">
        <f t="shared" si="131"/>
        <v/>
      </c>
      <c r="D1901" s="6" t="str">
        <f t="shared" si="132"/>
        <v/>
      </c>
      <c r="E1901" s="6" t="str">
        <f t="shared" si="133"/>
        <v/>
      </c>
      <c r="F1901" s="6" t="str">
        <f t="shared" si="134"/>
        <v/>
      </c>
      <c r="G1901" s="4"/>
      <c r="H1901" s="4"/>
      <c r="I1901" s="4"/>
      <c r="J1901" s="4"/>
      <c r="K1901" s="4"/>
      <c r="L1901" s="4"/>
      <c r="M1901" s="4"/>
      <c r="N1901" s="4"/>
      <c r="O1901" s="4"/>
      <c r="P1901" s="4"/>
      <c r="Q1901" s="4"/>
      <c r="R1901" s="14"/>
      <c r="S1901" s="14"/>
      <c r="T1901" s="14"/>
      <c r="U1901" s="14"/>
      <c r="V1901" s="14"/>
      <c r="W1901" s="14"/>
      <c r="X1901" s="14"/>
      <c r="Y1901" s="4"/>
      <c r="Z1901" s="4"/>
      <c r="AA1901" s="4"/>
      <c r="AB1901" s="4"/>
      <c r="AC1901" s="4"/>
      <c r="AD1901" s="4"/>
      <c r="AE1901" s="4"/>
      <c r="AF1901" s="4"/>
      <c r="AG1901" s="4"/>
      <c r="AH1901" s="4"/>
      <c r="AI1901" s="4"/>
      <c r="AJ1901" s="4"/>
      <c r="AK1901" s="4"/>
      <c r="AL1901" s="4"/>
      <c r="AM1901" s="4"/>
      <c r="AN1901" s="4"/>
      <c r="AO1901" s="4"/>
      <c r="AP1901" s="4"/>
      <c r="AQ1901" s="4"/>
      <c r="AR1901" s="4"/>
      <c r="AS1901" s="4"/>
      <c r="AT1901" s="4"/>
      <c r="AU1901" s="4"/>
      <c r="AV1901" s="4"/>
      <c r="AW1901" s="4"/>
      <c r="AX1901" s="4"/>
      <c r="AY1901" s="4"/>
      <c r="AZ1901" s="4"/>
      <c r="BA1901" s="4"/>
      <c r="BB1901" s="4"/>
      <c r="BC1901" s="4"/>
      <c r="BD1901" s="4"/>
      <c r="BE1901" s="4"/>
      <c r="BG1901" s="4"/>
      <c r="BH1901" s="4"/>
    </row>
    <row r="1902" spans="1:60" x14ac:dyDescent="0.35">
      <c r="A1902" s="4"/>
      <c r="B1902" s="8" t="str">
        <f t="shared" si="131"/>
        <v/>
      </c>
      <c r="D1902" s="6" t="str">
        <f t="shared" si="132"/>
        <v/>
      </c>
      <c r="E1902" s="6" t="str">
        <f t="shared" si="133"/>
        <v/>
      </c>
      <c r="F1902" s="6" t="str">
        <f t="shared" si="134"/>
        <v/>
      </c>
      <c r="G1902" s="4"/>
      <c r="H1902" s="4"/>
      <c r="I1902" s="4"/>
      <c r="J1902" s="4"/>
      <c r="K1902" s="4"/>
      <c r="L1902" s="4"/>
      <c r="M1902" s="4"/>
      <c r="N1902" s="4"/>
      <c r="O1902" s="4"/>
      <c r="P1902" s="4"/>
      <c r="Q1902" s="4"/>
      <c r="R1902" s="14"/>
      <c r="S1902" s="14"/>
      <c r="T1902" s="14"/>
      <c r="U1902" s="14"/>
      <c r="V1902" s="14"/>
      <c r="W1902" s="14"/>
      <c r="X1902" s="14"/>
      <c r="Y1902" s="4"/>
      <c r="Z1902" s="4"/>
      <c r="AA1902" s="4"/>
      <c r="AB1902" s="4"/>
      <c r="AC1902" s="4"/>
      <c r="AD1902" s="4"/>
      <c r="AE1902" s="4"/>
      <c r="AF1902" s="4"/>
      <c r="AG1902" s="4"/>
      <c r="AH1902" s="4"/>
      <c r="AI1902" s="4"/>
      <c r="AJ1902" s="4"/>
      <c r="AK1902" s="4"/>
      <c r="AL1902" s="4"/>
      <c r="AM1902" s="4"/>
      <c r="AN1902" s="4"/>
      <c r="AO1902" s="4"/>
      <c r="AP1902" s="4"/>
      <c r="AQ1902" s="4"/>
      <c r="AR1902" s="4"/>
      <c r="AS1902" s="4"/>
      <c r="AT1902" s="4"/>
      <c r="AU1902" s="4"/>
      <c r="AV1902" s="4"/>
      <c r="AW1902" s="4"/>
      <c r="AX1902" s="4"/>
      <c r="AY1902" s="4"/>
      <c r="AZ1902" s="4"/>
      <c r="BA1902" s="4"/>
      <c r="BB1902" s="4"/>
      <c r="BC1902" s="4"/>
      <c r="BD1902" s="4"/>
      <c r="BE1902" s="4"/>
      <c r="BG1902" s="4"/>
      <c r="BH1902" s="4"/>
    </row>
    <row r="1903" spans="1:60" x14ac:dyDescent="0.35">
      <c r="A1903" s="4"/>
      <c r="B1903" s="8" t="str">
        <f t="shared" si="131"/>
        <v/>
      </c>
      <c r="D1903" s="6" t="str">
        <f t="shared" si="132"/>
        <v/>
      </c>
      <c r="E1903" s="6" t="str">
        <f t="shared" si="133"/>
        <v/>
      </c>
      <c r="F1903" s="6" t="str">
        <f t="shared" si="134"/>
        <v/>
      </c>
      <c r="G1903" s="4"/>
      <c r="H1903" s="4"/>
      <c r="I1903" s="4"/>
      <c r="J1903" s="4"/>
      <c r="K1903" s="4"/>
      <c r="L1903" s="4"/>
      <c r="M1903" s="4"/>
      <c r="N1903" s="4"/>
      <c r="O1903" s="4"/>
      <c r="P1903" s="4"/>
      <c r="Q1903" s="4"/>
      <c r="R1903" s="14"/>
      <c r="S1903" s="14"/>
      <c r="T1903" s="14"/>
      <c r="U1903" s="14"/>
      <c r="V1903" s="14"/>
      <c r="W1903" s="14"/>
      <c r="X1903" s="14"/>
      <c r="Y1903" s="4"/>
      <c r="Z1903" s="4"/>
      <c r="AA1903" s="4"/>
      <c r="AB1903" s="4"/>
      <c r="AC1903" s="4"/>
      <c r="AD1903" s="4"/>
      <c r="AE1903" s="4"/>
      <c r="AF1903" s="4"/>
      <c r="AG1903" s="4"/>
      <c r="AH1903" s="4"/>
      <c r="AI1903" s="4"/>
      <c r="AJ1903" s="4"/>
      <c r="AK1903" s="4"/>
      <c r="AL1903" s="4"/>
      <c r="AM1903" s="4"/>
      <c r="AN1903" s="4"/>
      <c r="AO1903" s="4"/>
      <c r="AP1903" s="4"/>
      <c r="AQ1903" s="4"/>
      <c r="AR1903" s="4"/>
      <c r="AS1903" s="4"/>
      <c r="AT1903" s="4"/>
      <c r="AU1903" s="4"/>
      <c r="AV1903" s="4"/>
      <c r="AW1903" s="4"/>
      <c r="AX1903" s="4"/>
      <c r="AY1903" s="4"/>
      <c r="AZ1903" s="4"/>
      <c r="BA1903" s="4"/>
      <c r="BB1903" s="4"/>
      <c r="BC1903" s="4"/>
      <c r="BD1903" s="4"/>
      <c r="BE1903" s="4"/>
      <c r="BG1903" s="4"/>
      <c r="BH1903" s="4"/>
    </row>
    <row r="1904" spans="1:60" x14ac:dyDescent="0.35">
      <c r="A1904" s="4"/>
      <c r="B1904" s="8" t="str">
        <f t="shared" si="131"/>
        <v/>
      </c>
      <c r="D1904" s="6" t="str">
        <f t="shared" si="132"/>
        <v/>
      </c>
      <c r="E1904" s="6" t="str">
        <f t="shared" si="133"/>
        <v/>
      </c>
      <c r="F1904" s="6" t="str">
        <f t="shared" si="134"/>
        <v/>
      </c>
      <c r="G1904" s="4"/>
      <c r="H1904" s="4"/>
      <c r="I1904" s="4"/>
      <c r="J1904" s="4"/>
      <c r="K1904" s="4"/>
      <c r="L1904" s="4"/>
      <c r="M1904" s="4"/>
      <c r="N1904" s="4"/>
      <c r="O1904" s="4"/>
      <c r="P1904" s="4"/>
      <c r="Q1904" s="4"/>
      <c r="R1904" s="14"/>
      <c r="S1904" s="14"/>
      <c r="T1904" s="14"/>
      <c r="U1904" s="14"/>
      <c r="V1904" s="14"/>
      <c r="W1904" s="14"/>
      <c r="X1904" s="14"/>
      <c r="Y1904" s="4"/>
      <c r="Z1904" s="4"/>
      <c r="AA1904" s="4"/>
      <c r="AB1904" s="4"/>
      <c r="AC1904" s="4"/>
      <c r="AD1904" s="4"/>
      <c r="AE1904" s="4"/>
      <c r="AF1904" s="4"/>
      <c r="AG1904" s="4"/>
      <c r="AH1904" s="4"/>
      <c r="AI1904" s="4"/>
      <c r="AJ1904" s="4"/>
      <c r="AK1904" s="4"/>
      <c r="AL1904" s="4"/>
      <c r="AM1904" s="4"/>
      <c r="AN1904" s="4"/>
      <c r="AO1904" s="4"/>
      <c r="AP1904" s="4"/>
      <c r="AQ1904" s="4"/>
      <c r="AR1904" s="4"/>
      <c r="AS1904" s="4"/>
      <c r="AT1904" s="4"/>
      <c r="AU1904" s="4"/>
      <c r="AV1904" s="4"/>
      <c r="AW1904" s="4"/>
      <c r="AX1904" s="4"/>
      <c r="AY1904" s="4"/>
      <c r="AZ1904" s="4"/>
      <c r="BA1904" s="4"/>
      <c r="BB1904" s="4"/>
      <c r="BC1904" s="4"/>
      <c r="BD1904" s="4"/>
      <c r="BE1904" s="4"/>
      <c r="BG1904" s="4"/>
      <c r="BH1904" s="4"/>
    </row>
    <row r="1905" spans="1:60" x14ac:dyDescent="0.35">
      <c r="A1905" s="4"/>
      <c r="B1905" s="8" t="str">
        <f t="shared" si="131"/>
        <v/>
      </c>
      <c r="D1905" s="6" t="str">
        <f t="shared" si="132"/>
        <v/>
      </c>
      <c r="E1905" s="6" t="str">
        <f t="shared" si="133"/>
        <v/>
      </c>
      <c r="F1905" s="6" t="str">
        <f t="shared" si="134"/>
        <v/>
      </c>
      <c r="G1905" s="4"/>
      <c r="H1905" s="4"/>
      <c r="I1905" s="4"/>
      <c r="J1905" s="4"/>
      <c r="K1905" s="4"/>
      <c r="L1905" s="4"/>
      <c r="M1905" s="4"/>
      <c r="N1905" s="4"/>
      <c r="O1905" s="4"/>
      <c r="P1905" s="4"/>
      <c r="Q1905" s="4"/>
      <c r="R1905" s="14"/>
      <c r="S1905" s="14"/>
      <c r="T1905" s="14"/>
      <c r="U1905" s="14"/>
      <c r="V1905" s="14"/>
      <c r="W1905" s="14"/>
      <c r="X1905" s="1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c r="BA1905" s="4"/>
      <c r="BB1905" s="4"/>
      <c r="BC1905" s="4"/>
      <c r="BD1905" s="4"/>
      <c r="BE1905" s="4"/>
      <c r="BG1905" s="4"/>
      <c r="BH1905" s="4"/>
    </row>
    <row r="1906" spans="1:60" x14ac:dyDescent="0.35">
      <c r="A1906" s="4"/>
      <c r="B1906" s="8" t="str">
        <f t="shared" si="131"/>
        <v/>
      </c>
      <c r="D1906" s="6" t="str">
        <f t="shared" si="132"/>
        <v/>
      </c>
      <c r="E1906" s="6" t="str">
        <f t="shared" si="133"/>
        <v/>
      </c>
      <c r="F1906" s="6" t="str">
        <f t="shared" si="134"/>
        <v/>
      </c>
      <c r="G1906" s="4"/>
      <c r="H1906" s="4"/>
      <c r="I1906" s="4"/>
      <c r="J1906" s="4"/>
      <c r="K1906" s="4"/>
      <c r="L1906" s="4"/>
      <c r="M1906" s="4"/>
      <c r="N1906" s="4"/>
      <c r="O1906" s="4"/>
      <c r="P1906" s="4"/>
      <c r="Q1906" s="4"/>
      <c r="R1906" s="14"/>
      <c r="S1906" s="14"/>
      <c r="T1906" s="14"/>
      <c r="U1906" s="14"/>
      <c r="V1906" s="14"/>
      <c r="W1906" s="14"/>
      <c r="X1906" s="14"/>
      <c r="Y1906" s="4"/>
      <c r="Z1906" s="4"/>
      <c r="AA1906" s="4"/>
      <c r="AB1906" s="4"/>
      <c r="AC1906" s="4"/>
      <c r="AD1906" s="4"/>
      <c r="AE1906" s="4"/>
      <c r="AF1906" s="4"/>
      <c r="AG1906" s="4"/>
      <c r="AH1906" s="4"/>
      <c r="AI1906" s="4"/>
      <c r="AJ1906" s="4"/>
      <c r="AK1906" s="4"/>
      <c r="AL1906" s="4"/>
      <c r="AM1906" s="4"/>
      <c r="AN1906" s="4"/>
      <c r="AO1906" s="4"/>
      <c r="AP1906" s="4"/>
      <c r="AQ1906" s="4"/>
      <c r="AR1906" s="4"/>
      <c r="AS1906" s="4"/>
      <c r="AT1906" s="4"/>
      <c r="AU1906" s="4"/>
      <c r="AV1906" s="4"/>
      <c r="AW1906" s="4"/>
      <c r="AX1906" s="4"/>
      <c r="AY1906" s="4"/>
      <c r="AZ1906" s="4"/>
      <c r="BA1906" s="4"/>
      <c r="BB1906" s="4"/>
      <c r="BC1906" s="4"/>
      <c r="BD1906" s="4"/>
      <c r="BE1906" s="4"/>
      <c r="BG1906" s="4"/>
      <c r="BH1906" s="4"/>
    </row>
    <row r="1907" spans="1:60" x14ac:dyDescent="0.35">
      <c r="A1907" s="4"/>
      <c r="B1907" s="8" t="str">
        <f t="shared" si="131"/>
        <v/>
      </c>
      <c r="D1907" s="6" t="str">
        <f t="shared" si="132"/>
        <v/>
      </c>
      <c r="E1907" s="6" t="str">
        <f t="shared" si="133"/>
        <v/>
      </c>
      <c r="F1907" s="6" t="str">
        <f t="shared" si="134"/>
        <v/>
      </c>
      <c r="G1907" s="4"/>
      <c r="H1907" s="4"/>
      <c r="I1907" s="4"/>
      <c r="J1907" s="4"/>
      <c r="K1907" s="4"/>
      <c r="L1907" s="4"/>
      <c r="M1907" s="4"/>
      <c r="N1907" s="4"/>
      <c r="O1907" s="4"/>
      <c r="P1907" s="4"/>
      <c r="Q1907" s="4"/>
      <c r="R1907" s="14"/>
      <c r="S1907" s="14"/>
      <c r="T1907" s="14"/>
      <c r="U1907" s="14"/>
      <c r="V1907" s="14"/>
      <c r="W1907" s="14"/>
      <c r="X1907" s="14"/>
      <c r="Y1907" s="4"/>
      <c r="Z1907" s="4"/>
      <c r="AA1907" s="4"/>
      <c r="AB1907" s="4"/>
      <c r="AC1907" s="4"/>
      <c r="AD1907" s="4"/>
      <c r="AE1907" s="4"/>
      <c r="AF1907" s="4"/>
      <c r="AG1907" s="4"/>
      <c r="AH1907" s="4"/>
      <c r="AI1907" s="4"/>
      <c r="AJ1907" s="4"/>
      <c r="AK1907" s="4"/>
      <c r="AL1907" s="4"/>
      <c r="AM1907" s="4"/>
      <c r="AN1907" s="4"/>
      <c r="AO1907" s="4"/>
      <c r="AP1907" s="4"/>
      <c r="AQ1907" s="4"/>
      <c r="AR1907" s="4"/>
      <c r="AS1907" s="4"/>
      <c r="AT1907" s="4"/>
      <c r="AU1907" s="4"/>
      <c r="AV1907" s="4"/>
      <c r="AW1907" s="4"/>
      <c r="AX1907" s="4"/>
      <c r="AY1907" s="4"/>
      <c r="AZ1907" s="4"/>
      <c r="BA1907" s="4"/>
      <c r="BB1907" s="4"/>
      <c r="BC1907" s="4"/>
      <c r="BD1907" s="4"/>
      <c r="BE1907" s="4"/>
      <c r="BG1907" s="4"/>
      <c r="BH1907" s="4"/>
    </row>
    <row r="1908" spans="1:60" x14ac:dyDescent="0.35">
      <c r="A1908" s="4"/>
      <c r="B1908" s="8" t="str">
        <f t="shared" si="131"/>
        <v/>
      </c>
      <c r="D1908" s="6" t="str">
        <f t="shared" si="132"/>
        <v/>
      </c>
      <c r="E1908" s="6" t="str">
        <f t="shared" si="133"/>
        <v/>
      </c>
      <c r="F1908" s="6" t="str">
        <f t="shared" si="134"/>
        <v/>
      </c>
      <c r="G1908" s="4"/>
      <c r="H1908" s="4"/>
      <c r="I1908" s="4"/>
      <c r="J1908" s="4"/>
      <c r="K1908" s="4"/>
      <c r="L1908" s="4"/>
      <c r="M1908" s="4"/>
      <c r="N1908" s="4"/>
      <c r="O1908" s="4"/>
      <c r="P1908" s="4"/>
      <c r="Q1908" s="4"/>
      <c r="R1908" s="14"/>
      <c r="S1908" s="14"/>
      <c r="T1908" s="14"/>
      <c r="U1908" s="14"/>
      <c r="V1908" s="14"/>
      <c r="W1908" s="14"/>
      <c r="X1908" s="14"/>
      <c r="Y1908" s="4"/>
      <c r="Z1908" s="4"/>
      <c r="AA1908" s="4"/>
      <c r="AB1908" s="4"/>
      <c r="AC1908" s="4"/>
      <c r="AD1908" s="4"/>
      <c r="AE1908" s="4"/>
      <c r="AF1908" s="4"/>
      <c r="AG1908" s="4"/>
      <c r="AH1908" s="4"/>
      <c r="AI1908" s="4"/>
      <c r="AJ1908" s="4"/>
      <c r="AK1908" s="4"/>
      <c r="AL1908" s="4"/>
      <c r="AM1908" s="4"/>
      <c r="AN1908" s="4"/>
      <c r="AO1908" s="4"/>
      <c r="AP1908" s="4"/>
      <c r="AQ1908" s="4"/>
      <c r="AR1908" s="4"/>
      <c r="AS1908" s="4"/>
      <c r="AT1908" s="4"/>
      <c r="AU1908" s="4"/>
      <c r="AV1908" s="4"/>
      <c r="AW1908" s="4"/>
      <c r="AX1908" s="4"/>
      <c r="AY1908" s="4"/>
      <c r="AZ1908" s="4"/>
      <c r="BA1908" s="4"/>
      <c r="BB1908" s="4"/>
      <c r="BC1908" s="4"/>
      <c r="BD1908" s="4"/>
      <c r="BE1908" s="4"/>
      <c r="BG1908" s="4"/>
      <c r="BH1908" s="4"/>
    </row>
    <row r="1909" spans="1:60" x14ac:dyDescent="0.35">
      <c r="A1909" s="4"/>
      <c r="B1909" s="8" t="str">
        <f t="shared" si="131"/>
        <v/>
      </c>
      <c r="D1909" s="6" t="str">
        <f t="shared" si="132"/>
        <v/>
      </c>
      <c r="E1909" s="6" t="str">
        <f t="shared" si="133"/>
        <v/>
      </c>
      <c r="F1909" s="6" t="str">
        <f t="shared" si="134"/>
        <v/>
      </c>
      <c r="G1909" s="4"/>
      <c r="H1909" s="4"/>
      <c r="I1909" s="4"/>
      <c r="J1909" s="4"/>
      <c r="K1909" s="4"/>
      <c r="L1909" s="4"/>
      <c r="M1909" s="4"/>
      <c r="N1909" s="4"/>
      <c r="O1909" s="4"/>
      <c r="P1909" s="4"/>
      <c r="Q1909" s="4"/>
      <c r="R1909" s="14"/>
      <c r="S1909" s="14"/>
      <c r="T1909" s="14"/>
      <c r="U1909" s="14"/>
      <c r="V1909" s="14"/>
      <c r="W1909" s="14"/>
      <c r="X1909" s="14"/>
      <c r="Y1909" s="4"/>
      <c r="Z1909" s="4"/>
      <c r="AA1909" s="4"/>
      <c r="AB1909" s="4"/>
      <c r="AC1909" s="4"/>
      <c r="AD1909" s="4"/>
      <c r="AE1909" s="4"/>
      <c r="AF1909" s="4"/>
      <c r="AG1909" s="4"/>
      <c r="AH1909" s="4"/>
      <c r="AI1909" s="4"/>
      <c r="AJ1909" s="4"/>
      <c r="AK1909" s="4"/>
      <c r="AL1909" s="4"/>
      <c r="AM1909" s="4"/>
      <c r="AN1909" s="4"/>
      <c r="AO1909" s="4"/>
      <c r="AP1909" s="4"/>
      <c r="AQ1909" s="4"/>
      <c r="AR1909" s="4"/>
      <c r="AS1909" s="4"/>
      <c r="AT1909" s="4"/>
      <c r="AU1909" s="4"/>
      <c r="AV1909" s="4"/>
      <c r="AW1909" s="4"/>
      <c r="AX1909" s="4"/>
      <c r="AY1909" s="4"/>
      <c r="AZ1909" s="4"/>
      <c r="BA1909" s="4"/>
      <c r="BB1909" s="4"/>
      <c r="BC1909" s="4"/>
      <c r="BD1909" s="4"/>
      <c r="BE1909" s="4"/>
      <c r="BG1909" s="4"/>
      <c r="BH1909" s="4"/>
    </row>
    <row r="1910" spans="1:60" x14ac:dyDescent="0.35">
      <c r="A1910" s="4"/>
      <c r="B1910" s="8" t="str">
        <f t="shared" si="131"/>
        <v/>
      </c>
      <c r="D1910" s="6" t="str">
        <f t="shared" si="132"/>
        <v/>
      </c>
      <c r="E1910" s="6" t="str">
        <f t="shared" si="133"/>
        <v/>
      </c>
      <c r="F1910" s="6" t="str">
        <f t="shared" si="134"/>
        <v/>
      </c>
      <c r="G1910" s="4"/>
      <c r="H1910" s="4"/>
      <c r="I1910" s="4"/>
      <c r="J1910" s="4"/>
      <c r="K1910" s="4"/>
      <c r="L1910" s="4"/>
      <c r="M1910" s="4"/>
      <c r="N1910" s="4"/>
      <c r="O1910" s="4"/>
      <c r="P1910" s="4"/>
      <c r="Q1910" s="4"/>
      <c r="R1910" s="14"/>
      <c r="S1910" s="14"/>
      <c r="T1910" s="14"/>
      <c r="U1910" s="14"/>
      <c r="V1910" s="14"/>
      <c r="W1910" s="14"/>
      <c r="X1910" s="14"/>
      <c r="Y1910" s="4"/>
      <c r="Z1910" s="4"/>
      <c r="AA1910" s="4"/>
      <c r="AB1910" s="4"/>
      <c r="AC1910" s="4"/>
      <c r="AD1910" s="4"/>
      <c r="AE1910" s="4"/>
      <c r="AF1910" s="4"/>
      <c r="AG1910" s="4"/>
      <c r="AH1910" s="4"/>
      <c r="AI1910" s="4"/>
      <c r="AJ1910" s="4"/>
      <c r="AK1910" s="4"/>
      <c r="AL1910" s="4"/>
      <c r="AM1910" s="4"/>
      <c r="AN1910" s="4"/>
      <c r="AO1910" s="4"/>
      <c r="AP1910" s="4"/>
      <c r="AQ1910" s="4"/>
      <c r="AR1910" s="4"/>
      <c r="AS1910" s="4"/>
      <c r="AT1910" s="4"/>
      <c r="AU1910" s="4"/>
      <c r="AV1910" s="4"/>
      <c r="AW1910" s="4"/>
      <c r="AX1910" s="4"/>
      <c r="AY1910" s="4"/>
      <c r="AZ1910" s="4"/>
      <c r="BA1910" s="4"/>
      <c r="BB1910" s="4"/>
      <c r="BC1910" s="4"/>
      <c r="BD1910" s="4"/>
      <c r="BE1910" s="4"/>
      <c r="BG1910" s="4"/>
      <c r="BH1910" s="4"/>
    </row>
    <row r="1911" spans="1:60" x14ac:dyDescent="0.35">
      <c r="A1911" s="4"/>
      <c r="B1911" s="8" t="str">
        <f t="shared" si="131"/>
        <v/>
      </c>
      <c r="D1911" s="6" t="str">
        <f t="shared" si="132"/>
        <v/>
      </c>
      <c r="E1911" s="6" t="str">
        <f t="shared" si="133"/>
        <v/>
      </c>
      <c r="F1911" s="6" t="str">
        <f t="shared" si="134"/>
        <v/>
      </c>
      <c r="G1911" s="4"/>
      <c r="H1911" s="4"/>
      <c r="I1911" s="4"/>
      <c r="J1911" s="4"/>
      <c r="K1911" s="4"/>
      <c r="L1911" s="4"/>
      <c r="M1911" s="4"/>
      <c r="N1911" s="4"/>
      <c r="O1911" s="4"/>
      <c r="P1911" s="4"/>
      <c r="Q1911" s="4"/>
      <c r="R1911" s="14"/>
      <c r="S1911" s="14"/>
      <c r="T1911" s="14"/>
      <c r="U1911" s="14"/>
      <c r="V1911" s="14"/>
      <c r="W1911" s="14"/>
      <c r="X1911" s="14"/>
      <c r="Y1911" s="4"/>
      <c r="Z1911" s="4"/>
      <c r="AA1911" s="4"/>
      <c r="AB1911" s="4"/>
      <c r="AC1911" s="4"/>
      <c r="AD1911" s="4"/>
      <c r="AE1911" s="4"/>
      <c r="AF1911" s="4"/>
      <c r="AG1911" s="4"/>
      <c r="AH1911" s="4"/>
      <c r="AI1911" s="4"/>
      <c r="AJ1911" s="4"/>
      <c r="AK1911" s="4"/>
      <c r="AL1911" s="4"/>
      <c r="AM1911" s="4"/>
      <c r="AN1911" s="4"/>
      <c r="AO1911" s="4"/>
      <c r="AP1911" s="4"/>
      <c r="AQ1911" s="4"/>
      <c r="AR1911" s="4"/>
      <c r="AS1911" s="4"/>
      <c r="AT1911" s="4"/>
      <c r="AU1911" s="4"/>
      <c r="AV1911" s="4"/>
      <c r="AW1911" s="4"/>
      <c r="AX1911" s="4"/>
      <c r="AY1911" s="4"/>
      <c r="AZ1911" s="4"/>
      <c r="BA1911" s="4"/>
      <c r="BB1911" s="4"/>
      <c r="BC1911" s="4"/>
      <c r="BD1911" s="4"/>
      <c r="BE1911" s="4"/>
      <c r="BG1911" s="4"/>
      <c r="BH1911" s="4"/>
    </row>
    <row r="1912" spans="1:60" x14ac:dyDescent="0.35">
      <c r="A1912" s="4"/>
      <c r="B1912" s="8" t="str">
        <f t="shared" si="131"/>
        <v/>
      </c>
      <c r="D1912" s="6" t="str">
        <f t="shared" si="132"/>
        <v/>
      </c>
      <c r="E1912" s="6" t="str">
        <f t="shared" si="133"/>
        <v/>
      </c>
      <c r="F1912" s="6" t="str">
        <f t="shared" si="134"/>
        <v/>
      </c>
      <c r="G1912" s="4"/>
      <c r="H1912" s="4"/>
      <c r="I1912" s="4"/>
      <c r="J1912" s="4"/>
      <c r="K1912" s="4"/>
      <c r="L1912" s="4"/>
      <c r="M1912" s="4"/>
      <c r="N1912" s="4"/>
      <c r="O1912" s="4"/>
      <c r="P1912" s="4"/>
      <c r="Q1912" s="4"/>
      <c r="R1912" s="14"/>
      <c r="S1912" s="14"/>
      <c r="T1912" s="14"/>
      <c r="U1912" s="14"/>
      <c r="V1912" s="14"/>
      <c r="W1912" s="14"/>
      <c r="X1912" s="14"/>
      <c r="Y1912" s="4"/>
      <c r="Z1912" s="4"/>
      <c r="AA1912" s="4"/>
      <c r="AB1912" s="4"/>
      <c r="AC1912" s="4"/>
      <c r="AD1912" s="4"/>
      <c r="AE1912" s="4"/>
      <c r="AF1912" s="4"/>
      <c r="AG1912" s="4"/>
      <c r="AH1912" s="4"/>
      <c r="AI1912" s="4"/>
      <c r="AJ1912" s="4"/>
      <c r="AK1912" s="4"/>
      <c r="AL1912" s="4"/>
      <c r="AM1912" s="4"/>
      <c r="AN1912" s="4"/>
      <c r="AO1912" s="4"/>
      <c r="AP1912" s="4"/>
      <c r="AQ1912" s="4"/>
      <c r="AR1912" s="4"/>
      <c r="AS1912" s="4"/>
      <c r="AT1912" s="4"/>
      <c r="AU1912" s="4"/>
      <c r="AV1912" s="4"/>
      <c r="AW1912" s="4"/>
      <c r="AX1912" s="4"/>
      <c r="AY1912" s="4"/>
      <c r="AZ1912" s="4"/>
      <c r="BA1912" s="4"/>
      <c r="BB1912" s="4"/>
      <c r="BC1912" s="4"/>
      <c r="BD1912" s="4"/>
      <c r="BE1912" s="4"/>
      <c r="BG1912" s="4"/>
      <c r="BH1912" s="4"/>
    </row>
    <row r="1913" spans="1:60" x14ac:dyDescent="0.35">
      <c r="A1913" s="4"/>
      <c r="B1913" s="8" t="str">
        <f t="shared" ref="B1913:B1968" si="135">RIGHT(A1913,4)</f>
        <v/>
      </c>
      <c r="D1913" s="6" t="str">
        <f t="shared" si="132"/>
        <v/>
      </c>
      <c r="E1913" s="6" t="str">
        <f t="shared" si="133"/>
        <v/>
      </c>
      <c r="F1913" s="6" t="str">
        <f t="shared" si="134"/>
        <v/>
      </c>
      <c r="G1913" s="4"/>
      <c r="H1913" s="4"/>
      <c r="I1913" s="4"/>
      <c r="J1913" s="4"/>
      <c r="K1913" s="4"/>
      <c r="L1913" s="4"/>
      <c r="M1913" s="4"/>
      <c r="N1913" s="4"/>
      <c r="O1913" s="4"/>
      <c r="P1913" s="4"/>
      <c r="Q1913" s="4"/>
      <c r="R1913" s="14"/>
      <c r="S1913" s="14"/>
      <c r="T1913" s="14"/>
      <c r="U1913" s="14"/>
      <c r="V1913" s="14"/>
      <c r="W1913" s="14"/>
      <c r="X1913" s="14"/>
      <c r="Y1913" s="4"/>
      <c r="Z1913" s="4"/>
      <c r="AA1913" s="4"/>
      <c r="AB1913" s="4"/>
      <c r="AC1913" s="4"/>
      <c r="AD1913" s="4"/>
      <c r="AE1913" s="4"/>
      <c r="AF1913" s="4"/>
      <c r="AG1913" s="4"/>
      <c r="AH1913" s="4"/>
      <c r="AI1913" s="4"/>
      <c r="AJ1913" s="4"/>
      <c r="AK1913" s="4"/>
      <c r="AL1913" s="4"/>
      <c r="AM1913" s="4"/>
      <c r="AN1913" s="4"/>
      <c r="AO1913" s="4"/>
      <c r="AP1913" s="4"/>
      <c r="AQ1913" s="4"/>
      <c r="AR1913" s="4"/>
      <c r="AS1913" s="4"/>
      <c r="AT1913" s="4"/>
      <c r="AU1913" s="4"/>
      <c r="AV1913" s="4"/>
      <c r="AW1913" s="4"/>
      <c r="AX1913" s="4"/>
      <c r="AY1913" s="4"/>
      <c r="AZ1913" s="4"/>
      <c r="BA1913" s="4"/>
      <c r="BB1913" s="4"/>
      <c r="BC1913" s="4"/>
      <c r="BD1913" s="4"/>
      <c r="BE1913" s="4"/>
      <c r="BG1913" s="4"/>
      <c r="BH1913" s="4"/>
    </row>
    <row r="1914" spans="1:60" x14ac:dyDescent="0.35">
      <c r="A1914" s="4"/>
      <c r="B1914" s="8" t="str">
        <f t="shared" si="135"/>
        <v/>
      </c>
      <c r="D1914" s="6" t="str">
        <f t="shared" si="132"/>
        <v/>
      </c>
      <c r="E1914" s="6" t="str">
        <f t="shared" si="133"/>
        <v/>
      </c>
      <c r="F1914" s="6" t="str">
        <f t="shared" si="134"/>
        <v/>
      </c>
      <c r="G1914" s="4"/>
      <c r="H1914" s="4"/>
      <c r="I1914" s="4"/>
      <c r="J1914" s="4"/>
      <c r="K1914" s="4"/>
      <c r="L1914" s="4"/>
      <c r="M1914" s="4"/>
      <c r="N1914" s="4"/>
      <c r="O1914" s="4"/>
      <c r="P1914" s="4"/>
      <c r="Q1914" s="4"/>
      <c r="R1914" s="14"/>
      <c r="S1914" s="14"/>
      <c r="T1914" s="14"/>
      <c r="U1914" s="14"/>
      <c r="V1914" s="14"/>
      <c r="W1914" s="14"/>
      <c r="X1914" s="14"/>
      <c r="Y1914" s="4"/>
      <c r="Z1914" s="4"/>
      <c r="AA1914" s="4"/>
      <c r="AB1914" s="4"/>
      <c r="AC1914" s="4"/>
      <c r="AD1914" s="4"/>
      <c r="AE1914" s="4"/>
      <c r="AF1914" s="4"/>
      <c r="AG1914" s="4"/>
      <c r="AH1914" s="4"/>
      <c r="AI1914" s="4"/>
      <c r="AJ1914" s="4"/>
      <c r="AK1914" s="4"/>
      <c r="AL1914" s="4"/>
      <c r="AM1914" s="4"/>
      <c r="AN1914" s="4"/>
      <c r="AO1914" s="4"/>
      <c r="AP1914" s="4"/>
      <c r="AQ1914" s="4"/>
      <c r="AR1914" s="4"/>
      <c r="AS1914" s="4"/>
      <c r="AT1914" s="4"/>
      <c r="AU1914" s="4"/>
      <c r="AV1914" s="4"/>
      <c r="AW1914" s="4"/>
      <c r="AX1914" s="4"/>
      <c r="AY1914" s="4"/>
      <c r="AZ1914" s="4"/>
      <c r="BA1914" s="4"/>
      <c r="BB1914" s="4"/>
      <c r="BC1914" s="4"/>
      <c r="BD1914" s="4"/>
      <c r="BE1914" s="4"/>
      <c r="BG1914" s="4"/>
      <c r="BH1914" s="4"/>
    </row>
    <row r="1915" spans="1:60" x14ac:dyDescent="0.35">
      <c r="A1915" s="4"/>
      <c r="B1915" s="8" t="str">
        <f t="shared" si="135"/>
        <v/>
      </c>
      <c r="D1915" s="6" t="str">
        <f t="shared" si="132"/>
        <v/>
      </c>
      <c r="E1915" s="6" t="str">
        <f t="shared" si="133"/>
        <v/>
      </c>
      <c r="F1915" s="6" t="str">
        <f t="shared" si="134"/>
        <v/>
      </c>
      <c r="G1915" s="4"/>
      <c r="H1915" s="4"/>
      <c r="I1915" s="4"/>
      <c r="J1915" s="4"/>
      <c r="K1915" s="4"/>
      <c r="L1915" s="4"/>
      <c r="M1915" s="4"/>
      <c r="N1915" s="4"/>
      <c r="O1915" s="4"/>
      <c r="P1915" s="4"/>
      <c r="Q1915" s="4"/>
      <c r="R1915" s="14"/>
      <c r="S1915" s="14"/>
      <c r="T1915" s="14"/>
      <c r="U1915" s="14"/>
      <c r="V1915" s="14"/>
      <c r="W1915" s="14"/>
      <c r="X1915" s="14"/>
      <c r="Y1915" s="4"/>
      <c r="Z1915" s="4"/>
      <c r="AA1915" s="4"/>
      <c r="AB1915" s="4"/>
      <c r="AC1915" s="4"/>
      <c r="AD1915" s="4"/>
      <c r="AE1915" s="4"/>
      <c r="AF1915" s="4"/>
      <c r="AG1915" s="4"/>
      <c r="AH1915" s="4"/>
      <c r="AI1915" s="4"/>
      <c r="AJ1915" s="4"/>
      <c r="AK1915" s="4"/>
      <c r="AL1915" s="4"/>
      <c r="AM1915" s="4"/>
      <c r="AN1915" s="4"/>
      <c r="AO1915" s="4"/>
      <c r="AP1915" s="4"/>
      <c r="AQ1915" s="4"/>
      <c r="AR1915" s="4"/>
      <c r="AS1915" s="4"/>
      <c r="AT1915" s="4"/>
      <c r="AU1915" s="4"/>
      <c r="AV1915" s="4"/>
      <c r="AW1915" s="4"/>
      <c r="AX1915" s="4"/>
      <c r="AY1915" s="4"/>
      <c r="AZ1915" s="4"/>
      <c r="BA1915" s="4"/>
      <c r="BB1915" s="4"/>
      <c r="BC1915" s="4"/>
      <c r="BD1915" s="4"/>
      <c r="BE1915" s="4"/>
      <c r="BG1915" s="4"/>
      <c r="BH1915" s="4"/>
    </row>
    <row r="1916" spans="1:60" x14ac:dyDescent="0.35">
      <c r="A1916" s="4"/>
      <c r="B1916" s="8" t="str">
        <f t="shared" si="135"/>
        <v/>
      </c>
      <c r="D1916" s="6" t="str">
        <f t="shared" si="132"/>
        <v/>
      </c>
      <c r="E1916" s="6" t="str">
        <f t="shared" si="133"/>
        <v/>
      </c>
      <c r="F1916" s="6" t="str">
        <f t="shared" si="134"/>
        <v/>
      </c>
      <c r="G1916" s="4"/>
      <c r="H1916" s="4"/>
      <c r="I1916" s="4"/>
      <c r="J1916" s="4"/>
      <c r="K1916" s="4"/>
      <c r="L1916" s="4"/>
      <c r="M1916" s="4"/>
      <c r="N1916" s="4"/>
      <c r="O1916" s="4"/>
      <c r="P1916" s="4"/>
      <c r="Q1916" s="4"/>
      <c r="R1916" s="14"/>
      <c r="S1916" s="14"/>
      <c r="T1916" s="14"/>
      <c r="U1916" s="14"/>
      <c r="V1916" s="14"/>
      <c r="W1916" s="14"/>
      <c r="X1916" s="1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4"/>
      <c r="AU1916" s="4"/>
      <c r="AV1916" s="4"/>
      <c r="AW1916" s="4"/>
      <c r="AX1916" s="4"/>
      <c r="AY1916" s="4"/>
      <c r="AZ1916" s="4"/>
      <c r="BA1916" s="4"/>
      <c r="BB1916" s="4"/>
      <c r="BC1916" s="4"/>
      <c r="BD1916" s="4"/>
      <c r="BE1916" s="4"/>
      <c r="BG1916" s="4"/>
      <c r="BH1916" s="4"/>
    </row>
    <row r="1917" spans="1:60" x14ac:dyDescent="0.35">
      <c r="A1917" s="4"/>
      <c r="B1917" s="8" t="str">
        <f t="shared" si="135"/>
        <v/>
      </c>
      <c r="D1917" s="6" t="str">
        <f t="shared" ref="D1917:D1980" si="136">IF(C1917="","",VLOOKUP(C1917,district_region,2,FALSE))</f>
        <v/>
      </c>
      <c r="E1917" s="6" t="str">
        <f t="shared" ref="E1917:E1980" si="137">IF(C1917="","",VLOOKUP(C1917,liste_pop,3,FALSE))</f>
        <v/>
      </c>
      <c r="F1917" s="6" t="str">
        <f t="shared" ref="F1917:F1980" si="138">IF(D1917="","",IF(D1917="Dakar",4042240,VLOOKUP(D1917,liste_pop,4,FALSE)))</f>
        <v/>
      </c>
      <c r="G1917" s="4"/>
      <c r="H1917" s="4"/>
      <c r="I1917" s="4"/>
      <c r="J1917" s="4"/>
      <c r="K1917" s="4"/>
      <c r="L1917" s="4"/>
      <c r="M1917" s="4"/>
      <c r="N1917" s="4"/>
      <c r="O1917" s="4"/>
      <c r="P1917" s="4"/>
      <c r="Q1917" s="4"/>
      <c r="R1917" s="14"/>
      <c r="S1917" s="14"/>
      <c r="T1917" s="14"/>
      <c r="U1917" s="14"/>
      <c r="V1917" s="14"/>
      <c r="W1917" s="14"/>
      <c r="X1917" s="1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4"/>
      <c r="AU1917" s="4"/>
      <c r="AV1917" s="4"/>
      <c r="AW1917" s="4"/>
      <c r="AX1917" s="4"/>
      <c r="AY1917" s="4"/>
      <c r="AZ1917" s="4"/>
      <c r="BA1917" s="4"/>
      <c r="BB1917" s="4"/>
      <c r="BC1917" s="4"/>
      <c r="BD1917" s="4"/>
      <c r="BE1917" s="4"/>
      <c r="BG1917" s="4"/>
      <c r="BH1917" s="4"/>
    </row>
    <row r="1918" spans="1:60" x14ac:dyDescent="0.35">
      <c r="A1918" s="4"/>
      <c r="B1918" s="8" t="str">
        <f t="shared" si="135"/>
        <v/>
      </c>
      <c r="D1918" s="6" t="str">
        <f t="shared" si="136"/>
        <v/>
      </c>
      <c r="E1918" s="6" t="str">
        <f t="shared" si="137"/>
        <v/>
      </c>
      <c r="F1918" s="6" t="str">
        <f t="shared" si="138"/>
        <v/>
      </c>
      <c r="G1918" s="4"/>
      <c r="H1918" s="4"/>
      <c r="I1918" s="4"/>
      <c r="J1918" s="4"/>
      <c r="K1918" s="4"/>
      <c r="L1918" s="4"/>
      <c r="M1918" s="4"/>
      <c r="N1918" s="4"/>
      <c r="O1918" s="4"/>
      <c r="P1918" s="4"/>
      <c r="Q1918" s="4"/>
      <c r="R1918" s="14"/>
      <c r="S1918" s="14"/>
      <c r="T1918" s="14"/>
      <c r="U1918" s="14"/>
      <c r="V1918" s="14"/>
      <c r="W1918" s="14"/>
      <c r="X1918" s="14"/>
      <c r="Y1918" s="4"/>
      <c r="Z1918" s="4"/>
      <c r="AA1918" s="4"/>
      <c r="AB1918" s="4"/>
      <c r="AC1918" s="4"/>
      <c r="AD1918" s="4"/>
      <c r="AE1918" s="4"/>
      <c r="AF1918" s="4"/>
      <c r="AG1918" s="4"/>
      <c r="AH1918" s="4"/>
      <c r="AI1918" s="4"/>
      <c r="AJ1918" s="4"/>
      <c r="AK1918" s="4"/>
      <c r="AL1918" s="4"/>
      <c r="AM1918" s="4"/>
      <c r="AN1918" s="4"/>
      <c r="AO1918" s="4"/>
      <c r="AP1918" s="4"/>
      <c r="AQ1918" s="4"/>
      <c r="AR1918" s="4"/>
      <c r="AS1918" s="4"/>
      <c r="AT1918" s="4"/>
      <c r="AU1918" s="4"/>
      <c r="AV1918" s="4"/>
      <c r="AW1918" s="4"/>
      <c r="AX1918" s="4"/>
      <c r="AY1918" s="4"/>
      <c r="AZ1918" s="4"/>
      <c r="BA1918" s="4"/>
      <c r="BB1918" s="4"/>
      <c r="BC1918" s="4"/>
      <c r="BD1918" s="4"/>
      <c r="BE1918" s="4"/>
      <c r="BG1918" s="4"/>
      <c r="BH1918" s="4"/>
    </row>
    <row r="1919" spans="1:60" x14ac:dyDescent="0.35">
      <c r="A1919" s="4"/>
      <c r="B1919" s="8" t="str">
        <f t="shared" si="135"/>
        <v/>
      </c>
      <c r="D1919" s="6" t="str">
        <f t="shared" si="136"/>
        <v/>
      </c>
      <c r="E1919" s="6" t="str">
        <f t="shared" si="137"/>
        <v/>
      </c>
      <c r="F1919" s="6" t="str">
        <f t="shared" si="138"/>
        <v/>
      </c>
      <c r="G1919" s="4"/>
      <c r="H1919" s="4"/>
      <c r="I1919" s="4"/>
      <c r="J1919" s="4"/>
      <c r="K1919" s="4"/>
      <c r="L1919" s="4"/>
      <c r="M1919" s="4"/>
      <c r="N1919" s="4"/>
      <c r="O1919" s="4"/>
      <c r="P1919" s="4"/>
      <c r="Q1919" s="4"/>
      <c r="R1919" s="14"/>
      <c r="S1919" s="14"/>
      <c r="T1919" s="14"/>
      <c r="U1919" s="14"/>
      <c r="V1919" s="14"/>
      <c r="W1919" s="14"/>
      <c r="X1919" s="1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4"/>
      <c r="AU1919" s="4"/>
      <c r="AV1919" s="4"/>
      <c r="AW1919" s="4"/>
      <c r="AX1919" s="4"/>
      <c r="AY1919" s="4"/>
      <c r="AZ1919" s="4"/>
      <c r="BA1919" s="4"/>
      <c r="BB1919" s="4"/>
      <c r="BC1919" s="4"/>
      <c r="BD1919" s="4"/>
      <c r="BE1919" s="4"/>
      <c r="BG1919" s="4"/>
      <c r="BH1919" s="4"/>
    </row>
    <row r="1920" spans="1:60" x14ac:dyDescent="0.35">
      <c r="A1920" s="4"/>
      <c r="B1920" s="8" t="str">
        <f t="shared" si="135"/>
        <v/>
      </c>
      <c r="D1920" s="6" t="str">
        <f t="shared" si="136"/>
        <v/>
      </c>
      <c r="E1920" s="6" t="str">
        <f t="shared" si="137"/>
        <v/>
      </c>
      <c r="F1920" s="6" t="str">
        <f t="shared" si="138"/>
        <v/>
      </c>
      <c r="G1920" s="4"/>
      <c r="H1920" s="4"/>
      <c r="I1920" s="4"/>
      <c r="J1920" s="4"/>
      <c r="K1920" s="4"/>
      <c r="L1920" s="4"/>
      <c r="M1920" s="4"/>
      <c r="N1920" s="4"/>
      <c r="O1920" s="4"/>
      <c r="P1920" s="4"/>
      <c r="Q1920" s="4"/>
      <c r="R1920" s="14"/>
      <c r="S1920" s="14"/>
      <c r="T1920" s="14"/>
      <c r="U1920" s="14"/>
      <c r="V1920" s="14"/>
      <c r="W1920" s="14"/>
      <c r="X1920" s="1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4"/>
      <c r="AU1920" s="4"/>
      <c r="AV1920" s="4"/>
      <c r="AW1920" s="4"/>
      <c r="AX1920" s="4"/>
      <c r="AY1920" s="4"/>
      <c r="AZ1920" s="4"/>
      <c r="BA1920" s="4"/>
      <c r="BB1920" s="4"/>
      <c r="BC1920" s="4"/>
      <c r="BD1920" s="4"/>
      <c r="BE1920" s="4"/>
      <c r="BG1920" s="4"/>
      <c r="BH1920" s="4"/>
    </row>
    <row r="1921" spans="1:60" x14ac:dyDescent="0.35">
      <c r="A1921" s="4"/>
      <c r="B1921" s="8" t="str">
        <f t="shared" si="135"/>
        <v/>
      </c>
      <c r="D1921" s="6" t="str">
        <f t="shared" si="136"/>
        <v/>
      </c>
      <c r="E1921" s="6" t="str">
        <f t="shared" si="137"/>
        <v/>
      </c>
      <c r="F1921" s="6" t="str">
        <f t="shared" si="138"/>
        <v/>
      </c>
      <c r="G1921" s="4"/>
      <c r="H1921" s="4"/>
      <c r="I1921" s="4"/>
      <c r="J1921" s="4"/>
      <c r="K1921" s="4"/>
      <c r="L1921" s="4"/>
      <c r="M1921" s="4"/>
      <c r="N1921" s="4"/>
      <c r="O1921" s="4"/>
      <c r="P1921" s="4"/>
      <c r="Q1921" s="4"/>
      <c r="R1921" s="14"/>
      <c r="S1921" s="14"/>
      <c r="T1921" s="14"/>
      <c r="U1921" s="14"/>
      <c r="V1921" s="14"/>
      <c r="W1921" s="14"/>
      <c r="X1921" s="14"/>
      <c r="Y1921" s="4"/>
      <c r="Z1921" s="4"/>
      <c r="AA1921" s="4"/>
      <c r="AB1921" s="4"/>
      <c r="AC1921" s="4"/>
      <c r="AD1921" s="4"/>
      <c r="AE1921" s="4"/>
      <c r="AF1921" s="4"/>
      <c r="AG1921" s="4"/>
      <c r="AH1921" s="4"/>
      <c r="AI1921" s="4"/>
      <c r="AJ1921" s="4"/>
      <c r="AK1921" s="4"/>
      <c r="AL1921" s="4"/>
      <c r="AM1921" s="4"/>
      <c r="AN1921" s="4"/>
      <c r="AO1921" s="4"/>
      <c r="AP1921" s="4"/>
      <c r="AQ1921" s="4"/>
      <c r="AR1921" s="4"/>
      <c r="AS1921" s="4"/>
      <c r="AT1921" s="4"/>
      <c r="AU1921" s="4"/>
      <c r="AV1921" s="4"/>
      <c r="AW1921" s="4"/>
      <c r="AX1921" s="4"/>
      <c r="AY1921" s="4"/>
      <c r="AZ1921" s="4"/>
      <c r="BA1921" s="4"/>
      <c r="BB1921" s="4"/>
      <c r="BC1921" s="4"/>
      <c r="BD1921" s="4"/>
      <c r="BE1921" s="4"/>
      <c r="BG1921" s="4"/>
      <c r="BH1921" s="4"/>
    </row>
    <row r="1922" spans="1:60" x14ac:dyDescent="0.35">
      <c r="A1922" s="4"/>
      <c r="B1922" s="8" t="str">
        <f t="shared" si="135"/>
        <v/>
      </c>
      <c r="D1922" s="6" t="str">
        <f t="shared" si="136"/>
        <v/>
      </c>
      <c r="E1922" s="6" t="str">
        <f t="shared" si="137"/>
        <v/>
      </c>
      <c r="F1922" s="6" t="str">
        <f t="shared" si="138"/>
        <v/>
      </c>
      <c r="G1922" s="4"/>
      <c r="H1922" s="4"/>
      <c r="I1922" s="4"/>
      <c r="J1922" s="4"/>
      <c r="K1922" s="4"/>
      <c r="L1922" s="4"/>
      <c r="M1922" s="4"/>
      <c r="N1922" s="4"/>
      <c r="O1922" s="4"/>
      <c r="P1922" s="4"/>
      <c r="Q1922" s="4"/>
      <c r="R1922" s="14"/>
      <c r="S1922" s="14"/>
      <c r="T1922" s="14"/>
      <c r="U1922" s="14"/>
      <c r="V1922" s="14"/>
      <c r="W1922" s="14"/>
      <c r="X1922" s="1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4"/>
      <c r="AU1922" s="4"/>
      <c r="AV1922" s="4"/>
      <c r="AW1922" s="4"/>
      <c r="AX1922" s="4"/>
      <c r="AY1922" s="4"/>
      <c r="AZ1922" s="4"/>
      <c r="BA1922" s="4"/>
      <c r="BB1922" s="4"/>
      <c r="BC1922" s="4"/>
      <c r="BD1922" s="4"/>
      <c r="BE1922" s="4"/>
      <c r="BG1922" s="4"/>
      <c r="BH1922" s="4"/>
    </row>
    <row r="1923" spans="1:60" x14ac:dyDescent="0.35">
      <c r="A1923" s="4"/>
      <c r="B1923" s="8" t="str">
        <f t="shared" si="135"/>
        <v/>
      </c>
      <c r="D1923" s="6" t="str">
        <f t="shared" si="136"/>
        <v/>
      </c>
      <c r="E1923" s="6" t="str">
        <f t="shared" si="137"/>
        <v/>
      </c>
      <c r="F1923" s="6" t="str">
        <f t="shared" si="138"/>
        <v/>
      </c>
      <c r="G1923" s="4"/>
      <c r="H1923" s="4"/>
      <c r="I1923" s="4"/>
      <c r="J1923" s="4"/>
      <c r="K1923" s="4"/>
      <c r="L1923" s="4"/>
      <c r="M1923" s="4"/>
      <c r="N1923" s="4"/>
      <c r="O1923" s="4"/>
      <c r="P1923" s="4"/>
      <c r="Q1923" s="4"/>
      <c r="R1923" s="14"/>
      <c r="S1923" s="14"/>
      <c r="T1923" s="14"/>
      <c r="U1923" s="14"/>
      <c r="V1923" s="14"/>
      <c r="W1923" s="14"/>
      <c r="X1923" s="14"/>
      <c r="Y1923" s="4"/>
      <c r="Z1923" s="4"/>
      <c r="AA1923" s="4"/>
      <c r="AB1923" s="4"/>
      <c r="AC1923" s="4"/>
      <c r="AD1923" s="4"/>
      <c r="AE1923" s="4"/>
      <c r="AF1923" s="4"/>
      <c r="AG1923" s="4"/>
      <c r="AH1923" s="4"/>
      <c r="AI1923" s="4"/>
      <c r="AJ1923" s="4"/>
      <c r="AK1923" s="4"/>
      <c r="AL1923" s="4"/>
      <c r="AM1923" s="4"/>
      <c r="AN1923" s="4"/>
      <c r="AO1923" s="4"/>
      <c r="AP1923" s="4"/>
      <c r="AQ1923" s="4"/>
      <c r="AR1923" s="4"/>
      <c r="AS1923" s="4"/>
      <c r="AT1923" s="4"/>
      <c r="AU1923" s="4"/>
      <c r="AV1923" s="4"/>
      <c r="AW1923" s="4"/>
      <c r="AX1923" s="4"/>
      <c r="AY1923" s="4"/>
      <c r="AZ1923" s="4"/>
      <c r="BA1923" s="4"/>
      <c r="BB1923" s="4"/>
      <c r="BC1923" s="4"/>
      <c r="BD1923" s="4"/>
      <c r="BE1923" s="4"/>
      <c r="BG1923" s="4"/>
      <c r="BH1923" s="4"/>
    </row>
    <row r="1924" spans="1:60" x14ac:dyDescent="0.35">
      <c r="A1924" s="4"/>
      <c r="B1924" s="8" t="str">
        <f t="shared" si="135"/>
        <v/>
      </c>
      <c r="D1924" s="6" t="str">
        <f t="shared" si="136"/>
        <v/>
      </c>
      <c r="E1924" s="6" t="str">
        <f t="shared" si="137"/>
        <v/>
      </c>
      <c r="F1924" s="6" t="str">
        <f t="shared" si="138"/>
        <v/>
      </c>
      <c r="G1924" s="4"/>
      <c r="H1924" s="4"/>
      <c r="I1924" s="4"/>
      <c r="J1924" s="4"/>
      <c r="K1924" s="4"/>
      <c r="L1924" s="4"/>
      <c r="M1924" s="4"/>
      <c r="N1924" s="4"/>
      <c r="O1924" s="4"/>
      <c r="P1924" s="4"/>
      <c r="Q1924" s="4"/>
      <c r="R1924" s="14"/>
      <c r="S1924" s="14"/>
      <c r="T1924" s="14"/>
      <c r="U1924" s="14"/>
      <c r="V1924" s="14"/>
      <c r="W1924" s="14"/>
      <c r="X1924" s="14"/>
      <c r="Y1924" s="4"/>
      <c r="Z1924" s="4"/>
      <c r="AA1924" s="4"/>
      <c r="AB1924" s="4"/>
      <c r="AC1924" s="4"/>
      <c r="AD1924" s="4"/>
      <c r="AE1924" s="4"/>
      <c r="AF1924" s="4"/>
      <c r="AG1924" s="4"/>
      <c r="AH1924" s="4"/>
      <c r="AI1924" s="4"/>
      <c r="AJ1924" s="4"/>
      <c r="AK1924" s="4"/>
      <c r="AL1924" s="4"/>
      <c r="AM1924" s="4"/>
      <c r="AN1924" s="4"/>
      <c r="AO1924" s="4"/>
      <c r="AP1924" s="4"/>
      <c r="AQ1924" s="4"/>
      <c r="AR1924" s="4"/>
      <c r="AS1924" s="4"/>
      <c r="AT1924" s="4"/>
      <c r="AU1924" s="4"/>
      <c r="AV1924" s="4"/>
      <c r="AW1924" s="4"/>
      <c r="AX1924" s="4"/>
      <c r="AY1924" s="4"/>
      <c r="AZ1924" s="4"/>
      <c r="BA1924" s="4"/>
      <c r="BB1924" s="4"/>
      <c r="BC1924" s="4"/>
      <c r="BD1924" s="4"/>
      <c r="BE1924" s="4"/>
      <c r="BG1924" s="4"/>
      <c r="BH1924" s="4"/>
    </row>
    <row r="1925" spans="1:60" x14ac:dyDescent="0.35">
      <c r="A1925" s="4"/>
      <c r="B1925" s="8" t="str">
        <f t="shared" si="135"/>
        <v/>
      </c>
      <c r="D1925" s="6" t="str">
        <f t="shared" si="136"/>
        <v/>
      </c>
      <c r="E1925" s="6" t="str">
        <f t="shared" si="137"/>
        <v/>
      </c>
      <c r="F1925" s="6" t="str">
        <f t="shared" si="138"/>
        <v/>
      </c>
      <c r="G1925" s="4"/>
      <c r="H1925" s="4"/>
      <c r="I1925" s="4"/>
      <c r="J1925" s="4"/>
      <c r="K1925" s="4"/>
      <c r="L1925" s="4"/>
      <c r="M1925" s="4"/>
      <c r="N1925" s="4"/>
      <c r="O1925" s="4"/>
      <c r="P1925" s="4"/>
      <c r="Q1925" s="4"/>
      <c r="R1925" s="14"/>
      <c r="S1925" s="14"/>
      <c r="T1925" s="14"/>
      <c r="U1925" s="14"/>
      <c r="V1925" s="14"/>
      <c r="W1925" s="14"/>
      <c r="X1925" s="1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4"/>
      <c r="AU1925" s="4"/>
      <c r="AV1925" s="4"/>
      <c r="AW1925" s="4"/>
      <c r="AX1925" s="4"/>
      <c r="AY1925" s="4"/>
      <c r="AZ1925" s="4"/>
      <c r="BA1925" s="4"/>
      <c r="BB1925" s="4"/>
      <c r="BC1925" s="4"/>
      <c r="BD1925" s="4"/>
      <c r="BE1925" s="4"/>
      <c r="BG1925" s="4"/>
      <c r="BH1925" s="4"/>
    </row>
    <row r="1926" spans="1:60" x14ac:dyDescent="0.35">
      <c r="A1926" s="4"/>
      <c r="B1926" s="8" t="str">
        <f t="shared" si="135"/>
        <v/>
      </c>
      <c r="D1926" s="6" t="str">
        <f t="shared" si="136"/>
        <v/>
      </c>
      <c r="E1926" s="6" t="str">
        <f t="shared" si="137"/>
        <v/>
      </c>
      <c r="F1926" s="6" t="str">
        <f t="shared" si="138"/>
        <v/>
      </c>
      <c r="G1926" s="4"/>
      <c r="H1926" s="4"/>
      <c r="I1926" s="4"/>
      <c r="J1926" s="4"/>
      <c r="K1926" s="4"/>
      <c r="L1926" s="4"/>
      <c r="M1926" s="4"/>
      <c r="N1926" s="4"/>
      <c r="O1926" s="4"/>
      <c r="P1926" s="4"/>
      <c r="Q1926" s="4"/>
      <c r="R1926" s="14"/>
      <c r="S1926" s="14"/>
      <c r="T1926" s="14"/>
      <c r="U1926" s="14"/>
      <c r="V1926" s="14"/>
      <c r="W1926" s="14"/>
      <c r="X1926" s="14"/>
      <c r="Y1926" s="4"/>
      <c r="Z1926" s="4"/>
      <c r="AA1926" s="4"/>
      <c r="AB1926" s="4"/>
      <c r="AC1926" s="4"/>
      <c r="AD1926" s="4"/>
      <c r="AE1926" s="4"/>
      <c r="AF1926" s="4"/>
      <c r="AG1926" s="4"/>
      <c r="AH1926" s="4"/>
      <c r="AI1926" s="4"/>
      <c r="AJ1926" s="4"/>
      <c r="AK1926" s="4"/>
      <c r="AL1926" s="4"/>
      <c r="AM1926" s="4"/>
      <c r="AN1926" s="4"/>
      <c r="AO1926" s="4"/>
      <c r="AP1926" s="4"/>
      <c r="AQ1926" s="4"/>
      <c r="AR1926" s="4"/>
      <c r="AS1926" s="4"/>
      <c r="AT1926" s="4"/>
      <c r="AU1926" s="4"/>
      <c r="AV1926" s="4"/>
      <c r="AW1926" s="4"/>
      <c r="AX1926" s="4"/>
      <c r="AY1926" s="4"/>
      <c r="AZ1926" s="4"/>
      <c r="BA1926" s="4"/>
      <c r="BB1926" s="4"/>
      <c r="BC1926" s="4"/>
      <c r="BD1926" s="4"/>
      <c r="BE1926" s="4"/>
      <c r="BG1926" s="4"/>
      <c r="BH1926" s="4"/>
    </row>
    <row r="1927" spans="1:60" x14ac:dyDescent="0.35">
      <c r="A1927" s="4"/>
      <c r="B1927" s="8" t="str">
        <f t="shared" si="135"/>
        <v/>
      </c>
      <c r="D1927" s="6" t="str">
        <f t="shared" si="136"/>
        <v/>
      </c>
      <c r="E1927" s="6" t="str">
        <f t="shared" si="137"/>
        <v/>
      </c>
      <c r="F1927" s="6" t="str">
        <f t="shared" si="138"/>
        <v/>
      </c>
      <c r="G1927" s="4"/>
      <c r="H1927" s="4"/>
      <c r="I1927" s="4"/>
      <c r="J1927" s="4"/>
      <c r="K1927" s="4"/>
      <c r="L1927" s="4"/>
      <c r="M1927" s="4"/>
      <c r="N1927" s="4"/>
      <c r="O1927" s="4"/>
      <c r="P1927" s="4"/>
      <c r="Q1927" s="4"/>
      <c r="R1927" s="14"/>
      <c r="S1927" s="14"/>
      <c r="T1927" s="14"/>
      <c r="U1927" s="14"/>
      <c r="V1927" s="14"/>
      <c r="W1927" s="14"/>
      <c r="X1927" s="14"/>
      <c r="Y1927" s="4"/>
      <c r="Z1927" s="4"/>
      <c r="AA1927" s="4"/>
      <c r="AB1927" s="4"/>
      <c r="AC1927" s="4"/>
      <c r="AD1927" s="4"/>
      <c r="AE1927" s="4"/>
      <c r="AF1927" s="4"/>
      <c r="AG1927" s="4"/>
      <c r="AH1927" s="4"/>
      <c r="AI1927" s="4"/>
      <c r="AJ1927" s="4"/>
      <c r="AK1927" s="4"/>
      <c r="AL1927" s="4"/>
      <c r="AM1927" s="4"/>
      <c r="AN1927" s="4"/>
      <c r="AO1927" s="4"/>
      <c r="AP1927" s="4"/>
      <c r="AQ1927" s="4"/>
      <c r="AR1927" s="4"/>
      <c r="AS1927" s="4"/>
      <c r="AT1927" s="4"/>
      <c r="AU1927" s="4"/>
      <c r="AV1927" s="4"/>
      <c r="AW1927" s="4"/>
      <c r="AX1927" s="4"/>
      <c r="AY1927" s="4"/>
      <c r="AZ1927" s="4"/>
      <c r="BA1927" s="4"/>
      <c r="BB1927" s="4"/>
      <c r="BC1927" s="4"/>
      <c r="BD1927" s="4"/>
      <c r="BE1927" s="4"/>
      <c r="BG1927" s="4"/>
      <c r="BH1927" s="4"/>
    </row>
    <row r="1928" spans="1:60" x14ac:dyDescent="0.35">
      <c r="A1928" s="4"/>
      <c r="B1928" s="8" t="str">
        <f t="shared" si="135"/>
        <v/>
      </c>
      <c r="D1928" s="6" t="str">
        <f t="shared" si="136"/>
        <v/>
      </c>
      <c r="E1928" s="6" t="str">
        <f t="shared" si="137"/>
        <v/>
      </c>
      <c r="F1928" s="6" t="str">
        <f t="shared" si="138"/>
        <v/>
      </c>
      <c r="G1928" s="4"/>
      <c r="H1928" s="4"/>
      <c r="I1928" s="4"/>
      <c r="J1928" s="4"/>
      <c r="K1928" s="4"/>
      <c r="L1928" s="4"/>
      <c r="M1928" s="4"/>
      <c r="N1928" s="4"/>
      <c r="O1928" s="4"/>
      <c r="P1928" s="4"/>
      <c r="Q1928" s="4"/>
      <c r="R1928" s="14"/>
      <c r="S1928" s="14"/>
      <c r="T1928" s="14"/>
      <c r="U1928" s="14"/>
      <c r="V1928" s="14"/>
      <c r="W1928" s="14"/>
      <c r="X1928" s="1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4"/>
      <c r="AU1928" s="4"/>
      <c r="AV1928" s="4"/>
      <c r="AW1928" s="4"/>
      <c r="AX1928" s="4"/>
      <c r="AY1928" s="4"/>
      <c r="AZ1928" s="4"/>
      <c r="BA1928" s="4"/>
      <c r="BB1928" s="4"/>
      <c r="BC1928" s="4"/>
      <c r="BD1928" s="4"/>
      <c r="BE1928" s="4"/>
      <c r="BG1928" s="4"/>
      <c r="BH1928" s="4"/>
    </row>
    <row r="1929" spans="1:60" x14ac:dyDescent="0.35">
      <c r="A1929" s="4"/>
      <c r="B1929" s="8" t="str">
        <f t="shared" si="135"/>
        <v/>
      </c>
      <c r="D1929" s="6" t="str">
        <f t="shared" si="136"/>
        <v/>
      </c>
      <c r="E1929" s="6" t="str">
        <f t="shared" si="137"/>
        <v/>
      </c>
      <c r="F1929" s="6" t="str">
        <f t="shared" si="138"/>
        <v/>
      </c>
      <c r="G1929" s="4"/>
      <c r="H1929" s="4"/>
      <c r="I1929" s="4"/>
      <c r="J1929" s="4"/>
      <c r="K1929" s="4"/>
      <c r="L1929" s="4"/>
      <c r="M1929" s="4"/>
      <c r="N1929" s="4"/>
      <c r="O1929" s="4"/>
      <c r="P1929" s="4"/>
      <c r="Q1929" s="4"/>
      <c r="R1929" s="14"/>
      <c r="S1929" s="14"/>
      <c r="T1929" s="14"/>
      <c r="U1929" s="14"/>
      <c r="V1929" s="14"/>
      <c r="W1929" s="14"/>
      <c r="X1929" s="14"/>
      <c r="Y1929" s="4"/>
      <c r="Z1929" s="4"/>
      <c r="AA1929" s="4"/>
      <c r="AB1929" s="4"/>
      <c r="AC1929" s="4"/>
      <c r="AD1929" s="4"/>
      <c r="AE1929" s="4"/>
      <c r="AF1929" s="4"/>
      <c r="AG1929" s="4"/>
      <c r="AH1929" s="4"/>
      <c r="AI1929" s="4"/>
      <c r="AJ1929" s="4"/>
      <c r="AK1929" s="4"/>
      <c r="AL1929" s="4"/>
      <c r="AM1929" s="4"/>
      <c r="AN1929" s="4"/>
      <c r="AO1929" s="4"/>
      <c r="AP1929" s="4"/>
      <c r="AQ1929" s="4"/>
      <c r="AR1929" s="4"/>
      <c r="AS1929" s="4"/>
      <c r="AT1929" s="4"/>
      <c r="AU1929" s="4"/>
      <c r="AV1929" s="4"/>
      <c r="AW1929" s="4"/>
      <c r="AX1929" s="4"/>
      <c r="AY1929" s="4"/>
      <c r="AZ1929" s="4"/>
      <c r="BA1929" s="4"/>
      <c r="BB1929" s="4"/>
      <c r="BC1929" s="4"/>
      <c r="BD1929" s="4"/>
      <c r="BE1929" s="4"/>
      <c r="BG1929" s="4"/>
      <c r="BH1929" s="4"/>
    </row>
    <row r="1930" spans="1:60" x14ac:dyDescent="0.35">
      <c r="A1930" s="4"/>
      <c r="B1930" s="8" t="str">
        <f t="shared" si="135"/>
        <v/>
      </c>
      <c r="D1930" s="6" t="str">
        <f t="shared" si="136"/>
        <v/>
      </c>
      <c r="E1930" s="6" t="str">
        <f t="shared" si="137"/>
        <v/>
      </c>
      <c r="F1930" s="6" t="str">
        <f t="shared" si="138"/>
        <v/>
      </c>
      <c r="G1930" s="4"/>
      <c r="H1930" s="4"/>
      <c r="I1930" s="4"/>
      <c r="J1930" s="4"/>
      <c r="K1930" s="4"/>
      <c r="L1930" s="4"/>
      <c r="M1930" s="4"/>
      <c r="N1930" s="4"/>
      <c r="O1930" s="4"/>
      <c r="P1930" s="4"/>
      <c r="Q1930" s="4"/>
      <c r="R1930" s="14"/>
      <c r="S1930" s="14"/>
      <c r="T1930" s="14"/>
      <c r="U1930" s="14"/>
      <c r="V1930" s="14"/>
      <c r="W1930" s="14"/>
      <c r="X1930" s="14"/>
      <c r="Y1930" s="4"/>
      <c r="Z1930" s="4"/>
      <c r="AA1930" s="4"/>
      <c r="AB1930" s="4"/>
      <c r="AC1930" s="4"/>
      <c r="AD1930" s="4"/>
      <c r="AE1930" s="4"/>
      <c r="AF1930" s="4"/>
      <c r="AG1930" s="4"/>
      <c r="AH1930" s="4"/>
      <c r="AI1930" s="4"/>
      <c r="AJ1930" s="4"/>
      <c r="AK1930" s="4"/>
      <c r="AL1930" s="4"/>
      <c r="AM1930" s="4"/>
      <c r="AN1930" s="4"/>
      <c r="AO1930" s="4"/>
      <c r="AP1930" s="4"/>
      <c r="AQ1930" s="4"/>
      <c r="AR1930" s="4"/>
      <c r="AS1930" s="4"/>
      <c r="AT1930" s="4"/>
      <c r="AU1930" s="4"/>
      <c r="AV1930" s="4"/>
      <c r="AW1930" s="4"/>
      <c r="AX1930" s="4"/>
      <c r="AY1930" s="4"/>
      <c r="AZ1930" s="4"/>
      <c r="BA1930" s="4"/>
      <c r="BB1930" s="4"/>
      <c r="BC1930" s="4"/>
      <c r="BD1930" s="4"/>
      <c r="BE1930" s="4"/>
      <c r="BG1930" s="4"/>
      <c r="BH1930" s="4"/>
    </row>
    <row r="1931" spans="1:60" x14ac:dyDescent="0.35">
      <c r="A1931" s="4"/>
      <c r="B1931" s="8" t="str">
        <f t="shared" si="135"/>
        <v/>
      </c>
      <c r="D1931" s="6" t="str">
        <f t="shared" si="136"/>
        <v/>
      </c>
      <c r="E1931" s="6" t="str">
        <f t="shared" si="137"/>
        <v/>
      </c>
      <c r="F1931" s="6" t="str">
        <f t="shared" si="138"/>
        <v/>
      </c>
      <c r="G1931" s="4"/>
      <c r="H1931" s="4"/>
      <c r="I1931" s="4"/>
      <c r="J1931" s="4"/>
      <c r="K1931" s="4"/>
      <c r="L1931" s="4"/>
      <c r="M1931" s="4"/>
      <c r="N1931" s="4"/>
      <c r="O1931" s="4"/>
      <c r="P1931" s="4"/>
      <c r="Q1931" s="4"/>
      <c r="R1931" s="14"/>
      <c r="S1931" s="14"/>
      <c r="T1931" s="14"/>
      <c r="U1931" s="14"/>
      <c r="V1931" s="14"/>
      <c r="W1931" s="14"/>
      <c r="X1931" s="14"/>
      <c r="Y1931" s="4"/>
      <c r="Z1931" s="4"/>
      <c r="AA1931" s="4"/>
      <c r="AB1931" s="4"/>
      <c r="AC1931" s="4"/>
      <c r="AD1931" s="4"/>
      <c r="AE1931" s="4"/>
      <c r="AF1931" s="4"/>
      <c r="AG1931" s="4"/>
      <c r="AH1931" s="4"/>
      <c r="AI1931" s="4"/>
      <c r="AJ1931" s="4"/>
      <c r="AK1931" s="4"/>
      <c r="AL1931" s="4"/>
      <c r="AM1931" s="4"/>
      <c r="AN1931" s="4"/>
      <c r="AO1931" s="4"/>
      <c r="AP1931" s="4"/>
      <c r="AQ1931" s="4"/>
      <c r="AR1931" s="4"/>
      <c r="AS1931" s="4"/>
      <c r="AT1931" s="4"/>
      <c r="AU1931" s="4"/>
      <c r="AV1931" s="4"/>
      <c r="AW1931" s="4"/>
      <c r="AX1931" s="4"/>
      <c r="AY1931" s="4"/>
      <c r="AZ1931" s="4"/>
      <c r="BA1931" s="4"/>
      <c r="BB1931" s="4"/>
      <c r="BC1931" s="4"/>
      <c r="BD1931" s="4"/>
      <c r="BE1931" s="4"/>
      <c r="BG1931" s="4"/>
      <c r="BH1931" s="4"/>
    </row>
    <row r="1932" spans="1:60" x14ac:dyDescent="0.35">
      <c r="A1932" s="4"/>
      <c r="B1932" s="8" t="str">
        <f t="shared" si="135"/>
        <v/>
      </c>
      <c r="D1932" s="6" t="str">
        <f t="shared" si="136"/>
        <v/>
      </c>
      <c r="E1932" s="6" t="str">
        <f t="shared" si="137"/>
        <v/>
      </c>
      <c r="F1932" s="6" t="str">
        <f t="shared" si="138"/>
        <v/>
      </c>
      <c r="G1932" s="4"/>
      <c r="H1932" s="4"/>
      <c r="I1932" s="4"/>
      <c r="J1932" s="4"/>
      <c r="K1932" s="4"/>
      <c r="L1932" s="4"/>
      <c r="M1932" s="4"/>
      <c r="N1932" s="4"/>
      <c r="O1932" s="4"/>
      <c r="P1932" s="4"/>
      <c r="Q1932" s="4"/>
      <c r="R1932" s="14"/>
      <c r="S1932" s="14"/>
      <c r="T1932" s="14"/>
      <c r="U1932" s="14"/>
      <c r="V1932" s="14"/>
      <c r="W1932" s="14"/>
      <c r="X1932" s="1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4"/>
      <c r="AU1932" s="4"/>
      <c r="AV1932" s="4"/>
      <c r="AW1932" s="4"/>
      <c r="AX1932" s="4"/>
      <c r="AY1932" s="4"/>
      <c r="AZ1932" s="4"/>
      <c r="BA1932" s="4"/>
      <c r="BB1932" s="4"/>
      <c r="BC1932" s="4"/>
      <c r="BD1932" s="4"/>
      <c r="BE1932" s="4"/>
      <c r="BG1932" s="4"/>
      <c r="BH1932" s="4"/>
    </row>
    <row r="1933" spans="1:60" x14ac:dyDescent="0.35">
      <c r="A1933" s="4"/>
      <c r="B1933" s="8" t="str">
        <f t="shared" si="135"/>
        <v/>
      </c>
      <c r="D1933" s="6" t="str">
        <f t="shared" si="136"/>
        <v/>
      </c>
      <c r="E1933" s="6" t="str">
        <f t="shared" si="137"/>
        <v/>
      </c>
      <c r="F1933" s="6" t="str">
        <f t="shared" si="138"/>
        <v/>
      </c>
      <c r="G1933" s="4"/>
      <c r="H1933" s="4"/>
      <c r="I1933" s="4"/>
      <c r="J1933" s="4"/>
      <c r="K1933" s="4"/>
      <c r="L1933" s="4"/>
      <c r="M1933" s="4"/>
      <c r="N1933" s="4"/>
      <c r="O1933" s="4"/>
      <c r="P1933" s="4"/>
      <c r="Q1933" s="4"/>
      <c r="R1933" s="14"/>
      <c r="S1933" s="14"/>
      <c r="T1933" s="14"/>
      <c r="U1933" s="14"/>
      <c r="V1933" s="14"/>
      <c r="W1933" s="14"/>
      <c r="X1933" s="1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4"/>
      <c r="AU1933" s="4"/>
      <c r="AV1933" s="4"/>
      <c r="AW1933" s="4"/>
      <c r="AX1933" s="4"/>
      <c r="AY1933" s="4"/>
      <c r="AZ1933" s="4"/>
      <c r="BA1933" s="4"/>
      <c r="BB1933" s="4"/>
      <c r="BC1933" s="4"/>
      <c r="BD1933" s="4"/>
      <c r="BE1933" s="4"/>
      <c r="BG1933" s="4"/>
      <c r="BH1933" s="4"/>
    </row>
    <row r="1934" spans="1:60" x14ac:dyDescent="0.35">
      <c r="A1934" s="4"/>
      <c r="B1934" s="8" t="str">
        <f t="shared" si="135"/>
        <v/>
      </c>
      <c r="D1934" s="6" t="str">
        <f t="shared" si="136"/>
        <v/>
      </c>
      <c r="E1934" s="6" t="str">
        <f t="shared" si="137"/>
        <v/>
      </c>
      <c r="F1934" s="6" t="str">
        <f t="shared" si="138"/>
        <v/>
      </c>
      <c r="G1934" s="4"/>
      <c r="H1934" s="4"/>
      <c r="I1934" s="4"/>
      <c r="J1934" s="4"/>
      <c r="K1934" s="4"/>
      <c r="L1934" s="4"/>
      <c r="M1934" s="4"/>
      <c r="N1934" s="4"/>
      <c r="O1934" s="4"/>
      <c r="P1934" s="4"/>
      <c r="Q1934" s="4"/>
      <c r="R1934" s="14"/>
      <c r="S1934" s="14"/>
      <c r="T1934" s="14"/>
      <c r="U1934" s="14"/>
      <c r="V1934" s="14"/>
      <c r="W1934" s="14"/>
      <c r="X1934" s="14"/>
      <c r="Y1934" s="4"/>
      <c r="Z1934" s="4"/>
      <c r="AA1934" s="4"/>
      <c r="AB1934" s="4"/>
      <c r="AC1934" s="4"/>
      <c r="AD1934" s="4"/>
      <c r="AE1934" s="4"/>
      <c r="AF1934" s="4"/>
      <c r="AG1934" s="4"/>
      <c r="AH1934" s="4"/>
      <c r="AI1934" s="4"/>
      <c r="AJ1934" s="4"/>
      <c r="AK1934" s="4"/>
      <c r="AL1934" s="4"/>
      <c r="AM1934" s="4"/>
      <c r="AN1934" s="4"/>
      <c r="AO1934" s="4"/>
      <c r="AP1934" s="4"/>
      <c r="AQ1934" s="4"/>
      <c r="AR1934" s="4"/>
      <c r="AS1934" s="4"/>
      <c r="AT1934" s="4"/>
      <c r="AU1934" s="4"/>
      <c r="AV1934" s="4"/>
      <c r="AW1934" s="4"/>
      <c r="AX1934" s="4"/>
      <c r="AY1934" s="4"/>
      <c r="AZ1934" s="4"/>
      <c r="BA1934" s="4"/>
      <c r="BB1934" s="4"/>
      <c r="BC1934" s="4"/>
      <c r="BD1934" s="4"/>
      <c r="BE1934" s="4"/>
      <c r="BG1934" s="4"/>
      <c r="BH1934" s="4"/>
    </row>
    <row r="1935" spans="1:60" x14ac:dyDescent="0.35">
      <c r="A1935" s="4"/>
      <c r="B1935" s="8" t="str">
        <f t="shared" si="135"/>
        <v/>
      </c>
      <c r="D1935" s="6" t="str">
        <f t="shared" si="136"/>
        <v/>
      </c>
      <c r="E1935" s="6" t="str">
        <f t="shared" si="137"/>
        <v/>
      </c>
      <c r="F1935" s="6" t="str">
        <f t="shared" si="138"/>
        <v/>
      </c>
      <c r="G1935" s="4"/>
      <c r="H1935" s="4"/>
      <c r="I1935" s="4"/>
      <c r="J1935" s="4"/>
      <c r="K1935" s="4"/>
      <c r="L1935" s="4"/>
      <c r="M1935" s="4"/>
      <c r="N1935" s="4"/>
      <c r="O1935" s="4"/>
      <c r="P1935" s="4"/>
      <c r="Q1935" s="4"/>
      <c r="R1935" s="14"/>
      <c r="S1935" s="14"/>
      <c r="T1935" s="14"/>
      <c r="U1935" s="14"/>
      <c r="V1935" s="14"/>
      <c r="W1935" s="14"/>
      <c r="X1935" s="14"/>
      <c r="Y1935" s="4"/>
      <c r="Z1935" s="4"/>
      <c r="AA1935" s="4"/>
      <c r="AB1935" s="4"/>
      <c r="AC1935" s="4"/>
      <c r="AD1935" s="4"/>
      <c r="AE1935" s="4"/>
      <c r="AF1935" s="4"/>
      <c r="AG1935" s="4"/>
      <c r="AH1935" s="4"/>
      <c r="AI1935" s="4"/>
      <c r="AJ1935" s="4"/>
      <c r="AK1935" s="4"/>
      <c r="AL1935" s="4"/>
      <c r="AM1935" s="4"/>
      <c r="AN1935" s="4"/>
      <c r="AO1935" s="4"/>
      <c r="AP1935" s="4"/>
      <c r="AQ1935" s="4"/>
      <c r="AR1935" s="4"/>
      <c r="AS1935" s="4"/>
      <c r="AT1935" s="4"/>
      <c r="AU1935" s="4"/>
      <c r="AV1935" s="4"/>
      <c r="AW1935" s="4"/>
      <c r="AX1935" s="4"/>
      <c r="AY1935" s="4"/>
      <c r="AZ1935" s="4"/>
      <c r="BA1935" s="4"/>
      <c r="BB1935" s="4"/>
      <c r="BC1935" s="4"/>
      <c r="BD1935" s="4"/>
      <c r="BE1935" s="4"/>
      <c r="BG1935" s="4"/>
      <c r="BH1935" s="4"/>
    </row>
    <row r="1936" spans="1:60" x14ac:dyDescent="0.35">
      <c r="A1936" s="4"/>
      <c r="B1936" s="8" t="str">
        <f t="shared" si="135"/>
        <v/>
      </c>
      <c r="D1936" s="6" t="str">
        <f t="shared" si="136"/>
        <v/>
      </c>
      <c r="E1936" s="6" t="str">
        <f t="shared" si="137"/>
        <v/>
      </c>
      <c r="F1936" s="6" t="str">
        <f t="shared" si="138"/>
        <v/>
      </c>
      <c r="G1936" s="4"/>
      <c r="H1936" s="4"/>
      <c r="I1936" s="4"/>
      <c r="J1936" s="4"/>
      <c r="K1936" s="4"/>
      <c r="L1936" s="4"/>
      <c r="M1936" s="4"/>
      <c r="N1936" s="4"/>
      <c r="O1936" s="4"/>
      <c r="P1936" s="4"/>
      <c r="Q1936" s="4"/>
      <c r="R1936" s="14"/>
      <c r="S1936" s="14"/>
      <c r="T1936" s="14"/>
      <c r="U1936" s="14"/>
      <c r="V1936" s="14"/>
      <c r="W1936" s="14"/>
      <c r="X1936" s="1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4"/>
      <c r="AU1936" s="4"/>
      <c r="AV1936" s="4"/>
      <c r="AW1936" s="4"/>
      <c r="AX1936" s="4"/>
      <c r="AY1936" s="4"/>
      <c r="AZ1936" s="4"/>
      <c r="BA1936" s="4"/>
      <c r="BB1936" s="4"/>
      <c r="BC1936" s="4"/>
      <c r="BD1936" s="4"/>
      <c r="BE1936" s="4"/>
      <c r="BG1936" s="4"/>
      <c r="BH1936" s="4"/>
    </row>
    <row r="1937" spans="1:60" x14ac:dyDescent="0.35">
      <c r="A1937" s="4"/>
      <c r="B1937" s="8" t="str">
        <f t="shared" si="135"/>
        <v/>
      </c>
      <c r="D1937" s="6" t="str">
        <f t="shared" si="136"/>
        <v/>
      </c>
      <c r="E1937" s="6" t="str">
        <f t="shared" si="137"/>
        <v/>
      </c>
      <c r="F1937" s="6" t="str">
        <f t="shared" si="138"/>
        <v/>
      </c>
      <c r="G1937" s="4"/>
      <c r="H1937" s="4"/>
      <c r="I1937" s="4"/>
      <c r="J1937" s="4"/>
      <c r="K1937" s="4"/>
      <c r="L1937" s="4"/>
      <c r="M1937" s="4"/>
      <c r="N1937" s="4"/>
      <c r="O1937" s="4"/>
      <c r="P1937" s="4"/>
      <c r="Q1937" s="4"/>
      <c r="R1937" s="14"/>
      <c r="S1937" s="14"/>
      <c r="T1937" s="14"/>
      <c r="U1937" s="14"/>
      <c r="V1937" s="14"/>
      <c r="W1937" s="14"/>
      <c r="X1937" s="14"/>
      <c r="Y1937" s="4"/>
      <c r="Z1937" s="4"/>
      <c r="AA1937" s="4"/>
      <c r="AB1937" s="4"/>
      <c r="AC1937" s="4"/>
      <c r="AD1937" s="4"/>
      <c r="AE1937" s="4"/>
      <c r="AF1937" s="4"/>
      <c r="AG1937" s="4"/>
      <c r="AH1937" s="4"/>
      <c r="AI1937" s="4"/>
      <c r="AJ1937" s="4"/>
      <c r="AK1937" s="4"/>
      <c r="AL1937" s="4"/>
      <c r="AM1937" s="4"/>
      <c r="AN1937" s="4"/>
      <c r="AO1937" s="4"/>
      <c r="AP1937" s="4"/>
      <c r="AQ1937" s="4"/>
      <c r="AR1937" s="4"/>
      <c r="AS1937" s="4"/>
      <c r="AT1937" s="4"/>
      <c r="AU1937" s="4"/>
      <c r="AV1937" s="4"/>
      <c r="AW1937" s="4"/>
      <c r="AX1937" s="4"/>
      <c r="AY1937" s="4"/>
      <c r="AZ1937" s="4"/>
      <c r="BA1937" s="4"/>
      <c r="BB1937" s="4"/>
      <c r="BC1937" s="4"/>
      <c r="BD1937" s="4"/>
      <c r="BE1937" s="4"/>
      <c r="BG1937" s="4"/>
      <c r="BH1937" s="4"/>
    </row>
    <row r="1938" spans="1:60" x14ac:dyDescent="0.35">
      <c r="A1938" s="4"/>
      <c r="B1938" s="8" t="str">
        <f t="shared" si="135"/>
        <v/>
      </c>
      <c r="D1938" s="6" t="str">
        <f t="shared" si="136"/>
        <v/>
      </c>
      <c r="E1938" s="6" t="str">
        <f t="shared" si="137"/>
        <v/>
      </c>
      <c r="F1938" s="6" t="str">
        <f t="shared" si="138"/>
        <v/>
      </c>
      <c r="G1938" s="4"/>
      <c r="H1938" s="4"/>
      <c r="I1938" s="4"/>
      <c r="J1938" s="4"/>
      <c r="K1938" s="4"/>
      <c r="L1938" s="4"/>
      <c r="M1938" s="4"/>
      <c r="N1938" s="4"/>
      <c r="O1938" s="4"/>
      <c r="P1938" s="4"/>
      <c r="Q1938" s="4"/>
      <c r="R1938" s="14"/>
      <c r="S1938" s="14"/>
      <c r="T1938" s="14"/>
      <c r="U1938" s="14"/>
      <c r="V1938" s="14"/>
      <c r="W1938" s="14"/>
      <c r="X1938" s="1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4"/>
      <c r="AU1938" s="4"/>
      <c r="AV1938" s="4"/>
      <c r="AW1938" s="4"/>
      <c r="AX1938" s="4"/>
      <c r="AY1938" s="4"/>
      <c r="AZ1938" s="4"/>
      <c r="BA1938" s="4"/>
      <c r="BB1938" s="4"/>
      <c r="BC1938" s="4"/>
      <c r="BD1938" s="4"/>
      <c r="BE1938" s="4"/>
      <c r="BG1938" s="4"/>
      <c r="BH1938" s="4"/>
    </row>
    <row r="1939" spans="1:60" x14ac:dyDescent="0.35">
      <c r="A1939" s="4"/>
      <c r="B1939" s="8" t="str">
        <f t="shared" si="135"/>
        <v/>
      </c>
      <c r="D1939" s="6" t="str">
        <f t="shared" si="136"/>
        <v/>
      </c>
      <c r="E1939" s="6" t="str">
        <f t="shared" si="137"/>
        <v/>
      </c>
      <c r="F1939" s="6" t="str">
        <f t="shared" si="138"/>
        <v/>
      </c>
      <c r="G1939" s="4"/>
      <c r="H1939" s="4"/>
      <c r="I1939" s="4"/>
      <c r="J1939" s="4"/>
      <c r="K1939" s="4"/>
      <c r="L1939" s="4"/>
      <c r="M1939" s="4"/>
      <c r="N1939" s="4"/>
      <c r="O1939" s="4"/>
      <c r="P1939" s="4"/>
      <c r="Q1939" s="4"/>
      <c r="R1939" s="14"/>
      <c r="S1939" s="14"/>
      <c r="T1939" s="14"/>
      <c r="U1939" s="14"/>
      <c r="V1939" s="14"/>
      <c r="W1939" s="14"/>
      <c r="X1939" s="14"/>
      <c r="Y1939" s="4"/>
      <c r="Z1939" s="4"/>
      <c r="AA1939" s="4"/>
      <c r="AB1939" s="4"/>
      <c r="AC1939" s="4"/>
      <c r="AD1939" s="4"/>
      <c r="AE1939" s="4"/>
      <c r="AF1939" s="4"/>
      <c r="AG1939" s="4"/>
      <c r="AH1939" s="4"/>
      <c r="AI1939" s="4"/>
      <c r="AJ1939" s="4"/>
      <c r="AK1939" s="4"/>
      <c r="AL1939" s="4"/>
      <c r="AM1939" s="4"/>
      <c r="AN1939" s="4"/>
      <c r="AO1939" s="4"/>
      <c r="AP1939" s="4"/>
      <c r="AQ1939" s="4"/>
      <c r="AR1939" s="4"/>
      <c r="AS1939" s="4"/>
      <c r="AT1939" s="4"/>
      <c r="AU1939" s="4"/>
      <c r="AV1939" s="4"/>
      <c r="AW1939" s="4"/>
      <c r="AX1939" s="4"/>
      <c r="AY1939" s="4"/>
      <c r="AZ1939" s="4"/>
      <c r="BA1939" s="4"/>
      <c r="BB1939" s="4"/>
      <c r="BC1939" s="4"/>
      <c r="BD1939" s="4"/>
      <c r="BE1939" s="4"/>
      <c r="BG1939" s="4"/>
      <c r="BH1939" s="4"/>
    </row>
    <row r="1940" spans="1:60" x14ac:dyDescent="0.35">
      <c r="A1940" s="4"/>
      <c r="B1940" s="8" t="str">
        <f t="shared" si="135"/>
        <v/>
      </c>
      <c r="D1940" s="6" t="str">
        <f t="shared" si="136"/>
        <v/>
      </c>
      <c r="E1940" s="6" t="str">
        <f t="shared" si="137"/>
        <v/>
      </c>
      <c r="F1940" s="6" t="str">
        <f t="shared" si="138"/>
        <v/>
      </c>
      <c r="G1940" s="4"/>
      <c r="H1940" s="4"/>
      <c r="I1940" s="4"/>
      <c r="J1940" s="4"/>
      <c r="K1940" s="4"/>
      <c r="L1940" s="4"/>
      <c r="M1940" s="4"/>
      <c r="N1940" s="4"/>
      <c r="O1940" s="4"/>
      <c r="P1940" s="4"/>
      <c r="Q1940" s="4"/>
      <c r="R1940" s="14"/>
      <c r="S1940" s="14"/>
      <c r="T1940" s="14"/>
      <c r="U1940" s="14"/>
      <c r="V1940" s="14"/>
      <c r="W1940" s="14"/>
      <c r="X1940" s="1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c r="AX1940" s="4"/>
      <c r="AY1940" s="4"/>
      <c r="AZ1940" s="4"/>
      <c r="BA1940" s="4"/>
      <c r="BB1940" s="4"/>
      <c r="BC1940" s="4"/>
      <c r="BD1940" s="4"/>
      <c r="BE1940" s="4"/>
      <c r="BG1940" s="4"/>
      <c r="BH1940" s="4"/>
    </row>
    <row r="1941" spans="1:60" x14ac:dyDescent="0.35">
      <c r="A1941" s="4"/>
      <c r="B1941" s="8" t="str">
        <f t="shared" si="135"/>
        <v/>
      </c>
      <c r="D1941" s="6" t="str">
        <f t="shared" si="136"/>
        <v/>
      </c>
      <c r="E1941" s="6" t="str">
        <f t="shared" si="137"/>
        <v/>
      </c>
      <c r="F1941" s="6" t="str">
        <f t="shared" si="138"/>
        <v/>
      </c>
      <c r="G1941" s="4"/>
      <c r="H1941" s="4"/>
      <c r="I1941" s="4"/>
      <c r="J1941" s="4"/>
      <c r="K1941" s="4"/>
      <c r="L1941" s="4"/>
      <c r="M1941" s="4"/>
      <c r="N1941" s="4"/>
      <c r="O1941" s="4"/>
      <c r="P1941" s="4"/>
      <c r="Q1941" s="4"/>
      <c r="R1941" s="14"/>
      <c r="S1941" s="14"/>
      <c r="T1941" s="14"/>
      <c r="U1941" s="14"/>
      <c r="V1941" s="14"/>
      <c r="W1941" s="14"/>
      <c r="X1941" s="14"/>
      <c r="Y1941" s="4"/>
      <c r="Z1941" s="4"/>
      <c r="AA1941" s="4"/>
      <c r="AB1941" s="4"/>
      <c r="AC1941" s="4"/>
      <c r="AD1941" s="4"/>
      <c r="AE1941" s="4"/>
      <c r="AF1941" s="4"/>
      <c r="AG1941" s="4"/>
      <c r="AH1941" s="4"/>
      <c r="AI1941" s="4"/>
      <c r="AJ1941" s="4"/>
      <c r="AK1941" s="4"/>
      <c r="AL1941" s="4"/>
      <c r="AM1941" s="4"/>
      <c r="AN1941" s="4"/>
      <c r="AO1941" s="4"/>
      <c r="AP1941" s="4"/>
      <c r="AQ1941" s="4"/>
      <c r="AR1941" s="4"/>
      <c r="AS1941" s="4"/>
      <c r="AT1941" s="4"/>
      <c r="AU1941" s="4"/>
      <c r="AV1941" s="4"/>
      <c r="AW1941" s="4"/>
      <c r="AX1941" s="4"/>
      <c r="AY1941" s="4"/>
      <c r="AZ1941" s="4"/>
      <c r="BA1941" s="4"/>
      <c r="BB1941" s="4"/>
      <c r="BC1941" s="4"/>
      <c r="BD1941" s="4"/>
      <c r="BE1941" s="4"/>
      <c r="BG1941" s="4"/>
      <c r="BH1941" s="4"/>
    </row>
    <row r="1942" spans="1:60" x14ac:dyDescent="0.35">
      <c r="A1942" s="4"/>
      <c r="B1942" s="8" t="str">
        <f t="shared" si="135"/>
        <v/>
      </c>
      <c r="D1942" s="6" t="str">
        <f t="shared" si="136"/>
        <v/>
      </c>
      <c r="E1942" s="6" t="str">
        <f t="shared" si="137"/>
        <v/>
      </c>
      <c r="F1942" s="6" t="str">
        <f t="shared" si="138"/>
        <v/>
      </c>
      <c r="G1942" s="4"/>
      <c r="H1942" s="4"/>
      <c r="I1942" s="4"/>
      <c r="J1942" s="4"/>
      <c r="K1942" s="4"/>
      <c r="L1942" s="4"/>
      <c r="M1942" s="4"/>
      <c r="N1942" s="4"/>
      <c r="O1942" s="4"/>
      <c r="P1942" s="4"/>
      <c r="Q1942" s="4"/>
      <c r="R1942" s="14"/>
      <c r="S1942" s="14"/>
      <c r="T1942" s="14"/>
      <c r="U1942" s="14"/>
      <c r="V1942" s="14"/>
      <c r="W1942" s="14"/>
      <c r="X1942" s="14"/>
      <c r="Y1942" s="4"/>
      <c r="Z1942" s="4"/>
      <c r="AA1942" s="4"/>
      <c r="AB1942" s="4"/>
      <c r="AC1942" s="4"/>
      <c r="AD1942" s="4"/>
      <c r="AE1942" s="4"/>
      <c r="AF1942" s="4"/>
      <c r="AG1942" s="4"/>
      <c r="AH1942" s="4"/>
      <c r="AI1942" s="4"/>
      <c r="AJ1942" s="4"/>
      <c r="AK1942" s="4"/>
      <c r="AL1942" s="4"/>
      <c r="AM1942" s="4"/>
      <c r="AN1942" s="4"/>
      <c r="AO1942" s="4"/>
      <c r="AP1942" s="4"/>
      <c r="AQ1942" s="4"/>
      <c r="AR1942" s="4"/>
      <c r="AS1942" s="4"/>
      <c r="AT1942" s="4"/>
      <c r="AU1942" s="4"/>
      <c r="AV1942" s="4"/>
      <c r="AW1942" s="4"/>
      <c r="AX1942" s="4"/>
      <c r="AY1942" s="4"/>
      <c r="AZ1942" s="4"/>
      <c r="BA1942" s="4"/>
      <c r="BB1942" s="4"/>
      <c r="BC1942" s="4"/>
      <c r="BD1942" s="4"/>
      <c r="BE1942" s="4"/>
      <c r="BG1942" s="4"/>
      <c r="BH1942" s="4"/>
    </row>
    <row r="1943" spans="1:60" x14ac:dyDescent="0.35">
      <c r="A1943" s="4"/>
      <c r="B1943" s="8" t="str">
        <f t="shared" si="135"/>
        <v/>
      </c>
      <c r="D1943" s="6" t="str">
        <f t="shared" si="136"/>
        <v/>
      </c>
      <c r="E1943" s="6" t="str">
        <f t="shared" si="137"/>
        <v/>
      </c>
      <c r="F1943" s="6" t="str">
        <f t="shared" si="138"/>
        <v/>
      </c>
      <c r="G1943" s="4"/>
      <c r="H1943" s="4"/>
      <c r="I1943" s="4"/>
      <c r="J1943" s="4"/>
      <c r="K1943" s="4"/>
      <c r="L1943" s="4"/>
      <c r="M1943" s="4"/>
      <c r="N1943" s="4"/>
      <c r="O1943" s="4"/>
      <c r="P1943" s="4"/>
      <c r="Q1943" s="4"/>
      <c r="R1943" s="14"/>
      <c r="S1943" s="14"/>
      <c r="T1943" s="14"/>
      <c r="U1943" s="14"/>
      <c r="V1943" s="14"/>
      <c r="W1943" s="14"/>
      <c r="X1943" s="1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4"/>
      <c r="AU1943" s="4"/>
      <c r="AV1943" s="4"/>
      <c r="AW1943" s="4"/>
      <c r="AX1943" s="4"/>
      <c r="AY1943" s="4"/>
      <c r="AZ1943" s="4"/>
      <c r="BA1943" s="4"/>
      <c r="BB1943" s="4"/>
      <c r="BC1943" s="4"/>
      <c r="BD1943" s="4"/>
      <c r="BE1943" s="4"/>
      <c r="BG1943" s="4"/>
      <c r="BH1943" s="4"/>
    </row>
    <row r="1944" spans="1:60" x14ac:dyDescent="0.35">
      <c r="A1944" s="4"/>
      <c r="B1944" s="8" t="str">
        <f t="shared" si="135"/>
        <v/>
      </c>
      <c r="D1944" s="6" t="str">
        <f t="shared" si="136"/>
        <v/>
      </c>
      <c r="E1944" s="6" t="str">
        <f t="shared" si="137"/>
        <v/>
      </c>
      <c r="F1944" s="6" t="str">
        <f t="shared" si="138"/>
        <v/>
      </c>
      <c r="G1944" s="4"/>
      <c r="H1944" s="4"/>
      <c r="I1944" s="4"/>
      <c r="J1944" s="4"/>
      <c r="K1944" s="4"/>
      <c r="L1944" s="4"/>
      <c r="M1944" s="4"/>
      <c r="N1944" s="4"/>
      <c r="O1944" s="4"/>
      <c r="P1944" s="4"/>
      <c r="Q1944" s="4"/>
      <c r="R1944" s="14"/>
      <c r="S1944" s="14"/>
      <c r="T1944" s="14"/>
      <c r="U1944" s="14"/>
      <c r="V1944" s="14"/>
      <c r="W1944" s="14"/>
      <c r="X1944" s="14"/>
      <c r="Y1944" s="4"/>
      <c r="Z1944" s="4"/>
      <c r="AA1944" s="4"/>
      <c r="AB1944" s="4"/>
      <c r="AC1944" s="4"/>
      <c r="AD1944" s="4"/>
      <c r="AE1944" s="4"/>
      <c r="AF1944" s="4"/>
      <c r="AG1944" s="4"/>
      <c r="AH1944" s="4"/>
      <c r="AI1944" s="4"/>
      <c r="AJ1944" s="4"/>
      <c r="AK1944" s="4"/>
      <c r="AL1944" s="4"/>
      <c r="AM1944" s="4"/>
      <c r="AN1944" s="4"/>
      <c r="AO1944" s="4"/>
      <c r="AP1944" s="4"/>
      <c r="AQ1944" s="4"/>
      <c r="AR1944" s="4"/>
      <c r="AS1944" s="4"/>
      <c r="AT1944" s="4"/>
      <c r="AU1944" s="4"/>
      <c r="AV1944" s="4"/>
      <c r="AW1944" s="4"/>
      <c r="AX1944" s="4"/>
      <c r="AY1944" s="4"/>
      <c r="AZ1944" s="4"/>
      <c r="BA1944" s="4"/>
      <c r="BB1944" s="4"/>
      <c r="BC1944" s="4"/>
      <c r="BD1944" s="4"/>
      <c r="BE1944" s="4"/>
      <c r="BG1944" s="4"/>
      <c r="BH1944" s="4"/>
    </row>
    <row r="1945" spans="1:60" x14ac:dyDescent="0.35">
      <c r="A1945" s="4"/>
      <c r="B1945" s="8" t="str">
        <f t="shared" si="135"/>
        <v/>
      </c>
      <c r="D1945" s="6" t="str">
        <f t="shared" si="136"/>
        <v/>
      </c>
      <c r="E1945" s="6" t="str">
        <f t="shared" si="137"/>
        <v/>
      </c>
      <c r="F1945" s="6" t="str">
        <f t="shared" si="138"/>
        <v/>
      </c>
      <c r="G1945" s="4"/>
      <c r="H1945" s="4"/>
      <c r="I1945" s="4"/>
      <c r="J1945" s="4"/>
      <c r="K1945" s="4"/>
      <c r="L1945" s="4"/>
      <c r="M1945" s="4"/>
      <c r="N1945" s="4"/>
      <c r="O1945" s="4"/>
      <c r="P1945" s="4"/>
      <c r="Q1945" s="4"/>
      <c r="R1945" s="14"/>
      <c r="S1945" s="14"/>
      <c r="T1945" s="14"/>
      <c r="U1945" s="14"/>
      <c r="V1945" s="14"/>
      <c r="W1945" s="14"/>
      <c r="X1945" s="14"/>
      <c r="Y1945" s="4"/>
      <c r="Z1945" s="4"/>
      <c r="AA1945" s="4"/>
      <c r="AB1945" s="4"/>
      <c r="AC1945" s="4"/>
      <c r="AD1945" s="4"/>
      <c r="AE1945" s="4"/>
      <c r="AF1945" s="4"/>
      <c r="AG1945" s="4"/>
      <c r="AH1945" s="4"/>
      <c r="AI1945" s="4"/>
      <c r="AJ1945" s="4"/>
      <c r="AK1945" s="4"/>
      <c r="AL1945" s="4"/>
      <c r="AM1945" s="4"/>
      <c r="AN1945" s="4"/>
      <c r="AO1945" s="4"/>
      <c r="AP1945" s="4"/>
      <c r="AQ1945" s="4"/>
      <c r="AR1945" s="4"/>
      <c r="AS1945" s="4"/>
      <c r="AT1945" s="4"/>
      <c r="AU1945" s="4"/>
      <c r="AV1945" s="4"/>
      <c r="AW1945" s="4"/>
      <c r="AX1945" s="4"/>
      <c r="AY1945" s="4"/>
      <c r="AZ1945" s="4"/>
      <c r="BA1945" s="4"/>
      <c r="BB1945" s="4"/>
      <c r="BC1945" s="4"/>
      <c r="BD1945" s="4"/>
      <c r="BE1945" s="4"/>
      <c r="BG1945" s="4"/>
      <c r="BH1945" s="4"/>
    </row>
    <row r="1946" spans="1:60" x14ac:dyDescent="0.35">
      <c r="A1946" s="4"/>
      <c r="B1946" s="8" t="str">
        <f t="shared" si="135"/>
        <v/>
      </c>
      <c r="D1946" s="6" t="str">
        <f t="shared" si="136"/>
        <v/>
      </c>
      <c r="E1946" s="6" t="str">
        <f t="shared" si="137"/>
        <v/>
      </c>
      <c r="F1946" s="6" t="str">
        <f t="shared" si="138"/>
        <v/>
      </c>
      <c r="G1946" s="4"/>
      <c r="H1946" s="4"/>
      <c r="I1946" s="4"/>
      <c r="J1946" s="4"/>
      <c r="K1946" s="4"/>
      <c r="L1946" s="4"/>
      <c r="M1946" s="4"/>
      <c r="N1946" s="4"/>
      <c r="O1946" s="4"/>
      <c r="P1946" s="4"/>
      <c r="Q1946" s="4"/>
      <c r="R1946" s="14"/>
      <c r="S1946" s="14"/>
      <c r="T1946" s="14"/>
      <c r="U1946" s="14"/>
      <c r="V1946" s="14"/>
      <c r="W1946" s="14"/>
      <c r="X1946" s="1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c r="AX1946" s="4"/>
      <c r="AY1946" s="4"/>
      <c r="AZ1946" s="4"/>
      <c r="BA1946" s="4"/>
      <c r="BB1946" s="4"/>
      <c r="BC1946" s="4"/>
      <c r="BD1946" s="4"/>
      <c r="BE1946" s="4"/>
      <c r="BG1946" s="4"/>
      <c r="BH1946" s="4"/>
    </row>
    <row r="1947" spans="1:60" x14ac:dyDescent="0.35">
      <c r="A1947" s="4"/>
      <c r="B1947" s="8" t="str">
        <f t="shared" si="135"/>
        <v/>
      </c>
      <c r="D1947" s="6" t="str">
        <f t="shared" si="136"/>
        <v/>
      </c>
      <c r="E1947" s="6" t="str">
        <f t="shared" si="137"/>
        <v/>
      </c>
      <c r="F1947" s="6" t="str">
        <f t="shared" si="138"/>
        <v/>
      </c>
      <c r="G1947" s="4"/>
      <c r="H1947" s="4"/>
      <c r="I1947" s="4"/>
      <c r="J1947" s="4"/>
      <c r="K1947" s="4"/>
      <c r="L1947" s="4"/>
      <c r="M1947" s="4"/>
      <c r="N1947" s="4"/>
      <c r="O1947" s="4"/>
      <c r="P1947" s="4"/>
      <c r="Q1947" s="4"/>
      <c r="R1947" s="14"/>
      <c r="S1947" s="14"/>
      <c r="T1947" s="14"/>
      <c r="U1947" s="14"/>
      <c r="V1947" s="14"/>
      <c r="W1947" s="14"/>
      <c r="X1947" s="14"/>
      <c r="Y1947" s="4"/>
      <c r="Z1947" s="4"/>
      <c r="AA1947" s="4"/>
      <c r="AB1947" s="4"/>
      <c r="AC1947" s="4"/>
      <c r="AD1947" s="4"/>
      <c r="AE1947" s="4"/>
      <c r="AF1947" s="4"/>
      <c r="AG1947" s="4"/>
      <c r="AH1947" s="4"/>
      <c r="AI1947" s="4"/>
      <c r="AJ1947" s="4"/>
      <c r="AK1947" s="4"/>
      <c r="AL1947" s="4"/>
      <c r="AM1947" s="4"/>
      <c r="AN1947" s="4"/>
      <c r="AO1947" s="4"/>
      <c r="AP1947" s="4"/>
      <c r="AQ1947" s="4"/>
      <c r="AR1947" s="4"/>
      <c r="AS1947" s="4"/>
      <c r="AT1947" s="4"/>
      <c r="AU1947" s="4"/>
      <c r="AV1947" s="4"/>
      <c r="AW1947" s="4"/>
      <c r="AX1947" s="4"/>
      <c r="AY1947" s="4"/>
      <c r="AZ1947" s="4"/>
      <c r="BA1947" s="4"/>
      <c r="BB1947" s="4"/>
      <c r="BC1947" s="4"/>
      <c r="BD1947" s="4"/>
      <c r="BE1947" s="4"/>
      <c r="BG1947" s="4"/>
      <c r="BH1947" s="4"/>
    </row>
    <row r="1948" spans="1:60" x14ac:dyDescent="0.35">
      <c r="A1948" s="4"/>
      <c r="B1948" s="8" t="str">
        <f t="shared" si="135"/>
        <v/>
      </c>
      <c r="D1948" s="6" t="str">
        <f t="shared" si="136"/>
        <v/>
      </c>
      <c r="E1948" s="6" t="str">
        <f t="shared" si="137"/>
        <v/>
      </c>
      <c r="F1948" s="6" t="str">
        <f t="shared" si="138"/>
        <v/>
      </c>
      <c r="G1948" s="4"/>
      <c r="H1948" s="4"/>
      <c r="I1948" s="4"/>
      <c r="J1948" s="4"/>
      <c r="K1948" s="4"/>
      <c r="L1948" s="4"/>
      <c r="M1948" s="4"/>
      <c r="N1948" s="4"/>
      <c r="O1948" s="4"/>
      <c r="P1948" s="4"/>
      <c r="Q1948" s="4"/>
      <c r="R1948" s="14"/>
      <c r="S1948" s="14"/>
      <c r="T1948" s="14"/>
      <c r="U1948" s="14"/>
      <c r="V1948" s="14"/>
      <c r="W1948" s="14"/>
      <c r="X1948" s="1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4"/>
      <c r="AU1948" s="4"/>
      <c r="AV1948" s="4"/>
      <c r="AW1948" s="4"/>
      <c r="AX1948" s="4"/>
      <c r="AY1948" s="4"/>
      <c r="AZ1948" s="4"/>
      <c r="BA1948" s="4"/>
      <c r="BB1948" s="4"/>
      <c r="BC1948" s="4"/>
      <c r="BD1948" s="4"/>
      <c r="BE1948" s="4"/>
      <c r="BG1948" s="4"/>
      <c r="BH1948" s="4"/>
    </row>
    <row r="1949" spans="1:60" x14ac:dyDescent="0.35">
      <c r="A1949" s="4"/>
      <c r="B1949" s="8" t="str">
        <f t="shared" si="135"/>
        <v/>
      </c>
      <c r="D1949" s="6" t="str">
        <f t="shared" si="136"/>
        <v/>
      </c>
      <c r="E1949" s="6" t="str">
        <f t="shared" si="137"/>
        <v/>
      </c>
      <c r="F1949" s="6" t="str">
        <f t="shared" si="138"/>
        <v/>
      </c>
      <c r="G1949" s="4"/>
      <c r="H1949" s="4"/>
      <c r="I1949" s="4"/>
      <c r="J1949" s="4"/>
      <c r="K1949" s="4"/>
      <c r="L1949" s="4"/>
      <c r="M1949" s="4"/>
      <c r="N1949" s="4"/>
      <c r="O1949" s="4"/>
      <c r="P1949" s="4"/>
      <c r="Q1949" s="4"/>
      <c r="R1949" s="14"/>
      <c r="S1949" s="14"/>
      <c r="T1949" s="14"/>
      <c r="U1949" s="14"/>
      <c r="V1949" s="14"/>
      <c r="W1949" s="14"/>
      <c r="X1949" s="14"/>
      <c r="Y1949" s="4"/>
      <c r="Z1949" s="4"/>
      <c r="AA1949" s="4"/>
      <c r="AB1949" s="4"/>
      <c r="AC1949" s="4"/>
      <c r="AD1949" s="4"/>
      <c r="AE1949" s="4"/>
      <c r="AF1949" s="4"/>
      <c r="AG1949" s="4"/>
      <c r="AH1949" s="4"/>
      <c r="AI1949" s="4"/>
      <c r="AJ1949" s="4"/>
      <c r="AK1949" s="4"/>
      <c r="AL1949" s="4"/>
      <c r="AM1949" s="4"/>
      <c r="AN1949" s="4"/>
      <c r="AO1949" s="4"/>
      <c r="AP1949" s="4"/>
      <c r="AQ1949" s="4"/>
      <c r="AR1949" s="4"/>
      <c r="AS1949" s="4"/>
      <c r="AT1949" s="4"/>
      <c r="AU1949" s="4"/>
      <c r="AV1949" s="4"/>
      <c r="AW1949" s="4"/>
      <c r="AX1949" s="4"/>
      <c r="AY1949" s="4"/>
      <c r="AZ1949" s="4"/>
      <c r="BA1949" s="4"/>
      <c r="BB1949" s="4"/>
      <c r="BC1949" s="4"/>
      <c r="BD1949" s="4"/>
      <c r="BE1949" s="4"/>
      <c r="BG1949" s="4"/>
      <c r="BH1949" s="4"/>
    </row>
    <row r="1950" spans="1:60" x14ac:dyDescent="0.35">
      <c r="A1950" s="4"/>
      <c r="B1950" s="8" t="str">
        <f t="shared" si="135"/>
        <v/>
      </c>
      <c r="D1950" s="6" t="str">
        <f t="shared" si="136"/>
        <v/>
      </c>
      <c r="E1950" s="6" t="str">
        <f t="shared" si="137"/>
        <v/>
      </c>
      <c r="F1950" s="6" t="str">
        <f t="shared" si="138"/>
        <v/>
      </c>
      <c r="G1950" s="4"/>
      <c r="H1950" s="4"/>
      <c r="I1950" s="4"/>
      <c r="J1950" s="4"/>
      <c r="K1950" s="4"/>
      <c r="L1950" s="4"/>
      <c r="M1950" s="4"/>
      <c r="N1950" s="4"/>
      <c r="O1950" s="4"/>
      <c r="P1950" s="4"/>
      <c r="Q1950" s="4"/>
      <c r="R1950" s="14"/>
      <c r="S1950" s="14"/>
      <c r="T1950" s="14"/>
      <c r="U1950" s="14"/>
      <c r="V1950" s="14"/>
      <c r="W1950" s="14"/>
      <c r="X1950" s="14"/>
      <c r="Y1950" s="4"/>
      <c r="Z1950" s="4"/>
      <c r="AA1950" s="4"/>
      <c r="AB1950" s="4"/>
      <c r="AC1950" s="4"/>
      <c r="AD1950" s="4"/>
      <c r="AE1950" s="4"/>
      <c r="AF1950" s="4"/>
      <c r="AG1950" s="4"/>
      <c r="AH1950" s="4"/>
      <c r="AI1950" s="4"/>
      <c r="AJ1950" s="4"/>
      <c r="AK1950" s="4"/>
      <c r="AL1950" s="4"/>
      <c r="AM1950" s="4"/>
      <c r="AN1950" s="4"/>
      <c r="AO1950" s="4"/>
      <c r="AP1950" s="4"/>
      <c r="AQ1950" s="4"/>
      <c r="AR1950" s="4"/>
      <c r="AS1950" s="4"/>
      <c r="AT1950" s="4"/>
      <c r="AU1950" s="4"/>
      <c r="AV1950" s="4"/>
      <c r="AW1950" s="4"/>
      <c r="AX1950" s="4"/>
      <c r="AY1950" s="4"/>
      <c r="AZ1950" s="4"/>
      <c r="BA1950" s="4"/>
      <c r="BB1950" s="4"/>
      <c r="BC1950" s="4"/>
      <c r="BD1950" s="4"/>
      <c r="BE1950" s="4"/>
      <c r="BG1950" s="4"/>
      <c r="BH1950" s="4"/>
    </row>
    <row r="1951" spans="1:60" x14ac:dyDescent="0.35">
      <c r="A1951" s="4"/>
      <c r="B1951" s="8" t="str">
        <f t="shared" si="135"/>
        <v/>
      </c>
      <c r="D1951" s="6" t="str">
        <f t="shared" si="136"/>
        <v/>
      </c>
      <c r="E1951" s="6" t="str">
        <f t="shared" si="137"/>
        <v/>
      </c>
      <c r="F1951" s="6" t="str">
        <f t="shared" si="138"/>
        <v/>
      </c>
      <c r="G1951" s="4"/>
      <c r="H1951" s="4"/>
      <c r="I1951" s="4"/>
      <c r="J1951" s="4"/>
      <c r="K1951" s="4"/>
      <c r="L1951" s="4"/>
      <c r="M1951" s="4"/>
      <c r="N1951" s="4"/>
      <c r="O1951" s="4"/>
      <c r="P1951" s="4"/>
      <c r="Q1951" s="4"/>
      <c r="R1951" s="14"/>
      <c r="S1951" s="14"/>
      <c r="T1951" s="14"/>
      <c r="U1951" s="14"/>
      <c r="V1951" s="14"/>
      <c r="W1951" s="14"/>
      <c r="X1951" s="1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4"/>
      <c r="AU1951" s="4"/>
      <c r="AV1951" s="4"/>
      <c r="AW1951" s="4"/>
      <c r="AX1951" s="4"/>
      <c r="AY1951" s="4"/>
      <c r="AZ1951" s="4"/>
      <c r="BA1951" s="4"/>
      <c r="BB1951" s="4"/>
      <c r="BC1951" s="4"/>
      <c r="BD1951" s="4"/>
      <c r="BE1951" s="4"/>
      <c r="BG1951" s="4"/>
      <c r="BH1951" s="4"/>
    </row>
    <row r="1952" spans="1:60" x14ac:dyDescent="0.35">
      <c r="A1952" s="4"/>
      <c r="B1952" s="8" t="str">
        <f t="shared" si="135"/>
        <v/>
      </c>
      <c r="D1952" s="6" t="str">
        <f t="shared" si="136"/>
        <v/>
      </c>
      <c r="E1952" s="6" t="str">
        <f t="shared" si="137"/>
        <v/>
      </c>
      <c r="F1952" s="6" t="str">
        <f t="shared" si="138"/>
        <v/>
      </c>
      <c r="G1952" s="4"/>
      <c r="H1952" s="4"/>
      <c r="I1952" s="4"/>
      <c r="J1952" s="4"/>
      <c r="K1952" s="4"/>
      <c r="L1952" s="4"/>
      <c r="M1952" s="4"/>
      <c r="N1952" s="4"/>
      <c r="O1952" s="4"/>
      <c r="P1952" s="4"/>
      <c r="Q1952" s="4"/>
      <c r="R1952" s="14"/>
      <c r="S1952" s="14"/>
      <c r="T1952" s="14"/>
      <c r="U1952" s="14"/>
      <c r="V1952" s="14"/>
      <c r="W1952" s="14"/>
      <c r="X1952" s="14"/>
      <c r="Y1952" s="4"/>
      <c r="Z1952" s="4"/>
      <c r="AA1952" s="4"/>
      <c r="AB1952" s="4"/>
      <c r="AC1952" s="4"/>
      <c r="AD1952" s="4"/>
      <c r="AE1952" s="4"/>
      <c r="AF1952" s="4"/>
      <c r="AG1952" s="4"/>
      <c r="AH1952" s="4"/>
      <c r="AI1952" s="4"/>
      <c r="AJ1952" s="4"/>
      <c r="AK1952" s="4"/>
      <c r="AL1952" s="4"/>
      <c r="AM1952" s="4"/>
      <c r="AN1952" s="4"/>
      <c r="AO1952" s="4"/>
      <c r="AP1952" s="4"/>
      <c r="AQ1952" s="4"/>
      <c r="AR1952" s="4"/>
      <c r="AS1952" s="4"/>
      <c r="AT1952" s="4"/>
      <c r="AU1952" s="4"/>
      <c r="AV1952" s="4"/>
      <c r="AW1952" s="4"/>
      <c r="AX1952" s="4"/>
      <c r="AY1952" s="4"/>
      <c r="AZ1952" s="4"/>
      <c r="BA1952" s="4"/>
      <c r="BB1952" s="4"/>
      <c r="BC1952" s="4"/>
      <c r="BD1952" s="4"/>
      <c r="BE1952" s="4"/>
      <c r="BG1952" s="4"/>
      <c r="BH1952" s="4"/>
    </row>
    <row r="1953" spans="1:60" x14ac:dyDescent="0.35">
      <c r="A1953" s="4"/>
      <c r="B1953" s="8" t="str">
        <f t="shared" si="135"/>
        <v/>
      </c>
      <c r="D1953" s="6" t="str">
        <f t="shared" si="136"/>
        <v/>
      </c>
      <c r="E1953" s="6" t="str">
        <f t="shared" si="137"/>
        <v/>
      </c>
      <c r="F1953" s="6" t="str">
        <f t="shared" si="138"/>
        <v/>
      </c>
      <c r="G1953" s="4"/>
      <c r="H1953" s="4"/>
      <c r="I1953" s="4"/>
      <c r="J1953" s="4"/>
      <c r="K1953" s="4"/>
      <c r="L1953" s="4"/>
      <c r="M1953" s="4"/>
      <c r="N1953" s="4"/>
      <c r="O1953" s="4"/>
      <c r="P1953" s="4"/>
      <c r="Q1953" s="4"/>
      <c r="R1953" s="14"/>
      <c r="S1953" s="14"/>
      <c r="T1953" s="14"/>
      <c r="U1953" s="14"/>
      <c r="V1953" s="14"/>
      <c r="W1953" s="14"/>
      <c r="X1953" s="14"/>
      <c r="Y1953" s="4"/>
      <c r="Z1953" s="4"/>
      <c r="AA1953" s="4"/>
      <c r="AB1953" s="4"/>
      <c r="AC1953" s="4"/>
      <c r="AD1953" s="4"/>
      <c r="AE1953" s="4"/>
      <c r="AF1953" s="4"/>
      <c r="AG1953" s="4"/>
      <c r="AH1953" s="4"/>
      <c r="AI1953" s="4"/>
      <c r="AJ1953" s="4"/>
      <c r="AK1953" s="4"/>
      <c r="AL1953" s="4"/>
      <c r="AM1953" s="4"/>
      <c r="AN1953" s="4"/>
      <c r="AO1953" s="4"/>
      <c r="AP1953" s="4"/>
      <c r="AQ1953" s="4"/>
      <c r="AR1953" s="4"/>
      <c r="AS1953" s="4"/>
      <c r="AT1953" s="4"/>
      <c r="AU1953" s="4"/>
      <c r="AV1953" s="4"/>
      <c r="AW1953" s="4"/>
      <c r="AX1953" s="4"/>
      <c r="AY1953" s="4"/>
      <c r="AZ1953" s="4"/>
      <c r="BA1953" s="4"/>
      <c r="BB1953" s="4"/>
      <c r="BC1953" s="4"/>
      <c r="BD1953" s="4"/>
      <c r="BE1953" s="4"/>
      <c r="BG1953" s="4"/>
      <c r="BH1953" s="4"/>
    </row>
    <row r="1954" spans="1:60" x14ac:dyDescent="0.35">
      <c r="A1954" s="4"/>
      <c r="B1954" s="8" t="str">
        <f t="shared" si="135"/>
        <v/>
      </c>
      <c r="D1954" s="6" t="str">
        <f t="shared" si="136"/>
        <v/>
      </c>
      <c r="E1954" s="6" t="str">
        <f t="shared" si="137"/>
        <v/>
      </c>
      <c r="F1954" s="6" t="str">
        <f t="shared" si="138"/>
        <v/>
      </c>
      <c r="G1954" s="4"/>
      <c r="H1954" s="4"/>
      <c r="I1954" s="4"/>
      <c r="J1954" s="4"/>
      <c r="K1954" s="4"/>
      <c r="L1954" s="4"/>
      <c r="M1954" s="4"/>
      <c r="N1954" s="4"/>
      <c r="O1954" s="4"/>
      <c r="P1954" s="4"/>
      <c r="Q1954" s="4"/>
      <c r="R1954" s="14"/>
      <c r="S1954" s="14"/>
      <c r="T1954" s="14"/>
      <c r="U1954" s="14"/>
      <c r="V1954" s="14"/>
      <c r="W1954" s="14"/>
      <c r="X1954" s="14"/>
      <c r="Y1954" s="4"/>
      <c r="Z1954" s="4"/>
      <c r="AA1954" s="4"/>
      <c r="AB1954" s="4"/>
      <c r="AC1954" s="4"/>
      <c r="AD1954" s="4"/>
      <c r="AE1954" s="4"/>
      <c r="AF1954" s="4"/>
      <c r="AG1954" s="4"/>
      <c r="AH1954" s="4"/>
      <c r="AI1954" s="4"/>
      <c r="AJ1954" s="4"/>
      <c r="AK1954" s="4"/>
      <c r="AL1954" s="4"/>
      <c r="AM1954" s="4"/>
      <c r="AN1954" s="4"/>
      <c r="AO1954" s="4"/>
      <c r="AP1954" s="4"/>
      <c r="AQ1954" s="4"/>
      <c r="AR1954" s="4"/>
      <c r="AS1954" s="4"/>
      <c r="AT1954" s="4"/>
      <c r="AU1954" s="4"/>
      <c r="AV1954" s="4"/>
      <c r="AW1954" s="4"/>
      <c r="AX1954" s="4"/>
      <c r="AY1954" s="4"/>
      <c r="AZ1954" s="4"/>
      <c r="BA1954" s="4"/>
      <c r="BB1954" s="4"/>
      <c r="BC1954" s="4"/>
      <c r="BD1954" s="4"/>
      <c r="BE1954" s="4"/>
      <c r="BG1954" s="4"/>
      <c r="BH1954" s="4"/>
    </row>
    <row r="1955" spans="1:60" x14ac:dyDescent="0.35">
      <c r="A1955" s="4"/>
      <c r="B1955" s="8" t="str">
        <f t="shared" si="135"/>
        <v/>
      </c>
      <c r="D1955" s="6" t="str">
        <f t="shared" si="136"/>
        <v/>
      </c>
      <c r="E1955" s="6" t="str">
        <f t="shared" si="137"/>
        <v/>
      </c>
      <c r="F1955" s="6" t="str">
        <f t="shared" si="138"/>
        <v/>
      </c>
      <c r="G1955" s="4"/>
      <c r="H1955" s="4"/>
      <c r="I1955" s="4"/>
      <c r="J1955" s="4"/>
      <c r="K1955" s="4"/>
      <c r="L1955" s="4"/>
      <c r="M1955" s="4"/>
      <c r="N1955" s="4"/>
      <c r="O1955" s="4"/>
      <c r="P1955" s="4"/>
      <c r="Q1955" s="4"/>
      <c r="R1955" s="14"/>
      <c r="S1955" s="14"/>
      <c r="T1955" s="14"/>
      <c r="U1955" s="14"/>
      <c r="V1955" s="14"/>
      <c r="W1955" s="14"/>
      <c r="X1955" s="14"/>
      <c r="Y1955" s="4"/>
      <c r="Z1955" s="4"/>
      <c r="AA1955" s="4"/>
      <c r="AB1955" s="4"/>
      <c r="AC1955" s="4"/>
      <c r="AD1955" s="4"/>
      <c r="AE1955" s="4"/>
      <c r="AF1955" s="4"/>
      <c r="AG1955" s="4"/>
      <c r="AH1955" s="4"/>
      <c r="AI1955" s="4"/>
      <c r="AJ1955" s="4"/>
      <c r="AK1955" s="4"/>
      <c r="AL1955" s="4"/>
      <c r="AM1955" s="4"/>
      <c r="AN1955" s="4"/>
      <c r="AO1955" s="4"/>
      <c r="AP1955" s="4"/>
      <c r="AQ1955" s="4"/>
      <c r="AR1955" s="4"/>
      <c r="AS1955" s="4"/>
      <c r="AT1955" s="4"/>
      <c r="AU1955" s="4"/>
      <c r="AV1955" s="4"/>
      <c r="AW1955" s="4"/>
      <c r="AX1955" s="4"/>
      <c r="AY1955" s="4"/>
      <c r="AZ1955" s="4"/>
      <c r="BA1955" s="4"/>
      <c r="BB1955" s="4"/>
      <c r="BC1955" s="4"/>
      <c r="BD1955" s="4"/>
      <c r="BE1955" s="4"/>
      <c r="BG1955" s="4"/>
      <c r="BH1955" s="4"/>
    </row>
    <row r="1956" spans="1:60" x14ac:dyDescent="0.35">
      <c r="A1956" s="4"/>
      <c r="B1956" s="8" t="str">
        <f t="shared" si="135"/>
        <v/>
      </c>
      <c r="D1956" s="6" t="str">
        <f t="shared" si="136"/>
        <v/>
      </c>
      <c r="E1956" s="6" t="str">
        <f t="shared" si="137"/>
        <v/>
      </c>
      <c r="F1956" s="6" t="str">
        <f t="shared" si="138"/>
        <v/>
      </c>
      <c r="G1956" s="4"/>
      <c r="H1956" s="4"/>
      <c r="I1956" s="4"/>
      <c r="J1956" s="4"/>
      <c r="K1956" s="4"/>
      <c r="L1956" s="4"/>
      <c r="M1956" s="4"/>
      <c r="N1956" s="4"/>
      <c r="O1956" s="4"/>
      <c r="P1956" s="4"/>
      <c r="Q1956" s="4"/>
      <c r="R1956" s="14"/>
      <c r="S1956" s="14"/>
      <c r="T1956" s="14"/>
      <c r="U1956" s="14"/>
      <c r="V1956" s="14"/>
      <c r="W1956" s="14"/>
      <c r="X1956" s="14"/>
      <c r="Y1956" s="4"/>
      <c r="Z1956" s="4"/>
      <c r="AA1956" s="4"/>
      <c r="AB1956" s="4"/>
      <c r="AC1956" s="4"/>
      <c r="AD1956" s="4"/>
      <c r="AE1956" s="4"/>
      <c r="AF1956" s="4"/>
      <c r="AG1956" s="4"/>
      <c r="AH1956" s="4"/>
      <c r="AI1956" s="4"/>
      <c r="AJ1956" s="4"/>
      <c r="AK1956" s="4"/>
      <c r="AL1956" s="4"/>
      <c r="AM1956" s="4"/>
      <c r="AN1956" s="4"/>
      <c r="AO1956" s="4"/>
      <c r="AP1956" s="4"/>
      <c r="AQ1956" s="4"/>
      <c r="AR1956" s="4"/>
      <c r="AS1956" s="4"/>
      <c r="AT1956" s="4"/>
      <c r="AU1956" s="4"/>
      <c r="AV1956" s="4"/>
      <c r="AW1956" s="4"/>
      <c r="AX1956" s="4"/>
      <c r="AY1956" s="4"/>
      <c r="AZ1956" s="4"/>
      <c r="BA1956" s="4"/>
      <c r="BB1956" s="4"/>
      <c r="BC1956" s="4"/>
      <c r="BD1956" s="4"/>
      <c r="BE1956" s="4"/>
      <c r="BG1956" s="4"/>
      <c r="BH1956" s="4"/>
    </row>
    <row r="1957" spans="1:60" x14ac:dyDescent="0.35">
      <c r="A1957" s="4"/>
      <c r="B1957" s="8" t="str">
        <f t="shared" si="135"/>
        <v/>
      </c>
      <c r="D1957" s="6" t="str">
        <f t="shared" si="136"/>
        <v/>
      </c>
      <c r="E1957" s="6" t="str">
        <f t="shared" si="137"/>
        <v/>
      </c>
      <c r="F1957" s="6" t="str">
        <f t="shared" si="138"/>
        <v/>
      </c>
      <c r="G1957" s="4"/>
      <c r="H1957" s="4"/>
      <c r="I1957" s="4"/>
      <c r="J1957" s="4"/>
      <c r="K1957" s="4"/>
      <c r="L1957" s="4"/>
      <c r="M1957" s="4"/>
      <c r="N1957" s="4"/>
      <c r="O1957" s="4"/>
      <c r="P1957" s="4"/>
      <c r="Q1957" s="4"/>
      <c r="R1957" s="14"/>
      <c r="S1957" s="14"/>
      <c r="T1957" s="14"/>
      <c r="U1957" s="14"/>
      <c r="V1957" s="14"/>
      <c r="W1957" s="14"/>
      <c r="X1957" s="14"/>
      <c r="Y1957" s="4"/>
      <c r="Z1957" s="4"/>
      <c r="AA1957" s="4"/>
      <c r="AB1957" s="4"/>
      <c r="AC1957" s="4"/>
      <c r="AD1957" s="4"/>
      <c r="AE1957" s="4"/>
      <c r="AF1957" s="4"/>
      <c r="AG1957" s="4"/>
      <c r="AH1957" s="4"/>
      <c r="AI1957" s="4"/>
      <c r="AJ1957" s="4"/>
      <c r="AK1957" s="4"/>
      <c r="AL1957" s="4"/>
      <c r="AM1957" s="4"/>
      <c r="AN1957" s="4"/>
      <c r="AO1957" s="4"/>
      <c r="AP1957" s="4"/>
      <c r="AQ1957" s="4"/>
      <c r="AR1957" s="4"/>
      <c r="AS1957" s="4"/>
      <c r="AT1957" s="4"/>
      <c r="AU1957" s="4"/>
      <c r="AV1957" s="4"/>
      <c r="AW1957" s="4"/>
      <c r="AX1957" s="4"/>
      <c r="AY1957" s="4"/>
      <c r="AZ1957" s="4"/>
      <c r="BA1957" s="4"/>
      <c r="BB1957" s="4"/>
      <c r="BC1957" s="4"/>
      <c r="BD1957" s="4"/>
      <c r="BE1957" s="4"/>
      <c r="BG1957" s="4"/>
      <c r="BH1957" s="4"/>
    </row>
    <row r="1958" spans="1:60" x14ac:dyDescent="0.35">
      <c r="A1958" s="4"/>
      <c r="B1958" s="8" t="str">
        <f t="shared" si="135"/>
        <v/>
      </c>
      <c r="D1958" s="6" t="str">
        <f t="shared" si="136"/>
        <v/>
      </c>
      <c r="E1958" s="6" t="str">
        <f t="shared" si="137"/>
        <v/>
      </c>
      <c r="F1958" s="6" t="str">
        <f t="shared" si="138"/>
        <v/>
      </c>
      <c r="G1958" s="4"/>
      <c r="H1958" s="4"/>
      <c r="I1958" s="4"/>
      <c r="J1958" s="4"/>
      <c r="K1958" s="4"/>
      <c r="L1958" s="4"/>
      <c r="M1958" s="4"/>
      <c r="N1958" s="4"/>
      <c r="O1958" s="4"/>
      <c r="P1958" s="4"/>
      <c r="Q1958" s="4"/>
      <c r="R1958" s="14"/>
      <c r="S1958" s="14"/>
      <c r="T1958" s="14"/>
      <c r="U1958" s="14"/>
      <c r="V1958" s="14"/>
      <c r="W1958" s="14"/>
      <c r="X1958" s="14"/>
      <c r="Y1958" s="4"/>
      <c r="Z1958" s="4"/>
      <c r="AA1958" s="4"/>
      <c r="AB1958" s="4"/>
      <c r="AC1958" s="4"/>
      <c r="AD1958" s="4"/>
      <c r="AE1958" s="4"/>
      <c r="AF1958" s="4"/>
      <c r="AG1958" s="4"/>
      <c r="AH1958" s="4"/>
      <c r="AI1958" s="4"/>
      <c r="AJ1958" s="4"/>
      <c r="AK1958" s="4"/>
      <c r="AL1958" s="4"/>
      <c r="AM1958" s="4"/>
      <c r="AN1958" s="4"/>
      <c r="AO1958" s="4"/>
      <c r="AP1958" s="4"/>
      <c r="AQ1958" s="4"/>
      <c r="AR1958" s="4"/>
      <c r="AS1958" s="4"/>
      <c r="AT1958" s="4"/>
      <c r="AU1958" s="4"/>
      <c r="AV1958" s="4"/>
      <c r="AW1958" s="4"/>
      <c r="AX1958" s="4"/>
      <c r="AY1958" s="4"/>
      <c r="AZ1958" s="4"/>
      <c r="BA1958" s="4"/>
      <c r="BB1958" s="4"/>
      <c r="BC1958" s="4"/>
      <c r="BD1958" s="4"/>
      <c r="BE1958" s="4"/>
      <c r="BG1958" s="4"/>
      <c r="BH1958" s="4"/>
    </row>
    <row r="1959" spans="1:60" x14ac:dyDescent="0.35">
      <c r="A1959" s="4"/>
      <c r="B1959" s="8" t="str">
        <f t="shared" si="135"/>
        <v/>
      </c>
      <c r="D1959" s="6" t="str">
        <f t="shared" si="136"/>
        <v/>
      </c>
      <c r="E1959" s="6" t="str">
        <f t="shared" si="137"/>
        <v/>
      </c>
      <c r="F1959" s="6" t="str">
        <f t="shared" si="138"/>
        <v/>
      </c>
      <c r="G1959" s="4"/>
      <c r="H1959" s="4"/>
      <c r="I1959" s="4"/>
      <c r="J1959" s="4"/>
      <c r="K1959" s="4"/>
      <c r="L1959" s="4"/>
      <c r="M1959" s="4"/>
      <c r="N1959" s="4"/>
      <c r="O1959" s="4"/>
      <c r="P1959" s="4"/>
      <c r="Q1959" s="4"/>
      <c r="R1959" s="14"/>
      <c r="S1959" s="14"/>
      <c r="T1959" s="14"/>
      <c r="U1959" s="14"/>
      <c r="V1959" s="14"/>
      <c r="W1959" s="14"/>
      <c r="X1959" s="14"/>
      <c r="Y1959" s="4"/>
      <c r="Z1959" s="4"/>
      <c r="AA1959" s="4"/>
      <c r="AB1959" s="4"/>
      <c r="AC1959" s="4"/>
      <c r="AD1959" s="4"/>
      <c r="AE1959" s="4"/>
      <c r="AF1959" s="4"/>
      <c r="AG1959" s="4"/>
      <c r="AH1959" s="4"/>
      <c r="AI1959" s="4"/>
      <c r="AJ1959" s="4"/>
      <c r="AK1959" s="4"/>
      <c r="AL1959" s="4"/>
      <c r="AM1959" s="4"/>
      <c r="AN1959" s="4"/>
      <c r="AO1959" s="4"/>
      <c r="AP1959" s="4"/>
      <c r="AQ1959" s="4"/>
      <c r="AR1959" s="4"/>
      <c r="AS1959" s="4"/>
      <c r="AT1959" s="4"/>
      <c r="AU1959" s="4"/>
      <c r="AV1959" s="4"/>
      <c r="AW1959" s="4"/>
      <c r="AX1959" s="4"/>
      <c r="AY1959" s="4"/>
      <c r="AZ1959" s="4"/>
      <c r="BA1959" s="4"/>
      <c r="BB1959" s="4"/>
      <c r="BC1959" s="4"/>
      <c r="BD1959" s="4"/>
      <c r="BE1959" s="4"/>
      <c r="BG1959" s="4"/>
      <c r="BH1959" s="4"/>
    </row>
    <row r="1960" spans="1:60" x14ac:dyDescent="0.35">
      <c r="A1960" s="4"/>
      <c r="B1960" s="8" t="str">
        <f t="shared" si="135"/>
        <v/>
      </c>
      <c r="D1960" s="6" t="str">
        <f t="shared" si="136"/>
        <v/>
      </c>
      <c r="E1960" s="6" t="str">
        <f t="shared" si="137"/>
        <v/>
      </c>
      <c r="F1960" s="6" t="str">
        <f t="shared" si="138"/>
        <v/>
      </c>
      <c r="G1960" s="4"/>
      <c r="H1960" s="4"/>
      <c r="I1960" s="4"/>
      <c r="J1960" s="4"/>
      <c r="K1960" s="4"/>
      <c r="L1960" s="4"/>
      <c r="M1960" s="4"/>
      <c r="N1960" s="4"/>
      <c r="O1960" s="4"/>
      <c r="P1960" s="4"/>
      <c r="Q1960" s="4"/>
      <c r="R1960" s="14"/>
      <c r="S1960" s="14"/>
      <c r="T1960" s="14"/>
      <c r="U1960" s="14"/>
      <c r="V1960" s="14"/>
      <c r="W1960" s="14"/>
      <c r="X1960" s="14"/>
      <c r="Y1960" s="4"/>
      <c r="Z1960" s="4"/>
      <c r="AA1960" s="4"/>
      <c r="AB1960" s="4"/>
      <c r="AC1960" s="4"/>
      <c r="AD1960" s="4"/>
      <c r="AE1960" s="4"/>
      <c r="AF1960" s="4"/>
      <c r="AG1960" s="4"/>
      <c r="AH1960" s="4"/>
      <c r="AI1960" s="4"/>
      <c r="AJ1960" s="4"/>
      <c r="AK1960" s="4"/>
      <c r="AL1960" s="4"/>
      <c r="AM1960" s="4"/>
      <c r="AN1960" s="4"/>
      <c r="AO1960" s="4"/>
      <c r="AP1960" s="4"/>
      <c r="AQ1960" s="4"/>
      <c r="AR1960" s="4"/>
      <c r="AS1960" s="4"/>
      <c r="AT1960" s="4"/>
      <c r="AU1960" s="4"/>
      <c r="AV1960" s="4"/>
      <c r="AW1960" s="4"/>
      <c r="AX1960" s="4"/>
      <c r="AY1960" s="4"/>
      <c r="AZ1960" s="4"/>
      <c r="BA1960" s="4"/>
      <c r="BB1960" s="4"/>
      <c r="BC1960" s="4"/>
      <c r="BD1960" s="4"/>
      <c r="BE1960" s="4"/>
      <c r="BG1960" s="4"/>
      <c r="BH1960" s="4"/>
    </row>
    <row r="1961" spans="1:60" x14ac:dyDescent="0.35">
      <c r="A1961" s="4"/>
      <c r="B1961" s="8" t="str">
        <f t="shared" si="135"/>
        <v/>
      </c>
      <c r="D1961" s="6" t="str">
        <f t="shared" si="136"/>
        <v/>
      </c>
      <c r="E1961" s="6" t="str">
        <f t="shared" si="137"/>
        <v/>
      </c>
      <c r="F1961" s="6" t="str">
        <f t="shared" si="138"/>
        <v/>
      </c>
      <c r="G1961" s="4"/>
      <c r="H1961" s="4"/>
      <c r="I1961" s="4"/>
      <c r="J1961" s="4"/>
      <c r="K1961" s="4"/>
      <c r="L1961" s="4"/>
      <c r="M1961" s="4"/>
      <c r="N1961" s="4"/>
      <c r="O1961" s="4"/>
      <c r="P1961" s="4"/>
      <c r="Q1961" s="4"/>
      <c r="R1961" s="14"/>
      <c r="S1961" s="14"/>
      <c r="T1961" s="14"/>
      <c r="U1961" s="14"/>
      <c r="V1961" s="14"/>
      <c r="W1961" s="14"/>
      <c r="X1961" s="14"/>
      <c r="Y1961" s="4"/>
      <c r="Z1961" s="4"/>
      <c r="AA1961" s="4"/>
      <c r="AB1961" s="4"/>
      <c r="AC1961" s="4"/>
      <c r="AD1961" s="4"/>
      <c r="AE1961" s="4"/>
      <c r="AF1961" s="4"/>
      <c r="AG1961" s="4"/>
      <c r="AH1961" s="4"/>
      <c r="AI1961" s="4"/>
      <c r="AJ1961" s="4"/>
      <c r="AK1961" s="4"/>
      <c r="AL1961" s="4"/>
      <c r="AM1961" s="4"/>
      <c r="AN1961" s="4"/>
      <c r="AO1961" s="4"/>
      <c r="AP1961" s="4"/>
      <c r="AQ1961" s="4"/>
      <c r="AR1961" s="4"/>
      <c r="AS1961" s="4"/>
      <c r="AT1961" s="4"/>
      <c r="AU1961" s="4"/>
      <c r="AV1961" s="4"/>
      <c r="AW1961" s="4"/>
      <c r="AX1961" s="4"/>
      <c r="AY1961" s="4"/>
      <c r="AZ1961" s="4"/>
      <c r="BA1961" s="4"/>
      <c r="BB1961" s="4"/>
      <c r="BC1961" s="4"/>
      <c r="BD1961" s="4"/>
      <c r="BE1961" s="4"/>
      <c r="BG1961" s="4"/>
      <c r="BH1961" s="4"/>
    </row>
    <row r="1962" spans="1:60" x14ac:dyDescent="0.35">
      <c r="A1962" s="4"/>
      <c r="B1962" s="8" t="str">
        <f t="shared" si="135"/>
        <v/>
      </c>
      <c r="D1962" s="6" t="str">
        <f t="shared" si="136"/>
        <v/>
      </c>
      <c r="E1962" s="6" t="str">
        <f t="shared" si="137"/>
        <v/>
      </c>
      <c r="F1962" s="6" t="str">
        <f t="shared" si="138"/>
        <v/>
      </c>
      <c r="G1962" s="4"/>
      <c r="H1962" s="4"/>
      <c r="I1962" s="4"/>
      <c r="J1962" s="4"/>
      <c r="K1962" s="4"/>
      <c r="L1962" s="4"/>
      <c r="M1962" s="4"/>
      <c r="N1962" s="4"/>
      <c r="O1962" s="4"/>
      <c r="P1962" s="4"/>
      <c r="Q1962" s="4"/>
      <c r="R1962" s="14"/>
      <c r="S1962" s="14"/>
      <c r="T1962" s="14"/>
      <c r="U1962" s="14"/>
      <c r="V1962" s="14"/>
      <c r="W1962" s="14"/>
      <c r="X1962" s="1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4"/>
      <c r="AU1962" s="4"/>
      <c r="AV1962" s="4"/>
      <c r="AW1962" s="4"/>
      <c r="AX1962" s="4"/>
      <c r="AY1962" s="4"/>
      <c r="AZ1962" s="4"/>
      <c r="BA1962" s="4"/>
      <c r="BB1962" s="4"/>
      <c r="BC1962" s="4"/>
      <c r="BD1962" s="4"/>
      <c r="BE1962" s="4"/>
      <c r="BG1962" s="4"/>
      <c r="BH1962" s="4"/>
    </row>
    <row r="1963" spans="1:60" x14ac:dyDescent="0.35">
      <c r="A1963" s="4"/>
      <c r="B1963" s="8" t="str">
        <f t="shared" si="135"/>
        <v/>
      </c>
      <c r="D1963" s="6" t="str">
        <f t="shared" si="136"/>
        <v/>
      </c>
      <c r="E1963" s="6" t="str">
        <f t="shared" si="137"/>
        <v/>
      </c>
      <c r="F1963" s="6" t="str">
        <f t="shared" si="138"/>
        <v/>
      </c>
      <c r="G1963" s="4"/>
      <c r="H1963" s="4"/>
      <c r="I1963" s="4"/>
      <c r="J1963" s="4"/>
      <c r="K1963" s="4"/>
      <c r="L1963" s="4"/>
      <c r="M1963" s="4"/>
      <c r="N1963" s="4"/>
      <c r="O1963" s="4"/>
      <c r="P1963" s="4"/>
      <c r="Q1963" s="4"/>
      <c r="R1963" s="14"/>
      <c r="S1963" s="14"/>
      <c r="T1963" s="14"/>
      <c r="U1963" s="14"/>
      <c r="V1963" s="14"/>
      <c r="W1963" s="14"/>
      <c r="X1963" s="14"/>
      <c r="Y1963" s="4"/>
      <c r="Z1963" s="4"/>
      <c r="AA1963" s="4"/>
      <c r="AB1963" s="4"/>
      <c r="AC1963" s="4"/>
      <c r="AD1963" s="4"/>
      <c r="AE1963" s="4"/>
      <c r="AF1963" s="4"/>
      <c r="AG1963" s="4"/>
      <c r="AH1963" s="4"/>
      <c r="AI1963" s="4"/>
      <c r="AJ1963" s="4"/>
      <c r="AK1963" s="4"/>
      <c r="AL1963" s="4"/>
      <c r="AM1963" s="4"/>
      <c r="AN1963" s="4"/>
      <c r="AO1963" s="4"/>
      <c r="AP1963" s="4"/>
      <c r="AQ1963" s="4"/>
      <c r="AR1963" s="4"/>
      <c r="AS1963" s="4"/>
      <c r="AT1963" s="4"/>
      <c r="AU1963" s="4"/>
      <c r="AV1963" s="4"/>
      <c r="AW1963" s="4"/>
      <c r="AX1963" s="4"/>
      <c r="AY1963" s="4"/>
      <c r="AZ1963" s="4"/>
      <c r="BA1963" s="4"/>
      <c r="BB1963" s="4"/>
      <c r="BC1963" s="4"/>
      <c r="BD1963" s="4"/>
      <c r="BE1963" s="4"/>
      <c r="BG1963" s="4"/>
      <c r="BH1963" s="4"/>
    </row>
    <row r="1964" spans="1:60" x14ac:dyDescent="0.35">
      <c r="A1964" s="4"/>
      <c r="B1964" s="8" t="str">
        <f t="shared" si="135"/>
        <v/>
      </c>
      <c r="D1964" s="6" t="str">
        <f t="shared" si="136"/>
        <v/>
      </c>
      <c r="E1964" s="6" t="str">
        <f t="shared" si="137"/>
        <v/>
      </c>
      <c r="F1964" s="6" t="str">
        <f t="shared" si="138"/>
        <v/>
      </c>
      <c r="G1964" s="4"/>
      <c r="H1964" s="4"/>
      <c r="I1964" s="4"/>
      <c r="J1964" s="4"/>
      <c r="K1964" s="4"/>
      <c r="L1964" s="4"/>
      <c r="M1964" s="4"/>
      <c r="N1964" s="4"/>
      <c r="O1964" s="4"/>
      <c r="P1964" s="4"/>
      <c r="Q1964" s="4"/>
      <c r="R1964" s="14"/>
      <c r="S1964" s="14"/>
      <c r="T1964" s="14"/>
      <c r="U1964" s="14"/>
      <c r="V1964" s="14"/>
      <c r="W1964" s="14"/>
      <c r="X1964" s="14"/>
      <c r="Y1964" s="4"/>
      <c r="Z1964" s="4"/>
      <c r="AA1964" s="4"/>
      <c r="AB1964" s="4"/>
      <c r="AC1964" s="4"/>
      <c r="AD1964" s="4"/>
      <c r="AE1964" s="4"/>
      <c r="AF1964" s="4"/>
      <c r="AG1964" s="4"/>
      <c r="AH1964" s="4"/>
      <c r="AI1964" s="4"/>
      <c r="AJ1964" s="4"/>
      <c r="AK1964" s="4"/>
      <c r="AL1964" s="4"/>
      <c r="AM1964" s="4"/>
      <c r="AN1964" s="4"/>
      <c r="AO1964" s="4"/>
      <c r="AP1964" s="4"/>
      <c r="AQ1964" s="4"/>
      <c r="AR1964" s="4"/>
      <c r="AS1964" s="4"/>
      <c r="AT1964" s="4"/>
      <c r="AU1964" s="4"/>
      <c r="AV1964" s="4"/>
      <c r="AW1964" s="4"/>
      <c r="AX1964" s="4"/>
      <c r="AY1964" s="4"/>
      <c r="AZ1964" s="4"/>
      <c r="BA1964" s="4"/>
      <c r="BB1964" s="4"/>
      <c r="BC1964" s="4"/>
      <c r="BD1964" s="4"/>
      <c r="BE1964" s="4"/>
      <c r="BG1964" s="4"/>
      <c r="BH1964" s="4"/>
    </row>
    <row r="1965" spans="1:60" x14ac:dyDescent="0.35">
      <c r="A1965" s="4"/>
      <c r="B1965" s="8" t="str">
        <f t="shared" si="135"/>
        <v/>
      </c>
      <c r="D1965" s="6" t="str">
        <f t="shared" si="136"/>
        <v/>
      </c>
      <c r="E1965" s="6" t="str">
        <f t="shared" si="137"/>
        <v/>
      </c>
      <c r="F1965" s="6" t="str">
        <f t="shared" si="138"/>
        <v/>
      </c>
      <c r="G1965" s="4"/>
      <c r="H1965" s="4"/>
      <c r="I1965" s="4"/>
      <c r="J1965" s="4"/>
      <c r="K1965" s="4"/>
      <c r="L1965" s="4"/>
      <c r="M1965" s="4"/>
      <c r="N1965" s="4"/>
      <c r="O1965" s="4"/>
      <c r="P1965" s="4"/>
      <c r="Q1965" s="4"/>
      <c r="R1965" s="14"/>
      <c r="S1965" s="14"/>
      <c r="T1965" s="14"/>
      <c r="U1965" s="14"/>
      <c r="V1965" s="14"/>
      <c r="W1965" s="14"/>
      <c r="X1965" s="14"/>
      <c r="Y1965" s="4"/>
      <c r="Z1965" s="4"/>
      <c r="AA1965" s="4"/>
      <c r="AB1965" s="4"/>
      <c r="AC1965" s="4"/>
      <c r="AD1965" s="4"/>
      <c r="AE1965" s="4"/>
      <c r="AF1965" s="4"/>
      <c r="AG1965" s="4"/>
      <c r="AH1965" s="4"/>
      <c r="AI1965" s="4"/>
      <c r="AJ1965" s="4"/>
      <c r="AK1965" s="4"/>
      <c r="AL1965" s="4"/>
      <c r="AM1965" s="4"/>
      <c r="AN1965" s="4"/>
      <c r="AO1965" s="4"/>
      <c r="AP1965" s="4"/>
      <c r="AQ1965" s="4"/>
      <c r="AR1965" s="4"/>
      <c r="AS1965" s="4"/>
      <c r="AT1965" s="4"/>
      <c r="AU1965" s="4"/>
      <c r="AV1965" s="4"/>
      <c r="AW1965" s="4"/>
      <c r="AX1965" s="4"/>
      <c r="AY1965" s="4"/>
      <c r="AZ1965" s="4"/>
      <c r="BA1965" s="4"/>
      <c r="BB1965" s="4"/>
      <c r="BC1965" s="4"/>
      <c r="BD1965" s="4"/>
      <c r="BE1965" s="4"/>
      <c r="BG1965" s="4"/>
      <c r="BH1965" s="4"/>
    </row>
    <row r="1966" spans="1:60" x14ac:dyDescent="0.35">
      <c r="A1966" s="4"/>
      <c r="B1966" s="8" t="str">
        <f t="shared" si="135"/>
        <v/>
      </c>
      <c r="D1966" s="6" t="str">
        <f t="shared" si="136"/>
        <v/>
      </c>
      <c r="E1966" s="6" t="str">
        <f t="shared" si="137"/>
        <v/>
      </c>
      <c r="F1966" s="6" t="str">
        <f t="shared" si="138"/>
        <v/>
      </c>
      <c r="G1966" s="4"/>
      <c r="H1966" s="4"/>
      <c r="I1966" s="4"/>
      <c r="J1966" s="4"/>
      <c r="K1966" s="4"/>
      <c r="L1966" s="4"/>
      <c r="M1966" s="4"/>
      <c r="N1966" s="4"/>
      <c r="O1966" s="4"/>
      <c r="P1966" s="4"/>
      <c r="Q1966" s="4"/>
      <c r="R1966" s="14"/>
      <c r="S1966" s="14"/>
      <c r="T1966" s="14"/>
      <c r="U1966" s="14"/>
      <c r="V1966" s="14"/>
      <c r="W1966" s="14"/>
      <c r="X1966" s="14"/>
      <c r="Y1966" s="4"/>
      <c r="Z1966" s="4"/>
      <c r="AA1966" s="4"/>
      <c r="AB1966" s="4"/>
      <c r="AC1966" s="4"/>
      <c r="AD1966" s="4"/>
      <c r="AE1966" s="4"/>
      <c r="AF1966" s="4"/>
      <c r="AG1966" s="4"/>
      <c r="AH1966" s="4"/>
      <c r="AI1966" s="4"/>
      <c r="AJ1966" s="4"/>
      <c r="AK1966" s="4"/>
      <c r="AL1966" s="4"/>
      <c r="AM1966" s="4"/>
      <c r="AN1966" s="4"/>
      <c r="AO1966" s="4"/>
      <c r="AP1966" s="4"/>
      <c r="AQ1966" s="4"/>
      <c r="AR1966" s="4"/>
      <c r="AS1966" s="4"/>
      <c r="AT1966" s="4"/>
      <c r="AU1966" s="4"/>
      <c r="AV1966" s="4"/>
      <c r="AW1966" s="4"/>
      <c r="AX1966" s="4"/>
      <c r="AY1966" s="4"/>
      <c r="AZ1966" s="4"/>
      <c r="BA1966" s="4"/>
      <c r="BB1966" s="4"/>
      <c r="BC1966" s="4"/>
      <c r="BD1966" s="4"/>
      <c r="BE1966" s="4"/>
      <c r="BG1966" s="4"/>
      <c r="BH1966" s="4"/>
    </row>
    <row r="1967" spans="1:60" x14ac:dyDescent="0.35">
      <c r="A1967" s="4"/>
      <c r="B1967" s="8" t="str">
        <f t="shared" si="135"/>
        <v/>
      </c>
      <c r="D1967" s="6" t="str">
        <f t="shared" si="136"/>
        <v/>
      </c>
      <c r="E1967" s="6" t="str">
        <f t="shared" si="137"/>
        <v/>
      </c>
      <c r="F1967" s="6" t="str">
        <f t="shared" si="138"/>
        <v/>
      </c>
      <c r="G1967" s="4"/>
      <c r="H1967" s="4"/>
      <c r="I1967" s="4"/>
      <c r="J1967" s="4"/>
      <c r="K1967" s="4"/>
      <c r="L1967" s="4"/>
      <c r="M1967" s="4"/>
      <c r="N1967" s="4"/>
      <c r="O1967" s="4"/>
      <c r="P1967" s="4"/>
      <c r="Q1967" s="4"/>
      <c r="R1967" s="14"/>
      <c r="S1967" s="14"/>
      <c r="T1967" s="14"/>
      <c r="U1967" s="14"/>
      <c r="V1967" s="14"/>
      <c r="W1967" s="14"/>
      <c r="X1967" s="1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4"/>
      <c r="AU1967" s="4"/>
      <c r="AV1967" s="4"/>
      <c r="AW1967" s="4"/>
      <c r="AX1967" s="4"/>
      <c r="AY1967" s="4"/>
      <c r="AZ1967" s="4"/>
      <c r="BA1967" s="4"/>
      <c r="BB1967" s="4"/>
      <c r="BC1967" s="4"/>
      <c r="BD1967" s="4"/>
      <c r="BE1967" s="4"/>
      <c r="BG1967" s="4"/>
      <c r="BH1967" s="4"/>
    </row>
    <row r="1968" spans="1:60" x14ac:dyDescent="0.35">
      <c r="A1968" s="4"/>
      <c r="B1968" s="8" t="str">
        <f t="shared" si="135"/>
        <v/>
      </c>
      <c r="D1968" s="6" t="str">
        <f t="shared" si="136"/>
        <v/>
      </c>
      <c r="E1968" s="6" t="str">
        <f t="shared" si="137"/>
        <v/>
      </c>
      <c r="F1968" s="6" t="str">
        <f t="shared" si="138"/>
        <v/>
      </c>
      <c r="G1968" s="4"/>
      <c r="H1968" s="4"/>
      <c r="I1968" s="4"/>
      <c r="J1968" s="4"/>
      <c r="K1968" s="4"/>
      <c r="L1968" s="4"/>
      <c r="M1968" s="4"/>
      <c r="N1968" s="4"/>
      <c r="O1968" s="4"/>
      <c r="P1968" s="4"/>
      <c r="Q1968" s="4"/>
      <c r="R1968" s="14"/>
      <c r="S1968" s="14"/>
      <c r="T1968" s="14"/>
      <c r="U1968" s="14"/>
      <c r="V1968" s="14"/>
      <c r="W1968" s="14"/>
      <c r="X1968" s="14"/>
      <c r="Y1968" s="4"/>
      <c r="Z1968" s="4"/>
      <c r="AA1968" s="4"/>
      <c r="AB1968" s="4"/>
      <c r="AC1968" s="4"/>
      <c r="AD1968" s="4"/>
      <c r="AE1968" s="4"/>
      <c r="AF1968" s="4"/>
      <c r="AG1968" s="4"/>
      <c r="AH1968" s="4"/>
      <c r="AI1968" s="4"/>
      <c r="AJ1968" s="4"/>
      <c r="AK1968" s="4"/>
      <c r="AL1968" s="4"/>
      <c r="AM1968" s="4"/>
      <c r="AN1968" s="4"/>
      <c r="AO1968" s="4"/>
      <c r="AP1968" s="4"/>
      <c r="AQ1968" s="4"/>
      <c r="AR1968" s="4"/>
      <c r="AS1968" s="4"/>
      <c r="AT1968" s="4"/>
      <c r="AU1968" s="4"/>
      <c r="AV1968" s="4"/>
      <c r="AW1968" s="4"/>
      <c r="AX1968" s="4"/>
      <c r="AY1968" s="4"/>
      <c r="AZ1968" s="4"/>
      <c r="BA1968" s="4"/>
      <c r="BB1968" s="4"/>
      <c r="BC1968" s="4"/>
      <c r="BD1968" s="4"/>
      <c r="BE1968" s="4"/>
      <c r="BG1968" s="4"/>
      <c r="BH1968" s="4"/>
    </row>
    <row r="1969" spans="1:60" x14ac:dyDescent="0.35">
      <c r="A1969" s="4"/>
      <c r="B1969" s="4"/>
      <c r="D1969" s="6" t="str">
        <f t="shared" si="136"/>
        <v/>
      </c>
      <c r="E1969" s="6" t="str">
        <f t="shared" si="137"/>
        <v/>
      </c>
      <c r="F1969" s="6" t="str">
        <f t="shared" si="138"/>
        <v/>
      </c>
      <c r="G1969" s="4"/>
      <c r="H1969" s="4"/>
      <c r="I1969" s="4"/>
      <c r="J1969" s="4"/>
      <c r="K1969" s="4"/>
      <c r="L1969" s="4"/>
      <c r="M1969" s="4"/>
      <c r="N1969" s="4"/>
      <c r="O1969" s="4"/>
      <c r="P1969" s="4"/>
      <c r="Q1969" s="4"/>
      <c r="R1969" s="14"/>
      <c r="S1969" s="14"/>
      <c r="T1969" s="14"/>
      <c r="U1969" s="14"/>
      <c r="V1969" s="14"/>
      <c r="W1969" s="14"/>
      <c r="X1969" s="14"/>
      <c r="Y1969" s="4"/>
      <c r="Z1969" s="4"/>
      <c r="AA1969" s="4"/>
      <c r="AB1969" s="4"/>
      <c r="AC1969" s="4"/>
      <c r="AD1969" s="4"/>
      <c r="AE1969" s="4"/>
      <c r="AF1969" s="4"/>
      <c r="AG1969" s="4"/>
      <c r="AH1969" s="4"/>
      <c r="AI1969" s="4"/>
      <c r="AJ1969" s="4"/>
      <c r="AK1969" s="4"/>
      <c r="AL1969" s="4"/>
      <c r="AM1969" s="4"/>
      <c r="AN1969" s="4"/>
      <c r="AO1969" s="4"/>
      <c r="AP1969" s="4"/>
      <c r="AQ1969" s="4"/>
      <c r="AR1969" s="4"/>
      <c r="AS1969" s="4"/>
      <c r="AT1969" s="4"/>
      <c r="AU1969" s="4"/>
      <c r="AV1969" s="4"/>
      <c r="AW1969" s="4"/>
      <c r="AX1969" s="4"/>
      <c r="AY1969" s="4"/>
      <c r="AZ1969" s="4"/>
      <c r="BA1969" s="4"/>
      <c r="BB1969" s="4"/>
      <c r="BC1969" s="4"/>
      <c r="BD1969" s="4"/>
      <c r="BE1969" s="4"/>
      <c r="BG1969" s="4"/>
      <c r="BH1969" s="4"/>
    </row>
    <row r="1970" spans="1:60" x14ac:dyDescent="0.35">
      <c r="A1970" s="4"/>
      <c r="B1970" s="4"/>
      <c r="D1970" s="6" t="str">
        <f t="shared" si="136"/>
        <v/>
      </c>
      <c r="E1970" s="6" t="str">
        <f t="shared" si="137"/>
        <v/>
      </c>
      <c r="F1970" s="6" t="str">
        <f t="shared" si="138"/>
        <v/>
      </c>
      <c r="G1970" s="4"/>
      <c r="H1970" s="4"/>
      <c r="I1970" s="4"/>
      <c r="J1970" s="4"/>
      <c r="K1970" s="4"/>
      <c r="L1970" s="4"/>
      <c r="M1970" s="4"/>
      <c r="N1970" s="4"/>
      <c r="O1970" s="4"/>
      <c r="P1970" s="4"/>
      <c r="Q1970" s="4"/>
      <c r="R1970" s="14"/>
      <c r="S1970" s="14"/>
      <c r="T1970" s="14"/>
      <c r="U1970" s="14"/>
      <c r="V1970" s="14"/>
      <c r="W1970" s="14"/>
      <c r="X1970" s="14"/>
      <c r="Y1970" s="4"/>
      <c r="Z1970" s="4"/>
      <c r="AA1970" s="4"/>
      <c r="AB1970" s="4"/>
      <c r="AC1970" s="4"/>
      <c r="AD1970" s="4"/>
      <c r="AE1970" s="4"/>
      <c r="AF1970" s="4"/>
      <c r="AG1970" s="4"/>
      <c r="AH1970" s="4"/>
      <c r="AI1970" s="4"/>
      <c r="AJ1970" s="4"/>
      <c r="AK1970" s="4"/>
      <c r="AL1970" s="4"/>
      <c r="AM1970" s="4"/>
      <c r="AN1970" s="4"/>
      <c r="AO1970" s="4"/>
      <c r="AP1970" s="4"/>
      <c r="AQ1970" s="4"/>
      <c r="AR1970" s="4"/>
      <c r="AS1970" s="4"/>
      <c r="AT1970" s="4"/>
      <c r="AU1970" s="4"/>
      <c r="AV1970" s="4"/>
      <c r="AW1970" s="4"/>
      <c r="AX1970" s="4"/>
      <c r="AY1970" s="4"/>
      <c r="AZ1970" s="4"/>
      <c r="BA1970" s="4"/>
      <c r="BB1970" s="4"/>
      <c r="BC1970" s="4"/>
      <c r="BD1970" s="4"/>
      <c r="BE1970" s="4"/>
      <c r="BG1970" s="4"/>
      <c r="BH1970" s="4"/>
    </row>
    <row r="1971" spans="1:60" x14ac:dyDescent="0.35">
      <c r="A1971" s="4"/>
      <c r="B1971" s="4"/>
      <c r="D1971" s="6" t="str">
        <f t="shared" si="136"/>
        <v/>
      </c>
      <c r="E1971" s="6" t="str">
        <f t="shared" si="137"/>
        <v/>
      </c>
      <c r="F1971" s="6" t="str">
        <f t="shared" si="138"/>
        <v/>
      </c>
      <c r="G1971" s="4"/>
      <c r="H1971" s="4"/>
      <c r="I1971" s="4"/>
      <c r="J1971" s="4"/>
      <c r="K1971" s="4"/>
      <c r="L1971" s="4"/>
      <c r="M1971" s="4"/>
      <c r="N1971" s="4"/>
      <c r="O1971" s="4"/>
      <c r="P1971" s="4"/>
      <c r="Q1971" s="4"/>
      <c r="R1971" s="14"/>
      <c r="S1971" s="14"/>
      <c r="T1971" s="14"/>
      <c r="U1971" s="14"/>
      <c r="V1971" s="14"/>
      <c r="W1971" s="14"/>
      <c r="X1971" s="14"/>
      <c r="Y1971" s="4"/>
      <c r="Z1971" s="4"/>
      <c r="AA1971" s="4"/>
      <c r="AB1971" s="4"/>
      <c r="AC1971" s="4"/>
      <c r="AD1971" s="4"/>
      <c r="AE1971" s="4"/>
      <c r="AF1971" s="4"/>
      <c r="AG1971" s="4"/>
      <c r="AH1971" s="4"/>
      <c r="AI1971" s="4"/>
      <c r="AJ1971" s="4"/>
      <c r="AK1971" s="4"/>
      <c r="AL1971" s="4"/>
      <c r="AM1971" s="4"/>
      <c r="AN1971" s="4"/>
      <c r="AO1971" s="4"/>
      <c r="AP1971" s="4"/>
      <c r="AQ1971" s="4"/>
      <c r="AR1971" s="4"/>
      <c r="AS1971" s="4"/>
      <c r="AT1971" s="4"/>
      <c r="AU1971" s="4"/>
      <c r="AV1971" s="4"/>
      <c r="AW1971" s="4"/>
      <c r="AX1971" s="4"/>
      <c r="AY1971" s="4"/>
      <c r="AZ1971" s="4"/>
      <c r="BA1971" s="4"/>
      <c r="BB1971" s="4"/>
      <c r="BC1971" s="4"/>
      <c r="BD1971" s="4"/>
      <c r="BE1971" s="4"/>
      <c r="BG1971" s="4"/>
      <c r="BH1971" s="4"/>
    </row>
    <row r="1972" spans="1:60" x14ac:dyDescent="0.35">
      <c r="A1972" s="4"/>
      <c r="B1972" s="4"/>
      <c r="D1972" s="6" t="str">
        <f t="shared" si="136"/>
        <v/>
      </c>
      <c r="E1972" s="6" t="str">
        <f t="shared" si="137"/>
        <v/>
      </c>
      <c r="F1972" s="6" t="str">
        <f t="shared" si="138"/>
        <v/>
      </c>
      <c r="G1972" s="4"/>
      <c r="H1972" s="4"/>
      <c r="I1972" s="4"/>
      <c r="J1972" s="4"/>
      <c r="K1972" s="4"/>
      <c r="L1972" s="4"/>
      <c r="M1972" s="4"/>
      <c r="N1972" s="4"/>
      <c r="O1972" s="4"/>
      <c r="P1972" s="4"/>
      <c r="Q1972" s="4"/>
      <c r="R1972" s="14"/>
      <c r="S1972" s="14"/>
      <c r="T1972" s="14"/>
      <c r="U1972" s="14"/>
      <c r="V1972" s="14"/>
      <c r="W1972" s="14"/>
      <c r="X1972" s="14"/>
      <c r="Y1972" s="4"/>
      <c r="Z1972" s="4"/>
      <c r="AA1972" s="4"/>
      <c r="AB1972" s="4"/>
      <c r="AC1972" s="4"/>
      <c r="AD1972" s="4"/>
      <c r="AE1972" s="4"/>
      <c r="AF1972" s="4"/>
      <c r="AG1972" s="4"/>
      <c r="AH1972" s="4"/>
      <c r="AI1972" s="4"/>
      <c r="AJ1972" s="4"/>
      <c r="AK1972" s="4"/>
      <c r="AL1972" s="4"/>
      <c r="AM1972" s="4"/>
      <c r="AN1972" s="4"/>
      <c r="AO1972" s="4"/>
      <c r="AP1972" s="4"/>
      <c r="AQ1972" s="4"/>
      <c r="AR1972" s="4"/>
      <c r="AS1972" s="4"/>
      <c r="AT1972" s="4"/>
      <c r="AU1972" s="4"/>
      <c r="AV1972" s="4"/>
      <c r="AW1972" s="4"/>
      <c r="AX1972" s="4"/>
      <c r="AY1972" s="4"/>
      <c r="AZ1972" s="4"/>
      <c r="BA1972" s="4"/>
      <c r="BB1972" s="4"/>
      <c r="BC1972" s="4"/>
      <c r="BD1972" s="4"/>
      <c r="BE1972" s="4"/>
      <c r="BG1972" s="4"/>
      <c r="BH1972" s="4"/>
    </row>
    <row r="1973" spans="1:60" x14ac:dyDescent="0.35">
      <c r="A1973" s="4"/>
      <c r="B1973" s="4"/>
      <c r="D1973" s="6" t="str">
        <f t="shared" si="136"/>
        <v/>
      </c>
      <c r="E1973" s="6" t="str">
        <f t="shared" si="137"/>
        <v/>
      </c>
      <c r="F1973" s="6" t="str">
        <f t="shared" si="138"/>
        <v/>
      </c>
      <c r="G1973" s="4"/>
      <c r="H1973" s="4"/>
      <c r="I1973" s="4"/>
      <c r="J1973" s="4"/>
      <c r="K1973" s="4"/>
      <c r="L1973" s="4"/>
      <c r="M1973" s="4"/>
      <c r="N1973" s="4"/>
      <c r="O1973" s="4"/>
      <c r="P1973" s="4"/>
      <c r="Q1973" s="4"/>
      <c r="R1973" s="14"/>
      <c r="S1973" s="14"/>
      <c r="T1973" s="14"/>
      <c r="U1973" s="14"/>
      <c r="V1973" s="14"/>
      <c r="W1973" s="14"/>
      <c r="X1973" s="1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4"/>
      <c r="AU1973" s="4"/>
      <c r="AV1973" s="4"/>
      <c r="AW1973" s="4"/>
      <c r="AX1973" s="4"/>
      <c r="AY1973" s="4"/>
      <c r="AZ1973" s="4"/>
      <c r="BA1973" s="4"/>
      <c r="BB1973" s="4"/>
      <c r="BC1973" s="4"/>
      <c r="BD1973" s="4"/>
      <c r="BE1973" s="4"/>
      <c r="BG1973" s="4"/>
      <c r="BH1973" s="4"/>
    </row>
    <row r="1974" spans="1:60" x14ac:dyDescent="0.35">
      <c r="A1974" s="4"/>
      <c r="B1974" s="4"/>
      <c r="D1974" s="6" t="str">
        <f t="shared" si="136"/>
        <v/>
      </c>
      <c r="E1974" s="6" t="str">
        <f t="shared" si="137"/>
        <v/>
      </c>
      <c r="F1974" s="6" t="str">
        <f t="shared" si="138"/>
        <v/>
      </c>
      <c r="G1974" s="4"/>
      <c r="H1974" s="4"/>
      <c r="I1974" s="4"/>
      <c r="J1974" s="4"/>
      <c r="K1974" s="4"/>
      <c r="L1974" s="4"/>
      <c r="M1974" s="4"/>
      <c r="N1974" s="4"/>
      <c r="O1974" s="4"/>
      <c r="P1974" s="4"/>
      <c r="Q1974" s="4"/>
      <c r="R1974" s="14"/>
      <c r="S1974" s="14"/>
      <c r="T1974" s="14"/>
      <c r="U1974" s="14"/>
      <c r="V1974" s="14"/>
      <c r="W1974" s="14"/>
      <c r="X1974" s="14"/>
      <c r="Y1974" s="4"/>
      <c r="Z1974" s="4"/>
      <c r="AA1974" s="4"/>
      <c r="AB1974" s="4"/>
      <c r="AC1974" s="4"/>
      <c r="AD1974" s="4"/>
      <c r="AE1974" s="4"/>
      <c r="AF1974" s="4"/>
      <c r="AG1974" s="4"/>
      <c r="AH1974" s="4"/>
      <c r="AI1974" s="4"/>
      <c r="AJ1974" s="4"/>
      <c r="AK1974" s="4"/>
      <c r="AL1974" s="4"/>
      <c r="AM1974" s="4"/>
      <c r="AN1974" s="4"/>
      <c r="AO1974" s="4"/>
      <c r="AP1974" s="4"/>
      <c r="AQ1974" s="4"/>
      <c r="AR1974" s="4"/>
      <c r="AS1974" s="4"/>
      <c r="AT1974" s="4"/>
      <c r="AU1974" s="4"/>
      <c r="AV1974" s="4"/>
      <c r="AW1974" s="4"/>
      <c r="AX1974" s="4"/>
      <c r="AY1974" s="4"/>
      <c r="AZ1974" s="4"/>
      <c r="BA1974" s="4"/>
      <c r="BB1974" s="4"/>
      <c r="BC1974" s="4"/>
      <c r="BD1974" s="4"/>
      <c r="BE1974" s="4"/>
      <c r="BG1974" s="4"/>
      <c r="BH1974" s="4"/>
    </row>
    <row r="1975" spans="1:60" x14ac:dyDescent="0.35">
      <c r="A1975" s="4"/>
      <c r="B1975" s="4"/>
      <c r="D1975" s="6" t="str">
        <f t="shared" si="136"/>
        <v/>
      </c>
      <c r="E1975" s="6" t="str">
        <f t="shared" si="137"/>
        <v/>
      </c>
      <c r="F1975" s="6" t="str">
        <f t="shared" si="138"/>
        <v/>
      </c>
      <c r="G1975" s="4"/>
      <c r="H1975" s="4"/>
      <c r="I1975" s="4"/>
      <c r="J1975" s="4"/>
      <c r="K1975" s="4"/>
      <c r="L1975" s="4"/>
      <c r="M1975" s="4"/>
      <c r="N1975" s="4"/>
      <c r="O1975" s="4"/>
      <c r="P1975" s="4"/>
      <c r="Q1975" s="4"/>
      <c r="R1975" s="14"/>
      <c r="S1975" s="14"/>
      <c r="T1975" s="14"/>
      <c r="U1975" s="14"/>
      <c r="V1975" s="14"/>
      <c r="W1975" s="14"/>
      <c r="X1975" s="14"/>
      <c r="Y1975" s="4"/>
      <c r="Z1975" s="4"/>
      <c r="AA1975" s="4"/>
      <c r="AB1975" s="4"/>
      <c r="AC1975" s="4"/>
      <c r="AD1975" s="4"/>
      <c r="AE1975" s="4"/>
      <c r="AF1975" s="4"/>
      <c r="AG1975" s="4"/>
      <c r="AH1975" s="4"/>
      <c r="AI1975" s="4"/>
      <c r="AJ1975" s="4"/>
      <c r="AK1975" s="4"/>
      <c r="AL1975" s="4"/>
      <c r="AM1975" s="4"/>
      <c r="AN1975" s="4"/>
      <c r="AO1975" s="4"/>
      <c r="AP1975" s="4"/>
      <c r="AQ1975" s="4"/>
      <c r="AR1975" s="4"/>
      <c r="AS1975" s="4"/>
      <c r="AT1975" s="4"/>
      <c r="AU1975" s="4"/>
      <c r="AV1975" s="4"/>
      <c r="AW1975" s="4"/>
      <c r="AX1975" s="4"/>
      <c r="AY1975" s="4"/>
      <c r="AZ1975" s="4"/>
      <c r="BA1975" s="4"/>
      <c r="BB1975" s="4"/>
      <c r="BC1975" s="4"/>
      <c r="BD1975" s="4"/>
      <c r="BE1975" s="4"/>
      <c r="BG1975" s="4"/>
      <c r="BH1975" s="4"/>
    </row>
    <row r="1976" spans="1:60" x14ac:dyDescent="0.35">
      <c r="A1976" s="4"/>
      <c r="B1976" s="4"/>
      <c r="D1976" s="6" t="str">
        <f t="shared" si="136"/>
        <v/>
      </c>
      <c r="E1976" s="6" t="str">
        <f t="shared" si="137"/>
        <v/>
      </c>
      <c r="F1976" s="6" t="str">
        <f t="shared" si="138"/>
        <v/>
      </c>
      <c r="G1976" s="4"/>
      <c r="H1976" s="4"/>
      <c r="I1976" s="4"/>
      <c r="J1976" s="4"/>
      <c r="K1976" s="4"/>
      <c r="L1976" s="4"/>
      <c r="M1976" s="4"/>
      <c r="N1976" s="4"/>
      <c r="O1976" s="4"/>
      <c r="P1976" s="4"/>
      <c r="Q1976" s="4"/>
      <c r="R1976" s="14"/>
      <c r="S1976" s="14"/>
      <c r="T1976" s="14"/>
      <c r="U1976" s="14"/>
      <c r="V1976" s="14"/>
      <c r="W1976" s="14"/>
      <c r="X1976" s="14"/>
      <c r="Y1976" s="4"/>
      <c r="Z1976" s="4"/>
      <c r="AA1976" s="4"/>
      <c r="AB1976" s="4"/>
      <c r="AC1976" s="4"/>
      <c r="AD1976" s="4"/>
      <c r="AE1976" s="4"/>
      <c r="AF1976" s="4"/>
      <c r="AG1976" s="4"/>
      <c r="AH1976" s="4"/>
      <c r="AI1976" s="4"/>
      <c r="AJ1976" s="4"/>
      <c r="AK1976" s="4"/>
      <c r="AL1976" s="4"/>
      <c r="AM1976" s="4"/>
      <c r="AN1976" s="4"/>
      <c r="AO1976" s="4"/>
      <c r="AP1976" s="4"/>
      <c r="AQ1976" s="4"/>
      <c r="AR1976" s="4"/>
      <c r="AS1976" s="4"/>
      <c r="AT1976" s="4"/>
      <c r="AU1976" s="4"/>
      <c r="AV1976" s="4"/>
      <c r="AW1976" s="4"/>
      <c r="AX1976" s="4"/>
      <c r="AY1976" s="4"/>
      <c r="AZ1976" s="4"/>
      <c r="BA1976" s="4"/>
      <c r="BB1976" s="4"/>
      <c r="BC1976" s="4"/>
      <c r="BD1976" s="4"/>
      <c r="BE1976" s="4"/>
      <c r="BG1976" s="4"/>
      <c r="BH1976" s="4"/>
    </row>
    <row r="1977" spans="1:60" x14ac:dyDescent="0.35">
      <c r="A1977" s="4"/>
      <c r="B1977" s="4"/>
      <c r="D1977" s="6" t="str">
        <f t="shared" si="136"/>
        <v/>
      </c>
      <c r="E1977" s="6" t="str">
        <f t="shared" si="137"/>
        <v/>
      </c>
      <c r="F1977" s="6" t="str">
        <f t="shared" si="138"/>
        <v/>
      </c>
      <c r="G1977" s="4"/>
      <c r="H1977" s="4"/>
      <c r="I1977" s="4"/>
      <c r="J1977" s="4"/>
      <c r="K1977" s="4"/>
      <c r="L1977" s="4"/>
      <c r="M1977" s="4"/>
      <c r="N1977" s="4"/>
      <c r="O1977" s="4"/>
      <c r="P1977" s="4"/>
      <c r="Q1977" s="4"/>
      <c r="R1977" s="14"/>
      <c r="S1977" s="14"/>
      <c r="T1977" s="14"/>
      <c r="U1977" s="14"/>
      <c r="V1977" s="14"/>
      <c r="W1977" s="14"/>
      <c r="X1977" s="1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4"/>
      <c r="AU1977" s="4"/>
      <c r="AV1977" s="4"/>
      <c r="AW1977" s="4"/>
      <c r="AX1977" s="4"/>
      <c r="AY1977" s="4"/>
      <c r="AZ1977" s="4"/>
      <c r="BA1977" s="4"/>
      <c r="BB1977" s="4"/>
      <c r="BC1977" s="4"/>
      <c r="BD1977" s="4"/>
      <c r="BE1977" s="4"/>
      <c r="BG1977" s="4"/>
      <c r="BH1977" s="4"/>
    </row>
    <row r="1978" spans="1:60" x14ac:dyDescent="0.35">
      <c r="A1978" s="4"/>
      <c r="B1978" s="4"/>
      <c r="D1978" s="6" t="str">
        <f t="shared" si="136"/>
        <v/>
      </c>
      <c r="E1978" s="6" t="str">
        <f t="shared" si="137"/>
        <v/>
      </c>
      <c r="F1978" s="6" t="str">
        <f t="shared" si="138"/>
        <v/>
      </c>
      <c r="G1978" s="4"/>
      <c r="H1978" s="4"/>
      <c r="I1978" s="4"/>
      <c r="J1978" s="4"/>
      <c r="K1978" s="4"/>
      <c r="L1978" s="4"/>
      <c r="M1978" s="4"/>
      <c r="N1978" s="4"/>
      <c r="O1978" s="4"/>
      <c r="P1978" s="4"/>
      <c r="Q1978" s="4"/>
      <c r="R1978" s="14"/>
      <c r="S1978" s="14"/>
      <c r="T1978" s="14"/>
      <c r="U1978" s="14"/>
      <c r="V1978" s="14"/>
      <c r="W1978" s="14"/>
      <c r="X1978" s="14"/>
      <c r="Y1978" s="4"/>
      <c r="Z1978" s="4"/>
      <c r="AA1978" s="4"/>
      <c r="AB1978" s="4"/>
      <c r="AC1978" s="4"/>
      <c r="AD1978" s="4"/>
      <c r="AE1978" s="4"/>
      <c r="AF1978" s="4"/>
      <c r="AG1978" s="4"/>
      <c r="AH1978" s="4"/>
      <c r="AI1978" s="4"/>
      <c r="AJ1978" s="4"/>
      <c r="AK1978" s="4"/>
      <c r="AL1978" s="4"/>
      <c r="AM1978" s="4"/>
      <c r="AN1978" s="4"/>
      <c r="AO1978" s="4"/>
      <c r="AP1978" s="4"/>
      <c r="AQ1978" s="4"/>
      <c r="AR1978" s="4"/>
      <c r="AS1978" s="4"/>
      <c r="AT1978" s="4"/>
      <c r="AU1978" s="4"/>
      <c r="AV1978" s="4"/>
      <c r="AW1978" s="4"/>
      <c r="AX1978" s="4"/>
      <c r="AY1978" s="4"/>
      <c r="AZ1978" s="4"/>
      <c r="BA1978" s="4"/>
      <c r="BB1978" s="4"/>
      <c r="BC1978" s="4"/>
      <c r="BD1978" s="4"/>
      <c r="BE1978" s="4"/>
      <c r="BG1978" s="4"/>
      <c r="BH1978" s="4"/>
    </row>
    <row r="1979" spans="1:60" x14ac:dyDescent="0.35">
      <c r="A1979" s="4"/>
      <c r="B1979" s="4"/>
      <c r="D1979" s="6" t="str">
        <f t="shared" si="136"/>
        <v/>
      </c>
      <c r="E1979" s="6" t="str">
        <f t="shared" si="137"/>
        <v/>
      </c>
      <c r="F1979" s="6" t="str">
        <f t="shared" si="138"/>
        <v/>
      </c>
      <c r="G1979" s="4"/>
      <c r="H1979" s="4"/>
      <c r="I1979" s="4"/>
      <c r="J1979" s="4"/>
      <c r="K1979" s="4"/>
      <c r="L1979" s="4"/>
      <c r="M1979" s="4"/>
      <c r="N1979" s="4"/>
      <c r="O1979" s="4"/>
      <c r="P1979" s="4"/>
      <c r="Q1979" s="4"/>
      <c r="R1979" s="14"/>
      <c r="S1979" s="14"/>
      <c r="T1979" s="14"/>
      <c r="U1979" s="14"/>
      <c r="V1979" s="14"/>
      <c r="W1979" s="14"/>
      <c r="X1979" s="14"/>
      <c r="Y1979" s="4"/>
      <c r="Z1979" s="4"/>
      <c r="AA1979" s="4"/>
      <c r="AB1979" s="4"/>
      <c r="AC1979" s="4"/>
      <c r="AD1979" s="4"/>
      <c r="AE1979" s="4"/>
      <c r="AF1979" s="4"/>
      <c r="AG1979" s="4"/>
      <c r="AH1979" s="4"/>
      <c r="AI1979" s="4"/>
      <c r="AJ1979" s="4"/>
      <c r="AK1979" s="4"/>
      <c r="AL1979" s="4"/>
      <c r="AM1979" s="4"/>
      <c r="AN1979" s="4"/>
      <c r="AO1979" s="4"/>
      <c r="AP1979" s="4"/>
      <c r="AQ1979" s="4"/>
      <c r="AR1979" s="4"/>
      <c r="AS1979" s="4"/>
      <c r="AT1979" s="4"/>
      <c r="AU1979" s="4"/>
      <c r="AV1979" s="4"/>
      <c r="AW1979" s="4"/>
      <c r="AX1979" s="4"/>
      <c r="AY1979" s="4"/>
      <c r="AZ1979" s="4"/>
      <c r="BA1979" s="4"/>
      <c r="BB1979" s="4"/>
      <c r="BC1979" s="4"/>
      <c r="BD1979" s="4"/>
      <c r="BE1979" s="4"/>
      <c r="BG1979" s="4"/>
      <c r="BH1979" s="4"/>
    </row>
    <row r="1980" spans="1:60" x14ac:dyDescent="0.35">
      <c r="A1980" s="4"/>
      <c r="B1980" s="4"/>
      <c r="D1980" s="6" t="str">
        <f t="shared" si="136"/>
        <v/>
      </c>
      <c r="E1980" s="6" t="str">
        <f t="shared" si="137"/>
        <v/>
      </c>
      <c r="F1980" s="6" t="str">
        <f t="shared" si="138"/>
        <v/>
      </c>
      <c r="G1980" s="4"/>
      <c r="H1980" s="4"/>
      <c r="I1980" s="4"/>
      <c r="J1980" s="4"/>
      <c r="K1980" s="4"/>
      <c r="L1980" s="4"/>
      <c r="M1980" s="4"/>
      <c r="N1980" s="4"/>
      <c r="O1980" s="4"/>
      <c r="P1980" s="4"/>
      <c r="Q1980" s="4"/>
      <c r="R1980" s="14"/>
      <c r="S1980" s="14"/>
      <c r="T1980" s="14"/>
      <c r="U1980" s="14"/>
      <c r="V1980" s="14"/>
      <c r="W1980" s="14"/>
      <c r="X1980" s="14"/>
      <c r="Y1980" s="4"/>
      <c r="Z1980" s="4"/>
      <c r="AA1980" s="4"/>
      <c r="AB1980" s="4"/>
      <c r="AC1980" s="4"/>
      <c r="AD1980" s="4"/>
      <c r="AE1980" s="4"/>
      <c r="AF1980" s="4"/>
      <c r="AG1980" s="4"/>
      <c r="AH1980" s="4"/>
      <c r="AI1980" s="4"/>
      <c r="AJ1980" s="4"/>
      <c r="AK1980" s="4"/>
      <c r="AL1980" s="4"/>
      <c r="AM1980" s="4"/>
      <c r="AN1980" s="4"/>
      <c r="AO1980" s="4"/>
      <c r="AP1980" s="4"/>
      <c r="AQ1980" s="4"/>
      <c r="AR1980" s="4"/>
      <c r="AS1980" s="4"/>
      <c r="AT1980" s="4"/>
      <c r="AU1980" s="4"/>
      <c r="AV1980" s="4"/>
      <c r="AW1980" s="4"/>
      <c r="AX1980" s="4"/>
      <c r="AY1980" s="4"/>
      <c r="AZ1980" s="4"/>
      <c r="BA1980" s="4"/>
      <c r="BB1980" s="4"/>
      <c r="BC1980" s="4"/>
      <c r="BD1980" s="4"/>
      <c r="BE1980" s="4"/>
      <c r="BG1980" s="4"/>
      <c r="BH1980" s="4"/>
    </row>
    <row r="1981" spans="1:60" x14ac:dyDescent="0.35">
      <c r="A1981" s="4"/>
      <c r="B1981" s="4"/>
      <c r="D1981" s="6" t="str">
        <f t="shared" ref="D1981:D2044" si="139">IF(C1981="","",VLOOKUP(C1981,district_region,2,FALSE))</f>
        <v/>
      </c>
      <c r="E1981" s="6" t="str">
        <f t="shared" ref="E1981:E2044" si="140">IF(C1981="","",VLOOKUP(C1981,liste_pop,3,FALSE))</f>
        <v/>
      </c>
      <c r="F1981" s="6" t="str">
        <f t="shared" ref="F1981:F2044" si="141">IF(D1981="","",IF(D1981="Dakar",4042240,VLOOKUP(D1981,liste_pop,4,FALSE)))</f>
        <v/>
      </c>
      <c r="G1981" s="4"/>
      <c r="H1981" s="4"/>
      <c r="I1981" s="4"/>
      <c r="J1981" s="4"/>
      <c r="K1981" s="4"/>
      <c r="L1981" s="4"/>
      <c r="M1981" s="4"/>
      <c r="N1981" s="4"/>
      <c r="O1981" s="4"/>
      <c r="P1981" s="4"/>
      <c r="Q1981" s="4"/>
      <c r="R1981" s="14"/>
      <c r="S1981" s="14"/>
      <c r="T1981" s="14"/>
      <c r="U1981" s="14"/>
      <c r="V1981" s="14"/>
      <c r="W1981" s="14"/>
      <c r="X1981" s="14"/>
      <c r="Y1981" s="4"/>
      <c r="Z1981" s="4"/>
      <c r="AA1981" s="4"/>
      <c r="AB1981" s="4"/>
      <c r="AC1981" s="4"/>
      <c r="AD1981" s="4"/>
      <c r="AE1981" s="4"/>
      <c r="AF1981" s="4"/>
      <c r="AG1981" s="4"/>
      <c r="AH1981" s="4"/>
      <c r="AI1981" s="4"/>
      <c r="AJ1981" s="4"/>
      <c r="AK1981" s="4"/>
      <c r="AL1981" s="4"/>
      <c r="AM1981" s="4"/>
      <c r="AN1981" s="4"/>
      <c r="AO1981" s="4"/>
      <c r="AP1981" s="4"/>
      <c r="AQ1981" s="4"/>
      <c r="AR1981" s="4"/>
      <c r="AS1981" s="4"/>
      <c r="AT1981" s="4"/>
      <c r="AU1981" s="4"/>
      <c r="AV1981" s="4"/>
      <c r="AW1981" s="4"/>
      <c r="AX1981" s="4"/>
      <c r="AY1981" s="4"/>
      <c r="AZ1981" s="4"/>
      <c r="BA1981" s="4"/>
      <c r="BB1981" s="4"/>
      <c r="BC1981" s="4"/>
      <c r="BD1981" s="4"/>
      <c r="BE1981" s="4"/>
      <c r="BG1981" s="4"/>
      <c r="BH1981" s="4"/>
    </row>
    <row r="1982" spans="1:60" x14ac:dyDescent="0.35">
      <c r="A1982" s="4"/>
      <c r="B1982" s="4"/>
      <c r="D1982" s="6" t="str">
        <f t="shared" si="139"/>
        <v/>
      </c>
      <c r="E1982" s="6" t="str">
        <f t="shared" si="140"/>
        <v/>
      </c>
      <c r="F1982" s="6" t="str">
        <f t="shared" si="141"/>
        <v/>
      </c>
      <c r="G1982" s="4"/>
      <c r="H1982" s="4"/>
      <c r="I1982" s="4"/>
      <c r="J1982" s="4"/>
      <c r="K1982" s="4"/>
      <c r="L1982" s="4"/>
      <c r="M1982" s="4"/>
      <c r="N1982" s="4"/>
      <c r="O1982" s="4"/>
      <c r="P1982" s="4"/>
      <c r="Q1982" s="4"/>
      <c r="R1982" s="14"/>
      <c r="S1982" s="14"/>
      <c r="T1982" s="14"/>
      <c r="U1982" s="14"/>
      <c r="V1982" s="14"/>
      <c r="W1982" s="14"/>
      <c r="X1982" s="14"/>
      <c r="Y1982" s="4"/>
      <c r="Z1982" s="4"/>
      <c r="AA1982" s="4"/>
      <c r="AB1982" s="4"/>
      <c r="AC1982" s="4"/>
      <c r="AD1982" s="4"/>
      <c r="AE1982" s="4"/>
      <c r="AF1982" s="4"/>
      <c r="AG1982" s="4"/>
      <c r="AH1982" s="4"/>
      <c r="AI1982" s="4"/>
      <c r="AJ1982" s="4"/>
      <c r="AK1982" s="4"/>
      <c r="AL1982" s="4"/>
      <c r="AM1982" s="4"/>
      <c r="AN1982" s="4"/>
      <c r="AO1982" s="4"/>
      <c r="AP1982" s="4"/>
      <c r="AQ1982" s="4"/>
      <c r="AR1982" s="4"/>
      <c r="AS1982" s="4"/>
      <c r="AT1982" s="4"/>
      <c r="AU1982" s="4"/>
      <c r="AV1982" s="4"/>
      <c r="AW1982" s="4"/>
      <c r="AX1982" s="4"/>
      <c r="AY1982" s="4"/>
      <c r="AZ1982" s="4"/>
      <c r="BA1982" s="4"/>
      <c r="BB1982" s="4"/>
      <c r="BC1982" s="4"/>
      <c r="BD1982" s="4"/>
      <c r="BE1982" s="4"/>
      <c r="BG1982" s="4"/>
      <c r="BH1982" s="4"/>
    </row>
    <row r="1983" spans="1:60" x14ac:dyDescent="0.35">
      <c r="A1983" s="4"/>
      <c r="B1983" s="4"/>
      <c r="D1983" s="6" t="str">
        <f t="shared" si="139"/>
        <v/>
      </c>
      <c r="E1983" s="6" t="str">
        <f t="shared" si="140"/>
        <v/>
      </c>
      <c r="F1983" s="6" t="str">
        <f t="shared" si="141"/>
        <v/>
      </c>
      <c r="G1983" s="4"/>
      <c r="H1983" s="4"/>
      <c r="I1983" s="4"/>
      <c r="J1983" s="4"/>
      <c r="K1983" s="4"/>
      <c r="L1983" s="4"/>
      <c r="M1983" s="4"/>
      <c r="N1983" s="4"/>
      <c r="O1983" s="4"/>
      <c r="P1983" s="4"/>
      <c r="Q1983" s="4"/>
      <c r="R1983" s="14"/>
      <c r="S1983" s="14"/>
      <c r="T1983" s="14"/>
      <c r="U1983" s="14"/>
      <c r="V1983" s="14"/>
      <c r="W1983" s="14"/>
      <c r="X1983" s="14"/>
      <c r="Y1983" s="4"/>
      <c r="Z1983" s="4"/>
      <c r="AA1983" s="4"/>
      <c r="AB1983" s="4"/>
      <c r="AC1983" s="4"/>
      <c r="AD1983" s="4"/>
      <c r="AE1983" s="4"/>
      <c r="AF1983" s="4"/>
      <c r="AG1983" s="4"/>
      <c r="AH1983" s="4"/>
      <c r="AI1983" s="4"/>
      <c r="AJ1983" s="4"/>
      <c r="AK1983" s="4"/>
      <c r="AL1983" s="4"/>
      <c r="AM1983" s="4"/>
      <c r="AN1983" s="4"/>
      <c r="AO1983" s="4"/>
      <c r="AP1983" s="4"/>
      <c r="AQ1983" s="4"/>
      <c r="AR1983" s="4"/>
      <c r="AS1983" s="4"/>
      <c r="AT1983" s="4"/>
      <c r="AU1983" s="4"/>
      <c r="AV1983" s="4"/>
      <c r="AW1983" s="4"/>
      <c r="AX1983" s="4"/>
      <c r="AY1983" s="4"/>
      <c r="AZ1983" s="4"/>
      <c r="BA1983" s="4"/>
      <c r="BB1983" s="4"/>
      <c r="BC1983" s="4"/>
      <c r="BD1983" s="4"/>
      <c r="BE1983" s="4"/>
      <c r="BG1983" s="4"/>
      <c r="BH1983" s="4"/>
    </row>
    <row r="1984" spans="1:60" x14ac:dyDescent="0.35">
      <c r="A1984" s="4"/>
      <c r="B1984" s="4"/>
      <c r="D1984" s="6" t="str">
        <f t="shared" si="139"/>
        <v/>
      </c>
      <c r="E1984" s="6" t="str">
        <f t="shared" si="140"/>
        <v/>
      </c>
      <c r="F1984" s="6" t="str">
        <f t="shared" si="141"/>
        <v/>
      </c>
      <c r="G1984" s="4"/>
      <c r="H1984" s="4"/>
      <c r="I1984" s="4"/>
      <c r="J1984" s="4"/>
      <c r="K1984" s="4"/>
      <c r="L1984" s="4"/>
      <c r="M1984" s="4"/>
      <c r="N1984" s="4"/>
      <c r="O1984" s="4"/>
      <c r="P1984" s="4"/>
      <c r="Q1984" s="4"/>
      <c r="R1984" s="14"/>
      <c r="S1984" s="14"/>
      <c r="T1984" s="14"/>
      <c r="U1984" s="14"/>
      <c r="V1984" s="14"/>
      <c r="W1984" s="14"/>
      <c r="X1984" s="1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4"/>
      <c r="AU1984" s="4"/>
      <c r="AV1984" s="4"/>
      <c r="AW1984" s="4"/>
      <c r="AX1984" s="4"/>
      <c r="AY1984" s="4"/>
      <c r="AZ1984" s="4"/>
      <c r="BA1984" s="4"/>
      <c r="BB1984" s="4"/>
      <c r="BC1984" s="4"/>
      <c r="BD1984" s="4"/>
      <c r="BE1984" s="4"/>
      <c r="BG1984" s="4"/>
      <c r="BH1984" s="4"/>
    </row>
    <row r="1985" spans="1:60" x14ac:dyDescent="0.35">
      <c r="A1985" s="4"/>
      <c r="B1985" s="4"/>
      <c r="D1985" s="6" t="str">
        <f t="shared" si="139"/>
        <v/>
      </c>
      <c r="E1985" s="6" t="str">
        <f t="shared" si="140"/>
        <v/>
      </c>
      <c r="F1985" s="6" t="str">
        <f t="shared" si="141"/>
        <v/>
      </c>
      <c r="G1985" s="4"/>
      <c r="H1985" s="4"/>
      <c r="I1985" s="4"/>
      <c r="J1985" s="4"/>
      <c r="K1985" s="4"/>
      <c r="L1985" s="4"/>
      <c r="M1985" s="4"/>
      <c r="N1985" s="4"/>
      <c r="O1985" s="4"/>
      <c r="P1985" s="4"/>
      <c r="Q1985" s="4"/>
      <c r="R1985" s="14"/>
      <c r="S1985" s="14"/>
      <c r="T1985" s="14"/>
      <c r="U1985" s="14"/>
      <c r="V1985" s="14"/>
      <c r="W1985" s="14"/>
      <c r="X1985" s="14"/>
      <c r="Y1985" s="4"/>
      <c r="Z1985" s="4"/>
      <c r="AA1985" s="4"/>
      <c r="AB1985" s="4"/>
      <c r="AC1985" s="4"/>
      <c r="AD1985" s="4"/>
      <c r="AE1985" s="4"/>
      <c r="AF1985" s="4"/>
      <c r="AG1985" s="4"/>
      <c r="AH1985" s="4"/>
      <c r="AI1985" s="4"/>
      <c r="AJ1985" s="4"/>
      <c r="AK1985" s="4"/>
      <c r="AL1985" s="4"/>
      <c r="AM1985" s="4"/>
      <c r="AN1985" s="4"/>
      <c r="AO1985" s="4"/>
      <c r="AP1985" s="4"/>
      <c r="AQ1985" s="4"/>
      <c r="AR1985" s="4"/>
      <c r="AS1985" s="4"/>
      <c r="AT1985" s="4"/>
      <c r="AU1985" s="4"/>
      <c r="AV1985" s="4"/>
      <c r="AW1985" s="4"/>
      <c r="AX1985" s="4"/>
      <c r="AY1985" s="4"/>
      <c r="AZ1985" s="4"/>
      <c r="BA1985" s="4"/>
      <c r="BB1985" s="4"/>
      <c r="BC1985" s="4"/>
      <c r="BD1985" s="4"/>
      <c r="BE1985" s="4"/>
      <c r="BG1985" s="4"/>
      <c r="BH1985" s="4"/>
    </row>
    <row r="1986" spans="1:60" x14ac:dyDescent="0.35">
      <c r="A1986" s="4"/>
      <c r="B1986" s="4"/>
      <c r="D1986" s="6" t="str">
        <f t="shared" si="139"/>
        <v/>
      </c>
      <c r="E1986" s="6" t="str">
        <f t="shared" si="140"/>
        <v/>
      </c>
      <c r="F1986" s="6" t="str">
        <f t="shared" si="141"/>
        <v/>
      </c>
      <c r="G1986" s="4"/>
      <c r="H1986" s="4"/>
      <c r="I1986" s="4"/>
      <c r="J1986" s="4"/>
      <c r="K1986" s="4"/>
      <c r="L1986" s="4"/>
      <c r="M1986" s="4"/>
      <c r="N1986" s="4"/>
      <c r="O1986" s="4"/>
      <c r="P1986" s="4"/>
      <c r="Q1986" s="4"/>
      <c r="R1986" s="14"/>
      <c r="S1986" s="14"/>
      <c r="T1986" s="14"/>
      <c r="U1986" s="14"/>
      <c r="V1986" s="14"/>
      <c r="W1986" s="14"/>
      <c r="X1986" s="1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4"/>
      <c r="AU1986" s="4"/>
      <c r="AV1986" s="4"/>
      <c r="AW1986" s="4"/>
      <c r="AX1986" s="4"/>
      <c r="AY1986" s="4"/>
      <c r="AZ1986" s="4"/>
      <c r="BA1986" s="4"/>
      <c r="BB1986" s="4"/>
      <c r="BC1986" s="4"/>
      <c r="BD1986" s="4"/>
      <c r="BE1986" s="4"/>
      <c r="BG1986" s="4"/>
      <c r="BH1986" s="4"/>
    </row>
    <row r="1987" spans="1:60" x14ac:dyDescent="0.35">
      <c r="A1987" s="4"/>
      <c r="B1987" s="4"/>
      <c r="D1987" s="6" t="str">
        <f t="shared" si="139"/>
        <v/>
      </c>
      <c r="E1987" s="6" t="str">
        <f t="shared" si="140"/>
        <v/>
      </c>
      <c r="F1987" s="6" t="str">
        <f t="shared" si="141"/>
        <v/>
      </c>
      <c r="G1987" s="4"/>
      <c r="H1987" s="4"/>
      <c r="I1987" s="4"/>
      <c r="J1987" s="4"/>
      <c r="K1987" s="4"/>
      <c r="L1987" s="4"/>
      <c r="M1987" s="4"/>
      <c r="N1987" s="4"/>
      <c r="O1987" s="4"/>
      <c r="P1987" s="4"/>
      <c r="Q1987" s="4"/>
      <c r="R1987" s="14"/>
      <c r="S1987" s="14"/>
      <c r="T1987" s="14"/>
      <c r="U1987" s="14"/>
      <c r="V1987" s="14"/>
      <c r="W1987" s="14"/>
      <c r="X1987" s="14"/>
      <c r="Y1987" s="4"/>
      <c r="Z1987" s="4"/>
      <c r="AA1987" s="4"/>
      <c r="AB1987" s="4"/>
      <c r="AC1987" s="4"/>
      <c r="AD1987" s="4"/>
      <c r="AE1987" s="4"/>
      <c r="AF1987" s="4"/>
      <c r="AG1987" s="4"/>
      <c r="AH1987" s="4"/>
      <c r="AI1987" s="4"/>
      <c r="AJ1987" s="4"/>
      <c r="AK1987" s="4"/>
      <c r="AL1987" s="4"/>
      <c r="AM1987" s="4"/>
      <c r="AN1987" s="4"/>
      <c r="AO1987" s="4"/>
      <c r="AP1987" s="4"/>
      <c r="AQ1987" s="4"/>
      <c r="AR1987" s="4"/>
      <c r="AS1987" s="4"/>
      <c r="AT1987" s="4"/>
      <c r="AU1987" s="4"/>
      <c r="AV1987" s="4"/>
      <c r="AW1987" s="4"/>
      <c r="AX1987" s="4"/>
      <c r="AY1987" s="4"/>
      <c r="AZ1987" s="4"/>
      <c r="BA1987" s="4"/>
      <c r="BB1987" s="4"/>
      <c r="BC1987" s="4"/>
      <c r="BD1987" s="4"/>
      <c r="BE1987" s="4"/>
      <c r="BG1987" s="4"/>
      <c r="BH1987" s="4"/>
    </row>
    <row r="1988" spans="1:60" x14ac:dyDescent="0.35">
      <c r="A1988" s="4"/>
      <c r="B1988" s="4"/>
      <c r="D1988" s="6" t="str">
        <f t="shared" si="139"/>
        <v/>
      </c>
      <c r="E1988" s="6" t="str">
        <f t="shared" si="140"/>
        <v/>
      </c>
      <c r="F1988" s="6" t="str">
        <f t="shared" si="141"/>
        <v/>
      </c>
      <c r="G1988" s="4"/>
      <c r="H1988" s="4"/>
      <c r="I1988" s="4"/>
      <c r="J1988" s="4"/>
      <c r="K1988" s="4"/>
      <c r="L1988" s="4"/>
      <c r="M1988" s="4"/>
      <c r="N1988" s="4"/>
      <c r="O1988" s="4"/>
      <c r="P1988" s="4"/>
      <c r="Q1988" s="4"/>
      <c r="R1988" s="14"/>
      <c r="S1988" s="14"/>
      <c r="T1988" s="14"/>
      <c r="U1988" s="14"/>
      <c r="V1988" s="14"/>
      <c r="W1988" s="14"/>
      <c r="X1988" s="1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4"/>
      <c r="AU1988" s="4"/>
      <c r="AV1988" s="4"/>
      <c r="AW1988" s="4"/>
      <c r="AX1988" s="4"/>
      <c r="AY1988" s="4"/>
      <c r="AZ1988" s="4"/>
      <c r="BA1988" s="4"/>
      <c r="BB1988" s="4"/>
      <c r="BC1988" s="4"/>
      <c r="BD1988" s="4"/>
      <c r="BE1988" s="4"/>
      <c r="BG1988" s="4"/>
      <c r="BH1988" s="4"/>
    </row>
    <row r="1989" spans="1:60" x14ac:dyDescent="0.35">
      <c r="A1989" s="4"/>
      <c r="B1989" s="4"/>
      <c r="D1989" s="6" t="str">
        <f t="shared" si="139"/>
        <v/>
      </c>
      <c r="E1989" s="6" t="str">
        <f t="shared" si="140"/>
        <v/>
      </c>
      <c r="F1989" s="6" t="str">
        <f t="shared" si="141"/>
        <v/>
      </c>
      <c r="G1989" s="4"/>
      <c r="H1989" s="4"/>
      <c r="I1989" s="4"/>
      <c r="J1989" s="4"/>
      <c r="K1989" s="4"/>
      <c r="L1989" s="4"/>
      <c r="M1989" s="4"/>
      <c r="N1989" s="4"/>
      <c r="O1989" s="4"/>
      <c r="P1989" s="4"/>
      <c r="Q1989" s="4"/>
      <c r="R1989" s="14"/>
      <c r="S1989" s="14"/>
      <c r="T1989" s="14"/>
      <c r="U1989" s="14"/>
      <c r="V1989" s="14"/>
      <c r="W1989" s="14"/>
      <c r="X1989" s="14"/>
      <c r="Y1989" s="4"/>
      <c r="Z1989" s="4"/>
      <c r="AA1989" s="4"/>
      <c r="AB1989" s="4"/>
      <c r="AC1989" s="4"/>
      <c r="AD1989" s="4"/>
      <c r="AE1989" s="4"/>
      <c r="AF1989" s="4"/>
      <c r="AG1989" s="4"/>
      <c r="AH1989" s="4"/>
      <c r="AI1989" s="4"/>
      <c r="AJ1989" s="4"/>
      <c r="AK1989" s="4"/>
      <c r="AL1989" s="4"/>
      <c r="AM1989" s="4"/>
      <c r="AN1989" s="4"/>
      <c r="AO1989" s="4"/>
      <c r="AP1989" s="4"/>
      <c r="AQ1989" s="4"/>
      <c r="AR1989" s="4"/>
      <c r="AS1989" s="4"/>
      <c r="AT1989" s="4"/>
      <c r="AU1989" s="4"/>
      <c r="AV1989" s="4"/>
      <c r="AW1989" s="4"/>
      <c r="AX1989" s="4"/>
      <c r="AY1989" s="4"/>
      <c r="AZ1989" s="4"/>
      <c r="BA1989" s="4"/>
      <c r="BB1989" s="4"/>
      <c r="BC1989" s="4"/>
      <c r="BD1989" s="4"/>
      <c r="BE1989" s="4"/>
      <c r="BG1989" s="4"/>
      <c r="BH1989" s="4"/>
    </row>
    <row r="1990" spans="1:60" x14ac:dyDescent="0.35">
      <c r="A1990" s="4"/>
      <c r="B1990" s="4"/>
      <c r="D1990" s="6" t="str">
        <f t="shared" si="139"/>
        <v/>
      </c>
      <c r="E1990" s="6" t="str">
        <f t="shared" si="140"/>
        <v/>
      </c>
      <c r="F1990" s="6" t="str">
        <f t="shared" si="141"/>
        <v/>
      </c>
      <c r="G1990" s="4"/>
      <c r="H1990" s="4"/>
      <c r="I1990" s="4"/>
      <c r="J1990" s="4"/>
      <c r="K1990" s="4"/>
      <c r="L1990" s="4"/>
      <c r="M1990" s="4"/>
      <c r="N1990" s="4"/>
      <c r="O1990" s="4"/>
      <c r="P1990" s="4"/>
      <c r="Q1990" s="4"/>
      <c r="R1990" s="14"/>
      <c r="S1990" s="14"/>
      <c r="T1990" s="14"/>
      <c r="U1990" s="14"/>
      <c r="V1990" s="14"/>
      <c r="W1990" s="14"/>
      <c r="X1990" s="14"/>
      <c r="Y1990" s="4"/>
      <c r="Z1990" s="4"/>
      <c r="AA1990" s="4"/>
      <c r="AB1990" s="4"/>
      <c r="AC1990" s="4"/>
      <c r="AD1990" s="4"/>
      <c r="AE1990" s="4"/>
      <c r="AF1990" s="4"/>
      <c r="AG1990" s="4"/>
      <c r="AH1990" s="4"/>
      <c r="AI1990" s="4"/>
      <c r="AJ1990" s="4"/>
      <c r="AK1990" s="4"/>
      <c r="AL1990" s="4"/>
      <c r="AM1990" s="4"/>
      <c r="AN1990" s="4"/>
      <c r="AO1990" s="4"/>
      <c r="AP1990" s="4"/>
      <c r="AQ1990" s="4"/>
      <c r="AR1990" s="4"/>
      <c r="AS1990" s="4"/>
      <c r="AT1990" s="4"/>
      <c r="AU1990" s="4"/>
      <c r="AV1990" s="4"/>
      <c r="AW1990" s="4"/>
      <c r="AX1990" s="4"/>
      <c r="AY1990" s="4"/>
      <c r="AZ1990" s="4"/>
      <c r="BA1990" s="4"/>
      <c r="BB1990" s="4"/>
      <c r="BC1990" s="4"/>
      <c r="BD1990" s="4"/>
      <c r="BE1990" s="4"/>
      <c r="BG1990" s="4"/>
      <c r="BH1990" s="4"/>
    </row>
    <row r="1991" spans="1:60" x14ac:dyDescent="0.35">
      <c r="A1991" s="4"/>
      <c r="B1991" s="4"/>
      <c r="D1991" s="6" t="str">
        <f t="shared" si="139"/>
        <v/>
      </c>
      <c r="E1991" s="6" t="str">
        <f t="shared" si="140"/>
        <v/>
      </c>
      <c r="F1991" s="6" t="str">
        <f t="shared" si="141"/>
        <v/>
      </c>
      <c r="G1991" s="4"/>
      <c r="H1991" s="4"/>
      <c r="I1991" s="4"/>
      <c r="J1991" s="4"/>
      <c r="K1991" s="4"/>
      <c r="L1991" s="4"/>
      <c r="M1991" s="4"/>
      <c r="N1991" s="4"/>
      <c r="O1991" s="4"/>
      <c r="P1991" s="4"/>
      <c r="Q1991" s="4"/>
      <c r="R1991" s="14"/>
      <c r="S1991" s="14"/>
      <c r="T1991" s="14"/>
      <c r="U1991" s="14"/>
      <c r="V1991" s="14"/>
      <c r="W1991" s="14"/>
      <c r="X1991" s="1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4"/>
      <c r="AU1991" s="4"/>
      <c r="AV1991" s="4"/>
      <c r="AW1991" s="4"/>
      <c r="AX1991" s="4"/>
      <c r="AY1991" s="4"/>
      <c r="AZ1991" s="4"/>
      <c r="BA1991" s="4"/>
      <c r="BB1991" s="4"/>
      <c r="BC1991" s="4"/>
      <c r="BD1991" s="4"/>
      <c r="BE1991" s="4"/>
      <c r="BG1991" s="4"/>
      <c r="BH1991" s="4"/>
    </row>
    <row r="1992" spans="1:60" x14ac:dyDescent="0.35">
      <c r="A1992" s="4"/>
      <c r="B1992" s="4"/>
      <c r="D1992" s="6" t="str">
        <f t="shared" si="139"/>
        <v/>
      </c>
      <c r="E1992" s="6" t="str">
        <f t="shared" si="140"/>
        <v/>
      </c>
      <c r="F1992" s="6" t="str">
        <f t="shared" si="141"/>
        <v/>
      </c>
      <c r="G1992" s="4"/>
      <c r="H1992" s="4"/>
      <c r="I1992" s="4"/>
      <c r="J1992" s="4"/>
      <c r="K1992" s="4"/>
      <c r="L1992" s="4"/>
      <c r="M1992" s="4"/>
      <c r="N1992" s="4"/>
      <c r="O1992" s="4"/>
      <c r="P1992" s="4"/>
      <c r="Q1992" s="4"/>
      <c r="R1992" s="14"/>
      <c r="S1992" s="14"/>
      <c r="T1992" s="14"/>
      <c r="U1992" s="14"/>
      <c r="V1992" s="14"/>
      <c r="W1992" s="14"/>
      <c r="X1992" s="14"/>
      <c r="Y1992" s="4"/>
      <c r="Z1992" s="4"/>
      <c r="AA1992" s="4"/>
      <c r="AB1992" s="4"/>
      <c r="AC1992" s="4"/>
      <c r="AD1992" s="4"/>
      <c r="AE1992" s="4"/>
      <c r="AF1992" s="4"/>
      <c r="AG1992" s="4"/>
      <c r="AH1992" s="4"/>
      <c r="AI1992" s="4"/>
      <c r="AJ1992" s="4"/>
      <c r="AK1992" s="4"/>
      <c r="AL1992" s="4"/>
      <c r="AM1992" s="4"/>
      <c r="AN1992" s="4"/>
      <c r="AO1992" s="4"/>
      <c r="AP1992" s="4"/>
      <c r="AQ1992" s="4"/>
      <c r="AR1992" s="4"/>
      <c r="AS1992" s="4"/>
      <c r="AT1992" s="4"/>
      <c r="AU1992" s="4"/>
      <c r="AV1992" s="4"/>
      <c r="AW1992" s="4"/>
      <c r="AX1992" s="4"/>
      <c r="AY1992" s="4"/>
      <c r="AZ1992" s="4"/>
      <c r="BA1992" s="4"/>
      <c r="BB1992" s="4"/>
      <c r="BC1992" s="4"/>
      <c r="BD1992" s="4"/>
      <c r="BE1992" s="4"/>
      <c r="BG1992" s="4"/>
      <c r="BH1992" s="4"/>
    </row>
    <row r="1993" spans="1:60" x14ac:dyDescent="0.35">
      <c r="A1993" s="4"/>
      <c r="B1993" s="4"/>
      <c r="D1993" s="6" t="str">
        <f t="shared" si="139"/>
        <v/>
      </c>
      <c r="E1993" s="6" t="str">
        <f t="shared" si="140"/>
        <v/>
      </c>
      <c r="F1993" s="6" t="str">
        <f t="shared" si="141"/>
        <v/>
      </c>
      <c r="G1993" s="4"/>
      <c r="H1993" s="4"/>
      <c r="I1993" s="4"/>
      <c r="J1993" s="4"/>
      <c r="K1993" s="4"/>
      <c r="L1993" s="4"/>
      <c r="M1993" s="4"/>
      <c r="N1993" s="4"/>
      <c r="O1993" s="4"/>
      <c r="P1993" s="4"/>
      <c r="Q1993" s="4"/>
      <c r="R1993" s="14"/>
      <c r="S1993" s="14"/>
      <c r="T1993" s="14"/>
      <c r="U1993" s="14"/>
      <c r="V1993" s="14"/>
      <c r="W1993" s="14"/>
      <c r="X1993" s="1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4"/>
      <c r="AU1993" s="4"/>
      <c r="AV1993" s="4"/>
      <c r="AW1993" s="4"/>
      <c r="AX1993" s="4"/>
      <c r="AY1993" s="4"/>
      <c r="AZ1993" s="4"/>
      <c r="BA1993" s="4"/>
      <c r="BB1993" s="4"/>
      <c r="BC1993" s="4"/>
      <c r="BD1993" s="4"/>
      <c r="BE1993" s="4"/>
      <c r="BG1993" s="4"/>
      <c r="BH1993" s="4"/>
    </row>
    <row r="1994" spans="1:60" x14ac:dyDescent="0.35">
      <c r="A1994" s="4"/>
      <c r="B1994" s="4"/>
      <c r="D1994" s="6" t="str">
        <f t="shared" si="139"/>
        <v/>
      </c>
      <c r="E1994" s="6" t="str">
        <f t="shared" si="140"/>
        <v/>
      </c>
      <c r="F1994" s="6" t="str">
        <f t="shared" si="141"/>
        <v/>
      </c>
      <c r="G1994" s="4"/>
      <c r="H1994" s="4"/>
      <c r="I1994" s="4"/>
      <c r="J1994" s="4"/>
      <c r="K1994" s="4"/>
      <c r="L1994" s="4"/>
      <c r="M1994" s="4"/>
      <c r="N1994" s="4"/>
      <c r="O1994" s="4"/>
      <c r="P1994" s="4"/>
      <c r="Q1994" s="4"/>
      <c r="R1994" s="14"/>
      <c r="S1994" s="14"/>
      <c r="T1994" s="14"/>
      <c r="U1994" s="14"/>
      <c r="V1994" s="14"/>
      <c r="W1994" s="14"/>
      <c r="X1994" s="14"/>
      <c r="Y1994" s="4"/>
      <c r="Z1994" s="4"/>
      <c r="AA1994" s="4"/>
      <c r="AB1994" s="4"/>
      <c r="AC1994" s="4"/>
      <c r="AD1994" s="4"/>
      <c r="AE1994" s="4"/>
      <c r="AF1994" s="4"/>
      <c r="AG1994" s="4"/>
      <c r="AH1994" s="4"/>
      <c r="AI1994" s="4"/>
      <c r="AJ1994" s="4"/>
      <c r="AK1994" s="4"/>
      <c r="AL1994" s="4"/>
      <c r="AM1994" s="4"/>
      <c r="AN1994" s="4"/>
      <c r="AO1994" s="4"/>
      <c r="AP1994" s="4"/>
      <c r="AQ1994" s="4"/>
      <c r="AR1994" s="4"/>
      <c r="AS1994" s="4"/>
      <c r="AT1994" s="4"/>
      <c r="AU1994" s="4"/>
      <c r="AV1994" s="4"/>
      <c r="AW1994" s="4"/>
      <c r="AX1994" s="4"/>
      <c r="AY1994" s="4"/>
      <c r="AZ1994" s="4"/>
      <c r="BA1994" s="4"/>
      <c r="BB1994" s="4"/>
      <c r="BC1994" s="4"/>
      <c r="BD1994" s="4"/>
      <c r="BE1994" s="4"/>
      <c r="BG1994" s="4"/>
      <c r="BH1994" s="4"/>
    </row>
    <row r="1995" spans="1:60" x14ac:dyDescent="0.35">
      <c r="A1995" s="4"/>
      <c r="B1995" s="4"/>
      <c r="D1995" s="6" t="str">
        <f t="shared" si="139"/>
        <v/>
      </c>
      <c r="E1995" s="6" t="str">
        <f t="shared" si="140"/>
        <v/>
      </c>
      <c r="F1995" s="6" t="str">
        <f t="shared" si="141"/>
        <v/>
      </c>
      <c r="G1995" s="4"/>
      <c r="H1995" s="4"/>
      <c r="I1995" s="4"/>
      <c r="J1995" s="4"/>
      <c r="K1995" s="4"/>
      <c r="L1995" s="4"/>
      <c r="M1995" s="4"/>
      <c r="N1995" s="4"/>
      <c r="O1995" s="4"/>
      <c r="P1995" s="4"/>
      <c r="Q1995" s="4"/>
      <c r="R1995" s="14"/>
      <c r="S1995" s="14"/>
      <c r="T1995" s="14"/>
      <c r="U1995" s="14"/>
      <c r="V1995" s="14"/>
      <c r="W1995" s="14"/>
      <c r="X1995" s="14"/>
      <c r="Y1995" s="4"/>
      <c r="Z1995" s="4"/>
      <c r="AA1995" s="4"/>
      <c r="AB1995" s="4"/>
      <c r="AC1995" s="4"/>
      <c r="AD1995" s="4"/>
      <c r="AE1995" s="4"/>
      <c r="AF1995" s="4"/>
      <c r="AG1995" s="4"/>
      <c r="AH1995" s="4"/>
      <c r="AI1995" s="4"/>
      <c r="AJ1995" s="4"/>
      <c r="AK1995" s="4"/>
      <c r="AL1995" s="4"/>
      <c r="AM1995" s="4"/>
      <c r="AN1995" s="4"/>
      <c r="AO1995" s="4"/>
      <c r="AP1995" s="4"/>
      <c r="AQ1995" s="4"/>
      <c r="AR1995" s="4"/>
      <c r="AS1995" s="4"/>
      <c r="AT1995" s="4"/>
      <c r="AU1995" s="4"/>
      <c r="AV1995" s="4"/>
      <c r="AW1995" s="4"/>
      <c r="AX1995" s="4"/>
      <c r="AY1995" s="4"/>
      <c r="AZ1995" s="4"/>
      <c r="BA1995" s="4"/>
      <c r="BB1995" s="4"/>
      <c r="BC1995" s="4"/>
      <c r="BD1995" s="4"/>
      <c r="BE1995" s="4"/>
      <c r="BG1995" s="4"/>
      <c r="BH1995" s="4"/>
    </row>
    <row r="1996" spans="1:60" x14ac:dyDescent="0.35">
      <c r="A1996" s="4"/>
      <c r="B1996" s="4"/>
      <c r="D1996" s="6" t="str">
        <f t="shared" si="139"/>
        <v/>
      </c>
      <c r="E1996" s="6" t="str">
        <f t="shared" si="140"/>
        <v/>
      </c>
      <c r="F1996" s="6" t="str">
        <f t="shared" si="141"/>
        <v/>
      </c>
      <c r="G1996" s="4"/>
      <c r="H1996" s="4"/>
      <c r="I1996" s="4"/>
      <c r="J1996" s="4"/>
      <c r="K1996" s="4"/>
      <c r="L1996" s="4"/>
      <c r="M1996" s="4"/>
      <c r="N1996" s="4"/>
      <c r="O1996" s="4"/>
      <c r="P1996" s="4"/>
      <c r="Q1996" s="4"/>
      <c r="R1996" s="14"/>
      <c r="S1996" s="14"/>
      <c r="T1996" s="14"/>
      <c r="U1996" s="14"/>
      <c r="V1996" s="14"/>
      <c r="W1996" s="14"/>
      <c r="X1996" s="14"/>
      <c r="Y1996" s="4"/>
      <c r="Z1996" s="4"/>
      <c r="AA1996" s="4"/>
      <c r="AB1996" s="4"/>
      <c r="AC1996" s="4"/>
      <c r="AD1996" s="4"/>
      <c r="AE1996" s="4"/>
      <c r="AF1996" s="4"/>
      <c r="AG1996" s="4"/>
      <c r="AH1996" s="4"/>
      <c r="AI1996" s="4"/>
      <c r="AJ1996" s="4"/>
      <c r="AK1996" s="4"/>
      <c r="AL1996" s="4"/>
      <c r="AM1996" s="4"/>
      <c r="AN1996" s="4"/>
      <c r="AO1996" s="4"/>
      <c r="AP1996" s="4"/>
      <c r="AQ1996" s="4"/>
      <c r="AR1996" s="4"/>
      <c r="AS1996" s="4"/>
      <c r="AT1996" s="4"/>
      <c r="AU1996" s="4"/>
      <c r="AV1996" s="4"/>
      <c r="AW1996" s="4"/>
      <c r="AX1996" s="4"/>
      <c r="AY1996" s="4"/>
      <c r="AZ1996" s="4"/>
      <c r="BA1996" s="4"/>
      <c r="BB1996" s="4"/>
      <c r="BC1996" s="4"/>
      <c r="BD1996" s="4"/>
      <c r="BE1996" s="4"/>
      <c r="BG1996" s="4"/>
      <c r="BH1996" s="4"/>
    </row>
    <row r="1997" spans="1:60" x14ac:dyDescent="0.35">
      <c r="A1997" s="4"/>
      <c r="B1997" s="4"/>
      <c r="D1997" s="6" t="str">
        <f t="shared" si="139"/>
        <v/>
      </c>
      <c r="E1997" s="6" t="str">
        <f t="shared" si="140"/>
        <v/>
      </c>
      <c r="F1997" s="6" t="str">
        <f t="shared" si="141"/>
        <v/>
      </c>
      <c r="G1997" s="4"/>
      <c r="H1997" s="4"/>
      <c r="I1997" s="4"/>
      <c r="J1997" s="4"/>
      <c r="K1997" s="4"/>
      <c r="L1997" s="4"/>
      <c r="M1997" s="4"/>
      <c r="N1997" s="4"/>
      <c r="O1997" s="4"/>
      <c r="P1997" s="4"/>
      <c r="Q1997" s="4"/>
      <c r="R1997" s="14"/>
      <c r="S1997" s="14"/>
      <c r="T1997" s="14"/>
      <c r="U1997" s="14"/>
      <c r="V1997" s="14"/>
      <c r="W1997" s="14"/>
      <c r="X1997" s="1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4"/>
      <c r="AU1997" s="4"/>
      <c r="AV1997" s="4"/>
      <c r="AW1997" s="4"/>
      <c r="AX1997" s="4"/>
      <c r="AY1997" s="4"/>
      <c r="AZ1997" s="4"/>
      <c r="BA1997" s="4"/>
      <c r="BB1997" s="4"/>
      <c r="BC1997" s="4"/>
      <c r="BD1997" s="4"/>
      <c r="BE1997" s="4"/>
      <c r="BG1997" s="4"/>
      <c r="BH1997" s="4"/>
    </row>
    <row r="1998" spans="1:60" x14ac:dyDescent="0.35">
      <c r="A1998" s="4"/>
      <c r="B1998" s="4"/>
      <c r="D1998" s="6" t="str">
        <f t="shared" si="139"/>
        <v/>
      </c>
      <c r="E1998" s="6" t="str">
        <f t="shared" si="140"/>
        <v/>
      </c>
      <c r="F1998" s="6" t="str">
        <f t="shared" si="141"/>
        <v/>
      </c>
      <c r="G1998" s="4"/>
      <c r="H1998" s="4"/>
      <c r="I1998" s="4"/>
      <c r="J1998" s="4"/>
      <c r="K1998" s="4"/>
      <c r="L1998" s="4"/>
      <c r="M1998" s="4"/>
      <c r="N1998" s="4"/>
      <c r="O1998" s="4"/>
      <c r="P1998" s="4"/>
      <c r="Q1998" s="4"/>
      <c r="R1998" s="14"/>
      <c r="S1998" s="14"/>
      <c r="T1998" s="14"/>
      <c r="U1998" s="14"/>
      <c r="V1998" s="14"/>
      <c r="W1998" s="14"/>
      <c r="X1998" s="14"/>
      <c r="Y1998" s="4"/>
      <c r="Z1998" s="4"/>
      <c r="AA1998" s="4"/>
      <c r="AB1998" s="4"/>
      <c r="AC1998" s="4"/>
      <c r="AD1998" s="4"/>
      <c r="AE1998" s="4"/>
      <c r="AF1998" s="4"/>
      <c r="AG1998" s="4"/>
      <c r="AH1998" s="4"/>
      <c r="AI1998" s="4"/>
      <c r="AJ1998" s="4"/>
      <c r="AK1998" s="4"/>
      <c r="AL1998" s="4"/>
      <c r="AM1998" s="4"/>
      <c r="AN1998" s="4"/>
      <c r="AO1998" s="4"/>
      <c r="AP1998" s="4"/>
      <c r="AQ1998" s="4"/>
      <c r="AR1998" s="4"/>
      <c r="AS1998" s="4"/>
      <c r="AT1998" s="4"/>
      <c r="AU1998" s="4"/>
      <c r="AV1998" s="4"/>
      <c r="AW1998" s="4"/>
      <c r="AX1998" s="4"/>
      <c r="AY1998" s="4"/>
      <c r="AZ1998" s="4"/>
      <c r="BA1998" s="4"/>
      <c r="BB1998" s="4"/>
      <c r="BC1998" s="4"/>
      <c r="BD1998" s="4"/>
      <c r="BE1998" s="4"/>
      <c r="BG1998" s="4"/>
      <c r="BH1998" s="4"/>
    </row>
    <row r="1999" spans="1:60" x14ac:dyDescent="0.35">
      <c r="A1999" s="4"/>
      <c r="B1999" s="4"/>
      <c r="D1999" s="6" t="str">
        <f t="shared" si="139"/>
        <v/>
      </c>
      <c r="E1999" s="6" t="str">
        <f t="shared" si="140"/>
        <v/>
      </c>
      <c r="F1999" s="6" t="str">
        <f t="shared" si="141"/>
        <v/>
      </c>
      <c r="G1999" s="4"/>
      <c r="H1999" s="4"/>
      <c r="I1999" s="4"/>
      <c r="J1999" s="4"/>
      <c r="K1999" s="4"/>
      <c r="L1999" s="4"/>
      <c r="M1999" s="4"/>
      <c r="N1999" s="4"/>
      <c r="O1999" s="4"/>
      <c r="P1999" s="4"/>
      <c r="Q1999" s="4"/>
      <c r="R1999" s="14"/>
      <c r="S1999" s="14"/>
      <c r="T1999" s="14"/>
      <c r="U1999" s="14"/>
      <c r="V1999" s="14"/>
      <c r="W1999" s="14"/>
      <c r="X1999" s="14"/>
      <c r="Y1999" s="4"/>
      <c r="Z1999" s="4"/>
      <c r="AA1999" s="4"/>
      <c r="AB1999" s="4"/>
      <c r="AC1999" s="4"/>
      <c r="AD1999" s="4"/>
      <c r="AE1999" s="4"/>
      <c r="AF1999" s="4"/>
      <c r="AG1999" s="4"/>
      <c r="AH1999" s="4"/>
      <c r="AI1999" s="4"/>
      <c r="AJ1999" s="4"/>
      <c r="AK1999" s="4"/>
      <c r="AL1999" s="4"/>
      <c r="AM1999" s="4"/>
      <c r="AN1999" s="4"/>
      <c r="AO1999" s="4"/>
      <c r="AP1999" s="4"/>
      <c r="AQ1999" s="4"/>
      <c r="AR1999" s="4"/>
      <c r="AS1999" s="4"/>
      <c r="AT1999" s="4"/>
      <c r="AU1999" s="4"/>
      <c r="AV1999" s="4"/>
      <c r="AW1999" s="4"/>
      <c r="AX1999" s="4"/>
      <c r="AY1999" s="4"/>
      <c r="AZ1999" s="4"/>
      <c r="BA1999" s="4"/>
      <c r="BB1999" s="4"/>
      <c r="BC1999" s="4"/>
      <c r="BD1999" s="4"/>
      <c r="BE1999" s="4"/>
      <c r="BG1999" s="4"/>
      <c r="BH1999" s="4"/>
    </row>
    <row r="2000" spans="1:60" x14ac:dyDescent="0.35">
      <c r="A2000" s="4"/>
      <c r="B2000" s="4"/>
      <c r="D2000" s="6" t="str">
        <f t="shared" si="139"/>
        <v/>
      </c>
      <c r="E2000" s="6" t="str">
        <f t="shared" si="140"/>
        <v/>
      </c>
      <c r="F2000" s="6" t="str">
        <f t="shared" si="141"/>
        <v/>
      </c>
      <c r="G2000" s="4"/>
      <c r="H2000" s="4"/>
      <c r="I2000" s="4"/>
      <c r="J2000" s="4"/>
      <c r="K2000" s="4"/>
      <c r="L2000" s="4"/>
      <c r="M2000" s="4"/>
      <c r="N2000" s="4"/>
      <c r="O2000" s="4"/>
      <c r="P2000" s="4"/>
      <c r="Q2000" s="4"/>
      <c r="R2000" s="14"/>
      <c r="S2000" s="14"/>
      <c r="T2000" s="14"/>
      <c r="U2000" s="14"/>
      <c r="V2000" s="14"/>
      <c r="W2000" s="14"/>
      <c r="X2000" s="14"/>
      <c r="Y2000" s="4"/>
      <c r="Z2000" s="4"/>
      <c r="AA2000" s="4"/>
      <c r="AB2000" s="4"/>
      <c r="AC2000" s="4"/>
      <c r="AD2000" s="4"/>
      <c r="AE2000" s="4"/>
      <c r="AF2000" s="4"/>
      <c r="AG2000" s="4"/>
      <c r="AH2000" s="4"/>
      <c r="AI2000" s="4"/>
      <c r="AJ2000" s="4"/>
      <c r="AK2000" s="4"/>
      <c r="AL2000" s="4"/>
      <c r="AM2000" s="4"/>
      <c r="AN2000" s="4"/>
      <c r="AO2000" s="4"/>
      <c r="AP2000" s="4"/>
      <c r="AQ2000" s="4"/>
      <c r="AR2000" s="4"/>
      <c r="AS2000" s="4"/>
      <c r="AT2000" s="4"/>
      <c r="AU2000" s="4"/>
      <c r="AV2000" s="4"/>
      <c r="AW2000" s="4"/>
      <c r="AX2000" s="4"/>
      <c r="AY2000" s="4"/>
      <c r="AZ2000" s="4"/>
      <c r="BA2000" s="4"/>
      <c r="BB2000" s="4"/>
      <c r="BC2000" s="4"/>
      <c r="BD2000" s="4"/>
      <c r="BE2000" s="4"/>
      <c r="BG2000" s="4"/>
      <c r="BH2000" s="4"/>
    </row>
    <row r="2001" spans="1:60" x14ac:dyDescent="0.35">
      <c r="A2001" s="4"/>
      <c r="B2001" s="4"/>
      <c r="D2001" s="6" t="str">
        <f t="shared" si="139"/>
        <v/>
      </c>
      <c r="E2001" s="6" t="str">
        <f t="shared" si="140"/>
        <v/>
      </c>
      <c r="F2001" s="6" t="str">
        <f t="shared" si="141"/>
        <v/>
      </c>
      <c r="G2001" s="4"/>
      <c r="H2001" s="4"/>
      <c r="I2001" s="4"/>
      <c r="J2001" s="4"/>
      <c r="K2001" s="4"/>
      <c r="L2001" s="4"/>
      <c r="M2001" s="4"/>
      <c r="N2001" s="4"/>
      <c r="O2001" s="4"/>
      <c r="P2001" s="4"/>
      <c r="Q2001" s="4"/>
      <c r="R2001" s="14"/>
      <c r="S2001" s="14"/>
      <c r="T2001" s="14"/>
      <c r="U2001" s="14"/>
      <c r="V2001" s="14"/>
      <c r="W2001" s="14"/>
      <c r="X2001" s="1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4"/>
      <c r="AU2001" s="4"/>
      <c r="AV2001" s="4"/>
      <c r="AW2001" s="4"/>
      <c r="AX2001" s="4"/>
      <c r="AY2001" s="4"/>
      <c r="AZ2001" s="4"/>
      <c r="BA2001" s="4"/>
      <c r="BB2001" s="4"/>
      <c r="BC2001" s="4"/>
      <c r="BD2001" s="4"/>
      <c r="BE2001" s="4"/>
      <c r="BG2001" s="4"/>
      <c r="BH2001" s="4"/>
    </row>
    <row r="2002" spans="1:60" x14ac:dyDescent="0.35">
      <c r="A2002" s="4"/>
      <c r="B2002" s="4"/>
      <c r="D2002" s="6" t="str">
        <f t="shared" si="139"/>
        <v/>
      </c>
      <c r="E2002" s="6" t="str">
        <f t="shared" si="140"/>
        <v/>
      </c>
      <c r="F2002" s="6" t="str">
        <f t="shared" si="141"/>
        <v/>
      </c>
      <c r="G2002" s="4"/>
      <c r="H2002" s="4"/>
      <c r="I2002" s="4"/>
      <c r="J2002" s="4"/>
      <c r="K2002" s="4"/>
      <c r="L2002" s="4"/>
      <c r="M2002" s="4"/>
      <c r="N2002" s="4"/>
      <c r="O2002" s="4"/>
      <c r="P2002" s="4"/>
      <c r="Q2002" s="4"/>
      <c r="R2002" s="14"/>
      <c r="S2002" s="14"/>
      <c r="T2002" s="14"/>
      <c r="U2002" s="14"/>
      <c r="V2002" s="14"/>
      <c r="W2002" s="14"/>
      <c r="X2002" s="14"/>
      <c r="Y2002" s="4"/>
      <c r="Z2002" s="4"/>
      <c r="AA2002" s="4"/>
      <c r="AB2002" s="4"/>
      <c r="AC2002" s="4"/>
      <c r="AD2002" s="4"/>
      <c r="AE2002" s="4"/>
      <c r="AF2002" s="4"/>
      <c r="AG2002" s="4"/>
      <c r="AH2002" s="4"/>
      <c r="AI2002" s="4"/>
      <c r="AJ2002" s="4"/>
      <c r="AK2002" s="4"/>
      <c r="AL2002" s="4"/>
      <c r="AM2002" s="4"/>
      <c r="AN2002" s="4"/>
      <c r="AO2002" s="4"/>
      <c r="AP2002" s="4"/>
      <c r="AQ2002" s="4"/>
      <c r="AR2002" s="4"/>
      <c r="AS2002" s="4"/>
      <c r="AT2002" s="4"/>
      <c r="AU2002" s="4"/>
      <c r="AV2002" s="4"/>
      <c r="AW2002" s="4"/>
      <c r="AX2002" s="4"/>
      <c r="AY2002" s="4"/>
      <c r="AZ2002" s="4"/>
      <c r="BA2002" s="4"/>
      <c r="BB2002" s="4"/>
      <c r="BC2002" s="4"/>
      <c r="BD2002" s="4"/>
      <c r="BE2002" s="4"/>
      <c r="BG2002" s="4"/>
      <c r="BH2002" s="4"/>
    </row>
    <row r="2003" spans="1:60" x14ac:dyDescent="0.35">
      <c r="A2003" s="4"/>
      <c r="B2003" s="4"/>
      <c r="D2003" s="6" t="str">
        <f t="shared" si="139"/>
        <v/>
      </c>
      <c r="E2003" s="6" t="str">
        <f t="shared" si="140"/>
        <v/>
      </c>
      <c r="F2003" s="6" t="str">
        <f t="shared" si="141"/>
        <v/>
      </c>
      <c r="G2003" s="4"/>
      <c r="H2003" s="4"/>
      <c r="I2003" s="4"/>
      <c r="J2003" s="4"/>
      <c r="K2003" s="4"/>
      <c r="L2003" s="4"/>
      <c r="M2003" s="4"/>
      <c r="N2003" s="4"/>
      <c r="O2003" s="4"/>
      <c r="P2003" s="4"/>
      <c r="Q2003" s="4"/>
      <c r="R2003" s="14"/>
      <c r="S2003" s="14"/>
      <c r="T2003" s="14"/>
      <c r="U2003" s="14"/>
      <c r="V2003" s="14"/>
      <c r="W2003" s="14"/>
      <c r="X2003" s="14"/>
      <c r="Y2003" s="4"/>
      <c r="Z2003" s="4"/>
      <c r="AA2003" s="4"/>
      <c r="AB2003" s="4"/>
      <c r="AC2003" s="4"/>
      <c r="AD2003" s="4"/>
      <c r="AE2003" s="4"/>
      <c r="AF2003" s="4"/>
      <c r="AG2003" s="4"/>
      <c r="AH2003" s="4"/>
      <c r="AI2003" s="4"/>
      <c r="AJ2003" s="4"/>
      <c r="AK2003" s="4"/>
      <c r="AL2003" s="4"/>
      <c r="AM2003" s="4"/>
      <c r="AN2003" s="4"/>
      <c r="AO2003" s="4"/>
      <c r="AP2003" s="4"/>
      <c r="AQ2003" s="4"/>
      <c r="AR2003" s="4"/>
      <c r="AS2003" s="4"/>
      <c r="AT2003" s="4"/>
      <c r="AU2003" s="4"/>
      <c r="AV2003" s="4"/>
      <c r="AW2003" s="4"/>
      <c r="AX2003" s="4"/>
      <c r="AY2003" s="4"/>
      <c r="AZ2003" s="4"/>
      <c r="BA2003" s="4"/>
      <c r="BB2003" s="4"/>
      <c r="BC2003" s="4"/>
      <c r="BD2003" s="4"/>
      <c r="BE2003" s="4"/>
      <c r="BG2003" s="4"/>
      <c r="BH2003" s="4"/>
    </row>
    <row r="2004" spans="1:60" x14ac:dyDescent="0.35">
      <c r="A2004" s="4"/>
      <c r="B2004" s="4"/>
      <c r="D2004" s="6" t="str">
        <f t="shared" si="139"/>
        <v/>
      </c>
      <c r="E2004" s="6" t="str">
        <f t="shared" si="140"/>
        <v/>
      </c>
      <c r="F2004" s="6" t="str">
        <f t="shared" si="141"/>
        <v/>
      </c>
      <c r="G2004" s="4"/>
      <c r="H2004" s="4"/>
      <c r="I2004" s="4"/>
      <c r="J2004" s="4"/>
      <c r="K2004" s="4"/>
      <c r="L2004" s="4"/>
      <c r="M2004" s="4"/>
      <c r="N2004" s="4"/>
      <c r="O2004" s="4"/>
      <c r="P2004" s="4"/>
      <c r="Q2004" s="4"/>
      <c r="R2004" s="14"/>
      <c r="S2004" s="14"/>
      <c r="T2004" s="14"/>
      <c r="U2004" s="14"/>
      <c r="V2004" s="14"/>
      <c r="W2004" s="14"/>
      <c r="X2004" s="14"/>
      <c r="Y2004" s="4"/>
      <c r="Z2004" s="4"/>
      <c r="AA2004" s="4"/>
      <c r="AB2004" s="4"/>
      <c r="AC2004" s="4"/>
      <c r="AD2004" s="4"/>
      <c r="AE2004" s="4"/>
      <c r="AF2004" s="4"/>
      <c r="AG2004" s="4"/>
      <c r="AH2004" s="4"/>
      <c r="AI2004" s="4"/>
      <c r="AJ2004" s="4"/>
      <c r="AK2004" s="4"/>
      <c r="AL2004" s="4"/>
      <c r="AM2004" s="4"/>
      <c r="AN2004" s="4"/>
      <c r="AO2004" s="4"/>
      <c r="AP2004" s="4"/>
      <c r="AQ2004" s="4"/>
      <c r="AR2004" s="4"/>
      <c r="AS2004" s="4"/>
      <c r="AT2004" s="4"/>
      <c r="AU2004" s="4"/>
      <c r="AV2004" s="4"/>
      <c r="AW2004" s="4"/>
      <c r="AX2004" s="4"/>
      <c r="AY2004" s="4"/>
      <c r="AZ2004" s="4"/>
      <c r="BA2004" s="4"/>
      <c r="BB2004" s="4"/>
      <c r="BC2004" s="4"/>
      <c r="BD2004" s="4"/>
      <c r="BE2004" s="4"/>
      <c r="BG2004" s="4"/>
      <c r="BH2004" s="4"/>
    </row>
    <row r="2005" spans="1:60" x14ac:dyDescent="0.35">
      <c r="A2005" s="4"/>
      <c r="B2005" s="4"/>
      <c r="D2005" s="6" t="str">
        <f t="shared" si="139"/>
        <v/>
      </c>
      <c r="E2005" s="6" t="str">
        <f t="shared" si="140"/>
        <v/>
      </c>
      <c r="F2005" s="6" t="str">
        <f t="shared" si="141"/>
        <v/>
      </c>
      <c r="G2005" s="4"/>
      <c r="H2005" s="4"/>
      <c r="I2005" s="4"/>
      <c r="J2005" s="4"/>
      <c r="K2005" s="4"/>
      <c r="L2005" s="4"/>
      <c r="M2005" s="4"/>
      <c r="N2005" s="4"/>
      <c r="O2005" s="4"/>
      <c r="P2005" s="4"/>
      <c r="Q2005" s="4"/>
      <c r="R2005" s="14"/>
      <c r="S2005" s="14"/>
      <c r="T2005" s="14"/>
      <c r="U2005" s="14"/>
      <c r="V2005" s="14"/>
      <c r="W2005" s="14"/>
      <c r="X2005" s="14"/>
      <c r="Y2005" s="4"/>
      <c r="Z2005" s="4"/>
      <c r="AA2005" s="4"/>
      <c r="AB2005" s="4"/>
      <c r="AC2005" s="4"/>
      <c r="AD2005" s="4"/>
      <c r="AE2005" s="4"/>
      <c r="AF2005" s="4"/>
      <c r="AG2005" s="4"/>
      <c r="AH2005" s="4"/>
      <c r="AI2005" s="4"/>
      <c r="AJ2005" s="4"/>
      <c r="AK2005" s="4"/>
      <c r="AL2005" s="4"/>
      <c r="AM2005" s="4"/>
      <c r="AN2005" s="4"/>
      <c r="AO2005" s="4"/>
      <c r="AP2005" s="4"/>
      <c r="AQ2005" s="4"/>
      <c r="AR2005" s="4"/>
      <c r="AS2005" s="4"/>
      <c r="AT2005" s="4"/>
      <c r="AU2005" s="4"/>
      <c r="AV2005" s="4"/>
      <c r="AW2005" s="4"/>
      <c r="AX2005" s="4"/>
      <c r="AY2005" s="4"/>
      <c r="AZ2005" s="4"/>
      <c r="BA2005" s="4"/>
      <c r="BB2005" s="4"/>
      <c r="BC2005" s="4"/>
      <c r="BD2005" s="4"/>
      <c r="BE2005" s="4"/>
      <c r="BG2005" s="4"/>
      <c r="BH2005" s="4"/>
    </row>
    <row r="2006" spans="1:60" x14ac:dyDescent="0.35">
      <c r="A2006" s="4"/>
      <c r="B2006" s="4"/>
      <c r="D2006" s="6" t="str">
        <f t="shared" si="139"/>
        <v/>
      </c>
      <c r="E2006" s="6" t="str">
        <f t="shared" si="140"/>
        <v/>
      </c>
      <c r="F2006" s="6" t="str">
        <f t="shared" si="141"/>
        <v/>
      </c>
      <c r="G2006" s="4"/>
      <c r="H2006" s="4"/>
      <c r="I2006" s="4"/>
      <c r="J2006" s="4"/>
      <c r="K2006" s="4"/>
      <c r="L2006" s="4"/>
      <c r="M2006" s="4"/>
      <c r="N2006" s="4"/>
      <c r="O2006" s="4"/>
      <c r="P2006" s="4"/>
      <c r="Q2006" s="4"/>
      <c r="R2006" s="14"/>
      <c r="S2006" s="14"/>
      <c r="T2006" s="14"/>
      <c r="U2006" s="14"/>
      <c r="V2006" s="14"/>
      <c r="W2006" s="14"/>
      <c r="X2006" s="14"/>
      <c r="Y2006" s="4"/>
      <c r="Z2006" s="4"/>
      <c r="AA2006" s="4"/>
      <c r="AB2006" s="4"/>
      <c r="AC2006" s="4"/>
      <c r="AD2006" s="4"/>
      <c r="AE2006" s="4"/>
      <c r="AF2006" s="4"/>
      <c r="AG2006" s="4"/>
      <c r="AH2006" s="4"/>
      <c r="AI2006" s="4"/>
      <c r="AJ2006" s="4"/>
      <c r="AK2006" s="4"/>
      <c r="AL2006" s="4"/>
      <c r="AM2006" s="4"/>
      <c r="AN2006" s="4"/>
      <c r="AO2006" s="4"/>
      <c r="AP2006" s="4"/>
      <c r="AQ2006" s="4"/>
      <c r="AR2006" s="4"/>
      <c r="AS2006" s="4"/>
      <c r="AT2006" s="4"/>
      <c r="AU2006" s="4"/>
      <c r="AV2006" s="4"/>
      <c r="AW2006" s="4"/>
      <c r="AX2006" s="4"/>
      <c r="AY2006" s="4"/>
      <c r="AZ2006" s="4"/>
      <c r="BA2006" s="4"/>
      <c r="BB2006" s="4"/>
      <c r="BC2006" s="4"/>
      <c r="BD2006" s="4"/>
      <c r="BE2006" s="4"/>
      <c r="BG2006" s="4"/>
      <c r="BH2006" s="4"/>
    </row>
    <row r="2007" spans="1:60" x14ac:dyDescent="0.35">
      <c r="A2007" s="4"/>
      <c r="B2007" s="4"/>
      <c r="D2007" s="6" t="str">
        <f t="shared" si="139"/>
        <v/>
      </c>
      <c r="E2007" s="6" t="str">
        <f t="shared" si="140"/>
        <v/>
      </c>
      <c r="F2007" s="6" t="str">
        <f t="shared" si="141"/>
        <v/>
      </c>
      <c r="G2007" s="4"/>
      <c r="H2007" s="4"/>
      <c r="I2007" s="4"/>
      <c r="J2007" s="4"/>
      <c r="K2007" s="4"/>
      <c r="L2007" s="4"/>
      <c r="M2007" s="4"/>
      <c r="N2007" s="4"/>
      <c r="O2007" s="4"/>
      <c r="P2007" s="4"/>
      <c r="Q2007" s="4"/>
      <c r="R2007" s="14"/>
      <c r="S2007" s="14"/>
      <c r="T2007" s="14"/>
      <c r="U2007" s="14"/>
      <c r="V2007" s="14"/>
      <c r="W2007" s="14"/>
      <c r="X2007" s="14"/>
      <c r="Y2007" s="4"/>
      <c r="Z2007" s="4"/>
      <c r="AA2007" s="4"/>
      <c r="AB2007" s="4"/>
      <c r="AC2007" s="4"/>
      <c r="AD2007" s="4"/>
      <c r="AE2007" s="4"/>
      <c r="AF2007" s="4"/>
      <c r="AG2007" s="4"/>
      <c r="AH2007" s="4"/>
      <c r="AI2007" s="4"/>
      <c r="AJ2007" s="4"/>
      <c r="AK2007" s="4"/>
      <c r="AL2007" s="4"/>
      <c r="AM2007" s="4"/>
      <c r="AN2007" s="4"/>
      <c r="AO2007" s="4"/>
      <c r="AP2007" s="4"/>
      <c r="AQ2007" s="4"/>
      <c r="AR2007" s="4"/>
      <c r="AS2007" s="4"/>
      <c r="AT2007" s="4"/>
      <c r="AU2007" s="4"/>
      <c r="AV2007" s="4"/>
      <c r="AW2007" s="4"/>
      <c r="AX2007" s="4"/>
      <c r="AY2007" s="4"/>
      <c r="AZ2007" s="4"/>
      <c r="BA2007" s="4"/>
      <c r="BB2007" s="4"/>
      <c r="BC2007" s="4"/>
      <c r="BD2007" s="4"/>
      <c r="BE2007" s="4"/>
      <c r="BG2007" s="4"/>
      <c r="BH2007" s="4"/>
    </row>
    <row r="2008" spans="1:60" x14ac:dyDescent="0.35">
      <c r="A2008" s="4"/>
      <c r="B2008" s="4"/>
      <c r="D2008" s="6" t="str">
        <f t="shared" si="139"/>
        <v/>
      </c>
      <c r="E2008" s="6" t="str">
        <f t="shared" si="140"/>
        <v/>
      </c>
      <c r="F2008" s="6" t="str">
        <f t="shared" si="141"/>
        <v/>
      </c>
      <c r="G2008" s="4"/>
      <c r="H2008" s="4"/>
      <c r="I2008" s="4"/>
      <c r="J2008" s="4"/>
      <c r="K2008" s="4"/>
      <c r="L2008" s="4"/>
      <c r="M2008" s="4"/>
      <c r="N2008" s="4"/>
      <c r="O2008" s="4"/>
      <c r="P2008" s="4"/>
      <c r="Q2008" s="4"/>
      <c r="R2008" s="14"/>
      <c r="S2008" s="14"/>
      <c r="T2008" s="14"/>
      <c r="U2008" s="14"/>
      <c r="V2008" s="14"/>
      <c r="W2008" s="14"/>
      <c r="X2008" s="14"/>
      <c r="Y2008" s="4"/>
      <c r="Z2008" s="4"/>
      <c r="AA2008" s="4"/>
      <c r="AB2008" s="4"/>
      <c r="AC2008" s="4"/>
      <c r="AD2008" s="4"/>
      <c r="AE2008" s="4"/>
      <c r="AF2008" s="4"/>
      <c r="AG2008" s="4"/>
      <c r="AH2008" s="4"/>
      <c r="AI2008" s="4"/>
      <c r="AJ2008" s="4"/>
      <c r="AK2008" s="4"/>
      <c r="AL2008" s="4"/>
      <c r="AM2008" s="4"/>
      <c r="AN2008" s="4"/>
      <c r="AO2008" s="4"/>
      <c r="AP2008" s="4"/>
      <c r="AQ2008" s="4"/>
      <c r="AR2008" s="4"/>
      <c r="AS2008" s="4"/>
      <c r="AT2008" s="4"/>
      <c r="AU2008" s="4"/>
      <c r="AV2008" s="4"/>
      <c r="AW2008" s="4"/>
      <c r="AX2008" s="4"/>
      <c r="AY2008" s="4"/>
      <c r="AZ2008" s="4"/>
      <c r="BA2008" s="4"/>
      <c r="BB2008" s="4"/>
      <c r="BC2008" s="4"/>
      <c r="BD2008" s="4"/>
      <c r="BE2008" s="4"/>
      <c r="BG2008" s="4"/>
      <c r="BH2008" s="4"/>
    </row>
    <row r="2009" spans="1:60" x14ac:dyDescent="0.35">
      <c r="A2009" s="4"/>
      <c r="B2009" s="4"/>
      <c r="D2009" s="6" t="str">
        <f t="shared" si="139"/>
        <v/>
      </c>
      <c r="E2009" s="6" t="str">
        <f t="shared" si="140"/>
        <v/>
      </c>
      <c r="F2009" s="6" t="str">
        <f t="shared" si="141"/>
        <v/>
      </c>
      <c r="G2009" s="4"/>
      <c r="H2009" s="4"/>
      <c r="I2009" s="4"/>
      <c r="J2009" s="4"/>
      <c r="K2009" s="4"/>
      <c r="L2009" s="4"/>
      <c r="M2009" s="4"/>
      <c r="N2009" s="4"/>
      <c r="O2009" s="4"/>
      <c r="P2009" s="4"/>
      <c r="Q2009" s="4"/>
      <c r="R2009" s="14"/>
      <c r="S2009" s="14"/>
      <c r="T2009" s="14"/>
      <c r="U2009" s="14"/>
      <c r="V2009" s="14"/>
      <c r="W2009" s="14"/>
      <c r="X2009" s="14"/>
      <c r="Y2009" s="4"/>
      <c r="Z2009" s="4"/>
      <c r="AA2009" s="4"/>
      <c r="AB2009" s="4"/>
      <c r="AC2009" s="4"/>
      <c r="AD2009" s="4"/>
      <c r="AE2009" s="4"/>
      <c r="AF2009" s="4"/>
      <c r="AG2009" s="4"/>
      <c r="AH2009" s="4"/>
      <c r="AI2009" s="4"/>
      <c r="AJ2009" s="4"/>
      <c r="AK2009" s="4"/>
      <c r="AL2009" s="4"/>
      <c r="AM2009" s="4"/>
      <c r="AN2009" s="4"/>
      <c r="AO2009" s="4"/>
      <c r="AP2009" s="4"/>
      <c r="AQ2009" s="4"/>
      <c r="AR2009" s="4"/>
      <c r="AS2009" s="4"/>
      <c r="AT2009" s="4"/>
      <c r="AU2009" s="4"/>
      <c r="AV2009" s="4"/>
      <c r="AW2009" s="4"/>
      <c r="AX2009" s="4"/>
      <c r="AY2009" s="4"/>
      <c r="AZ2009" s="4"/>
      <c r="BA2009" s="4"/>
      <c r="BB2009" s="4"/>
      <c r="BC2009" s="4"/>
      <c r="BD2009" s="4"/>
      <c r="BE2009" s="4"/>
      <c r="BG2009" s="4"/>
      <c r="BH2009" s="4"/>
    </row>
    <row r="2010" spans="1:60" x14ac:dyDescent="0.35">
      <c r="A2010" s="4"/>
      <c r="B2010" s="4"/>
      <c r="D2010" s="6" t="str">
        <f t="shared" si="139"/>
        <v/>
      </c>
      <c r="E2010" s="6" t="str">
        <f t="shared" si="140"/>
        <v/>
      </c>
      <c r="F2010" s="6" t="str">
        <f t="shared" si="141"/>
        <v/>
      </c>
      <c r="G2010" s="4"/>
      <c r="H2010" s="4"/>
      <c r="I2010" s="4"/>
      <c r="J2010" s="4"/>
      <c r="K2010" s="4"/>
      <c r="L2010" s="4"/>
      <c r="M2010" s="4"/>
      <c r="N2010" s="4"/>
      <c r="O2010" s="4"/>
      <c r="P2010" s="4"/>
      <c r="Q2010" s="4"/>
      <c r="R2010" s="14"/>
      <c r="S2010" s="14"/>
      <c r="T2010" s="14"/>
      <c r="U2010" s="14"/>
      <c r="V2010" s="14"/>
      <c r="W2010" s="14"/>
      <c r="X2010" s="1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4"/>
      <c r="AU2010" s="4"/>
      <c r="AV2010" s="4"/>
      <c r="AW2010" s="4"/>
      <c r="AX2010" s="4"/>
      <c r="AY2010" s="4"/>
      <c r="AZ2010" s="4"/>
      <c r="BA2010" s="4"/>
      <c r="BB2010" s="4"/>
      <c r="BC2010" s="4"/>
      <c r="BD2010" s="4"/>
      <c r="BE2010" s="4"/>
      <c r="BG2010" s="4"/>
      <c r="BH2010" s="4"/>
    </row>
    <row r="2011" spans="1:60" x14ac:dyDescent="0.35">
      <c r="A2011" s="4"/>
      <c r="B2011" s="4"/>
      <c r="D2011" s="6" t="str">
        <f t="shared" si="139"/>
        <v/>
      </c>
      <c r="E2011" s="6" t="str">
        <f t="shared" si="140"/>
        <v/>
      </c>
      <c r="F2011" s="6" t="str">
        <f t="shared" si="141"/>
        <v/>
      </c>
      <c r="G2011" s="4"/>
      <c r="H2011" s="4"/>
      <c r="I2011" s="4"/>
      <c r="J2011" s="4"/>
      <c r="K2011" s="4"/>
      <c r="L2011" s="4"/>
      <c r="M2011" s="4"/>
      <c r="N2011" s="4"/>
      <c r="O2011" s="4"/>
      <c r="P2011" s="4"/>
      <c r="Q2011" s="4"/>
      <c r="R2011" s="14"/>
      <c r="S2011" s="14"/>
      <c r="T2011" s="14"/>
      <c r="U2011" s="14"/>
      <c r="V2011" s="14"/>
      <c r="W2011" s="14"/>
      <c r="X2011" s="14"/>
      <c r="Y2011" s="4"/>
      <c r="Z2011" s="4"/>
      <c r="AA2011" s="4"/>
      <c r="AB2011" s="4"/>
      <c r="AC2011" s="4"/>
      <c r="AD2011" s="4"/>
      <c r="AE2011" s="4"/>
      <c r="AF2011" s="4"/>
      <c r="AG2011" s="4"/>
      <c r="AH2011" s="4"/>
      <c r="AI2011" s="4"/>
      <c r="AJ2011" s="4"/>
      <c r="AK2011" s="4"/>
      <c r="AL2011" s="4"/>
      <c r="AM2011" s="4"/>
      <c r="AN2011" s="4"/>
      <c r="AO2011" s="4"/>
      <c r="AP2011" s="4"/>
      <c r="AQ2011" s="4"/>
      <c r="AR2011" s="4"/>
      <c r="AS2011" s="4"/>
      <c r="AT2011" s="4"/>
      <c r="AU2011" s="4"/>
      <c r="AV2011" s="4"/>
      <c r="AW2011" s="4"/>
      <c r="AX2011" s="4"/>
      <c r="AY2011" s="4"/>
      <c r="AZ2011" s="4"/>
      <c r="BA2011" s="4"/>
      <c r="BB2011" s="4"/>
      <c r="BC2011" s="4"/>
      <c r="BD2011" s="4"/>
      <c r="BE2011" s="4"/>
      <c r="BG2011" s="4"/>
      <c r="BH2011" s="4"/>
    </row>
    <row r="2012" spans="1:60" x14ac:dyDescent="0.35">
      <c r="A2012" s="4"/>
      <c r="B2012" s="4"/>
      <c r="D2012" s="6" t="str">
        <f t="shared" si="139"/>
        <v/>
      </c>
      <c r="E2012" s="6" t="str">
        <f t="shared" si="140"/>
        <v/>
      </c>
      <c r="F2012" s="6" t="str">
        <f t="shared" si="141"/>
        <v/>
      </c>
      <c r="G2012" s="4"/>
      <c r="H2012" s="4"/>
      <c r="I2012" s="4"/>
      <c r="J2012" s="4"/>
      <c r="K2012" s="4"/>
      <c r="L2012" s="4"/>
      <c r="M2012" s="4"/>
      <c r="N2012" s="4"/>
      <c r="O2012" s="4"/>
      <c r="P2012" s="4"/>
      <c r="Q2012" s="4"/>
      <c r="R2012" s="14"/>
      <c r="S2012" s="14"/>
      <c r="T2012" s="14"/>
      <c r="U2012" s="14"/>
      <c r="V2012" s="14"/>
      <c r="W2012" s="14"/>
      <c r="X2012" s="1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4"/>
      <c r="AU2012" s="4"/>
      <c r="AV2012" s="4"/>
      <c r="AW2012" s="4"/>
      <c r="AX2012" s="4"/>
      <c r="AY2012" s="4"/>
      <c r="AZ2012" s="4"/>
      <c r="BA2012" s="4"/>
      <c r="BB2012" s="4"/>
      <c r="BC2012" s="4"/>
      <c r="BD2012" s="4"/>
      <c r="BE2012" s="4"/>
      <c r="BG2012" s="4"/>
      <c r="BH2012" s="4"/>
    </row>
    <row r="2013" spans="1:60" x14ac:dyDescent="0.35">
      <c r="A2013" s="4"/>
      <c r="B2013" s="4"/>
      <c r="D2013" s="6" t="str">
        <f t="shared" si="139"/>
        <v/>
      </c>
      <c r="E2013" s="6" t="str">
        <f t="shared" si="140"/>
        <v/>
      </c>
      <c r="F2013" s="6" t="str">
        <f t="shared" si="141"/>
        <v/>
      </c>
      <c r="G2013" s="4"/>
      <c r="H2013" s="4"/>
      <c r="I2013" s="4"/>
      <c r="J2013" s="4"/>
      <c r="K2013" s="4"/>
      <c r="L2013" s="4"/>
      <c r="M2013" s="4"/>
      <c r="N2013" s="4"/>
      <c r="O2013" s="4"/>
      <c r="P2013" s="4"/>
      <c r="Q2013" s="4"/>
      <c r="R2013" s="14"/>
      <c r="S2013" s="14"/>
      <c r="T2013" s="14"/>
      <c r="U2013" s="14"/>
      <c r="V2013" s="14"/>
      <c r="W2013" s="14"/>
      <c r="X2013" s="14"/>
      <c r="Y2013" s="4"/>
      <c r="Z2013" s="4"/>
      <c r="AA2013" s="4"/>
      <c r="AB2013" s="4"/>
      <c r="AC2013" s="4"/>
      <c r="AD2013" s="4"/>
      <c r="AE2013" s="4"/>
      <c r="AF2013" s="4"/>
      <c r="AG2013" s="4"/>
      <c r="AH2013" s="4"/>
      <c r="AI2013" s="4"/>
      <c r="AJ2013" s="4"/>
      <c r="AK2013" s="4"/>
      <c r="AL2013" s="4"/>
      <c r="AM2013" s="4"/>
      <c r="AN2013" s="4"/>
      <c r="AO2013" s="4"/>
      <c r="AP2013" s="4"/>
      <c r="AQ2013" s="4"/>
      <c r="AR2013" s="4"/>
      <c r="AS2013" s="4"/>
      <c r="AT2013" s="4"/>
      <c r="AU2013" s="4"/>
      <c r="AV2013" s="4"/>
      <c r="AW2013" s="4"/>
      <c r="AX2013" s="4"/>
      <c r="AY2013" s="4"/>
      <c r="AZ2013" s="4"/>
      <c r="BA2013" s="4"/>
      <c r="BB2013" s="4"/>
      <c r="BC2013" s="4"/>
      <c r="BD2013" s="4"/>
      <c r="BE2013" s="4"/>
      <c r="BG2013" s="4"/>
      <c r="BH2013" s="4"/>
    </row>
    <row r="2014" spans="1:60" x14ac:dyDescent="0.35">
      <c r="A2014" s="4"/>
      <c r="B2014" s="4"/>
      <c r="D2014" s="6" t="str">
        <f t="shared" si="139"/>
        <v/>
      </c>
      <c r="E2014" s="6" t="str">
        <f t="shared" si="140"/>
        <v/>
      </c>
      <c r="F2014" s="6" t="str">
        <f t="shared" si="141"/>
        <v/>
      </c>
      <c r="G2014" s="4"/>
      <c r="H2014" s="4"/>
      <c r="I2014" s="4"/>
      <c r="J2014" s="4"/>
      <c r="K2014" s="4"/>
      <c r="L2014" s="4"/>
      <c r="M2014" s="4"/>
      <c r="N2014" s="4"/>
      <c r="O2014" s="4"/>
      <c r="P2014" s="4"/>
      <c r="Q2014" s="4"/>
      <c r="R2014" s="14"/>
      <c r="S2014" s="14"/>
      <c r="T2014" s="14"/>
      <c r="U2014" s="14"/>
      <c r="V2014" s="14"/>
      <c r="W2014" s="14"/>
      <c r="X2014" s="14"/>
      <c r="Y2014" s="4"/>
      <c r="Z2014" s="4"/>
      <c r="AA2014" s="4"/>
      <c r="AB2014" s="4"/>
      <c r="AC2014" s="4"/>
      <c r="AD2014" s="4"/>
      <c r="AE2014" s="4"/>
      <c r="AF2014" s="4"/>
      <c r="AG2014" s="4"/>
      <c r="AH2014" s="4"/>
      <c r="AI2014" s="4"/>
      <c r="AJ2014" s="4"/>
      <c r="AK2014" s="4"/>
      <c r="AL2014" s="4"/>
      <c r="AM2014" s="4"/>
      <c r="AN2014" s="4"/>
      <c r="AO2014" s="4"/>
      <c r="AP2014" s="4"/>
      <c r="AQ2014" s="4"/>
      <c r="AR2014" s="4"/>
      <c r="AS2014" s="4"/>
      <c r="AT2014" s="4"/>
      <c r="AU2014" s="4"/>
      <c r="AV2014" s="4"/>
      <c r="AW2014" s="4"/>
      <c r="AX2014" s="4"/>
      <c r="AY2014" s="4"/>
      <c r="AZ2014" s="4"/>
      <c r="BA2014" s="4"/>
      <c r="BB2014" s="4"/>
      <c r="BC2014" s="4"/>
      <c r="BD2014" s="4"/>
      <c r="BE2014" s="4"/>
      <c r="BG2014" s="4"/>
      <c r="BH2014" s="4"/>
    </row>
    <row r="2015" spans="1:60" x14ac:dyDescent="0.35">
      <c r="A2015" s="4"/>
      <c r="B2015" s="4"/>
      <c r="D2015" s="6" t="str">
        <f t="shared" si="139"/>
        <v/>
      </c>
      <c r="E2015" s="6" t="str">
        <f t="shared" si="140"/>
        <v/>
      </c>
      <c r="F2015" s="6" t="str">
        <f t="shared" si="141"/>
        <v/>
      </c>
      <c r="G2015" s="4"/>
      <c r="H2015" s="4"/>
      <c r="I2015" s="4"/>
      <c r="J2015" s="4"/>
      <c r="K2015" s="4"/>
      <c r="L2015" s="4"/>
      <c r="M2015" s="4"/>
      <c r="N2015" s="4"/>
      <c r="O2015" s="4"/>
      <c r="P2015" s="4"/>
      <c r="Q2015" s="4"/>
      <c r="R2015" s="14"/>
      <c r="S2015" s="14"/>
      <c r="T2015" s="14"/>
      <c r="U2015" s="14"/>
      <c r="V2015" s="14"/>
      <c r="W2015" s="14"/>
      <c r="X2015" s="1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c r="AX2015" s="4"/>
      <c r="AY2015" s="4"/>
      <c r="AZ2015" s="4"/>
      <c r="BA2015" s="4"/>
      <c r="BB2015" s="4"/>
      <c r="BC2015" s="4"/>
      <c r="BD2015" s="4"/>
      <c r="BE2015" s="4"/>
      <c r="BG2015" s="4"/>
      <c r="BH2015" s="4"/>
    </row>
    <row r="2016" spans="1:60" x14ac:dyDescent="0.35">
      <c r="A2016" s="4"/>
      <c r="B2016" s="4"/>
      <c r="D2016" s="6" t="str">
        <f t="shared" si="139"/>
        <v/>
      </c>
      <c r="E2016" s="6" t="str">
        <f t="shared" si="140"/>
        <v/>
      </c>
      <c r="F2016" s="6" t="str">
        <f t="shared" si="141"/>
        <v/>
      </c>
      <c r="G2016" s="4"/>
      <c r="H2016" s="4"/>
      <c r="I2016" s="4"/>
      <c r="J2016" s="4"/>
      <c r="K2016" s="4"/>
      <c r="L2016" s="4"/>
      <c r="M2016" s="4"/>
      <c r="N2016" s="4"/>
      <c r="O2016" s="4"/>
      <c r="P2016" s="4"/>
      <c r="Q2016" s="4"/>
      <c r="R2016" s="14"/>
      <c r="S2016" s="14"/>
      <c r="T2016" s="14"/>
      <c r="U2016" s="14"/>
      <c r="V2016" s="14"/>
      <c r="W2016" s="14"/>
      <c r="X2016" s="14"/>
      <c r="Y2016" s="4"/>
      <c r="Z2016" s="4"/>
      <c r="AA2016" s="4"/>
      <c r="AB2016" s="4"/>
      <c r="AC2016" s="4"/>
      <c r="AD2016" s="4"/>
      <c r="AE2016" s="4"/>
      <c r="AF2016" s="4"/>
      <c r="AG2016" s="4"/>
      <c r="AH2016" s="4"/>
      <c r="AI2016" s="4"/>
      <c r="AJ2016" s="4"/>
      <c r="AK2016" s="4"/>
      <c r="AL2016" s="4"/>
      <c r="AM2016" s="4"/>
      <c r="AN2016" s="4"/>
      <c r="AO2016" s="4"/>
      <c r="AP2016" s="4"/>
      <c r="AQ2016" s="4"/>
      <c r="AR2016" s="4"/>
      <c r="AS2016" s="4"/>
      <c r="AT2016" s="4"/>
      <c r="AU2016" s="4"/>
      <c r="AV2016" s="4"/>
      <c r="AW2016" s="4"/>
      <c r="AX2016" s="4"/>
      <c r="AY2016" s="4"/>
      <c r="AZ2016" s="4"/>
      <c r="BA2016" s="4"/>
      <c r="BB2016" s="4"/>
      <c r="BC2016" s="4"/>
      <c r="BD2016" s="4"/>
      <c r="BE2016" s="4"/>
      <c r="BG2016" s="4"/>
      <c r="BH2016" s="4"/>
    </row>
    <row r="2017" spans="1:60" x14ac:dyDescent="0.35">
      <c r="A2017" s="4"/>
      <c r="B2017" s="4"/>
      <c r="D2017" s="6" t="str">
        <f t="shared" si="139"/>
        <v/>
      </c>
      <c r="E2017" s="6" t="str">
        <f t="shared" si="140"/>
        <v/>
      </c>
      <c r="F2017" s="6" t="str">
        <f t="shared" si="141"/>
        <v/>
      </c>
      <c r="G2017" s="4"/>
      <c r="H2017" s="4"/>
      <c r="I2017" s="4"/>
      <c r="J2017" s="4"/>
      <c r="K2017" s="4"/>
      <c r="L2017" s="4"/>
      <c r="M2017" s="4"/>
      <c r="N2017" s="4"/>
      <c r="O2017" s="4"/>
      <c r="P2017" s="4"/>
      <c r="Q2017" s="4"/>
      <c r="R2017" s="14"/>
      <c r="S2017" s="14"/>
      <c r="T2017" s="14"/>
      <c r="U2017" s="14"/>
      <c r="V2017" s="14"/>
      <c r="W2017" s="14"/>
      <c r="X2017" s="1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4"/>
      <c r="AU2017" s="4"/>
      <c r="AV2017" s="4"/>
      <c r="AW2017" s="4"/>
      <c r="AX2017" s="4"/>
      <c r="AY2017" s="4"/>
      <c r="AZ2017" s="4"/>
      <c r="BA2017" s="4"/>
      <c r="BB2017" s="4"/>
      <c r="BC2017" s="4"/>
      <c r="BD2017" s="4"/>
      <c r="BE2017" s="4"/>
      <c r="BG2017" s="4"/>
      <c r="BH2017" s="4"/>
    </row>
    <row r="2018" spans="1:60" x14ac:dyDescent="0.35">
      <c r="A2018" s="4"/>
      <c r="B2018" s="4"/>
      <c r="D2018" s="6" t="str">
        <f t="shared" si="139"/>
        <v/>
      </c>
      <c r="E2018" s="6" t="str">
        <f t="shared" si="140"/>
        <v/>
      </c>
      <c r="F2018" s="6" t="str">
        <f t="shared" si="141"/>
        <v/>
      </c>
      <c r="G2018" s="4"/>
      <c r="H2018" s="4"/>
      <c r="I2018" s="4"/>
      <c r="J2018" s="4"/>
      <c r="K2018" s="4"/>
      <c r="L2018" s="4"/>
      <c r="M2018" s="4"/>
      <c r="N2018" s="4"/>
      <c r="O2018" s="4"/>
      <c r="P2018" s="4"/>
      <c r="Q2018" s="4"/>
      <c r="R2018" s="14"/>
      <c r="S2018" s="14"/>
      <c r="T2018" s="14"/>
      <c r="U2018" s="14"/>
      <c r="V2018" s="14"/>
      <c r="W2018" s="14"/>
      <c r="X2018" s="1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c r="AX2018" s="4"/>
      <c r="AY2018" s="4"/>
      <c r="AZ2018" s="4"/>
      <c r="BA2018" s="4"/>
      <c r="BB2018" s="4"/>
      <c r="BC2018" s="4"/>
      <c r="BD2018" s="4"/>
      <c r="BE2018" s="4"/>
      <c r="BG2018" s="4"/>
      <c r="BH2018" s="4"/>
    </row>
    <row r="2019" spans="1:60" x14ac:dyDescent="0.35">
      <c r="A2019" s="4"/>
      <c r="B2019" s="4"/>
      <c r="D2019" s="6" t="str">
        <f t="shared" si="139"/>
        <v/>
      </c>
      <c r="E2019" s="6" t="str">
        <f t="shared" si="140"/>
        <v/>
      </c>
      <c r="F2019" s="6" t="str">
        <f t="shared" si="141"/>
        <v/>
      </c>
      <c r="G2019" s="4"/>
      <c r="H2019" s="4"/>
      <c r="I2019" s="4"/>
      <c r="J2019" s="4"/>
      <c r="K2019" s="4"/>
      <c r="L2019" s="4"/>
      <c r="M2019" s="4"/>
      <c r="N2019" s="4"/>
      <c r="O2019" s="4"/>
      <c r="P2019" s="4"/>
      <c r="Q2019" s="4"/>
      <c r="R2019" s="14"/>
      <c r="S2019" s="14"/>
      <c r="T2019" s="14"/>
      <c r="U2019" s="14"/>
      <c r="V2019" s="14"/>
      <c r="W2019" s="14"/>
      <c r="X2019" s="1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4"/>
      <c r="AU2019" s="4"/>
      <c r="AV2019" s="4"/>
      <c r="AW2019" s="4"/>
      <c r="AX2019" s="4"/>
      <c r="AY2019" s="4"/>
      <c r="AZ2019" s="4"/>
      <c r="BA2019" s="4"/>
      <c r="BB2019" s="4"/>
      <c r="BC2019" s="4"/>
      <c r="BD2019" s="4"/>
      <c r="BE2019" s="4"/>
      <c r="BG2019" s="4"/>
      <c r="BH2019" s="4"/>
    </row>
    <row r="2020" spans="1:60" x14ac:dyDescent="0.35">
      <c r="A2020" s="4"/>
      <c r="B2020" s="4"/>
      <c r="D2020" s="6" t="str">
        <f t="shared" si="139"/>
        <v/>
      </c>
      <c r="E2020" s="6" t="str">
        <f t="shared" si="140"/>
        <v/>
      </c>
      <c r="F2020" s="6" t="str">
        <f t="shared" si="141"/>
        <v/>
      </c>
      <c r="G2020" s="4"/>
      <c r="H2020" s="4"/>
      <c r="I2020" s="4"/>
      <c r="J2020" s="4"/>
      <c r="K2020" s="4"/>
      <c r="L2020" s="4"/>
      <c r="M2020" s="4"/>
      <c r="N2020" s="4"/>
      <c r="O2020" s="4"/>
      <c r="P2020" s="4"/>
      <c r="Q2020" s="4"/>
      <c r="R2020" s="14"/>
      <c r="S2020" s="14"/>
      <c r="T2020" s="14"/>
      <c r="U2020" s="14"/>
      <c r="V2020" s="14"/>
      <c r="W2020" s="14"/>
      <c r="X2020" s="1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4"/>
      <c r="AU2020" s="4"/>
      <c r="AV2020" s="4"/>
      <c r="AW2020" s="4"/>
      <c r="AX2020" s="4"/>
      <c r="AY2020" s="4"/>
      <c r="AZ2020" s="4"/>
      <c r="BA2020" s="4"/>
      <c r="BB2020" s="4"/>
      <c r="BC2020" s="4"/>
      <c r="BD2020" s="4"/>
      <c r="BE2020" s="4"/>
      <c r="BG2020" s="4"/>
      <c r="BH2020" s="4"/>
    </row>
    <row r="2021" spans="1:60" x14ac:dyDescent="0.35">
      <c r="A2021" s="4"/>
      <c r="B2021" s="4"/>
      <c r="D2021" s="6" t="str">
        <f t="shared" si="139"/>
        <v/>
      </c>
      <c r="E2021" s="6" t="str">
        <f t="shared" si="140"/>
        <v/>
      </c>
      <c r="F2021" s="6" t="str">
        <f t="shared" si="141"/>
        <v/>
      </c>
      <c r="G2021" s="4"/>
      <c r="H2021" s="4"/>
      <c r="I2021" s="4"/>
      <c r="J2021" s="4"/>
      <c r="K2021" s="4"/>
      <c r="L2021" s="4"/>
      <c r="M2021" s="4"/>
      <c r="N2021" s="4"/>
      <c r="O2021" s="4"/>
      <c r="P2021" s="4"/>
      <c r="Q2021" s="4"/>
      <c r="R2021" s="14"/>
      <c r="S2021" s="14"/>
      <c r="T2021" s="14"/>
      <c r="U2021" s="14"/>
      <c r="V2021" s="14"/>
      <c r="W2021" s="14"/>
      <c r="X2021" s="1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4"/>
      <c r="AX2021" s="4"/>
      <c r="AY2021" s="4"/>
      <c r="AZ2021" s="4"/>
      <c r="BA2021" s="4"/>
      <c r="BB2021" s="4"/>
      <c r="BC2021" s="4"/>
      <c r="BD2021" s="4"/>
      <c r="BE2021" s="4"/>
      <c r="BG2021" s="4"/>
      <c r="BH2021" s="4"/>
    </row>
    <row r="2022" spans="1:60" x14ac:dyDescent="0.35">
      <c r="A2022" s="4"/>
      <c r="B2022" s="4"/>
      <c r="D2022" s="6" t="str">
        <f t="shared" si="139"/>
        <v/>
      </c>
      <c r="E2022" s="6" t="str">
        <f t="shared" si="140"/>
        <v/>
      </c>
      <c r="F2022" s="6" t="str">
        <f t="shared" si="141"/>
        <v/>
      </c>
      <c r="G2022" s="4"/>
      <c r="H2022" s="4"/>
      <c r="I2022" s="4"/>
      <c r="J2022" s="4"/>
      <c r="K2022" s="4"/>
      <c r="L2022" s="4"/>
      <c r="M2022" s="4"/>
      <c r="N2022" s="4"/>
      <c r="O2022" s="4"/>
      <c r="P2022" s="4"/>
      <c r="Q2022" s="4"/>
      <c r="R2022" s="14"/>
      <c r="S2022" s="14"/>
      <c r="T2022" s="14"/>
      <c r="U2022" s="14"/>
      <c r="V2022" s="14"/>
      <c r="W2022" s="14"/>
      <c r="X2022" s="1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4"/>
      <c r="AU2022" s="4"/>
      <c r="AV2022" s="4"/>
      <c r="AW2022" s="4"/>
      <c r="AX2022" s="4"/>
      <c r="AY2022" s="4"/>
      <c r="AZ2022" s="4"/>
      <c r="BA2022" s="4"/>
      <c r="BB2022" s="4"/>
      <c r="BC2022" s="4"/>
      <c r="BD2022" s="4"/>
      <c r="BE2022" s="4"/>
      <c r="BG2022" s="4"/>
      <c r="BH2022" s="4"/>
    </row>
    <row r="2023" spans="1:60" x14ac:dyDescent="0.35">
      <c r="A2023" s="4"/>
      <c r="B2023" s="4"/>
      <c r="D2023" s="6" t="str">
        <f t="shared" si="139"/>
        <v/>
      </c>
      <c r="E2023" s="6" t="str">
        <f t="shared" si="140"/>
        <v/>
      </c>
      <c r="F2023" s="6" t="str">
        <f t="shared" si="141"/>
        <v/>
      </c>
      <c r="G2023" s="4"/>
      <c r="H2023" s="4"/>
      <c r="I2023" s="4"/>
      <c r="J2023" s="4"/>
      <c r="K2023" s="4"/>
      <c r="L2023" s="4"/>
      <c r="M2023" s="4"/>
      <c r="N2023" s="4"/>
      <c r="O2023" s="4"/>
      <c r="P2023" s="4"/>
      <c r="Q2023" s="4"/>
      <c r="R2023" s="14"/>
      <c r="S2023" s="14"/>
      <c r="T2023" s="14"/>
      <c r="U2023" s="14"/>
      <c r="V2023" s="14"/>
      <c r="W2023" s="14"/>
      <c r="X2023" s="1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c r="AX2023" s="4"/>
      <c r="AY2023" s="4"/>
      <c r="AZ2023" s="4"/>
      <c r="BA2023" s="4"/>
      <c r="BB2023" s="4"/>
      <c r="BC2023" s="4"/>
      <c r="BD2023" s="4"/>
      <c r="BE2023" s="4"/>
      <c r="BG2023" s="4"/>
      <c r="BH2023" s="4"/>
    </row>
    <row r="2024" spans="1:60" x14ac:dyDescent="0.35">
      <c r="A2024" s="4"/>
      <c r="B2024" s="4"/>
      <c r="D2024" s="6" t="str">
        <f t="shared" si="139"/>
        <v/>
      </c>
      <c r="E2024" s="6" t="str">
        <f t="shared" si="140"/>
        <v/>
      </c>
      <c r="F2024" s="6" t="str">
        <f t="shared" si="141"/>
        <v/>
      </c>
      <c r="G2024" s="4"/>
      <c r="H2024" s="4"/>
      <c r="I2024" s="4"/>
      <c r="J2024" s="4"/>
      <c r="K2024" s="4"/>
      <c r="L2024" s="4"/>
      <c r="M2024" s="4"/>
      <c r="N2024" s="4"/>
      <c r="O2024" s="4"/>
      <c r="P2024" s="4"/>
      <c r="Q2024" s="4"/>
      <c r="R2024" s="14"/>
      <c r="S2024" s="14"/>
      <c r="T2024" s="14"/>
      <c r="U2024" s="14"/>
      <c r="V2024" s="14"/>
      <c r="W2024" s="14"/>
      <c r="X2024" s="1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4"/>
      <c r="AU2024" s="4"/>
      <c r="AV2024" s="4"/>
      <c r="AW2024" s="4"/>
      <c r="AX2024" s="4"/>
      <c r="AY2024" s="4"/>
      <c r="AZ2024" s="4"/>
      <c r="BA2024" s="4"/>
      <c r="BB2024" s="4"/>
      <c r="BC2024" s="4"/>
      <c r="BD2024" s="4"/>
      <c r="BE2024" s="4"/>
      <c r="BG2024" s="4"/>
      <c r="BH2024" s="4"/>
    </row>
    <row r="2025" spans="1:60" x14ac:dyDescent="0.35">
      <c r="A2025" s="4"/>
      <c r="B2025" s="4"/>
      <c r="D2025" s="6" t="str">
        <f t="shared" si="139"/>
        <v/>
      </c>
      <c r="E2025" s="6" t="str">
        <f t="shared" si="140"/>
        <v/>
      </c>
      <c r="F2025" s="6" t="str">
        <f t="shared" si="141"/>
        <v/>
      </c>
      <c r="G2025" s="4"/>
      <c r="H2025" s="4"/>
      <c r="I2025" s="4"/>
      <c r="J2025" s="4"/>
      <c r="K2025" s="4"/>
      <c r="L2025" s="4"/>
      <c r="M2025" s="4"/>
      <c r="N2025" s="4"/>
      <c r="O2025" s="4"/>
      <c r="P2025" s="4"/>
      <c r="Q2025" s="4"/>
      <c r="R2025" s="14"/>
      <c r="S2025" s="14"/>
      <c r="T2025" s="14"/>
      <c r="U2025" s="14"/>
      <c r="V2025" s="14"/>
      <c r="W2025" s="14"/>
      <c r="X2025" s="1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4"/>
      <c r="AX2025" s="4"/>
      <c r="AY2025" s="4"/>
      <c r="AZ2025" s="4"/>
      <c r="BA2025" s="4"/>
      <c r="BB2025" s="4"/>
      <c r="BC2025" s="4"/>
      <c r="BD2025" s="4"/>
      <c r="BE2025" s="4"/>
      <c r="BG2025" s="4"/>
      <c r="BH2025" s="4"/>
    </row>
    <row r="2026" spans="1:60" x14ac:dyDescent="0.35">
      <c r="A2026" s="4"/>
      <c r="B2026" s="4"/>
      <c r="D2026" s="6" t="str">
        <f t="shared" si="139"/>
        <v/>
      </c>
      <c r="E2026" s="6" t="str">
        <f t="shared" si="140"/>
        <v/>
      </c>
      <c r="F2026" s="6" t="str">
        <f t="shared" si="141"/>
        <v/>
      </c>
      <c r="G2026" s="4"/>
      <c r="H2026" s="4"/>
      <c r="I2026" s="4"/>
      <c r="J2026" s="4"/>
      <c r="K2026" s="4"/>
      <c r="L2026" s="4"/>
      <c r="M2026" s="4"/>
      <c r="N2026" s="4"/>
      <c r="O2026" s="4"/>
      <c r="P2026" s="4"/>
      <c r="Q2026" s="4"/>
      <c r="R2026" s="14"/>
      <c r="S2026" s="14"/>
      <c r="T2026" s="14"/>
      <c r="U2026" s="14"/>
      <c r="V2026" s="14"/>
      <c r="W2026" s="14"/>
      <c r="X2026" s="1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4"/>
      <c r="AX2026" s="4"/>
      <c r="AY2026" s="4"/>
      <c r="AZ2026" s="4"/>
      <c r="BA2026" s="4"/>
      <c r="BB2026" s="4"/>
      <c r="BC2026" s="4"/>
      <c r="BD2026" s="4"/>
      <c r="BE2026" s="4"/>
      <c r="BG2026" s="4"/>
      <c r="BH2026" s="4"/>
    </row>
    <row r="2027" spans="1:60" x14ac:dyDescent="0.35">
      <c r="A2027" s="4"/>
      <c r="B2027" s="4"/>
      <c r="D2027" s="6" t="str">
        <f t="shared" si="139"/>
        <v/>
      </c>
      <c r="E2027" s="6" t="str">
        <f t="shared" si="140"/>
        <v/>
      </c>
      <c r="F2027" s="6" t="str">
        <f t="shared" si="141"/>
        <v/>
      </c>
      <c r="G2027" s="4"/>
      <c r="H2027" s="4"/>
      <c r="I2027" s="4"/>
      <c r="J2027" s="4"/>
      <c r="K2027" s="4"/>
      <c r="L2027" s="4"/>
      <c r="M2027" s="4"/>
      <c r="N2027" s="4"/>
      <c r="O2027" s="4"/>
      <c r="P2027" s="4"/>
      <c r="Q2027" s="4"/>
      <c r="R2027" s="14"/>
      <c r="S2027" s="14"/>
      <c r="T2027" s="14"/>
      <c r="U2027" s="14"/>
      <c r="V2027" s="14"/>
      <c r="W2027" s="14"/>
      <c r="X2027" s="14"/>
      <c r="Y2027" s="4"/>
      <c r="Z2027" s="4"/>
      <c r="AA2027" s="4"/>
      <c r="AB2027" s="4"/>
      <c r="AC2027" s="4"/>
      <c r="AD2027" s="4"/>
      <c r="AE2027" s="4"/>
      <c r="AF2027" s="4"/>
      <c r="AG2027" s="4"/>
      <c r="AH2027" s="4"/>
      <c r="AI2027" s="4"/>
      <c r="AJ2027" s="4"/>
      <c r="AK2027" s="4"/>
      <c r="AL2027" s="4"/>
      <c r="AM2027" s="4"/>
      <c r="AN2027" s="4"/>
      <c r="AO2027" s="4"/>
      <c r="AP2027" s="4"/>
      <c r="AQ2027" s="4"/>
      <c r="AR2027" s="4"/>
      <c r="AS2027" s="4"/>
      <c r="AT2027" s="4"/>
      <c r="AU2027" s="4"/>
      <c r="AV2027" s="4"/>
      <c r="AW2027" s="4"/>
      <c r="AX2027" s="4"/>
      <c r="AY2027" s="4"/>
      <c r="AZ2027" s="4"/>
      <c r="BA2027" s="4"/>
      <c r="BB2027" s="4"/>
      <c r="BC2027" s="4"/>
      <c r="BD2027" s="4"/>
      <c r="BE2027" s="4"/>
      <c r="BG2027" s="4"/>
      <c r="BH2027" s="4"/>
    </row>
    <row r="2028" spans="1:60" x14ac:dyDescent="0.35">
      <c r="A2028" s="4"/>
      <c r="B2028" s="4"/>
      <c r="D2028" s="6" t="str">
        <f t="shared" si="139"/>
        <v/>
      </c>
      <c r="E2028" s="6" t="str">
        <f t="shared" si="140"/>
        <v/>
      </c>
      <c r="F2028" s="6" t="str">
        <f t="shared" si="141"/>
        <v/>
      </c>
      <c r="G2028" s="4"/>
      <c r="H2028" s="4"/>
      <c r="I2028" s="4"/>
      <c r="J2028" s="4"/>
      <c r="K2028" s="4"/>
      <c r="L2028" s="4"/>
      <c r="M2028" s="4"/>
      <c r="N2028" s="4"/>
      <c r="O2028" s="4"/>
      <c r="P2028" s="4"/>
      <c r="Q2028" s="4"/>
      <c r="R2028" s="14"/>
      <c r="S2028" s="14"/>
      <c r="T2028" s="14"/>
      <c r="U2028" s="14"/>
      <c r="V2028" s="14"/>
      <c r="W2028" s="14"/>
      <c r="X2028" s="1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4"/>
      <c r="AU2028" s="4"/>
      <c r="AV2028" s="4"/>
      <c r="AW2028" s="4"/>
      <c r="AX2028" s="4"/>
      <c r="AY2028" s="4"/>
      <c r="AZ2028" s="4"/>
      <c r="BA2028" s="4"/>
      <c r="BB2028" s="4"/>
      <c r="BC2028" s="4"/>
      <c r="BD2028" s="4"/>
      <c r="BE2028" s="4"/>
      <c r="BG2028" s="4"/>
      <c r="BH2028" s="4"/>
    </row>
    <row r="2029" spans="1:60" x14ac:dyDescent="0.35">
      <c r="A2029" s="4"/>
      <c r="B2029" s="4"/>
      <c r="D2029" s="6" t="str">
        <f t="shared" si="139"/>
        <v/>
      </c>
      <c r="E2029" s="6" t="str">
        <f t="shared" si="140"/>
        <v/>
      </c>
      <c r="F2029" s="6" t="str">
        <f t="shared" si="141"/>
        <v/>
      </c>
      <c r="G2029" s="4"/>
      <c r="H2029" s="4"/>
      <c r="I2029" s="4"/>
      <c r="J2029" s="4"/>
      <c r="K2029" s="4"/>
      <c r="L2029" s="4"/>
      <c r="M2029" s="4"/>
      <c r="N2029" s="4"/>
      <c r="O2029" s="4"/>
      <c r="P2029" s="4"/>
      <c r="Q2029" s="4"/>
      <c r="R2029" s="14"/>
      <c r="S2029" s="14"/>
      <c r="T2029" s="14"/>
      <c r="U2029" s="14"/>
      <c r="V2029" s="14"/>
      <c r="W2029" s="14"/>
      <c r="X2029" s="1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4"/>
      <c r="AX2029" s="4"/>
      <c r="AY2029" s="4"/>
      <c r="AZ2029" s="4"/>
      <c r="BA2029" s="4"/>
      <c r="BB2029" s="4"/>
      <c r="BC2029" s="4"/>
      <c r="BD2029" s="4"/>
      <c r="BE2029" s="4"/>
      <c r="BG2029" s="4"/>
      <c r="BH2029" s="4"/>
    </row>
    <row r="2030" spans="1:60" x14ac:dyDescent="0.35">
      <c r="A2030" s="4"/>
      <c r="B2030" s="4"/>
      <c r="D2030" s="6" t="str">
        <f t="shared" si="139"/>
        <v/>
      </c>
      <c r="E2030" s="6" t="str">
        <f t="shared" si="140"/>
        <v/>
      </c>
      <c r="F2030" s="6" t="str">
        <f t="shared" si="141"/>
        <v/>
      </c>
      <c r="G2030" s="4"/>
      <c r="H2030" s="4"/>
      <c r="I2030" s="4"/>
      <c r="J2030" s="4"/>
      <c r="K2030" s="4"/>
      <c r="L2030" s="4"/>
      <c r="M2030" s="4"/>
      <c r="N2030" s="4"/>
      <c r="O2030" s="4"/>
      <c r="P2030" s="4"/>
      <c r="Q2030" s="4"/>
      <c r="R2030" s="14"/>
      <c r="S2030" s="14"/>
      <c r="T2030" s="14"/>
      <c r="U2030" s="14"/>
      <c r="V2030" s="14"/>
      <c r="W2030" s="14"/>
      <c r="X2030" s="1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c r="AX2030" s="4"/>
      <c r="AY2030" s="4"/>
      <c r="AZ2030" s="4"/>
      <c r="BA2030" s="4"/>
      <c r="BB2030" s="4"/>
      <c r="BC2030" s="4"/>
      <c r="BD2030" s="4"/>
      <c r="BE2030" s="4"/>
      <c r="BG2030" s="4"/>
      <c r="BH2030" s="4"/>
    </row>
    <row r="2031" spans="1:60" x14ac:dyDescent="0.35">
      <c r="A2031" s="4"/>
      <c r="B2031" s="4"/>
      <c r="D2031" s="6" t="str">
        <f t="shared" si="139"/>
        <v/>
      </c>
      <c r="E2031" s="6" t="str">
        <f t="shared" si="140"/>
        <v/>
      </c>
      <c r="F2031" s="6" t="str">
        <f t="shared" si="141"/>
        <v/>
      </c>
      <c r="G2031" s="4"/>
      <c r="H2031" s="4"/>
      <c r="I2031" s="4"/>
      <c r="J2031" s="4"/>
      <c r="K2031" s="4"/>
      <c r="L2031" s="4"/>
      <c r="M2031" s="4"/>
      <c r="N2031" s="4"/>
      <c r="O2031" s="4"/>
      <c r="P2031" s="4"/>
      <c r="Q2031" s="4"/>
      <c r="R2031" s="14"/>
      <c r="S2031" s="14"/>
      <c r="T2031" s="14"/>
      <c r="U2031" s="14"/>
      <c r="V2031" s="14"/>
      <c r="W2031" s="14"/>
      <c r="X2031" s="1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c r="AX2031" s="4"/>
      <c r="AY2031" s="4"/>
      <c r="AZ2031" s="4"/>
      <c r="BA2031" s="4"/>
      <c r="BB2031" s="4"/>
      <c r="BC2031" s="4"/>
      <c r="BD2031" s="4"/>
      <c r="BE2031" s="4"/>
      <c r="BG2031" s="4"/>
      <c r="BH2031" s="4"/>
    </row>
    <row r="2032" spans="1:60" x14ac:dyDescent="0.35">
      <c r="A2032" s="4"/>
      <c r="B2032" s="4"/>
      <c r="D2032" s="6" t="str">
        <f t="shared" si="139"/>
        <v/>
      </c>
      <c r="E2032" s="6" t="str">
        <f t="shared" si="140"/>
        <v/>
      </c>
      <c r="F2032" s="6" t="str">
        <f t="shared" si="141"/>
        <v/>
      </c>
      <c r="G2032" s="4"/>
      <c r="H2032" s="4"/>
      <c r="I2032" s="4"/>
      <c r="J2032" s="4"/>
      <c r="K2032" s="4"/>
      <c r="L2032" s="4"/>
      <c r="M2032" s="4"/>
      <c r="N2032" s="4"/>
      <c r="O2032" s="4"/>
      <c r="P2032" s="4"/>
      <c r="Q2032" s="4"/>
      <c r="R2032" s="14"/>
      <c r="S2032" s="14"/>
      <c r="T2032" s="14"/>
      <c r="U2032" s="14"/>
      <c r="V2032" s="14"/>
      <c r="W2032" s="14"/>
      <c r="X2032" s="1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4"/>
      <c r="AU2032" s="4"/>
      <c r="AV2032" s="4"/>
      <c r="AW2032" s="4"/>
      <c r="AX2032" s="4"/>
      <c r="AY2032" s="4"/>
      <c r="AZ2032" s="4"/>
      <c r="BA2032" s="4"/>
      <c r="BB2032" s="4"/>
      <c r="BC2032" s="4"/>
      <c r="BD2032" s="4"/>
      <c r="BE2032" s="4"/>
      <c r="BG2032" s="4"/>
      <c r="BH2032" s="4"/>
    </row>
    <row r="2033" spans="1:60" x14ac:dyDescent="0.35">
      <c r="A2033" s="4"/>
      <c r="B2033" s="4"/>
      <c r="D2033" s="6" t="str">
        <f t="shared" si="139"/>
        <v/>
      </c>
      <c r="E2033" s="6" t="str">
        <f t="shared" si="140"/>
        <v/>
      </c>
      <c r="F2033" s="6" t="str">
        <f t="shared" si="141"/>
        <v/>
      </c>
      <c r="G2033" s="4"/>
      <c r="H2033" s="4"/>
      <c r="I2033" s="4"/>
      <c r="J2033" s="4"/>
      <c r="K2033" s="4"/>
      <c r="L2033" s="4"/>
      <c r="M2033" s="4"/>
      <c r="N2033" s="4"/>
      <c r="O2033" s="4"/>
      <c r="P2033" s="4"/>
      <c r="Q2033" s="4"/>
      <c r="R2033" s="14"/>
      <c r="S2033" s="14"/>
      <c r="T2033" s="14"/>
      <c r="U2033" s="14"/>
      <c r="V2033" s="14"/>
      <c r="W2033" s="14"/>
      <c r="X2033" s="1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4"/>
      <c r="AU2033" s="4"/>
      <c r="AV2033" s="4"/>
      <c r="AW2033" s="4"/>
      <c r="AX2033" s="4"/>
      <c r="AY2033" s="4"/>
      <c r="AZ2033" s="4"/>
      <c r="BA2033" s="4"/>
      <c r="BB2033" s="4"/>
      <c r="BC2033" s="4"/>
      <c r="BD2033" s="4"/>
      <c r="BE2033" s="4"/>
      <c r="BG2033" s="4"/>
      <c r="BH2033" s="4"/>
    </row>
    <row r="2034" spans="1:60" x14ac:dyDescent="0.35">
      <c r="A2034" s="4"/>
      <c r="B2034" s="4"/>
      <c r="D2034" s="6" t="str">
        <f t="shared" si="139"/>
        <v/>
      </c>
      <c r="E2034" s="6" t="str">
        <f t="shared" si="140"/>
        <v/>
      </c>
      <c r="F2034" s="6" t="str">
        <f t="shared" si="141"/>
        <v/>
      </c>
      <c r="G2034" s="4"/>
      <c r="H2034" s="4"/>
      <c r="I2034" s="4"/>
      <c r="J2034" s="4"/>
      <c r="K2034" s="4"/>
      <c r="L2034" s="4"/>
      <c r="M2034" s="4"/>
      <c r="N2034" s="4"/>
      <c r="O2034" s="4"/>
      <c r="P2034" s="4"/>
      <c r="Q2034" s="4"/>
      <c r="R2034" s="14"/>
      <c r="S2034" s="14"/>
      <c r="T2034" s="14"/>
      <c r="U2034" s="14"/>
      <c r="V2034" s="14"/>
      <c r="W2034" s="14"/>
      <c r="X2034" s="1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c r="AX2034" s="4"/>
      <c r="AY2034" s="4"/>
      <c r="AZ2034" s="4"/>
      <c r="BA2034" s="4"/>
      <c r="BB2034" s="4"/>
      <c r="BC2034" s="4"/>
      <c r="BD2034" s="4"/>
      <c r="BE2034" s="4"/>
      <c r="BG2034" s="4"/>
      <c r="BH2034" s="4"/>
    </row>
    <row r="2035" spans="1:60" x14ac:dyDescent="0.35">
      <c r="A2035" s="4"/>
      <c r="B2035" s="4"/>
      <c r="D2035" s="6" t="str">
        <f t="shared" si="139"/>
        <v/>
      </c>
      <c r="E2035" s="6" t="str">
        <f t="shared" si="140"/>
        <v/>
      </c>
      <c r="F2035" s="6" t="str">
        <f t="shared" si="141"/>
        <v/>
      </c>
      <c r="G2035" s="4"/>
      <c r="H2035" s="4"/>
      <c r="I2035" s="4"/>
      <c r="J2035" s="4"/>
      <c r="K2035" s="4"/>
      <c r="L2035" s="4"/>
      <c r="M2035" s="4"/>
      <c r="N2035" s="4"/>
      <c r="O2035" s="4"/>
      <c r="P2035" s="4"/>
      <c r="Q2035" s="4"/>
      <c r="R2035" s="14"/>
      <c r="S2035" s="14"/>
      <c r="T2035" s="14"/>
      <c r="U2035" s="14"/>
      <c r="V2035" s="14"/>
      <c r="W2035" s="14"/>
      <c r="X2035" s="1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4"/>
      <c r="AU2035" s="4"/>
      <c r="AV2035" s="4"/>
      <c r="AW2035" s="4"/>
      <c r="AX2035" s="4"/>
      <c r="AY2035" s="4"/>
      <c r="AZ2035" s="4"/>
      <c r="BA2035" s="4"/>
      <c r="BB2035" s="4"/>
      <c r="BC2035" s="4"/>
      <c r="BD2035" s="4"/>
      <c r="BE2035" s="4"/>
      <c r="BG2035" s="4"/>
      <c r="BH2035" s="4"/>
    </row>
    <row r="2036" spans="1:60" x14ac:dyDescent="0.35">
      <c r="A2036" s="4"/>
      <c r="B2036" s="4"/>
      <c r="D2036" s="6" t="str">
        <f t="shared" si="139"/>
        <v/>
      </c>
      <c r="E2036" s="6" t="str">
        <f t="shared" si="140"/>
        <v/>
      </c>
      <c r="F2036" s="6" t="str">
        <f t="shared" si="141"/>
        <v/>
      </c>
      <c r="G2036" s="4"/>
      <c r="H2036" s="4"/>
      <c r="I2036" s="4"/>
      <c r="J2036" s="4"/>
      <c r="K2036" s="4"/>
      <c r="L2036" s="4"/>
      <c r="M2036" s="4"/>
      <c r="N2036" s="4"/>
      <c r="O2036" s="4"/>
      <c r="P2036" s="4"/>
      <c r="Q2036" s="4"/>
      <c r="R2036" s="14"/>
      <c r="S2036" s="14"/>
      <c r="T2036" s="14"/>
      <c r="U2036" s="14"/>
      <c r="V2036" s="14"/>
      <c r="W2036" s="14"/>
      <c r="X2036" s="1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c r="AX2036" s="4"/>
      <c r="AY2036" s="4"/>
      <c r="AZ2036" s="4"/>
      <c r="BA2036" s="4"/>
      <c r="BB2036" s="4"/>
      <c r="BC2036" s="4"/>
      <c r="BD2036" s="4"/>
      <c r="BE2036" s="4"/>
      <c r="BG2036" s="4"/>
      <c r="BH2036" s="4"/>
    </row>
    <row r="2037" spans="1:60" x14ac:dyDescent="0.35">
      <c r="A2037" s="4"/>
      <c r="B2037" s="4"/>
      <c r="D2037" s="6" t="str">
        <f t="shared" si="139"/>
        <v/>
      </c>
      <c r="E2037" s="6" t="str">
        <f t="shared" si="140"/>
        <v/>
      </c>
      <c r="F2037" s="6" t="str">
        <f t="shared" si="141"/>
        <v/>
      </c>
      <c r="G2037" s="4"/>
      <c r="H2037" s="4"/>
      <c r="I2037" s="4"/>
      <c r="J2037" s="4"/>
      <c r="K2037" s="4"/>
      <c r="L2037" s="4"/>
      <c r="M2037" s="4"/>
      <c r="N2037" s="4"/>
      <c r="O2037" s="4"/>
      <c r="P2037" s="4"/>
      <c r="Q2037" s="4"/>
      <c r="R2037" s="14"/>
      <c r="S2037" s="14"/>
      <c r="T2037" s="14"/>
      <c r="U2037" s="14"/>
      <c r="V2037" s="14"/>
      <c r="W2037" s="14"/>
      <c r="X2037" s="14"/>
      <c r="Y2037" s="4"/>
      <c r="Z2037" s="4"/>
      <c r="AA2037" s="4"/>
      <c r="AB2037" s="4"/>
      <c r="AC2037" s="4"/>
      <c r="AD2037" s="4"/>
      <c r="AE2037" s="4"/>
      <c r="AF2037" s="4"/>
      <c r="AG2037" s="4"/>
      <c r="AH2037" s="4"/>
      <c r="AI2037" s="4"/>
      <c r="AJ2037" s="4"/>
      <c r="AK2037" s="4"/>
      <c r="AL2037" s="4"/>
      <c r="AM2037" s="4"/>
      <c r="AN2037" s="4"/>
      <c r="AO2037" s="4"/>
      <c r="AP2037" s="4"/>
      <c r="AQ2037" s="4"/>
      <c r="AR2037" s="4"/>
      <c r="AS2037" s="4"/>
      <c r="AT2037" s="4"/>
      <c r="AU2037" s="4"/>
      <c r="AV2037" s="4"/>
      <c r="AW2037" s="4"/>
      <c r="AX2037" s="4"/>
      <c r="AY2037" s="4"/>
      <c r="AZ2037" s="4"/>
      <c r="BA2037" s="4"/>
      <c r="BB2037" s="4"/>
      <c r="BC2037" s="4"/>
      <c r="BD2037" s="4"/>
      <c r="BE2037" s="4"/>
      <c r="BG2037" s="4"/>
      <c r="BH2037" s="4"/>
    </row>
    <row r="2038" spans="1:60" x14ac:dyDescent="0.35">
      <c r="A2038" s="4"/>
      <c r="B2038" s="4"/>
      <c r="D2038" s="6" t="str">
        <f t="shared" si="139"/>
        <v/>
      </c>
      <c r="E2038" s="6" t="str">
        <f t="shared" si="140"/>
        <v/>
      </c>
      <c r="F2038" s="6" t="str">
        <f t="shared" si="141"/>
        <v/>
      </c>
      <c r="G2038" s="4"/>
      <c r="H2038" s="4"/>
      <c r="I2038" s="4"/>
      <c r="J2038" s="4"/>
      <c r="K2038" s="4"/>
      <c r="L2038" s="4"/>
      <c r="M2038" s="4"/>
      <c r="N2038" s="4"/>
      <c r="O2038" s="4"/>
      <c r="P2038" s="4"/>
      <c r="Q2038" s="4"/>
      <c r="R2038" s="14"/>
      <c r="S2038" s="14"/>
      <c r="T2038" s="14"/>
      <c r="U2038" s="14"/>
      <c r="V2038" s="14"/>
      <c r="W2038" s="14"/>
      <c r="X2038" s="14"/>
      <c r="Y2038" s="4"/>
      <c r="Z2038" s="4"/>
      <c r="AA2038" s="4"/>
      <c r="AB2038" s="4"/>
      <c r="AC2038" s="4"/>
      <c r="AD2038" s="4"/>
      <c r="AE2038" s="4"/>
      <c r="AF2038" s="4"/>
      <c r="AG2038" s="4"/>
      <c r="AH2038" s="4"/>
      <c r="AI2038" s="4"/>
      <c r="AJ2038" s="4"/>
      <c r="AK2038" s="4"/>
      <c r="AL2038" s="4"/>
      <c r="AM2038" s="4"/>
      <c r="AN2038" s="4"/>
      <c r="AO2038" s="4"/>
      <c r="AP2038" s="4"/>
      <c r="AQ2038" s="4"/>
      <c r="AR2038" s="4"/>
      <c r="AS2038" s="4"/>
      <c r="AT2038" s="4"/>
      <c r="AU2038" s="4"/>
      <c r="AV2038" s="4"/>
      <c r="AW2038" s="4"/>
      <c r="AX2038" s="4"/>
      <c r="AY2038" s="4"/>
      <c r="AZ2038" s="4"/>
      <c r="BA2038" s="4"/>
      <c r="BB2038" s="4"/>
      <c r="BC2038" s="4"/>
      <c r="BD2038" s="4"/>
      <c r="BE2038" s="4"/>
      <c r="BG2038" s="4"/>
      <c r="BH2038" s="4"/>
    </row>
    <row r="2039" spans="1:60" x14ac:dyDescent="0.35">
      <c r="A2039" s="4"/>
      <c r="B2039" s="4"/>
      <c r="D2039" s="6" t="str">
        <f t="shared" si="139"/>
        <v/>
      </c>
      <c r="E2039" s="6" t="str">
        <f t="shared" si="140"/>
        <v/>
      </c>
      <c r="F2039" s="6" t="str">
        <f t="shared" si="141"/>
        <v/>
      </c>
      <c r="G2039" s="4"/>
      <c r="H2039" s="4"/>
      <c r="I2039" s="4"/>
      <c r="J2039" s="4"/>
      <c r="K2039" s="4"/>
      <c r="L2039" s="4"/>
      <c r="M2039" s="4"/>
      <c r="N2039" s="4"/>
      <c r="O2039" s="4"/>
      <c r="P2039" s="4"/>
      <c r="Q2039" s="4"/>
      <c r="R2039" s="14"/>
      <c r="S2039" s="14"/>
      <c r="T2039" s="14"/>
      <c r="U2039" s="14"/>
      <c r="V2039" s="14"/>
      <c r="W2039" s="14"/>
      <c r="X2039" s="1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4"/>
      <c r="AV2039" s="4"/>
      <c r="AW2039" s="4"/>
      <c r="AX2039" s="4"/>
      <c r="AY2039" s="4"/>
      <c r="AZ2039" s="4"/>
      <c r="BA2039" s="4"/>
      <c r="BB2039" s="4"/>
      <c r="BC2039" s="4"/>
      <c r="BD2039" s="4"/>
      <c r="BE2039" s="4"/>
      <c r="BG2039" s="4"/>
      <c r="BH2039" s="4"/>
    </row>
    <row r="2040" spans="1:60" x14ac:dyDescent="0.35">
      <c r="A2040" s="4"/>
      <c r="B2040" s="4"/>
      <c r="D2040" s="6" t="str">
        <f t="shared" si="139"/>
        <v/>
      </c>
      <c r="E2040" s="6" t="str">
        <f t="shared" si="140"/>
        <v/>
      </c>
      <c r="F2040" s="6" t="str">
        <f t="shared" si="141"/>
        <v/>
      </c>
      <c r="G2040" s="4"/>
      <c r="H2040" s="4"/>
      <c r="I2040" s="4"/>
      <c r="J2040" s="4"/>
      <c r="K2040" s="4"/>
      <c r="L2040" s="4"/>
      <c r="M2040" s="4"/>
      <c r="N2040" s="4"/>
      <c r="O2040" s="4"/>
      <c r="P2040" s="4"/>
      <c r="Q2040" s="4"/>
      <c r="R2040" s="14"/>
      <c r="S2040" s="14"/>
      <c r="T2040" s="14"/>
      <c r="U2040" s="14"/>
      <c r="V2040" s="14"/>
      <c r="W2040" s="14"/>
      <c r="X2040" s="1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4"/>
      <c r="AU2040" s="4"/>
      <c r="AV2040" s="4"/>
      <c r="AW2040" s="4"/>
      <c r="AX2040" s="4"/>
      <c r="AY2040" s="4"/>
      <c r="AZ2040" s="4"/>
      <c r="BA2040" s="4"/>
      <c r="BB2040" s="4"/>
      <c r="BC2040" s="4"/>
      <c r="BD2040" s="4"/>
      <c r="BE2040" s="4"/>
      <c r="BG2040" s="4"/>
      <c r="BH2040" s="4"/>
    </row>
    <row r="2041" spans="1:60" x14ac:dyDescent="0.35">
      <c r="A2041" s="4"/>
      <c r="B2041" s="4"/>
      <c r="D2041" s="6" t="str">
        <f t="shared" si="139"/>
        <v/>
      </c>
      <c r="E2041" s="6" t="str">
        <f t="shared" si="140"/>
        <v/>
      </c>
      <c r="F2041" s="6" t="str">
        <f t="shared" si="141"/>
        <v/>
      </c>
      <c r="G2041" s="4"/>
      <c r="H2041" s="4"/>
      <c r="I2041" s="4"/>
      <c r="J2041" s="4"/>
      <c r="K2041" s="4"/>
      <c r="L2041" s="4"/>
      <c r="M2041" s="4"/>
      <c r="N2041" s="4"/>
      <c r="O2041" s="4"/>
      <c r="P2041" s="4"/>
      <c r="Q2041" s="4"/>
      <c r="R2041" s="14"/>
      <c r="S2041" s="14"/>
      <c r="T2041" s="14"/>
      <c r="U2041" s="14"/>
      <c r="V2041" s="14"/>
      <c r="W2041" s="14"/>
      <c r="X2041" s="1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4"/>
      <c r="AU2041" s="4"/>
      <c r="AV2041" s="4"/>
      <c r="AW2041" s="4"/>
      <c r="AX2041" s="4"/>
      <c r="AY2041" s="4"/>
      <c r="AZ2041" s="4"/>
      <c r="BA2041" s="4"/>
      <c r="BB2041" s="4"/>
      <c r="BC2041" s="4"/>
      <c r="BD2041" s="4"/>
      <c r="BE2041" s="4"/>
      <c r="BG2041" s="4"/>
      <c r="BH2041" s="4"/>
    </row>
    <row r="2042" spans="1:60" x14ac:dyDescent="0.35">
      <c r="A2042" s="4"/>
      <c r="B2042" s="4"/>
      <c r="D2042" s="6" t="str">
        <f t="shared" si="139"/>
        <v/>
      </c>
      <c r="E2042" s="6" t="str">
        <f t="shared" si="140"/>
        <v/>
      </c>
      <c r="F2042" s="6" t="str">
        <f t="shared" si="141"/>
        <v/>
      </c>
      <c r="G2042" s="4"/>
      <c r="H2042" s="4"/>
      <c r="I2042" s="4"/>
      <c r="J2042" s="4"/>
      <c r="K2042" s="4"/>
      <c r="L2042" s="4"/>
      <c r="M2042" s="4"/>
      <c r="N2042" s="4"/>
      <c r="O2042" s="4"/>
      <c r="P2042" s="4"/>
      <c r="Q2042" s="4"/>
      <c r="R2042" s="14"/>
      <c r="S2042" s="14"/>
      <c r="T2042" s="14"/>
      <c r="U2042" s="14"/>
      <c r="V2042" s="14"/>
      <c r="W2042" s="14"/>
      <c r="X2042" s="14"/>
      <c r="Y2042" s="4"/>
      <c r="Z2042" s="4"/>
      <c r="AA2042" s="4"/>
      <c r="AB2042" s="4"/>
      <c r="AC2042" s="4"/>
      <c r="AD2042" s="4"/>
      <c r="AE2042" s="4"/>
      <c r="AF2042" s="4"/>
      <c r="AG2042" s="4"/>
      <c r="AH2042" s="4"/>
      <c r="AI2042" s="4"/>
      <c r="AJ2042" s="4"/>
      <c r="AK2042" s="4"/>
      <c r="AL2042" s="4"/>
      <c r="AM2042" s="4"/>
      <c r="AN2042" s="4"/>
      <c r="AO2042" s="4"/>
      <c r="AP2042" s="4"/>
      <c r="AQ2042" s="4"/>
      <c r="AR2042" s="4"/>
      <c r="AS2042" s="4"/>
      <c r="AT2042" s="4"/>
      <c r="AU2042" s="4"/>
      <c r="AV2042" s="4"/>
      <c r="AW2042" s="4"/>
      <c r="AX2042" s="4"/>
      <c r="AY2042" s="4"/>
      <c r="AZ2042" s="4"/>
      <c r="BA2042" s="4"/>
      <c r="BB2042" s="4"/>
      <c r="BC2042" s="4"/>
      <c r="BD2042" s="4"/>
      <c r="BE2042" s="4"/>
      <c r="BG2042" s="4"/>
      <c r="BH2042" s="4"/>
    </row>
    <row r="2043" spans="1:60" x14ac:dyDescent="0.35">
      <c r="A2043" s="4"/>
      <c r="B2043" s="4"/>
      <c r="D2043" s="6" t="str">
        <f t="shared" si="139"/>
        <v/>
      </c>
      <c r="E2043" s="6" t="str">
        <f t="shared" si="140"/>
        <v/>
      </c>
      <c r="F2043" s="6" t="str">
        <f t="shared" si="141"/>
        <v/>
      </c>
      <c r="G2043" s="4"/>
      <c r="H2043" s="4"/>
      <c r="I2043" s="4"/>
      <c r="J2043" s="4"/>
      <c r="K2043" s="4"/>
      <c r="L2043" s="4"/>
      <c r="M2043" s="4"/>
      <c r="N2043" s="4"/>
      <c r="O2043" s="4"/>
      <c r="P2043" s="4"/>
      <c r="Q2043" s="4"/>
      <c r="R2043" s="14"/>
      <c r="S2043" s="14"/>
      <c r="T2043" s="14"/>
      <c r="U2043" s="14"/>
      <c r="V2043" s="14"/>
      <c r="W2043" s="14"/>
      <c r="X2043" s="1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4"/>
      <c r="AU2043" s="4"/>
      <c r="AV2043" s="4"/>
      <c r="AW2043" s="4"/>
      <c r="AX2043" s="4"/>
      <c r="AY2043" s="4"/>
      <c r="AZ2043" s="4"/>
      <c r="BA2043" s="4"/>
      <c r="BB2043" s="4"/>
      <c r="BC2043" s="4"/>
      <c r="BD2043" s="4"/>
      <c r="BE2043" s="4"/>
      <c r="BG2043" s="4"/>
      <c r="BH2043" s="4"/>
    </row>
    <row r="2044" spans="1:60" x14ac:dyDescent="0.35">
      <c r="A2044" s="4"/>
      <c r="B2044" s="4"/>
      <c r="D2044" s="6" t="str">
        <f t="shared" si="139"/>
        <v/>
      </c>
      <c r="E2044" s="6" t="str">
        <f t="shared" si="140"/>
        <v/>
      </c>
      <c r="F2044" s="6" t="str">
        <f t="shared" si="141"/>
        <v/>
      </c>
      <c r="G2044" s="4"/>
      <c r="H2044" s="4"/>
      <c r="I2044" s="4"/>
      <c r="J2044" s="4"/>
      <c r="K2044" s="4"/>
      <c r="L2044" s="4"/>
      <c r="M2044" s="4"/>
      <c r="N2044" s="4"/>
      <c r="O2044" s="4"/>
      <c r="P2044" s="4"/>
      <c r="Q2044" s="4"/>
      <c r="R2044" s="14"/>
      <c r="S2044" s="14"/>
      <c r="T2044" s="14"/>
      <c r="U2044" s="14"/>
      <c r="V2044" s="14"/>
      <c r="W2044" s="14"/>
      <c r="X2044" s="1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4"/>
      <c r="AU2044" s="4"/>
      <c r="AV2044" s="4"/>
      <c r="AW2044" s="4"/>
      <c r="AX2044" s="4"/>
      <c r="AY2044" s="4"/>
      <c r="AZ2044" s="4"/>
      <c r="BA2044" s="4"/>
      <c r="BB2044" s="4"/>
      <c r="BC2044" s="4"/>
      <c r="BD2044" s="4"/>
      <c r="BE2044" s="4"/>
      <c r="BG2044" s="4"/>
      <c r="BH2044" s="4"/>
    </row>
    <row r="2045" spans="1:60" x14ac:dyDescent="0.35">
      <c r="A2045" s="4"/>
      <c r="B2045" s="4"/>
      <c r="D2045" s="6" t="str">
        <f t="shared" ref="D2045:D2108" si="142">IF(C2045="","",VLOOKUP(C2045,district_region,2,FALSE))</f>
        <v/>
      </c>
      <c r="E2045" s="6" t="str">
        <f t="shared" ref="E2045:E2108" si="143">IF(C2045="","",VLOOKUP(C2045,liste_pop,3,FALSE))</f>
        <v/>
      </c>
      <c r="F2045" s="6" t="str">
        <f t="shared" ref="F2045:F2108" si="144">IF(D2045="","",IF(D2045="Dakar",4042240,VLOOKUP(D2045,liste_pop,4,FALSE)))</f>
        <v/>
      </c>
      <c r="G2045" s="4"/>
      <c r="H2045" s="4"/>
      <c r="I2045" s="4"/>
      <c r="J2045" s="4"/>
      <c r="K2045" s="4"/>
      <c r="L2045" s="4"/>
      <c r="M2045" s="4"/>
      <c r="N2045" s="4"/>
      <c r="O2045" s="4"/>
      <c r="P2045" s="4"/>
      <c r="Q2045" s="4"/>
      <c r="R2045" s="14"/>
      <c r="S2045" s="14"/>
      <c r="T2045" s="14"/>
      <c r="U2045" s="14"/>
      <c r="V2045" s="14"/>
      <c r="W2045" s="14"/>
      <c r="X2045" s="1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4"/>
      <c r="AU2045" s="4"/>
      <c r="AV2045" s="4"/>
      <c r="AW2045" s="4"/>
      <c r="AX2045" s="4"/>
      <c r="AY2045" s="4"/>
      <c r="AZ2045" s="4"/>
      <c r="BA2045" s="4"/>
      <c r="BB2045" s="4"/>
      <c r="BC2045" s="4"/>
      <c r="BD2045" s="4"/>
      <c r="BE2045" s="4"/>
      <c r="BG2045" s="4"/>
      <c r="BH2045" s="4"/>
    </row>
    <row r="2046" spans="1:60" x14ac:dyDescent="0.35">
      <c r="A2046" s="4"/>
      <c r="B2046" s="4"/>
      <c r="D2046" s="6" t="str">
        <f t="shared" si="142"/>
        <v/>
      </c>
      <c r="E2046" s="6" t="str">
        <f t="shared" si="143"/>
        <v/>
      </c>
      <c r="F2046" s="6" t="str">
        <f t="shared" si="144"/>
        <v/>
      </c>
      <c r="G2046" s="4"/>
      <c r="H2046" s="4"/>
      <c r="I2046" s="4"/>
      <c r="J2046" s="4"/>
      <c r="K2046" s="4"/>
      <c r="L2046" s="4"/>
      <c r="M2046" s="4"/>
      <c r="N2046" s="4"/>
      <c r="O2046" s="4"/>
      <c r="P2046" s="4"/>
      <c r="Q2046" s="4"/>
      <c r="R2046" s="14"/>
      <c r="S2046" s="14"/>
      <c r="T2046" s="14"/>
      <c r="U2046" s="14"/>
      <c r="V2046" s="14"/>
      <c r="W2046" s="14"/>
      <c r="X2046" s="14"/>
      <c r="Y2046" s="4"/>
      <c r="Z2046" s="4"/>
      <c r="AA2046" s="4"/>
      <c r="AB2046" s="4"/>
      <c r="AC2046" s="4"/>
      <c r="AD2046" s="4"/>
      <c r="AE2046" s="4"/>
      <c r="AF2046" s="4"/>
      <c r="AG2046" s="4"/>
      <c r="AH2046" s="4"/>
      <c r="AI2046" s="4"/>
      <c r="AJ2046" s="4"/>
      <c r="AK2046" s="4"/>
      <c r="AL2046" s="4"/>
      <c r="AM2046" s="4"/>
      <c r="AN2046" s="4"/>
      <c r="AO2046" s="4"/>
      <c r="AP2046" s="4"/>
      <c r="AQ2046" s="4"/>
      <c r="AR2046" s="4"/>
      <c r="AS2046" s="4"/>
      <c r="AT2046" s="4"/>
      <c r="AU2046" s="4"/>
      <c r="AV2046" s="4"/>
      <c r="AW2046" s="4"/>
      <c r="AX2046" s="4"/>
      <c r="AY2046" s="4"/>
      <c r="AZ2046" s="4"/>
      <c r="BA2046" s="4"/>
      <c r="BB2046" s="4"/>
      <c r="BC2046" s="4"/>
      <c r="BD2046" s="4"/>
      <c r="BE2046" s="4"/>
      <c r="BG2046" s="4"/>
      <c r="BH2046" s="4"/>
    </row>
    <row r="2047" spans="1:60" x14ac:dyDescent="0.35">
      <c r="A2047" s="4"/>
      <c r="B2047" s="4"/>
      <c r="D2047" s="6" t="str">
        <f t="shared" si="142"/>
        <v/>
      </c>
      <c r="E2047" s="6" t="str">
        <f t="shared" si="143"/>
        <v/>
      </c>
      <c r="F2047" s="6" t="str">
        <f t="shared" si="144"/>
        <v/>
      </c>
      <c r="G2047" s="4"/>
      <c r="H2047" s="4"/>
      <c r="I2047" s="4"/>
      <c r="J2047" s="4"/>
      <c r="K2047" s="4"/>
      <c r="L2047" s="4"/>
      <c r="M2047" s="4"/>
      <c r="N2047" s="4"/>
      <c r="O2047" s="4"/>
      <c r="P2047" s="4"/>
      <c r="Q2047" s="4"/>
      <c r="R2047" s="14"/>
      <c r="S2047" s="14"/>
      <c r="T2047" s="14"/>
      <c r="U2047" s="14"/>
      <c r="V2047" s="14"/>
      <c r="W2047" s="14"/>
      <c r="X2047" s="14"/>
      <c r="Y2047" s="4"/>
      <c r="Z2047" s="4"/>
      <c r="AA2047" s="4"/>
      <c r="AB2047" s="4"/>
      <c r="AC2047" s="4"/>
      <c r="AD2047" s="4"/>
      <c r="AE2047" s="4"/>
      <c r="AF2047" s="4"/>
      <c r="AG2047" s="4"/>
      <c r="AH2047" s="4"/>
      <c r="AI2047" s="4"/>
      <c r="AJ2047" s="4"/>
      <c r="AK2047" s="4"/>
      <c r="AL2047" s="4"/>
      <c r="AM2047" s="4"/>
      <c r="AN2047" s="4"/>
      <c r="AO2047" s="4"/>
      <c r="AP2047" s="4"/>
      <c r="AQ2047" s="4"/>
      <c r="AR2047" s="4"/>
      <c r="AS2047" s="4"/>
      <c r="AT2047" s="4"/>
      <c r="AU2047" s="4"/>
      <c r="AV2047" s="4"/>
      <c r="AW2047" s="4"/>
      <c r="AX2047" s="4"/>
      <c r="AY2047" s="4"/>
      <c r="AZ2047" s="4"/>
      <c r="BA2047" s="4"/>
      <c r="BB2047" s="4"/>
      <c r="BC2047" s="4"/>
      <c r="BD2047" s="4"/>
      <c r="BE2047" s="4"/>
      <c r="BG2047" s="4"/>
      <c r="BH2047" s="4"/>
    </row>
    <row r="2048" spans="1:60" x14ac:dyDescent="0.35">
      <c r="A2048" s="4"/>
      <c r="B2048" s="4"/>
      <c r="D2048" s="6" t="str">
        <f t="shared" si="142"/>
        <v/>
      </c>
      <c r="E2048" s="6" t="str">
        <f t="shared" si="143"/>
        <v/>
      </c>
      <c r="F2048" s="6" t="str">
        <f t="shared" si="144"/>
        <v/>
      </c>
      <c r="G2048" s="4"/>
      <c r="H2048" s="4"/>
      <c r="I2048" s="4"/>
      <c r="J2048" s="4"/>
      <c r="K2048" s="4"/>
      <c r="L2048" s="4"/>
      <c r="M2048" s="4"/>
      <c r="N2048" s="4"/>
      <c r="O2048" s="4"/>
      <c r="P2048" s="4"/>
      <c r="Q2048" s="4"/>
      <c r="R2048" s="14"/>
      <c r="S2048" s="14"/>
      <c r="T2048" s="14"/>
      <c r="U2048" s="14"/>
      <c r="V2048" s="14"/>
      <c r="W2048" s="14"/>
      <c r="X2048" s="14"/>
      <c r="Y2048" s="4"/>
      <c r="Z2048" s="4"/>
      <c r="AA2048" s="4"/>
      <c r="AB2048" s="4"/>
      <c r="AC2048" s="4"/>
      <c r="AD2048" s="4"/>
      <c r="AE2048" s="4"/>
      <c r="AF2048" s="4"/>
      <c r="AG2048" s="4"/>
      <c r="AH2048" s="4"/>
      <c r="AI2048" s="4"/>
      <c r="AJ2048" s="4"/>
      <c r="AK2048" s="4"/>
      <c r="AL2048" s="4"/>
      <c r="AM2048" s="4"/>
      <c r="AN2048" s="4"/>
      <c r="AO2048" s="4"/>
      <c r="AP2048" s="4"/>
      <c r="AQ2048" s="4"/>
      <c r="AR2048" s="4"/>
      <c r="AS2048" s="4"/>
      <c r="AT2048" s="4"/>
      <c r="AU2048" s="4"/>
      <c r="AV2048" s="4"/>
      <c r="AW2048" s="4"/>
      <c r="AX2048" s="4"/>
      <c r="AY2048" s="4"/>
      <c r="AZ2048" s="4"/>
      <c r="BA2048" s="4"/>
      <c r="BB2048" s="4"/>
      <c r="BC2048" s="4"/>
      <c r="BD2048" s="4"/>
      <c r="BE2048" s="4"/>
      <c r="BG2048" s="4"/>
      <c r="BH2048" s="4"/>
    </row>
    <row r="2049" spans="1:60" x14ac:dyDescent="0.35">
      <c r="A2049" s="4"/>
      <c r="B2049" s="4"/>
      <c r="D2049" s="6" t="str">
        <f t="shared" si="142"/>
        <v/>
      </c>
      <c r="E2049" s="6" t="str">
        <f t="shared" si="143"/>
        <v/>
      </c>
      <c r="F2049" s="6" t="str">
        <f t="shared" si="144"/>
        <v/>
      </c>
      <c r="G2049" s="4"/>
      <c r="H2049" s="4"/>
      <c r="I2049" s="4"/>
      <c r="J2049" s="4"/>
      <c r="K2049" s="4"/>
      <c r="L2049" s="4"/>
      <c r="M2049" s="4"/>
      <c r="N2049" s="4"/>
      <c r="O2049" s="4"/>
      <c r="P2049" s="4"/>
      <c r="Q2049" s="4"/>
      <c r="R2049" s="14"/>
      <c r="S2049" s="14"/>
      <c r="T2049" s="14"/>
      <c r="U2049" s="14"/>
      <c r="V2049" s="14"/>
      <c r="W2049" s="14"/>
      <c r="X2049" s="1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4"/>
      <c r="AU2049" s="4"/>
      <c r="AV2049" s="4"/>
      <c r="AW2049" s="4"/>
      <c r="AX2049" s="4"/>
      <c r="AY2049" s="4"/>
      <c r="AZ2049" s="4"/>
      <c r="BA2049" s="4"/>
      <c r="BB2049" s="4"/>
      <c r="BC2049" s="4"/>
      <c r="BD2049" s="4"/>
      <c r="BE2049" s="4"/>
      <c r="BG2049" s="4"/>
      <c r="BH2049" s="4"/>
    </row>
    <row r="2050" spans="1:60" x14ac:dyDescent="0.35">
      <c r="A2050" s="4"/>
      <c r="B2050" s="4"/>
      <c r="D2050" s="6" t="str">
        <f t="shared" si="142"/>
        <v/>
      </c>
      <c r="E2050" s="6" t="str">
        <f t="shared" si="143"/>
        <v/>
      </c>
      <c r="F2050" s="6" t="str">
        <f t="shared" si="144"/>
        <v/>
      </c>
      <c r="G2050" s="4"/>
      <c r="H2050" s="4"/>
      <c r="I2050" s="4"/>
      <c r="J2050" s="4"/>
      <c r="K2050" s="4"/>
      <c r="L2050" s="4"/>
      <c r="M2050" s="4"/>
      <c r="N2050" s="4"/>
      <c r="O2050" s="4"/>
      <c r="P2050" s="4"/>
      <c r="Q2050" s="4"/>
      <c r="R2050" s="14"/>
      <c r="S2050" s="14"/>
      <c r="T2050" s="14"/>
      <c r="U2050" s="14"/>
      <c r="V2050" s="14"/>
      <c r="W2050" s="14"/>
      <c r="X2050" s="14"/>
      <c r="Y2050" s="4"/>
      <c r="Z2050" s="4"/>
      <c r="AA2050" s="4"/>
      <c r="AB2050" s="4"/>
      <c r="AC2050" s="4"/>
      <c r="AD2050" s="4"/>
      <c r="AE2050" s="4"/>
      <c r="AF2050" s="4"/>
      <c r="AG2050" s="4"/>
      <c r="AH2050" s="4"/>
      <c r="AI2050" s="4"/>
      <c r="AJ2050" s="4"/>
      <c r="AK2050" s="4"/>
      <c r="AL2050" s="4"/>
      <c r="AM2050" s="4"/>
      <c r="AN2050" s="4"/>
      <c r="AO2050" s="4"/>
      <c r="AP2050" s="4"/>
      <c r="AQ2050" s="4"/>
      <c r="AR2050" s="4"/>
      <c r="AS2050" s="4"/>
      <c r="AT2050" s="4"/>
      <c r="AU2050" s="4"/>
      <c r="AV2050" s="4"/>
      <c r="AW2050" s="4"/>
      <c r="AX2050" s="4"/>
      <c r="AY2050" s="4"/>
      <c r="AZ2050" s="4"/>
      <c r="BA2050" s="4"/>
      <c r="BB2050" s="4"/>
      <c r="BC2050" s="4"/>
      <c r="BD2050" s="4"/>
      <c r="BE2050" s="4"/>
      <c r="BG2050" s="4"/>
      <c r="BH2050" s="4"/>
    </row>
    <row r="2051" spans="1:60" x14ac:dyDescent="0.35">
      <c r="A2051" s="4"/>
      <c r="B2051" s="4"/>
      <c r="D2051" s="6" t="str">
        <f t="shared" si="142"/>
        <v/>
      </c>
      <c r="E2051" s="6" t="str">
        <f t="shared" si="143"/>
        <v/>
      </c>
      <c r="F2051" s="6" t="str">
        <f t="shared" si="144"/>
        <v/>
      </c>
      <c r="G2051" s="4"/>
      <c r="H2051" s="4"/>
      <c r="I2051" s="4"/>
      <c r="J2051" s="4"/>
      <c r="K2051" s="4"/>
      <c r="L2051" s="4"/>
      <c r="M2051" s="4"/>
      <c r="N2051" s="4"/>
      <c r="O2051" s="4"/>
      <c r="P2051" s="4"/>
      <c r="Q2051" s="4"/>
      <c r="R2051" s="14"/>
      <c r="S2051" s="14"/>
      <c r="T2051" s="14"/>
      <c r="U2051" s="14"/>
      <c r="V2051" s="14"/>
      <c r="W2051" s="14"/>
      <c r="X2051" s="14"/>
      <c r="Y2051" s="4"/>
      <c r="Z2051" s="4"/>
      <c r="AA2051" s="4"/>
      <c r="AB2051" s="4"/>
      <c r="AC2051" s="4"/>
      <c r="AD2051" s="4"/>
      <c r="AE2051" s="4"/>
      <c r="AF2051" s="4"/>
      <c r="AG2051" s="4"/>
      <c r="AH2051" s="4"/>
      <c r="AI2051" s="4"/>
      <c r="AJ2051" s="4"/>
      <c r="AK2051" s="4"/>
      <c r="AL2051" s="4"/>
      <c r="AM2051" s="4"/>
      <c r="AN2051" s="4"/>
      <c r="AO2051" s="4"/>
      <c r="AP2051" s="4"/>
      <c r="AQ2051" s="4"/>
      <c r="AR2051" s="4"/>
      <c r="AS2051" s="4"/>
      <c r="AT2051" s="4"/>
      <c r="AU2051" s="4"/>
      <c r="AV2051" s="4"/>
      <c r="AW2051" s="4"/>
      <c r="AX2051" s="4"/>
      <c r="AY2051" s="4"/>
      <c r="AZ2051" s="4"/>
      <c r="BA2051" s="4"/>
      <c r="BB2051" s="4"/>
      <c r="BC2051" s="4"/>
      <c r="BD2051" s="4"/>
      <c r="BE2051" s="4"/>
      <c r="BG2051" s="4"/>
      <c r="BH2051" s="4"/>
    </row>
    <row r="2052" spans="1:60" x14ac:dyDescent="0.35">
      <c r="A2052" s="4"/>
      <c r="B2052" s="4"/>
      <c r="D2052" s="6" t="str">
        <f t="shared" si="142"/>
        <v/>
      </c>
      <c r="E2052" s="6" t="str">
        <f t="shared" si="143"/>
        <v/>
      </c>
      <c r="F2052" s="6" t="str">
        <f t="shared" si="144"/>
        <v/>
      </c>
      <c r="G2052" s="4"/>
      <c r="H2052" s="4"/>
      <c r="I2052" s="4"/>
      <c r="J2052" s="4"/>
      <c r="K2052" s="4"/>
      <c r="L2052" s="4"/>
      <c r="M2052" s="4"/>
      <c r="N2052" s="4"/>
      <c r="O2052" s="4"/>
      <c r="P2052" s="4"/>
      <c r="Q2052" s="4"/>
      <c r="R2052" s="14"/>
      <c r="S2052" s="14"/>
      <c r="T2052" s="14"/>
      <c r="U2052" s="14"/>
      <c r="V2052" s="14"/>
      <c r="W2052" s="14"/>
      <c r="X2052" s="14"/>
      <c r="Y2052" s="4"/>
      <c r="Z2052" s="4"/>
      <c r="AA2052" s="4"/>
      <c r="AB2052" s="4"/>
      <c r="AC2052" s="4"/>
      <c r="AD2052" s="4"/>
      <c r="AE2052" s="4"/>
      <c r="AF2052" s="4"/>
      <c r="AG2052" s="4"/>
      <c r="AH2052" s="4"/>
      <c r="AI2052" s="4"/>
      <c r="AJ2052" s="4"/>
      <c r="AK2052" s="4"/>
      <c r="AL2052" s="4"/>
      <c r="AM2052" s="4"/>
      <c r="AN2052" s="4"/>
      <c r="AO2052" s="4"/>
      <c r="AP2052" s="4"/>
      <c r="AQ2052" s="4"/>
      <c r="AR2052" s="4"/>
      <c r="AS2052" s="4"/>
      <c r="AT2052" s="4"/>
      <c r="AU2052" s="4"/>
      <c r="AV2052" s="4"/>
      <c r="AW2052" s="4"/>
      <c r="AX2052" s="4"/>
      <c r="AY2052" s="4"/>
      <c r="AZ2052" s="4"/>
      <c r="BA2052" s="4"/>
      <c r="BB2052" s="4"/>
      <c r="BC2052" s="4"/>
      <c r="BD2052" s="4"/>
      <c r="BE2052" s="4"/>
      <c r="BG2052" s="4"/>
      <c r="BH2052" s="4"/>
    </row>
    <row r="2053" spans="1:60" x14ac:dyDescent="0.35">
      <c r="A2053" s="4"/>
      <c r="B2053" s="4"/>
      <c r="D2053" s="6" t="str">
        <f t="shared" si="142"/>
        <v/>
      </c>
      <c r="E2053" s="6" t="str">
        <f t="shared" si="143"/>
        <v/>
      </c>
      <c r="F2053" s="6" t="str">
        <f t="shared" si="144"/>
        <v/>
      </c>
      <c r="G2053" s="4"/>
      <c r="H2053" s="4"/>
      <c r="I2053" s="4"/>
      <c r="J2053" s="4"/>
      <c r="K2053" s="4"/>
      <c r="L2053" s="4"/>
      <c r="M2053" s="4"/>
      <c r="N2053" s="4"/>
      <c r="O2053" s="4"/>
      <c r="P2053" s="4"/>
      <c r="Q2053" s="4"/>
      <c r="R2053" s="14"/>
      <c r="S2053" s="14"/>
      <c r="T2053" s="14"/>
      <c r="U2053" s="14"/>
      <c r="V2053" s="14"/>
      <c r="W2053" s="14"/>
      <c r="X2053" s="14"/>
      <c r="Y2053" s="4"/>
      <c r="Z2053" s="4"/>
      <c r="AA2053" s="4"/>
      <c r="AB2053" s="4"/>
      <c r="AC2053" s="4"/>
      <c r="AD2053" s="4"/>
      <c r="AE2053" s="4"/>
      <c r="AF2053" s="4"/>
      <c r="AG2053" s="4"/>
      <c r="AH2053" s="4"/>
      <c r="AI2053" s="4"/>
      <c r="AJ2053" s="4"/>
      <c r="AK2053" s="4"/>
      <c r="AL2053" s="4"/>
      <c r="AM2053" s="4"/>
      <c r="AN2053" s="4"/>
      <c r="AO2053" s="4"/>
      <c r="AP2053" s="4"/>
      <c r="AQ2053" s="4"/>
      <c r="AR2053" s="4"/>
      <c r="AS2053" s="4"/>
      <c r="AT2053" s="4"/>
      <c r="AU2053" s="4"/>
      <c r="AV2053" s="4"/>
      <c r="AW2053" s="4"/>
      <c r="AX2053" s="4"/>
      <c r="AY2053" s="4"/>
      <c r="AZ2053" s="4"/>
      <c r="BA2053" s="4"/>
      <c r="BB2053" s="4"/>
      <c r="BC2053" s="4"/>
      <c r="BD2053" s="4"/>
      <c r="BE2053" s="4"/>
      <c r="BG2053" s="4"/>
      <c r="BH2053" s="4"/>
    </row>
    <row r="2054" spans="1:60" x14ac:dyDescent="0.35">
      <c r="A2054" s="4"/>
      <c r="B2054" s="4"/>
      <c r="D2054" s="6" t="str">
        <f t="shared" si="142"/>
        <v/>
      </c>
      <c r="E2054" s="6" t="str">
        <f t="shared" si="143"/>
        <v/>
      </c>
      <c r="F2054" s="6" t="str">
        <f t="shared" si="144"/>
        <v/>
      </c>
      <c r="G2054" s="4"/>
      <c r="H2054" s="4"/>
      <c r="I2054" s="4"/>
      <c r="J2054" s="4"/>
      <c r="K2054" s="4"/>
      <c r="L2054" s="4"/>
      <c r="M2054" s="4"/>
      <c r="N2054" s="4"/>
      <c r="O2054" s="4"/>
      <c r="P2054" s="4"/>
      <c r="Q2054" s="4"/>
      <c r="R2054" s="14"/>
      <c r="S2054" s="14"/>
      <c r="T2054" s="14"/>
      <c r="U2054" s="14"/>
      <c r="V2054" s="14"/>
      <c r="W2054" s="14"/>
      <c r="X2054" s="14"/>
      <c r="Y2054" s="4"/>
      <c r="Z2054" s="4"/>
      <c r="AA2054" s="4"/>
      <c r="AB2054" s="4"/>
      <c r="AC2054" s="4"/>
      <c r="AD2054" s="4"/>
      <c r="AE2054" s="4"/>
      <c r="AF2054" s="4"/>
      <c r="AG2054" s="4"/>
      <c r="AH2054" s="4"/>
      <c r="AI2054" s="4"/>
      <c r="AJ2054" s="4"/>
      <c r="AK2054" s="4"/>
      <c r="AL2054" s="4"/>
      <c r="AM2054" s="4"/>
      <c r="AN2054" s="4"/>
      <c r="AO2054" s="4"/>
      <c r="AP2054" s="4"/>
      <c r="AQ2054" s="4"/>
      <c r="AR2054" s="4"/>
      <c r="AS2054" s="4"/>
      <c r="AT2054" s="4"/>
      <c r="AU2054" s="4"/>
      <c r="AV2054" s="4"/>
      <c r="AW2054" s="4"/>
      <c r="AX2054" s="4"/>
      <c r="AY2054" s="4"/>
      <c r="AZ2054" s="4"/>
      <c r="BA2054" s="4"/>
      <c r="BB2054" s="4"/>
      <c r="BC2054" s="4"/>
      <c r="BD2054" s="4"/>
      <c r="BE2054" s="4"/>
      <c r="BG2054" s="4"/>
      <c r="BH2054" s="4"/>
    </row>
    <row r="2055" spans="1:60" x14ac:dyDescent="0.35">
      <c r="A2055" s="4"/>
      <c r="B2055" s="4"/>
      <c r="D2055" s="6" t="str">
        <f t="shared" si="142"/>
        <v/>
      </c>
      <c r="E2055" s="6" t="str">
        <f t="shared" si="143"/>
        <v/>
      </c>
      <c r="F2055" s="6" t="str">
        <f t="shared" si="144"/>
        <v/>
      </c>
      <c r="G2055" s="4"/>
      <c r="H2055" s="4"/>
      <c r="I2055" s="4"/>
      <c r="J2055" s="4"/>
      <c r="K2055" s="4"/>
      <c r="L2055" s="4"/>
      <c r="M2055" s="4"/>
      <c r="N2055" s="4"/>
      <c r="O2055" s="4"/>
      <c r="P2055" s="4"/>
      <c r="Q2055" s="4"/>
      <c r="R2055" s="14"/>
      <c r="S2055" s="14"/>
      <c r="T2055" s="14"/>
      <c r="U2055" s="14"/>
      <c r="V2055" s="14"/>
      <c r="W2055" s="14"/>
      <c r="X2055" s="14"/>
      <c r="Y2055" s="4"/>
      <c r="Z2055" s="4"/>
      <c r="AA2055" s="4"/>
      <c r="AB2055" s="4"/>
      <c r="AC2055" s="4"/>
      <c r="AD2055" s="4"/>
      <c r="AE2055" s="4"/>
      <c r="AF2055" s="4"/>
      <c r="AG2055" s="4"/>
      <c r="AH2055" s="4"/>
      <c r="AI2055" s="4"/>
      <c r="AJ2055" s="4"/>
      <c r="AK2055" s="4"/>
      <c r="AL2055" s="4"/>
      <c r="AM2055" s="4"/>
      <c r="AN2055" s="4"/>
      <c r="AO2055" s="4"/>
      <c r="AP2055" s="4"/>
      <c r="AQ2055" s="4"/>
      <c r="AR2055" s="4"/>
      <c r="AS2055" s="4"/>
      <c r="AT2055" s="4"/>
      <c r="AU2055" s="4"/>
      <c r="AV2055" s="4"/>
      <c r="AW2055" s="4"/>
      <c r="AX2055" s="4"/>
      <c r="AY2055" s="4"/>
      <c r="AZ2055" s="4"/>
      <c r="BA2055" s="4"/>
      <c r="BB2055" s="4"/>
      <c r="BC2055" s="4"/>
      <c r="BD2055" s="4"/>
      <c r="BE2055" s="4"/>
      <c r="BG2055" s="4"/>
      <c r="BH2055" s="4"/>
    </row>
    <row r="2056" spans="1:60" x14ac:dyDescent="0.35">
      <c r="A2056" s="4"/>
      <c r="B2056" s="4"/>
      <c r="D2056" s="6" t="str">
        <f t="shared" si="142"/>
        <v/>
      </c>
      <c r="E2056" s="6" t="str">
        <f t="shared" si="143"/>
        <v/>
      </c>
      <c r="F2056" s="6" t="str">
        <f t="shared" si="144"/>
        <v/>
      </c>
      <c r="G2056" s="4"/>
      <c r="H2056" s="4"/>
      <c r="I2056" s="4"/>
      <c r="J2056" s="4"/>
      <c r="K2056" s="4"/>
      <c r="L2056" s="4"/>
      <c r="M2056" s="4"/>
      <c r="N2056" s="4"/>
      <c r="O2056" s="4"/>
      <c r="P2056" s="4"/>
      <c r="Q2056" s="4"/>
      <c r="R2056" s="14"/>
      <c r="S2056" s="14"/>
      <c r="T2056" s="14"/>
      <c r="U2056" s="14"/>
      <c r="V2056" s="14"/>
      <c r="W2056" s="14"/>
      <c r="X2056" s="14"/>
      <c r="Y2056" s="4"/>
      <c r="Z2056" s="4"/>
      <c r="AA2056" s="4"/>
      <c r="AB2056" s="4"/>
      <c r="AC2056" s="4"/>
      <c r="AD2056" s="4"/>
      <c r="AE2056" s="4"/>
      <c r="AF2056" s="4"/>
      <c r="AG2056" s="4"/>
      <c r="AH2056" s="4"/>
      <c r="AI2056" s="4"/>
      <c r="AJ2056" s="4"/>
      <c r="AK2056" s="4"/>
      <c r="AL2056" s="4"/>
      <c r="AM2056" s="4"/>
      <c r="AN2056" s="4"/>
      <c r="AO2056" s="4"/>
      <c r="AP2056" s="4"/>
      <c r="AQ2056" s="4"/>
      <c r="AR2056" s="4"/>
      <c r="AS2056" s="4"/>
      <c r="AT2056" s="4"/>
      <c r="AU2056" s="4"/>
      <c r="AV2056" s="4"/>
      <c r="AW2056" s="4"/>
      <c r="AX2056" s="4"/>
      <c r="AY2056" s="4"/>
      <c r="AZ2056" s="4"/>
      <c r="BA2056" s="4"/>
      <c r="BB2056" s="4"/>
      <c r="BC2056" s="4"/>
      <c r="BD2056" s="4"/>
      <c r="BE2056" s="4"/>
      <c r="BG2056" s="4"/>
      <c r="BH2056" s="4"/>
    </row>
    <row r="2057" spans="1:60" x14ac:dyDescent="0.35">
      <c r="A2057" s="4"/>
      <c r="B2057" s="4"/>
      <c r="D2057" s="6" t="str">
        <f t="shared" si="142"/>
        <v/>
      </c>
      <c r="E2057" s="6" t="str">
        <f t="shared" si="143"/>
        <v/>
      </c>
      <c r="F2057" s="6" t="str">
        <f t="shared" si="144"/>
        <v/>
      </c>
      <c r="G2057" s="4"/>
      <c r="H2057" s="4"/>
      <c r="I2057" s="4"/>
      <c r="J2057" s="4"/>
      <c r="K2057" s="4"/>
      <c r="L2057" s="4"/>
      <c r="M2057" s="4"/>
      <c r="N2057" s="4"/>
      <c r="O2057" s="4"/>
      <c r="P2057" s="4"/>
      <c r="Q2057" s="4"/>
      <c r="R2057" s="14"/>
      <c r="S2057" s="14"/>
      <c r="T2057" s="14"/>
      <c r="U2057" s="14"/>
      <c r="V2057" s="14"/>
      <c r="W2057" s="14"/>
      <c r="X2057" s="14"/>
      <c r="Y2057" s="4"/>
      <c r="Z2057" s="4"/>
      <c r="AA2057" s="4"/>
      <c r="AB2057" s="4"/>
      <c r="AC2057" s="4"/>
      <c r="AD2057" s="4"/>
      <c r="AE2057" s="4"/>
      <c r="AF2057" s="4"/>
      <c r="AG2057" s="4"/>
      <c r="AH2057" s="4"/>
      <c r="AI2057" s="4"/>
      <c r="AJ2057" s="4"/>
      <c r="AK2057" s="4"/>
      <c r="AL2057" s="4"/>
      <c r="AM2057" s="4"/>
      <c r="AN2057" s="4"/>
      <c r="AO2057" s="4"/>
      <c r="AP2057" s="4"/>
      <c r="AQ2057" s="4"/>
      <c r="AR2057" s="4"/>
      <c r="AS2057" s="4"/>
      <c r="AT2057" s="4"/>
      <c r="AU2057" s="4"/>
      <c r="AV2057" s="4"/>
      <c r="AW2057" s="4"/>
      <c r="AX2057" s="4"/>
      <c r="AY2057" s="4"/>
      <c r="AZ2057" s="4"/>
      <c r="BA2057" s="4"/>
      <c r="BB2057" s="4"/>
      <c r="BC2057" s="4"/>
      <c r="BD2057" s="4"/>
      <c r="BE2057" s="4"/>
      <c r="BG2057" s="4"/>
      <c r="BH2057" s="4"/>
    </row>
    <row r="2058" spans="1:60" x14ac:dyDescent="0.35">
      <c r="A2058" s="4"/>
      <c r="B2058" s="4"/>
      <c r="D2058" s="6" t="str">
        <f t="shared" si="142"/>
        <v/>
      </c>
      <c r="E2058" s="6" t="str">
        <f t="shared" si="143"/>
        <v/>
      </c>
      <c r="F2058" s="6" t="str">
        <f t="shared" si="144"/>
        <v/>
      </c>
      <c r="G2058" s="4"/>
      <c r="H2058" s="4"/>
      <c r="I2058" s="4"/>
      <c r="J2058" s="4"/>
      <c r="K2058" s="4"/>
      <c r="L2058" s="4"/>
      <c r="M2058" s="4"/>
      <c r="N2058" s="4"/>
      <c r="O2058" s="4"/>
      <c r="P2058" s="4"/>
      <c r="Q2058" s="4"/>
      <c r="R2058" s="14"/>
      <c r="S2058" s="14"/>
      <c r="T2058" s="14"/>
      <c r="U2058" s="14"/>
      <c r="V2058" s="14"/>
      <c r="W2058" s="14"/>
      <c r="X2058" s="1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c r="AX2058" s="4"/>
      <c r="AY2058" s="4"/>
      <c r="AZ2058" s="4"/>
      <c r="BA2058" s="4"/>
      <c r="BB2058" s="4"/>
      <c r="BC2058" s="4"/>
      <c r="BD2058" s="4"/>
      <c r="BE2058" s="4"/>
      <c r="BG2058" s="4"/>
      <c r="BH2058" s="4"/>
    </row>
    <row r="2059" spans="1:60" x14ac:dyDescent="0.35">
      <c r="A2059" s="4"/>
      <c r="B2059" s="4"/>
      <c r="D2059" s="6" t="str">
        <f t="shared" si="142"/>
        <v/>
      </c>
      <c r="E2059" s="6" t="str">
        <f t="shared" si="143"/>
        <v/>
      </c>
      <c r="F2059" s="6" t="str">
        <f t="shared" si="144"/>
        <v/>
      </c>
      <c r="G2059" s="4"/>
      <c r="H2059" s="4"/>
      <c r="I2059" s="4"/>
      <c r="J2059" s="4"/>
      <c r="K2059" s="4"/>
      <c r="L2059" s="4"/>
      <c r="M2059" s="4"/>
      <c r="N2059" s="4"/>
      <c r="O2059" s="4"/>
      <c r="P2059" s="4"/>
      <c r="Q2059" s="4"/>
      <c r="R2059" s="14"/>
      <c r="S2059" s="14"/>
      <c r="T2059" s="14"/>
      <c r="U2059" s="14"/>
      <c r="V2059" s="14"/>
      <c r="W2059" s="14"/>
      <c r="X2059" s="1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4"/>
      <c r="AU2059" s="4"/>
      <c r="AV2059" s="4"/>
      <c r="AW2059" s="4"/>
      <c r="AX2059" s="4"/>
      <c r="AY2059" s="4"/>
      <c r="AZ2059" s="4"/>
      <c r="BA2059" s="4"/>
      <c r="BB2059" s="4"/>
      <c r="BC2059" s="4"/>
      <c r="BD2059" s="4"/>
      <c r="BE2059" s="4"/>
      <c r="BG2059" s="4"/>
      <c r="BH2059" s="4"/>
    </row>
    <row r="2060" spans="1:60" x14ac:dyDescent="0.35">
      <c r="A2060" s="4"/>
      <c r="B2060" s="4"/>
      <c r="D2060" s="6" t="str">
        <f t="shared" si="142"/>
        <v/>
      </c>
      <c r="E2060" s="6" t="str">
        <f t="shared" si="143"/>
        <v/>
      </c>
      <c r="F2060" s="6" t="str">
        <f t="shared" si="144"/>
        <v/>
      </c>
      <c r="G2060" s="4"/>
      <c r="H2060" s="4"/>
      <c r="I2060" s="4"/>
      <c r="J2060" s="4"/>
      <c r="K2060" s="4"/>
      <c r="L2060" s="4"/>
      <c r="M2060" s="4"/>
      <c r="N2060" s="4"/>
      <c r="O2060" s="4"/>
      <c r="P2060" s="4"/>
      <c r="Q2060" s="4"/>
      <c r="R2060" s="14"/>
      <c r="S2060" s="14"/>
      <c r="T2060" s="14"/>
      <c r="U2060" s="14"/>
      <c r="V2060" s="14"/>
      <c r="W2060" s="14"/>
      <c r="X2060" s="14"/>
      <c r="Y2060" s="4"/>
      <c r="Z2060" s="4"/>
      <c r="AA2060" s="4"/>
      <c r="AB2060" s="4"/>
      <c r="AC2060" s="4"/>
      <c r="AD2060" s="4"/>
      <c r="AE2060" s="4"/>
      <c r="AF2060" s="4"/>
      <c r="AG2060" s="4"/>
      <c r="AH2060" s="4"/>
      <c r="AI2060" s="4"/>
      <c r="AJ2060" s="4"/>
      <c r="AK2060" s="4"/>
      <c r="AL2060" s="4"/>
      <c r="AM2060" s="4"/>
      <c r="AN2060" s="4"/>
      <c r="AO2060" s="4"/>
      <c r="AP2060" s="4"/>
      <c r="AQ2060" s="4"/>
      <c r="AR2060" s="4"/>
      <c r="AS2060" s="4"/>
      <c r="AT2060" s="4"/>
      <c r="AU2060" s="4"/>
      <c r="AV2060" s="4"/>
      <c r="AW2060" s="4"/>
      <c r="AX2060" s="4"/>
      <c r="AY2060" s="4"/>
      <c r="AZ2060" s="4"/>
      <c r="BA2060" s="4"/>
      <c r="BB2060" s="4"/>
      <c r="BC2060" s="4"/>
      <c r="BD2060" s="4"/>
      <c r="BE2060" s="4"/>
      <c r="BG2060" s="4"/>
      <c r="BH2060" s="4"/>
    </row>
    <row r="2061" spans="1:60" x14ac:dyDescent="0.35">
      <c r="A2061" s="4"/>
      <c r="B2061" s="4"/>
      <c r="D2061" s="6" t="str">
        <f t="shared" si="142"/>
        <v/>
      </c>
      <c r="E2061" s="6" t="str">
        <f t="shared" si="143"/>
        <v/>
      </c>
      <c r="F2061" s="6" t="str">
        <f t="shared" si="144"/>
        <v/>
      </c>
      <c r="G2061" s="4"/>
      <c r="H2061" s="4"/>
      <c r="I2061" s="4"/>
      <c r="J2061" s="4"/>
      <c r="K2061" s="4"/>
      <c r="L2061" s="4"/>
      <c r="M2061" s="4"/>
      <c r="N2061" s="4"/>
      <c r="O2061" s="4"/>
      <c r="P2061" s="4"/>
      <c r="Q2061" s="4"/>
      <c r="R2061" s="14"/>
      <c r="S2061" s="14"/>
      <c r="T2061" s="14"/>
      <c r="U2061" s="14"/>
      <c r="V2061" s="14"/>
      <c r="W2061" s="14"/>
      <c r="X2061" s="14"/>
      <c r="Y2061" s="4"/>
      <c r="Z2061" s="4"/>
      <c r="AA2061" s="4"/>
      <c r="AB2061" s="4"/>
      <c r="AC2061" s="4"/>
      <c r="AD2061" s="4"/>
      <c r="AE2061" s="4"/>
      <c r="AF2061" s="4"/>
      <c r="AG2061" s="4"/>
      <c r="AH2061" s="4"/>
      <c r="AI2061" s="4"/>
      <c r="AJ2061" s="4"/>
      <c r="AK2061" s="4"/>
      <c r="AL2061" s="4"/>
      <c r="AM2061" s="4"/>
      <c r="AN2061" s="4"/>
      <c r="AO2061" s="4"/>
      <c r="AP2061" s="4"/>
      <c r="AQ2061" s="4"/>
      <c r="AR2061" s="4"/>
      <c r="AS2061" s="4"/>
      <c r="AT2061" s="4"/>
      <c r="AU2061" s="4"/>
      <c r="AV2061" s="4"/>
      <c r="AW2061" s="4"/>
      <c r="AX2061" s="4"/>
      <c r="AY2061" s="4"/>
      <c r="AZ2061" s="4"/>
      <c r="BA2061" s="4"/>
      <c r="BB2061" s="4"/>
      <c r="BC2061" s="4"/>
      <c r="BD2061" s="4"/>
      <c r="BE2061" s="4"/>
      <c r="BG2061" s="4"/>
      <c r="BH2061" s="4"/>
    </row>
    <row r="2062" spans="1:60" x14ac:dyDescent="0.35">
      <c r="A2062" s="4"/>
      <c r="B2062" s="4"/>
      <c r="D2062" s="6" t="str">
        <f t="shared" si="142"/>
        <v/>
      </c>
      <c r="E2062" s="6" t="str">
        <f t="shared" si="143"/>
        <v/>
      </c>
      <c r="F2062" s="6" t="str">
        <f t="shared" si="144"/>
        <v/>
      </c>
      <c r="G2062" s="4"/>
      <c r="H2062" s="4"/>
      <c r="I2062" s="4"/>
      <c r="J2062" s="4"/>
      <c r="K2062" s="4"/>
      <c r="L2062" s="4"/>
      <c r="M2062" s="4"/>
      <c r="N2062" s="4"/>
      <c r="O2062" s="4"/>
      <c r="P2062" s="4"/>
      <c r="Q2062" s="4"/>
      <c r="R2062" s="14"/>
      <c r="S2062" s="14"/>
      <c r="T2062" s="14"/>
      <c r="U2062" s="14"/>
      <c r="V2062" s="14"/>
      <c r="W2062" s="14"/>
      <c r="X2062" s="14"/>
      <c r="Y2062" s="4"/>
      <c r="Z2062" s="4"/>
      <c r="AA2062" s="4"/>
      <c r="AB2062" s="4"/>
      <c r="AC2062" s="4"/>
      <c r="AD2062" s="4"/>
      <c r="AE2062" s="4"/>
      <c r="AF2062" s="4"/>
      <c r="AG2062" s="4"/>
      <c r="AH2062" s="4"/>
      <c r="AI2062" s="4"/>
      <c r="AJ2062" s="4"/>
      <c r="AK2062" s="4"/>
      <c r="AL2062" s="4"/>
      <c r="AM2062" s="4"/>
      <c r="AN2062" s="4"/>
      <c r="AO2062" s="4"/>
      <c r="AP2062" s="4"/>
      <c r="AQ2062" s="4"/>
      <c r="AR2062" s="4"/>
      <c r="AS2062" s="4"/>
      <c r="AT2062" s="4"/>
      <c r="AU2062" s="4"/>
      <c r="AV2062" s="4"/>
      <c r="AW2062" s="4"/>
      <c r="AX2062" s="4"/>
      <c r="AY2062" s="4"/>
      <c r="AZ2062" s="4"/>
      <c r="BA2062" s="4"/>
      <c r="BB2062" s="4"/>
      <c r="BC2062" s="4"/>
      <c r="BD2062" s="4"/>
      <c r="BE2062" s="4"/>
      <c r="BG2062" s="4"/>
      <c r="BH2062" s="4"/>
    </row>
    <row r="2063" spans="1:60" x14ac:dyDescent="0.35">
      <c r="A2063" s="4"/>
      <c r="B2063" s="4"/>
      <c r="D2063" s="6" t="str">
        <f t="shared" si="142"/>
        <v/>
      </c>
      <c r="E2063" s="6" t="str">
        <f t="shared" si="143"/>
        <v/>
      </c>
      <c r="F2063" s="6" t="str">
        <f t="shared" si="144"/>
        <v/>
      </c>
      <c r="G2063" s="4"/>
      <c r="H2063" s="4"/>
      <c r="I2063" s="4"/>
      <c r="J2063" s="4"/>
      <c r="K2063" s="4"/>
      <c r="L2063" s="4"/>
      <c r="M2063" s="4"/>
      <c r="N2063" s="4"/>
      <c r="O2063" s="4"/>
      <c r="P2063" s="4"/>
      <c r="Q2063" s="4"/>
      <c r="R2063" s="14"/>
      <c r="S2063" s="14"/>
      <c r="T2063" s="14"/>
      <c r="U2063" s="14"/>
      <c r="V2063" s="14"/>
      <c r="W2063" s="14"/>
      <c r="X2063" s="1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4"/>
      <c r="AU2063" s="4"/>
      <c r="AV2063" s="4"/>
      <c r="AW2063" s="4"/>
      <c r="AX2063" s="4"/>
      <c r="AY2063" s="4"/>
      <c r="AZ2063" s="4"/>
      <c r="BA2063" s="4"/>
      <c r="BB2063" s="4"/>
      <c r="BC2063" s="4"/>
      <c r="BD2063" s="4"/>
      <c r="BE2063" s="4"/>
      <c r="BG2063" s="4"/>
      <c r="BH2063" s="4"/>
    </row>
    <row r="2064" spans="1:60" x14ac:dyDescent="0.35">
      <c r="A2064" s="4"/>
      <c r="B2064" s="4"/>
      <c r="D2064" s="6" t="str">
        <f t="shared" si="142"/>
        <v/>
      </c>
      <c r="E2064" s="6" t="str">
        <f t="shared" si="143"/>
        <v/>
      </c>
      <c r="F2064" s="6" t="str">
        <f t="shared" si="144"/>
        <v/>
      </c>
      <c r="G2064" s="4"/>
      <c r="H2064" s="4"/>
      <c r="I2064" s="4"/>
      <c r="J2064" s="4"/>
      <c r="K2064" s="4"/>
      <c r="L2064" s="4"/>
      <c r="M2064" s="4"/>
      <c r="N2064" s="4"/>
      <c r="O2064" s="4"/>
      <c r="P2064" s="4"/>
      <c r="Q2064" s="4"/>
      <c r="R2064" s="14"/>
      <c r="S2064" s="14"/>
      <c r="T2064" s="14"/>
      <c r="U2064" s="14"/>
      <c r="V2064" s="14"/>
      <c r="W2064" s="14"/>
      <c r="X2064" s="1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4"/>
      <c r="AU2064" s="4"/>
      <c r="AV2064" s="4"/>
      <c r="AW2064" s="4"/>
      <c r="AX2064" s="4"/>
      <c r="AY2064" s="4"/>
      <c r="AZ2064" s="4"/>
      <c r="BA2064" s="4"/>
      <c r="BB2064" s="4"/>
      <c r="BC2064" s="4"/>
      <c r="BD2064" s="4"/>
      <c r="BE2064" s="4"/>
      <c r="BG2064" s="4"/>
      <c r="BH2064" s="4"/>
    </row>
    <row r="2065" spans="1:60" x14ac:dyDescent="0.35">
      <c r="A2065" s="4"/>
      <c r="B2065" s="4"/>
      <c r="D2065" s="6" t="str">
        <f t="shared" si="142"/>
        <v/>
      </c>
      <c r="E2065" s="6" t="str">
        <f t="shared" si="143"/>
        <v/>
      </c>
      <c r="F2065" s="6" t="str">
        <f t="shared" si="144"/>
        <v/>
      </c>
      <c r="G2065" s="4"/>
      <c r="H2065" s="4"/>
      <c r="I2065" s="4"/>
      <c r="J2065" s="4"/>
      <c r="K2065" s="4"/>
      <c r="L2065" s="4"/>
      <c r="M2065" s="4"/>
      <c r="N2065" s="4"/>
      <c r="O2065" s="4"/>
      <c r="P2065" s="4"/>
      <c r="Q2065" s="4"/>
      <c r="R2065" s="14"/>
      <c r="S2065" s="14"/>
      <c r="T2065" s="14"/>
      <c r="U2065" s="14"/>
      <c r="V2065" s="14"/>
      <c r="W2065" s="14"/>
      <c r="X2065" s="1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4"/>
      <c r="AU2065" s="4"/>
      <c r="AV2065" s="4"/>
      <c r="AW2065" s="4"/>
      <c r="AX2065" s="4"/>
      <c r="AY2065" s="4"/>
      <c r="AZ2065" s="4"/>
      <c r="BA2065" s="4"/>
      <c r="BB2065" s="4"/>
      <c r="BC2065" s="4"/>
      <c r="BD2065" s="4"/>
      <c r="BE2065" s="4"/>
      <c r="BG2065" s="4"/>
      <c r="BH2065" s="4"/>
    </row>
    <row r="2066" spans="1:60" x14ac:dyDescent="0.35">
      <c r="A2066" s="4"/>
      <c r="B2066" s="4"/>
      <c r="D2066" s="6" t="str">
        <f t="shared" si="142"/>
        <v/>
      </c>
      <c r="E2066" s="6" t="str">
        <f t="shared" si="143"/>
        <v/>
      </c>
      <c r="F2066" s="6" t="str">
        <f t="shared" si="144"/>
        <v/>
      </c>
      <c r="G2066" s="4"/>
      <c r="H2066" s="4"/>
      <c r="I2066" s="4"/>
      <c r="J2066" s="4"/>
      <c r="K2066" s="4"/>
      <c r="L2066" s="4"/>
      <c r="M2066" s="4"/>
      <c r="N2066" s="4"/>
      <c r="O2066" s="4"/>
      <c r="P2066" s="4"/>
      <c r="Q2066" s="4"/>
      <c r="R2066" s="14"/>
      <c r="S2066" s="14"/>
      <c r="T2066" s="14"/>
      <c r="U2066" s="14"/>
      <c r="V2066" s="14"/>
      <c r="W2066" s="14"/>
      <c r="X2066" s="14"/>
      <c r="Y2066" s="4"/>
      <c r="Z2066" s="4"/>
      <c r="AA2066" s="4"/>
      <c r="AB2066" s="4"/>
      <c r="AC2066" s="4"/>
      <c r="AD2066" s="4"/>
      <c r="AE2066" s="4"/>
      <c r="AF2066" s="4"/>
      <c r="AG2066" s="4"/>
      <c r="AH2066" s="4"/>
      <c r="AI2066" s="4"/>
      <c r="AJ2066" s="4"/>
      <c r="AK2066" s="4"/>
      <c r="AL2066" s="4"/>
      <c r="AM2066" s="4"/>
      <c r="AN2066" s="4"/>
      <c r="AO2066" s="4"/>
      <c r="AP2066" s="4"/>
      <c r="AQ2066" s="4"/>
      <c r="AR2066" s="4"/>
      <c r="AS2066" s="4"/>
      <c r="AT2066" s="4"/>
      <c r="AU2066" s="4"/>
      <c r="AV2066" s="4"/>
      <c r="AW2066" s="4"/>
      <c r="AX2066" s="4"/>
      <c r="AY2066" s="4"/>
      <c r="AZ2066" s="4"/>
      <c r="BA2066" s="4"/>
      <c r="BB2066" s="4"/>
      <c r="BC2066" s="4"/>
      <c r="BD2066" s="4"/>
      <c r="BE2066" s="4"/>
      <c r="BG2066" s="4"/>
      <c r="BH2066" s="4"/>
    </row>
    <row r="2067" spans="1:60" x14ac:dyDescent="0.35">
      <c r="A2067" s="4"/>
      <c r="B2067" s="4"/>
      <c r="D2067" s="6" t="str">
        <f t="shared" si="142"/>
        <v/>
      </c>
      <c r="E2067" s="6" t="str">
        <f t="shared" si="143"/>
        <v/>
      </c>
      <c r="F2067" s="6" t="str">
        <f t="shared" si="144"/>
        <v/>
      </c>
      <c r="G2067" s="4"/>
      <c r="H2067" s="4"/>
      <c r="I2067" s="4"/>
      <c r="J2067" s="4"/>
      <c r="K2067" s="4"/>
      <c r="L2067" s="4"/>
      <c r="M2067" s="4"/>
      <c r="N2067" s="4"/>
      <c r="O2067" s="4"/>
      <c r="P2067" s="4"/>
      <c r="Q2067" s="4"/>
      <c r="R2067" s="14"/>
      <c r="S2067" s="14"/>
      <c r="T2067" s="14"/>
      <c r="U2067" s="14"/>
      <c r="V2067" s="14"/>
      <c r="W2067" s="14"/>
      <c r="X2067" s="14"/>
      <c r="Y2067" s="4"/>
      <c r="Z2067" s="4"/>
      <c r="AA2067" s="4"/>
      <c r="AB2067" s="4"/>
      <c r="AC2067" s="4"/>
      <c r="AD2067" s="4"/>
      <c r="AE2067" s="4"/>
      <c r="AF2067" s="4"/>
      <c r="AG2067" s="4"/>
      <c r="AH2067" s="4"/>
      <c r="AI2067" s="4"/>
      <c r="AJ2067" s="4"/>
      <c r="AK2067" s="4"/>
      <c r="AL2067" s="4"/>
      <c r="AM2067" s="4"/>
      <c r="AN2067" s="4"/>
      <c r="AO2067" s="4"/>
      <c r="AP2067" s="4"/>
      <c r="AQ2067" s="4"/>
      <c r="AR2067" s="4"/>
      <c r="AS2067" s="4"/>
      <c r="AT2067" s="4"/>
      <c r="AU2067" s="4"/>
      <c r="AV2067" s="4"/>
      <c r="AW2067" s="4"/>
      <c r="AX2067" s="4"/>
      <c r="AY2067" s="4"/>
      <c r="AZ2067" s="4"/>
      <c r="BA2067" s="4"/>
      <c r="BB2067" s="4"/>
      <c r="BC2067" s="4"/>
      <c r="BD2067" s="4"/>
      <c r="BE2067" s="4"/>
      <c r="BG2067" s="4"/>
      <c r="BH2067" s="4"/>
    </row>
    <row r="2068" spans="1:60" x14ac:dyDescent="0.35">
      <c r="A2068" s="4"/>
      <c r="B2068" s="4"/>
      <c r="D2068" s="6" t="str">
        <f t="shared" si="142"/>
        <v/>
      </c>
      <c r="E2068" s="6" t="str">
        <f t="shared" si="143"/>
        <v/>
      </c>
      <c r="F2068" s="6" t="str">
        <f t="shared" si="144"/>
        <v/>
      </c>
      <c r="G2068" s="4"/>
      <c r="H2068" s="4"/>
      <c r="I2068" s="4"/>
      <c r="J2068" s="4"/>
      <c r="K2068" s="4"/>
      <c r="L2068" s="4"/>
      <c r="M2068" s="4"/>
      <c r="N2068" s="4"/>
      <c r="O2068" s="4"/>
      <c r="P2068" s="4"/>
      <c r="Q2068" s="4"/>
      <c r="R2068" s="14"/>
      <c r="S2068" s="14"/>
      <c r="T2068" s="14"/>
      <c r="U2068" s="14"/>
      <c r="V2068" s="14"/>
      <c r="W2068" s="14"/>
      <c r="X2068" s="14"/>
      <c r="Y2068" s="4"/>
      <c r="Z2068" s="4"/>
      <c r="AA2068" s="4"/>
      <c r="AB2068" s="4"/>
      <c r="AC2068" s="4"/>
      <c r="AD2068" s="4"/>
      <c r="AE2068" s="4"/>
      <c r="AF2068" s="4"/>
      <c r="AG2068" s="4"/>
      <c r="AH2068" s="4"/>
      <c r="AI2068" s="4"/>
      <c r="AJ2068" s="4"/>
      <c r="AK2068" s="4"/>
      <c r="AL2068" s="4"/>
      <c r="AM2068" s="4"/>
      <c r="AN2068" s="4"/>
      <c r="AO2068" s="4"/>
      <c r="AP2068" s="4"/>
      <c r="AQ2068" s="4"/>
      <c r="AR2068" s="4"/>
      <c r="AS2068" s="4"/>
      <c r="AT2068" s="4"/>
      <c r="AU2068" s="4"/>
      <c r="AV2068" s="4"/>
      <c r="AW2068" s="4"/>
      <c r="AX2068" s="4"/>
      <c r="AY2068" s="4"/>
      <c r="AZ2068" s="4"/>
      <c r="BA2068" s="4"/>
      <c r="BB2068" s="4"/>
      <c r="BC2068" s="4"/>
      <c r="BD2068" s="4"/>
      <c r="BE2068" s="4"/>
      <c r="BG2068" s="4"/>
      <c r="BH2068" s="4"/>
    </row>
    <row r="2069" spans="1:60" x14ac:dyDescent="0.35">
      <c r="A2069" s="4"/>
      <c r="B2069" s="4"/>
      <c r="D2069" s="6" t="str">
        <f t="shared" si="142"/>
        <v/>
      </c>
      <c r="E2069" s="6" t="str">
        <f t="shared" si="143"/>
        <v/>
      </c>
      <c r="F2069" s="6" t="str">
        <f t="shared" si="144"/>
        <v/>
      </c>
      <c r="G2069" s="4"/>
      <c r="H2069" s="4"/>
      <c r="I2069" s="4"/>
      <c r="J2069" s="4"/>
      <c r="K2069" s="4"/>
      <c r="L2069" s="4"/>
      <c r="M2069" s="4"/>
      <c r="N2069" s="4"/>
      <c r="O2069" s="4"/>
      <c r="P2069" s="4"/>
      <c r="Q2069" s="4"/>
      <c r="R2069" s="14"/>
      <c r="S2069" s="14"/>
      <c r="T2069" s="14"/>
      <c r="U2069" s="14"/>
      <c r="V2069" s="14"/>
      <c r="W2069" s="14"/>
      <c r="X2069" s="1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c r="AX2069" s="4"/>
      <c r="AY2069" s="4"/>
      <c r="AZ2069" s="4"/>
      <c r="BA2069" s="4"/>
      <c r="BB2069" s="4"/>
      <c r="BC2069" s="4"/>
      <c r="BD2069" s="4"/>
      <c r="BE2069" s="4"/>
      <c r="BG2069" s="4"/>
      <c r="BH2069" s="4"/>
    </row>
    <row r="2070" spans="1:60" x14ac:dyDescent="0.35">
      <c r="A2070" s="4"/>
      <c r="B2070" s="4"/>
      <c r="D2070" s="6" t="str">
        <f t="shared" si="142"/>
        <v/>
      </c>
      <c r="E2070" s="6" t="str">
        <f t="shared" si="143"/>
        <v/>
      </c>
      <c r="F2070" s="6" t="str">
        <f t="shared" si="144"/>
        <v/>
      </c>
      <c r="G2070" s="4"/>
      <c r="H2070" s="4"/>
      <c r="I2070" s="4"/>
      <c r="J2070" s="4"/>
      <c r="K2070" s="4"/>
      <c r="L2070" s="4"/>
      <c r="M2070" s="4"/>
      <c r="N2070" s="4"/>
      <c r="O2070" s="4"/>
      <c r="P2070" s="4"/>
      <c r="Q2070" s="4"/>
      <c r="R2070" s="14"/>
      <c r="S2070" s="14"/>
      <c r="T2070" s="14"/>
      <c r="U2070" s="14"/>
      <c r="V2070" s="14"/>
      <c r="W2070" s="14"/>
      <c r="X2070" s="14"/>
      <c r="Y2070" s="4"/>
      <c r="Z2070" s="4"/>
      <c r="AA2070" s="4"/>
      <c r="AB2070" s="4"/>
      <c r="AC2070" s="4"/>
      <c r="AD2070" s="4"/>
      <c r="AE2070" s="4"/>
      <c r="AF2070" s="4"/>
      <c r="AG2070" s="4"/>
      <c r="AH2070" s="4"/>
      <c r="AI2070" s="4"/>
      <c r="AJ2070" s="4"/>
      <c r="AK2070" s="4"/>
      <c r="AL2070" s="4"/>
      <c r="AM2070" s="4"/>
      <c r="AN2070" s="4"/>
      <c r="AO2070" s="4"/>
      <c r="AP2070" s="4"/>
      <c r="AQ2070" s="4"/>
      <c r="AR2070" s="4"/>
      <c r="AS2070" s="4"/>
      <c r="AT2070" s="4"/>
      <c r="AU2070" s="4"/>
      <c r="AV2070" s="4"/>
      <c r="AW2070" s="4"/>
      <c r="AX2070" s="4"/>
      <c r="AY2070" s="4"/>
      <c r="AZ2070" s="4"/>
      <c r="BA2070" s="4"/>
      <c r="BB2070" s="4"/>
      <c r="BC2070" s="4"/>
      <c r="BD2070" s="4"/>
      <c r="BE2070" s="4"/>
      <c r="BG2070" s="4"/>
      <c r="BH2070" s="4"/>
    </row>
    <row r="2071" spans="1:60" x14ac:dyDescent="0.35">
      <c r="A2071" s="4"/>
      <c r="B2071" s="4"/>
      <c r="D2071" s="6" t="str">
        <f t="shared" si="142"/>
        <v/>
      </c>
      <c r="E2071" s="6" t="str">
        <f t="shared" si="143"/>
        <v/>
      </c>
      <c r="F2071" s="6" t="str">
        <f t="shared" si="144"/>
        <v/>
      </c>
      <c r="G2071" s="4"/>
      <c r="H2071" s="4"/>
      <c r="I2071" s="4"/>
      <c r="J2071" s="4"/>
      <c r="K2071" s="4"/>
      <c r="L2071" s="4"/>
      <c r="M2071" s="4"/>
      <c r="N2071" s="4"/>
      <c r="O2071" s="4"/>
      <c r="P2071" s="4"/>
      <c r="Q2071" s="4"/>
      <c r="R2071" s="14"/>
      <c r="S2071" s="14"/>
      <c r="T2071" s="14"/>
      <c r="U2071" s="14"/>
      <c r="V2071" s="14"/>
      <c r="W2071" s="14"/>
      <c r="X2071" s="1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4"/>
      <c r="AU2071" s="4"/>
      <c r="AV2071" s="4"/>
      <c r="AW2071" s="4"/>
      <c r="AX2071" s="4"/>
      <c r="AY2071" s="4"/>
      <c r="AZ2071" s="4"/>
      <c r="BA2071" s="4"/>
      <c r="BB2071" s="4"/>
      <c r="BC2071" s="4"/>
      <c r="BD2071" s="4"/>
      <c r="BE2071" s="4"/>
      <c r="BG2071" s="4"/>
      <c r="BH2071" s="4"/>
    </row>
    <row r="2072" spans="1:60" x14ac:dyDescent="0.35">
      <c r="A2072" s="4"/>
      <c r="B2072" s="4"/>
      <c r="D2072" s="6" t="str">
        <f t="shared" si="142"/>
        <v/>
      </c>
      <c r="E2072" s="6" t="str">
        <f t="shared" si="143"/>
        <v/>
      </c>
      <c r="F2072" s="6" t="str">
        <f t="shared" si="144"/>
        <v/>
      </c>
      <c r="G2072" s="4"/>
      <c r="H2072" s="4"/>
      <c r="I2072" s="4"/>
      <c r="J2072" s="4"/>
      <c r="K2072" s="4"/>
      <c r="L2072" s="4"/>
      <c r="M2072" s="4"/>
      <c r="N2072" s="4"/>
      <c r="O2072" s="4"/>
      <c r="P2072" s="4"/>
      <c r="Q2072" s="4"/>
      <c r="R2072" s="14"/>
      <c r="S2072" s="14"/>
      <c r="T2072" s="14"/>
      <c r="U2072" s="14"/>
      <c r="V2072" s="14"/>
      <c r="W2072" s="14"/>
      <c r="X2072" s="14"/>
      <c r="Y2072" s="4"/>
      <c r="Z2072" s="4"/>
      <c r="AA2072" s="4"/>
      <c r="AB2072" s="4"/>
      <c r="AC2072" s="4"/>
      <c r="AD2072" s="4"/>
      <c r="AE2072" s="4"/>
      <c r="AF2072" s="4"/>
      <c r="AG2072" s="4"/>
      <c r="AH2072" s="4"/>
      <c r="AI2072" s="4"/>
      <c r="AJ2072" s="4"/>
      <c r="AK2072" s="4"/>
      <c r="AL2072" s="4"/>
      <c r="AM2072" s="4"/>
      <c r="AN2072" s="4"/>
      <c r="AO2072" s="4"/>
      <c r="AP2072" s="4"/>
      <c r="AQ2072" s="4"/>
      <c r="AR2072" s="4"/>
      <c r="AS2072" s="4"/>
      <c r="AT2072" s="4"/>
      <c r="AU2072" s="4"/>
      <c r="AV2072" s="4"/>
      <c r="AW2072" s="4"/>
      <c r="AX2072" s="4"/>
      <c r="AY2072" s="4"/>
      <c r="AZ2072" s="4"/>
      <c r="BA2072" s="4"/>
      <c r="BB2072" s="4"/>
      <c r="BC2072" s="4"/>
      <c r="BD2072" s="4"/>
      <c r="BE2072" s="4"/>
      <c r="BG2072" s="4"/>
      <c r="BH2072" s="4"/>
    </row>
    <row r="2073" spans="1:60" x14ac:dyDescent="0.35">
      <c r="A2073" s="4"/>
      <c r="B2073" s="4"/>
      <c r="D2073" s="6" t="str">
        <f t="shared" si="142"/>
        <v/>
      </c>
      <c r="E2073" s="6" t="str">
        <f t="shared" si="143"/>
        <v/>
      </c>
      <c r="F2073" s="6" t="str">
        <f t="shared" si="144"/>
        <v/>
      </c>
      <c r="G2073" s="4"/>
      <c r="H2073" s="4"/>
      <c r="I2073" s="4"/>
      <c r="J2073" s="4"/>
      <c r="K2073" s="4"/>
      <c r="L2073" s="4"/>
      <c r="M2073" s="4"/>
      <c r="N2073" s="4"/>
      <c r="O2073" s="4"/>
      <c r="P2073" s="4"/>
      <c r="Q2073" s="4"/>
      <c r="R2073" s="14"/>
      <c r="S2073" s="14"/>
      <c r="T2073" s="14"/>
      <c r="U2073" s="14"/>
      <c r="V2073" s="14"/>
      <c r="W2073" s="14"/>
      <c r="X2073" s="1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4"/>
      <c r="AU2073" s="4"/>
      <c r="AV2073" s="4"/>
      <c r="AW2073" s="4"/>
      <c r="AX2073" s="4"/>
      <c r="AY2073" s="4"/>
      <c r="AZ2073" s="4"/>
      <c r="BA2073" s="4"/>
      <c r="BB2073" s="4"/>
      <c r="BC2073" s="4"/>
      <c r="BD2073" s="4"/>
      <c r="BE2073" s="4"/>
      <c r="BG2073" s="4"/>
      <c r="BH2073" s="4"/>
    </row>
    <row r="2074" spans="1:60" x14ac:dyDescent="0.35">
      <c r="A2074" s="4"/>
      <c r="B2074" s="4"/>
      <c r="D2074" s="6" t="str">
        <f t="shared" si="142"/>
        <v/>
      </c>
      <c r="E2074" s="6" t="str">
        <f t="shared" si="143"/>
        <v/>
      </c>
      <c r="F2074" s="6" t="str">
        <f t="shared" si="144"/>
        <v/>
      </c>
      <c r="G2074" s="4"/>
      <c r="H2074" s="4"/>
      <c r="I2074" s="4"/>
      <c r="J2074" s="4"/>
      <c r="K2074" s="4"/>
      <c r="L2074" s="4"/>
      <c r="M2074" s="4"/>
      <c r="N2074" s="4"/>
      <c r="O2074" s="4"/>
      <c r="P2074" s="4"/>
      <c r="Q2074" s="4"/>
      <c r="R2074" s="14"/>
      <c r="S2074" s="14"/>
      <c r="T2074" s="14"/>
      <c r="U2074" s="14"/>
      <c r="V2074" s="14"/>
      <c r="W2074" s="14"/>
      <c r="X2074" s="14"/>
      <c r="Y2074" s="4"/>
      <c r="Z2074" s="4"/>
      <c r="AA2074" s="4"/>
      <c r="AB2074" s="4"/>
      <c r="AC2074" s="4"/>
      <c r="AD2074" s="4"/>
      <c r="AE2074" s="4"/>
      <c r="AF2074" s="4"/>
      <c r="AG2074" s="4"/>
      <c r="AH2074" s="4"/>
      <c r="AI2074" s="4"/>
      <c r="AJ2074" s="4"/>
      <c r="AK2074" s="4"/>
      <c r="AL2074" s="4"/>
      <c r="AM2074" s="4"/>
      <c r="AN2074" s="4"/>
      <c r="AO2074" s="4"/>
      <c r="AP2074" s="4"/>
      <c r="AQ2074" s="4"/>
      <c r="AR2074" s="4"/>
      <c r="AS2074" s="4"/>
      <c r="AT2074" s="4"/>
      <c r="AU2074" s="4"/>
      <c r="AV2074" s="4"/>
      <c r="AW2074" s="4"/>
      <c r="AX2074" s="4"/>
      <c r="AY2074" s="4"/>
      <c r="AZ2074" s="4"/>
      <c r="BA2074" s="4"/>
      <c r="BB2074" s="4"/>
      <c r="BC2074" s="4"/>
      <c r="BD2074" s="4"/>
      <c r="BE2074" s="4"/>
      <c r="BG2074" s="4"/>
      <c r="BH2074" s="4"/>
    </row>
    <row r="2075" spans="1:60" x14ac:dyDescent="0.35">
      <c r="A2075" s="4"/>
      <c r="B2075" s="4"/>
      <c r="D2075" s="6" t="str">
        <f t="shared" si="142"/>
        <v/>
      </c>
      <c r="E2075" s="6" t="str">
        <f t="shared" si="143"/>
        <v/>
      </c>
      <c r="F2075" s="6" t="str">
        <f t="shared" si="144"/>
        <v/>
      </c>
      <c r="G2075" s="4"/>
      <c r="H2075" s="4"/>
      <c r="I2075" s="4"/>
      <c r="J2075" s="4"/>
      <c r="K2075" s="4"/>
      <c r="L2075" s="4"/>
      <c r="M2075" s="4"/>
      <c r="N2075" s="4"/>
      <c r="O2075" s="4"/>
      <c r="P2075" s="4"/>
      <c r="Q2075" s="4"/>
      <c r="R2075" s="14"/>
      <c r="S2075" s="14"/>
      <c r="T2075" s="14"/>
      <c r="U2075" s="14"/>
      <c r="V2075" s="14"/>
      <c r="W2075" s="14"/>
      <c r="X2075" s="14"/>
      <c r="Y2075" s="4"/>
      <c r="Z2075" s="4"/>
      <c r="AA2075" s="4"/>
      <c r="AB2075" s="4"/>
      <c r="AC2075" s="4"/>
      <c r="AD2075" s="4"/>
      <c r="AE2075" s="4"/>
      <c r="AF2075" s="4"/>
      <c r="AG2075" s="4"/>
      <c r="AH2075" s="4"/>
      <c r="AI2075" s="4"/>
      <c r="AJ2075" s="4"/>
      <c r="AK2075" s="4"/>
      <c r="AL2075" s="4"/>
      <c r="AM2075" s="4"/>
      <c r="AN2075" s="4"/>
      <c r="AO2075" s="4"/>
      <c r="AP2075" s="4"/>
      <c r="AQ2075" s="4"/>
      <c r="AR2075" s="4"/>
      <c r="AS2075" s="4"/>
      <c r="AT2075" s="4"/>
      <c r="AU2075" s="4"/>
      <c r="AV2075" s="4"/>
      <c r="AW2075" s="4"/>
      <c r="AX2075" s="4"/>
      <c r="AY2075" s="4"/>
      <c r="AZ2075" s="4"/>
      <c r="BA2075" s="4"/>
      <c r="BB2075" s="4"/>
      <c r="BC2075" s="4"/>
      <c r="BD2075" s="4"/>
      <c r="BE2075" s="4"/>
      <c r="BG2075" s="4"/>
      <c r="BH2075" s="4"/>
    </row>
    <row r="2076" spans="1:60" x14ac:dyDescent="0.35">
      <c r="A2076" s="4"/>
      <c r="B2076" s="4"/>
      <c r="D2076" s="6" t="str">
        <f t="shared" si="142"/>
        <v/>
      </c>
      <c r="E2076" s="6" t="str">
        <f t="shared" si="143"/>
        <v/>
      </c>
      <c r="F2076" s="6" t="str">
        <f t="shared" si="144"/>
        <v/>
      </c>
      <c r="G2076" s="4"/>
      <c r="H2076" s="4"/>
      <c r="I2076" s="4"/>
      <c r="J2076" s="4"/>
      <c r="K2076" s="4"/>
      <c r="L2076" s="4"/>
      <c r="M2076" s="4"/>
      <c r="N2076" s="4"/>
      <c r="O2076" s="4"/>
      <c r="P2076" s="4"/>
      <c r="Q2076" s="4"/>
      <c r="R2076" s="14"/>
      <c r="S2076" s="14"/>
      <c r="T2076" s="14"/>
      <c r="U2076" s="14"/>
      <c r="V2076" s="14"/>
      <c r="W2076" s="14"/>
      <c r="X2076" s="14"/>
      <c r="Y2076" s="4"/>
      <c r="Z2076" s="4"/>
      <c r="AA2076" s="4"/>
      <c r="AB2076" s="4"/>
      <c r="AC2076" s="4"/>
      <c r="AD2076" s="4"/>
      <c r="AE2076" s="4"/>
      <c r="AF2076" s="4"/>
      <c r="AG2076" s="4"/>
      <c r="AH2076" s="4"/>
      <c r="AI2076" s="4"/>
      <c r="AJ2076" s="4"/>
      <c r="AK2076" s="4"/>
      <c r="AL2076" s="4"/>
      <c r="AM2076" s="4"/>
      <c r="AN2076" s="4"/>
      <c r="AO2076" s="4"/>
      <c r="AP2076" s="4"/>
      <c r="AQ2076" s="4"/>
      <c r="AR2076" s="4"/>
      <c r="AS2076" s="4"/>
      <c r="AT2076" s="4"/>
      <c r="AU2076" s="4"/>
      <c r="AV2076" s="4"/>
      <c r="AW2076" s="4"/>
      <c r="AX2076" s="4"/>
      <c r="AY2076" s="4"/>
      <c r="AZ2076" s="4"/>
      <c r="BA2076" s="4"/>
      <c r="BB2076" s="4"/>
      <c r="BC2076" s="4"/>
      <c r="BD2076" s="4"/>
      <c r="BE2076" s="4"/>
      <c r="BG2076" s="4"/>
      <c r="BH2076" s="4"/>
    </row>
    <row r="2077" spans="1:60" x14ac:dyDescent="0.35">
      <c r="A2077" s="4"/>
      <c r="B2077" s="4"/>
      <c r="D2077" s="6" t="str">
        <f t="shared" si="142"/>
        <v/>
      </c>
      <c r="E2077" s="6" t="str">
        <f t="shared" si="143"/>
        <v/>
      </c>
      <c r="F2077" s="6" t="str">
        <f t="shared" si="144"/>
        <v/>
      </c>
      <c r="G2077" s="4"/>
      <c r="H2077" s="4"/>
      <c r="I2077" s="4"/>
      <c r="J2077" s="4"/>
      <c r="K2077" s="4"/>
      <c r="L2077" s="4"/>
      <c r="M2077" s="4"/>
      <c r="N2077" s="4"/>
      <c r="O2077" s="4"/>
      <c r="P2077" s="4"/>
      <c r="Q2077" s="4"/>
      <c r="R2077" s="14"/>
      <c r="S2077" s="14"/>
      <c r="T2077" s="14"/>
      <c r="U2077" s="14"/>
      <c r="V2077" s="14"/>
      <c r="W2077" s="14"/>
      <c r="X2077" s="14"/>
      <c r="Y2077" s="4"/>
      <c r="Z2077" s="4"/>
      <c r="AA2077" s="4"/>
      <c r="AB2077" s="4"/>
      <c r="AC2077" s="4"/>
      <c r="AD2077" s="4"/>
      <c r="AE2077" s="4"/>
      <c r="AF2077" s="4"/>
      <c r="AG2077" s="4"/>
      <c r="AH2077" s="4"/>
      <c r="AI2077" s="4"/>
      <c r="AJ2077" s="4"/>
      <c r="AK2077" s="4"/>
      <c r="AL2077" s="4"/>
      <c r="AM2077" s="4"/>
      <c r="AN2077" s="4"/>
      <c r="AO2077" s="4"/>
      <c r="AP2077" s="4"/>
      <c r="AQ2077" s="4"/>
      <c r="AR2077" s="4"/>
      <c r="AS2077" s="4"/>
      <c r="AT2077" s="4"/>
      <c r="AU2077" s="4"/>
      <c r="AV2077" s="4"/>
      <c r="AW2077" s="4"/>
      <c r="AX2077" s="4"/>
      <c r="AY2077" s="4"/>
      <c r="AZ2077" s="4"/>
      <c r="BA2077" s="4"/>
      <c r="BB2077" s="4"/>
      <c r="BC2077" s="4"/>
      <c r="BD2077" s="4"/>
      <c r="BE2077" s="4"/>
      <c r="BG2077" s="4"/>
      <c r="BH2077" s="4"/>
    </row>
    <row r="2078" spans="1:60" x14ac:dyDescent="0.35">
      <c r="A2078" s="4"/>
      <c r="B2078" s="4"/>
      <c r="D2078" s="6" t="str">
        <f t="shared" si="142"/>
        <v/>
      </c>
      <c r="E2078" s="6" t="str">
        <f t="shared" si="143"/>
        <v/>
      </c>
      <c r="F2078" s="6" t="str">
        <f t="shared" si="144"/>
        <v/>
      </c>
      <c r="G2078" s="4"/>
      <c r="H2078" s="4"/>
      <c r="I2078" s="4"/>
      <c r="J2078" s="4"/>
      <c r="K2078" s="4"/>
      <c r="L2078" s="4"/>
      <c r="M2078" s="4"/>
      <c r="N2078" s="4"/>
      <c r="O2078" s="4"/>
      <c r="P2078" s="4"/>
      <c r="Q2078" s="4"/>
      <c r="R2078" s="14"/>
      <c r="S2078" s="14"/>
      <c r="T2078" s="14"/>
      <c r="U2078" s="14"/>
      <c r="V2078" s="14"/>
      <c r="W2078" s="14"/>
      <c r="X2078" s="14"/>
      <c r="Y2078" s="4"/>
      <c r="Z2078" s="4"/>
      <c r="AA2078" s="4"/>
      <c r="AB2078" s="4"/>
      <c r="AC2078" s="4"/>
      <c r="AD2078" s="4"/>
      <c r="AE2078" s="4"/>
      <c r="AF2078" s="4"/>
      <c r="AG2078" s="4"/>
      <c r="AH2078" s="4"/>
      <c r="AI2078" s="4"/>
      <c r="AJ2078" s="4"/>
      <c r="AK2078" s="4"/>
      <c r="AL2078" s="4"/>
      <c r="AM2078" s="4"/>
      <c r="AN2078" s="4"/>
      <c r="AO2078" s="4"/>
      <c r="AP2078" s="4"/>
      <c r="AQ2078" s="4"/>
      <c r="AR2078" s="4"/>
      <c r="AS2078" s="4"/>
      <c r="AT2078" s="4"/>
      <c r="AU2078" s="4"/>
      <c r="AV2078" s="4"/>
      <c r="AW2078" s="4"/>
      <c r="AX2078" s="4"/>
      <c r="AY2078" s="4"/>
      <c r="AZ2078" s="4"/>
      <c r="BA2078" s="4"/>
      <c r="BB2078" s="4"/>
      <c r="BC2078" s="4"/>
      <c r="BD2078" s="4"/>
      <c r="BE2078" s="4"/>
      <c r="BG2078" s="4"/>
      <c r="BH2078" s="4"/>
    </row>
    <row r="2079" spans="1:60" x14ac:dyDescent="0.35">
      <c r="A2079" s="4"/>
      <c r="B2079" s="4"/>
      <c r="D2079" s="6" t="str">
        <f t="shared" si="142"/>
        <v/>
      </c>
      <c r="E2079" s="6" t="str">
        <f t="shared" si="143"/>
        <v/>
      </c>
      <c r="F2079" s="6" t="str">
        <f t="shared" si="144"/>
        <v/>
      </c>
      <c r="G2079" s="4"/>
      <c r="H2079" s="4"/>
      <c r="I2079" s="4"/>
      <c r="J2079" s="4"/>
      <c r="K2079" s="4"/>
      <c r="L2079" s="4"/>
      <c r="M2079" s="4"/>
      <c r="N2079" s="4"/>
      <c r="O2079" s="4"/>
      <c r="P2079" s="4"/>
      <c r="Q2079" s="4"/>
      <c r="R2079" s="14"/>
      <c r="S2079" s="14"/>
      <c r="T2079" s="14"/>
      <c r="U2079" s="14"/>
      <c r="V2079" s="14"/>
      <c r="W2079" s="14"/>
      <c r="X2079" s="14"/>
      <c r="Y2079" s="4"/>
      <c r="Z2079" s="4"/>
      <c r="AA2079" s="4"/>
      <c r="AB2079" s="4"/>
      <c r="AC2079" s="4"/>
      <c r="AD2079" s="4"/>
      <c r="AE2079" s="4"/>
      <c r="AF2079" s="4"/>
      <c r="AG2079" s="4"/>
      <c r="AH2079" s="4"/>
      <c r="AI2079" s="4"/>
      <c r="AJ2079" s="4"/>
      <c r="AK2079" s="4"/>
      <c r="AL2079" s="4"/>
      <c r="AM2079" s="4"/>
      <c r="AN2079" s="4"/>
      <c r="AO2079" s="4"/>
      <c r="AP2079" s="4"/>
      <c r="AQ2079" s="4"/>
      <c r="AR2079" s="4"/>
      <c r="AS2079" s="4"/>
      <c r="AT2079" s="4"/>
      <c r="AU2079" s="4"/>
      <c r="AV2079" s="4"/>
      <c r="AW2079" s="4"/>
      <c r="AX2079" s="4"/>
      <c r="AY2079" s="4"/>
      <c r="AZ2079" s="4"/>
      <c r="BA2079" s="4"/>
      <c r="BB2079" s="4"/>
      <c r="BC2079" s="4"/>
      <c r="BD2079" s="4"/>
      <c r="BE2079" s="4"/>
      <c r="BG2079" s="4"/>
      <c r="BH2079" s="4"/>
    </row>
    <row r="2080" spans="1:60" x14ac:dyDescent="0.35">
      <c r="A2080" s="4"/>
      <c r="B2080" s="4"/>
      <c r="D2080" s="6" t="str">
        <f t="shared" si="142"/>
        <v/>
      </c>
      <c r="E2080" s="6" t="str">
        <f t="shared" si="143"/>
        <v/>
      </c>
      <c r="F2080" s="6" t="str">
        <f t="shared" si="144"/>
        <v/>
      </c>
      <c r="G2080" s="4"/>
      <c r="H2080" s="4"/>
      <c r="I2080" s="4"/>
      <c r="J2080" s="4"/>
      <c r="K2080" s="4"/>
      <c r="L2080" s="4"/>
      <c r="M2080" s="4"/>
      <c r="N2080" s="4"/>
      <c r="O2080" s="4"/>
      <c r="P2080" s="4"/>
      <c r="Q2080" s="4"/>
      <c r="R2080" s="14"/>
      <c r="S2080" s="14"/>
      <c r="T2080" s="14"/>
      <c r="U2080" s="14"/>
      <c r="V2080" s="14"/>
      <c r="W2080" s="14"/>
      <c r="X2080" s="1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4"/>
      <c r="AU2080" s="4"/>
      <c r="AV2080" s="4"/>
      <c r="AW2080" s="4"/>
      <c r="AX2080" s="4"/>
      <c r="AY2080" s="4"/>
      <c r="AZ2080" s="4"/>
      <c r="BA2080" s="4"/>
      <c r="BB2080" s="4"/>
      <c r="BC2080" s="4"/>
      <c r="BD2080" s="4"/>
      <c r="BE2080" s="4"/>
      <c r="BG2080" s="4"/>
      <c r="BH2080" s="4"/>
    </row>
    <row r="2081" spans="1:60" x14ac:dyDescent="0.35">
      <c r="A2081" s="4"/>
      <c r="B2081" s="4"/>
      <c r="D2081" s="6" t="str">
        <f t="shared" si="142"/>
        <v/>
      </c>
      <c r="E2081" s="6" t="str">
        <f t="shared" si="143"/>
        <v/>
      </c>
      <c r="F2081" s="6" t="str">
        <f t="shared" si="144"/>
        <v/>
      </c>
      <c r="G2081" s="4"/>
      <c r="H2081" s="4"/>
      <c r="I2081" s="4"/>
      <c r="J2081" s="4"/>
      <c r="K2081" s="4"/>
      <c r="L2081" s="4"/>
      <c r="M2081" s="4"/>
      <c r="N2081" s="4"/>
      <c r="O2081" s="4"/>
      <c r="P2081" s="4"/>
      <c r="Q2081" s="4"/>
      <c r="R2081" s="14"/>
      <c r="S2081" s="14"/>
      <c r="T2081" s="14"/>
      <c r="U2081" s="14"/>
      <c r="V2081" s="14"/>
      <c r="W2081" s="14"/>
      <c r="X2081" s="14"/>
      <c r="Y2081" s="4"/>
      <c r="Z2081" s="4"/>
      <c r="AA2081" s="4"/>
      <c r="AB2081" s="4"/>
      <c r="AC2081" s="4"/>
      <c r="AD2081" s="4"/>
      <c r="AE2081" s="4"/>
      <c r="AF2081" s="4"/>
      <c r="AG2081" s="4"/>
      <c r="AH2081" s="4"/>
      <c r="AI2081" s="4"/>
      <c r="AJ2081" s="4"/>
      <c r="AK2081" s="4"/>
      <c r="AL2081" s="4"/>
      <c r="AM2081" s="4"/>
      <c r="AN2081" s="4"/>
      <c r="AO2081" s="4"/>
      <c r="AP2081" s="4"/>
      <c r="AQ2081" s="4"/>
      <c r="AR2081" s="4"/>
      <c r="AS2081" s="4"/>
      <c r="AT2081" s="4"/>
      <c r="AU2081" s="4"/>
      <c r="AV2081" s="4"/>
      <c r="AW2081" s="4"/>
      <c r="AX2081" s="4"/>
      <c r="AY2081" s="4"/>
      <c r="AZ2081" s="4"/>
      <c r="BA2081" s="4"/>
      <c r="BB2081" s="4"/>
      <c r="BC2081" s="4"/>
      <c r="BD2081" s="4"/>
      <c r="BE2081" s="4"/>
      <c r="BG2081" s="4"/>
      <c r="BH2081" s="4"/>
    </row>
    <row r="2082" spans="1:60" x14ac:dyDescent="0.35">
      <c r="A2082" s="4"/>
      <c r="B2082" s="4"/>
      <c r="D2082" s="6" t="str">
        <f t="shared" si="142"/>
        <v/>
      </c>
      <c r="E2082" s="6" t="str">
        <f t="shared" si="143"/>
        <v/>
      </c>
      <c r="F2082" s="6" t="str">
        <f t="shared" si="144"/>
        <v/>
      </c>
      <c r="G2082" s="4"/>
      <c r="H2082" s="4"/>
      <c r="I2082" s="4"/>
      <c r="J2082" s="4"/>
      <c r="K2082" s="4"/>
      <c r="L2082" s="4"/>
      <c r="M2082" s="4"/>
      <c r="N2082" s="4"/>
      <c r="O2082" s="4"/>
      <c r="P2082" s="4"/>
      <c r="Q2082" s="4"/>
      <c r="R2082" s="14"/>
      <c r="S2082" s="14"/>
      <c r="T2082" s="14"/>
      <c r="U2082" s="14"/>
      <c r="V2082" s="14"/>
      <c r="W2082" s="14"/>
      <c r="X2082" s="14"/>
      <c r="Y2082" s="4"/>
      <c r="Z2082" s="4"/>
      <c r="AA2082" s="4"/>
      <c r="AB2082" s="4"/>
      <c r="AC2082" s="4"/>
      <c r="AD2082" s="4"/>
      <c r="AE2082" s="4"/>
      <c r="AF2082" s="4"/>
      <c r="AG2082" s="4"/>
      <c r="AH2082" s="4"/>
      <c r="AI2082" s="4"/>
      <c r="AJ2082" s="4"/>
      <c r="AK2082" s="4"/>
      <c r="AL2082" s="4"/>
      <c r="AM2082" s="4"/>
      <c r="AN2082" s="4"/>
      <c r="AO2082" s="4"/>
      <c r="AP2082" s="4"/>
      <c r="AQ2082" s="4"/>
      <c r="AR2082" s="4"/>
      <c r="AS2082" s="4"/>
      <c r="AT2082" s="4"/>
      <c r="AU2082" s="4"/>
      <c r="AV2082" s="4"/>
      <c r="AW2082" s="4"/>
      <c r="AX2082" s="4"/>
      <c r="AY2082" s="4"/>
      <c r="AZ2082" s="4"/>
      <c r="BA2082" s="4"/>
      <c r="BB2082" s="4"/>
      <c r="BC2082" s="4"/>
      <c r="BD2082" s="4"/>
      <c r="BE2082" s="4"/>
      <c r="BG2082" s="4"/>
      <c r="BH2082" s="4"/>
    </row>
    <row r="2083" spans="1:60" x14ac:dyDescent="0.35">
      <c r="A2083" s="4"/>
      <c r="B2083" s="4"/>
      <c r="D2083" s="6" t="str">
        <f t="shared" si="142"/>
        <v/>
      </c>
      <c r="E2083" s="6" t="str">
        <f t="shared" si="143"/>
        <v/>
      </c>
      <c r="F2083" s="6" t="str">
        <f t="shared" si="144"/>
        <v/>
      </c>
      <c r="G2083" s="4"/>
      <c r="H2083" s="4"/>
      <c r="I2083" s="4"/>
      <c r="J2083" s="4"/>
      <c r="K2083" s="4"/>
      <c r="L2083" s="4"/>
      <c r="M2083" s="4"/>
      <c r="N2083" s="4"/>
      <c r="O2083" s="4"/>
      <c r="P2083" s="4"/>
      <c r="Q2083" s="4"/>
      <c r="R2083" s="14"/>
      <c r="S2083" s="14"/>
      <c r="T2083" s="14"/>
      <c r="U2083" s="14"/>
      <c r="V2083" s="14"/>
      <c r="W2083" s="14"/>
      <c r="X2083" s="14"/>
      <c r="Y2083" s="4"/>
      <c r="Z2083" s="4"/>
      <c r="AA2083" s="4"/>
      <c r="AB2083" s="4"/>
      <c r="AC2083" s="4"/>
      <c r="AD2083" s="4"/>
      <c r="AE2083" s="4"/>
      <c r="AF2083" s="4"/>
      <c r="AG2083" s="4"/>
      <c r="AH2083" s="4"/>
      <c r="AI2083" s="4"/>
      <c r="AJ2083" s="4"/>
      <c r="AK2083" s="4"/>
      <c r="AL2083" s="4"/>
      <c r="AM2083" s="4"/>
      <c r="AN2083" s="4"/>
      <c r="AO2083" s="4"/>
      <c r="AP2083" s="4"/>
      <c r="AQ2083" s="4"/>
      <c r="AR2083" s="4"/>
      <c r="AS2083" s="4"/>
      <c r="AT2083" s="4"/>
      <c r="AU2083" s="4"/>
      <c r="AV2083" s="4"/>
      <c r="AW2083" s="4"/>
      <c r="AX2083" s="4"/>
      <c r="AY2083" s="4"/>
      <c r="AZ2083" s="4"/>
      <c r="BA2083" s="4"/>
      <c r="BB2083" s="4"/>
      <c r="BC2083" s="4"/>
      <c r="BD2083" s="4"/>
      <c r="BE2083" s="4"/>
      <c r="BG2083" s="4"/>
      <c r="BH2083" s="4"/>
    </row>
    <row r="2084" spans="1:60" x14ac:dyDescent="0.35">
      <c r="A2084" s="4"/>
      <c r="B2084" s="4"/>
      <c r="D2084" s="6" t="str">
        <f t="shared" si="142"/>
        <v/>
      </c>
      <c r="E2084" s="6" t="str">
        <f t="shared" si="143"/>
        <v/>
      </c>
      <c r="F2084" s="6" t="str">
        <f t="shared" si="144"/>
        <v/>
      </c>
      <c r="G2084" s="4"/>
      <c r="H2084" s="4"/>
      <c r="I2084" s="4"/>
      <c r="J2084" s="4"/>
      <c r="K2084" s="4"/>
      <c r="L2084" s="4"/>
      <c r="M2084" s="4"/>
      <c r="N2084" s="4"/>
      <c r="O2084" s="4"/>
      <c r="P2084" s="4"/>
      <c r="Q2084" s="4"/>
      <c r="R2084" s="14"/>
      <c r="S2084" s="14"/>
      <c r="T2084" s="14"/>
      <c r="U2084" s="14"/>
      <c r="V2084" s="14"/>
      <c r="W2084" s="14"/>
      <c r="X2084" s="1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4"/>
      <c r="AU2084" s="4"/>
      <c r="AV2084" s="4"/>
      <c r="AW2084" s="4"/>
      <c r="AX2084" s="4"/>
      <c r="AY2084" s="4"/>
      <c r="AZ2084" s="4"/>
      <c r="BA2084" s="4"/>
      <c r="BB2084" s="4"/>
      <c r="BC2084" s="4"/>
      <c r="BD2084" s="4"/>
      <c r="BE2084" s="4"/>
      <c r="BG2084" s="4"/>
      <c r="BH2084" s="4"/>
    </row>
    <row r="2085" spans="1:60" x14ac:dyDescent="0.35">
      <c r="A2085" s="4"/>
      <c r="B2085" s="4"/>
      <c r="D2085" s="6" t="str">
        <f t="shared" si="142"/>
        <v/>
      </c>
      <c r="E2085" s="6" t="str">
        <f t="shared" si="143"/>
        <v/>
      </c>
      <c r="F2085" s="6" t="str">
        <f t="shared" si="144"/>
        <v/>
      </c>
      <c r="G2085" s="4"/>
      <c r="H2085" s="4"/>
      <c r="I2085" s="4"/>
      <c r="J2085" s="4"/>
      <c r="K2085" s="4"/>
      <c r="L2085" s="4"/>
      <c r="M2085" s="4"/>
      <c r="N2085" s="4"/>
      <c r="O2085" s="4"/>
      <c r="P2085" s="4"/>
      <c r="Q2085" s="4"/>
      <c r="R2085" s="14"/>
      <c r="S2085" s="14"/>
      <c r="T2085" s="14"/>
      <c r="U2085" s="14"/>
      <c r="V2085" s="14"/>
      <c r="W2085" s="14"/>
      <c r="X2085" s="1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4"/>
      <c r="AU2085" s="4"/>
      <c r="AV2085" s="4"/>
      <c r="AW2085" s="4"/>
      <c r="AX2085" s="4"/>
      <c r="AY2085" s="4"/>
      <c r="AZ2085" s="4"/>
      <c r="BA2085" s="4"/>
      <c r="BB2085" s="4"/>
      <c r="BC2085" s="4"/>
      <c r="BD2085" s="4"/>
      <c r="BE2085" s="4"/>
      <c r="BG2085" s="4"/>
      <c r="BH2085" s="4"/>
    </row>
    <row r="2086" spans="1:60" x14ac:dyDescent="0.35">
      <c r="A2086" s="4"/>
      <c r="B2086" s="4"/>
      <c r="D2086" s="6" t="str">
        <f t="shared" si="142"/>
        <v/>
      </c>
      <c r="E2086" s="6" t="str">
        <f t="shared" si="143"/>
        <v/>
      </c>
      <c r="F2086" s="6" t="str">
        <f t="shared" si="144"/>
        <v/>
      </c>
      <c r="G2086" s="4"/>
      <c r="H2086" s="4"/>
      <c r="I2086" s="4"/>
      <c r="J2086" s="4"/>
      <c r="K2086" s="4"/>
      <c r="L2086" s="4"/>
      <c r="M2086" s="4"/>
      <c r="N2086" s="4"/>
      <c r="O2086" s="4"/>
      <c r="P2086" s="4"/>
      <c r="Q2086" s="4"/>
      <c r="R2086" s="14"/>
      <c r="S2086" s="14"/>
      <c r="T2086" s="14"/>
      <c r="U2086" s="14"/>
      <c r="V2086" s="14"/>
      <c r="W2086" s="14"/>
      <c r="X2086" s="14"/>
      <c r="Y2086" s="4"/>
      <c r="Z2086" s="4"/>
      <c r="AA2086" s="4"/>
      <c r="AB2086" s="4"/>
      <c r="AC2086" s="4"/>
      <c r="AD2086" s="4"/>
      <c r="AE2086" s="4"/>
      <c r="AF2086" s="4"/>
      <c r="AG2086" s="4"/>
      <c r="AH2086" s="4"/>
      <c r="AI2086" s="4"/>
      <c r="AJ2086" s="4"/>
      <c r="AK2086" s="4"/>
      <c r="AL2086" s="4"/>
      <c r="AM2086" s="4"/>
      <c r="AN2086" s="4"/>
      <c r="AO2086" s="4"/>
      <c r="AP2086" s="4"/>
      <c r="AQ2086" s="4"/>
      <c r="AR2086" s="4"/>
      <c r="AS2086" s="4"/>
      <c r="AT2086" s="4"/>
      <c r="AU2086" s="4"/>
      <c r="AV2086" s="4"/>
      <c r="AW2086" s="4"/>
      <c r="AX2086" s="4"/>
      <c r="AY2086" s="4"/>
      <c r="AZ2086" s="4"/>
      <c r="BA2086" s="4"/>
      <c r="BB2086" s="4"/>
      <c r="BC2086" s="4"/>
      <c r="BD2086" s="4"/>
      <c r="BE2086" s="4"/>
      <c r="BG2086" s="4"/>
      <c r="BH2086" s="4"/>
    </row>
    <row r="2087" spans="1:60" x14ac:dyDescent="0.35">
      <c r="A2087" s="4"/>
      <c r="B2087" s="4"/>
      <c r="D2087" s="6" t="str">
        <f t="shared" si="142"/>
        <v/>
      </c>
      <c r="E2087" s="6" t="str">
        <f t="shared" si="143"/>
        <v/>
      </c>
      <c r="F2087" s="6" t="str">
        <f t="shared" si="144"/>
        <v/>
      </c>
      <c r="G2087" s="4"/>
      <c r="H2087" s="4"/>
      <c r="I2087" s="4"/>
      <c r="J2087" s="4"/>
      <c r="K2087" s="4"/>
      <c r="L2087" s="4"/>
      <c r="M2087" s="4"/>
      <c r="N2087" s="4"/>
      <c r="O2087" s="4"/>
      <c r="P2087" s="4"/>
      <c r="Q2087" s="4"/>
      <c r="R2087" s="14"/>
      <c r="S2087" s="14"/>
      <c r="T2087" s="14"/>
      <c r="U2087" s="14"/>
      <c r="V2087" s="14"/>
      <c r="W2087" s="14"/>
      <c r="X2087" s="14"/>
      <c r="Y2087" s="4"/>
      <c r="Z2087" s="4"/>
      <c r="AA2087" s="4"/>
      <c r="AB2087" s="4"/>
      <c r="AC2087" s="4"/>
      <c r="AD2087" s="4"/>
      <c r="AE2087" s="4"/>
      <c r="AF2087" s="4"/>
      <c r="AG2087" s="4"/>
      <c r="AH2087" s="4"/>
      <c r="AI2087" s="4"/>
      <c r="AJ2087" s="4"/>
      <c r="AK2087" s="4"/>
      <c r="AL2087" s="4"/>
      <c r="AM2087" s="4"/>
      <c r="AN2087" s="4"/>
      <c r="AO2087" s="4"/>
      <c r="AP2087" s="4"/>
      <c r="AQ2087" s="4"/>
      <c r="AR2087" s="4"/>
      <c r="AS2087" s="4"/>
      <c r="AT2087" s="4"/>
      <c r="AU2087" s="4"/>
      <c r="AV2087" s="4"/>
      <c r="AW2087" s="4"/>
      <c r="AX2087" s="4"/>
      <c r="AY2087" s="4"/>
      <c r="AZ2087" s="4"/>
      <c r="BA2087" s="4"/>
      <c r="BB2087" s="4"/>
      <c r="BC2087" s="4"/>
      <c r="BD2087" s="4"/>
      <c r="BE2087" s="4"/>
      <c r="BG2087" s="4"/>
      <c r="BH2087" s="4"/>
    </row>
    <row r="2088" spans="1:60" x14ac:dyDescent="0.35">
      <c r="A2088" s="4"/>
      <c r="B2088" s="4"/>
      <c r="D2088" s="6" t="str">
        <f t="shared" si="142"/>
        <v/>
      </c>
      <c r="E2088" s="6" t="str">
        <f t="shared" si="143"/>
        <v/>
      </c>
      <c r="F2088" s="6" t="str">
        <f t="shared" si="144"/>
        <v/>
      </c>
      <c r="G2088" s="4"/>
      <c r="H2088" s="4"/>
      <c r="I2088" s="4"/>
      <c r="J2088" s="4"/>
      <c r="K2088" s="4"/>
      <c r="L2088" s="4"/>
      <c r="M2088" s="4"/>
      <c r="N2088" s="4"/>
      <c r="O2088" s="4"/>
      <c r="P2088" s="4"/>
      <c r="Q2088" s="4"/>
      <c r="R2088" s="14"/>
      <c r="S2088" s="14"/>
      <c r="T2088" s="14"/>
      <c r="U2088" s="14"/>
      <c r="V2088" s="14"/>
      <c r="W2088" s="14"/>
      <c r="X2088" s="14"/>
      <c r="Y2088" s="4"/>
      <c r="Z2088" s="4"/>
      <c r="AA2088" s="4"/>
      <c r="AB2088" s="4"/>
      <c r="AC2088" s="4"/>
      <c r="AD2088" s="4"/>
      <c r="AE2088" s="4"/>
      <c r="AF2088" s="4"/>
      <c r="AG2088" s="4"/>
      <c r="AH2088" s="4"/>
      <c r="AI2088" s="4"/>
      <c r="AJ2088" s="4"/>
      <c r="AK2088" s="4"/>
      <c r="AL2088" s="4"/>
      <c r="AM2088" s="4"/>
      <c r="AN2088" s="4"/>
      <c r="AO2088" s="4"/>
      <c r="AP2088" s="4"/>
      <c r="AQ2088" s="4"/>
      <c r="AR2088" s="4"/>
      <c r="AS2088" s="4"/>
      <c r="AT2088" s="4"/>
      <c r="AU2088" s="4"/>
      <c r="AV2088" s="4"/>
      <c r="AW2088" s="4"/>
      <c r="AX2088" s="4"/>
      <c r="AY2088" s="4"/>
      <c r="AZ2088" s="4"/>
      <c r="BA2088" s="4"/>
      <c r="BB2088" s="4"/>
      <c r="BC2088" s="4"/>
      <c r="BD2088" s="4"/>
      <c r="BE2088" s="4"/>
      <c r="BG2088" s="4"/>
      <c r="BH2088" s="4"/>
    </row>
    <row r="2089" spans="1:60" x14ac:dyDescent="0.35">
      <c r="A2089" s="4"/>
      <c r="B2089" s="4"/>
      <c r="D2089" s="6" t="str">
        <f t="shared" si="142"/>
        <v/>
      </c>
      <c r="E2089" s="6" t="str">
        <f t="shared" si="143"/>
        <v/>
      </c>
      <c r="F2089" s="6" t="str">
        <f t="shared" si="144"/>
        <v/>
      </c>
      <c r="G2089" s="4"/>
      <c r="H2089" s="4"/>
      <c r="I2089" s="4"/>
      <c r="J2089" s="4"/>
      <c r="K2089" s="4"/>
      <c r="L2089" s="4"/>
      <c r="M2089" s="4"/>
      <c r="N2089" s="4"/>
      <c r="O2089" s="4"/>
      <c r="P2089" s="4"/>
      <c r="Q2089" s="4"/>
      <c r="R2089" s="14"/>
      <c r="S2089" s="14"/>
      <c r="T2089" s="14"/>
      <c r="U2089" s="14"/>
      <c r="V2089" s="14"/>
      <c r="W2089" s="14"/>
      <c r="X2089" s="14"/>
      <c r="Y2089" s="4"/>
      <c r="Z2089" s="4"/>
      <c r="AA2089" s="4"/>
      <c r="AB2089" s="4"/>
      <c r="AC2089" s="4"/>
      <c r="AD2089" s="4"/>
      <c r="AE2089" s="4"/>
      <c r="AF2089" s="4"/>
      <c r="AG2089" s="4"/>
      <c r="AH2089" s="4"/>
      <c r="AI2089" s="4"/>
      <c r="AJ2089" s="4"/>
      <c r="AK2089" s="4"/>
      <c r="AL2089" s="4"/>
      <c r="AM2089" s="4"/>
      <c r="AN2089" s="4"/>
      <c r="AO2089" s="4"/>
      <c r="AP2089" s="4"/>
      <c r="AQ2089" s="4"/>
      <c r="AR2089" s="4"/>
      <c r="AS2089" s="4"/>
      <c r="AT2089" s="4"/>
      <c r="AU2089" s="4"/>
      <c r="AV2089" s="4"/>
      <c r="AW2089" s="4"/>
      <c r="AX2089" s="4"/>
      <c r="AY2089" s="4"/>
      <c r="AZ2089" s="4"/>
      <c r="BA2089" s="4"/>
      <c r="BB2089" s="4"/>
      <c r="BC2089" s="4"/>
      <c r="BD2089" s="4"/>
      <c r="BE2089" s="4"/>
      <c r="BG2089" s="4"/>
      <c r="BH2089" s="4"/>
    </row>
    <row r="2090" spans="1:60" x14ac:dyDescent="0.35">
      <c r="A2090" s="4"/>
      <c r="B2090" s="4"/>
      <c r="D2090" s="6" t="str">
        <f t="shared" si="142"/>
        <v/>
      </c>
      <c r="E2090" s="6" t="str">
        <f t="shared" si="143"/>
        <v/>
      </c>
      <c r="F2090" s="6" t="str">
        <f t="shared" si="144"/>
        <v/>
      </c>
      <c r="G2090" s="4"/>
      <c r="H2090" s="4"/>
      <c r="I2090" s="4"/>
      <c r="J2090" s="4"/>
      <c r="K2090" s="4"/>
      <c r="L2090" s="4"/>
      <c r="M2090" s="4"/>
      <c r="N2090" s="4"/>
      <c r="O2090" s="4"/>
      <c r="P2090" s="4"/>
      <c r="Q2090" s="4"/>
      <c r="R2090" s="14"/>
      <c r="S2090" s="14"/>
      <c r="T2090" s="14"/>
      <c r="U2090" s="14"/>
      <c r="V2090" s="14"/>
      <c r="W2090" s="14"/>
      <c r="X2090" s="1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4"/>
      <c r="AU2090" s="4"/>
      <c r="AV2090" s="4"/>
      <c r="AW2090" s="4"/>
      <c r="AX2090" s="4"/>
      <c r="AY2090" s="4"/>
      <c r="AZ2090" s="4"/>
      <c r="BA2090" s="4"/>
      <c r="BB2090" s="4"/>
      <c r="BC2090" s="4"/>
      <c r="BD2090" s="4"/>
      <c r="BE2090" s="4"/>
      <c r="BG2090" s="4"/>
      <c r="BH2090" s="4"/>
    </row>
    <row r="2091" spans="1:60" x14ac:dyDescent="0.35">
      <c r="A2091" s="4"/>
      <c r="B2091" s="4"/>
      <c r="D2091" s="6" t="str">
        <f t="shared" si="142"/>
        <v/>
      </c>
      <c r="E2091" s="6" t="str">
        <f t="shared" si="143"/>
        <v/>
      </c>
      <c r="F2091" s="6" t="str">
        <f t="shared" si="144"/>
        <v/>
      </c>
      <c r="G2091" s="4"/>
      <c r="H2091" s="4"/>
      <c r="I2091" s="4"/>
      <c r="J2091" s="4"/>
      <c r="K2091" s="4"/>
      <c r="L2091" s="4"/>
      <c r="M2091" s="4"/>
      <c r="N2091" s="4"/>
      <c r="O2091" s="4"/>
      <c r="P2091" s="4"/>
      <c r="Q2091" s="4"/>
      <c r="R2091" s="14"/>
      <c r="S2091" s="14"/>
      <c r="T2091" s="14"/>
      <c r="U2091" s="14"/>
      <c r="V2091" s="14"/>
      <c r="W2091" s="14"/>
      <c r="X2091" s="1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4"/>
      <c r="AU2091" s="4"/>
      <c r="AV2091" s="4"/>
      <c r="AW2091" s="4"/>
      <c r="AX2091" s="4"/>
      <c r="AY2091" s="4"/>
      <c r="AZ2091" s="4"/>
      <c r="BA2091" s="4"/>
      <c r="BB2091" s="4"/>
      <c r="BC2091" s="4"/>
      <c r="BD2091" s="4"/>
      <c r="BE2091" s="4"/>
      <c r="BG2091" s="4"/>
      <c r="BH2091" s="4"/>
    </row>
    <row r="2092" spans="1:60" x14ac:dyDescent="0.35">
      <c r="A2092" s="4"/>
      <c r="B2092" s="4"/>
      <c r="D2092" s="6" t="str">
        <f t="shared" si="142"/>
        <v/>
      </c>
      <c r="E2092" s="6" t="str">
        <f t="shared" si="143"/>
        <v/>
      </c>
      <c r="F2092" s="6" t="str">
        <f t="shared" si="144"/>
        <v/>
      </c>
      <c r="G2092" s="4"/>
      <c r="H2092" s="4"/>
      <c r="I2092" s="4"/>
      <c r="J2092" s="4"/>
      <c r="K2092" s="4"/>
      <c r="L2092" s="4"/>
      <c r="M2092" s="4"/>
      <c r="N2092" s="4"/>
      <c r="O2092" s="4"/>
      <c r="P2092" s="4"/>
      <c r="Q2092" s="4"/>
      <c r="R2092" s="14"/>
      <c r="S2092" s="14"/>
      <c r="T2092" s="14"/>
      <c r="U2092" s="14"/>
      <c r="V2092" s="14"/>
      <c r="W2092" s="14"/>
      <c r="X2092" s="14"/>
      <c r="Y2092" s="4"/>
      <c r="Z2092" s="4"/>
      <c r="AA2092" s="4"/>
      <c r="AB2092" s="4"/>
      <c r="AC2092" s="4"/>
      <c r="AD2092" s="4"/>
      <c r="AE2092" s="4"/>
      <c r="AF2092" s="4"/>
      <c r="AG2092" s="4"/>
      <c r="AH2092" s="4"/>
      <c r="AI2092" s="4"/>
      <c r="AJ2092" s="4"/>
      <c r="AK2092" s="4"/>
      <c r="AL2092" s="4"/>
      <c r="AM2092" s="4"/>
      <c r="AN2092" s="4"/>
      <c r="AO2092" s="4"/>
      <c r="AP2092" s="4"/>
      <c r="AQ2092" s="4"/>
      <c r="AR2092" s="4"/>
      <c r="AS2092" s="4"/>
      <c r="AT2092" s="4"/>
      <c r="AU2092" s="4"/>
      <c r="AV2092" s="4"/>
      <c r="AW2092" s="4"/>
      <c r="AX2092" s="4"/>
      <c r="AY2092" s="4"/>
      <c r="AZ2092" s="4"/>
      <c r="BA2092" s="4"/>
      <c r="BB2092" s="4"/>
      <c r="BC2092" s="4"/>
      <c r="BD2092" s="4"/>
      <c r="BE2092" s="4"/>
      <c r="BG2092" s="4"/>
      <c r="BH2092" s="4"/>
    </row>
    <row r="2093" spans="1:60" x14ac:dyDescent="0.35">
      <c r="A2093" s="4"/>
      <c r="B2093" s="4"/>
      <c r="D2093" s="6" t="str">
        <f t="shared" si="142"/>
        <v/>
      </c>
      <c r="E2093" s="6" t="str">
        <f t="shared" si="143"/>
        <v/>
      </c>
      <c r="F2093" s="6" t="str">
        <f t="shared" si="144"/>
        <v/>
      </c>
      <c r="G2093" s="4"/>
      <c r="H2093" s="4"/>
      <c r="I2093" s="4"/>
      <c r="J2093" s="4"/>
      <c r="K2093" s="4"/>
      <c r="L2093" s="4"/>
      <c r="M2093" s="4"/>
      <c r="N2093" s="4"/>
      <c r="O2093" s="4"/>
      <c r="P2093" s="4"/>
      <c r="Q2093" s="4"/>
      <c r="R2093" s="14"/>
      <c r="S2093" s="14"/>
      <c r="T2093" s="14"/>
      <c r="U2093" s="14"/>
      <c r="V2093" s="14"/>
      <c r="W2093" s="14"/>
      <c r="X2093" s="1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4"/>
      <c r="AU2093" s="4"/>
      <c r="AV2093" s="4"/>
      <c r="AW2093" s="4"/>
      <c r="AX2093" s="4"/>
      <c r="AY2093" s="4"/>
      <c r="AZ2093" s="4"/>
      <c r="BA2093" s="4"/>
      <c r="BB2093" s="4"/>
      <c r="BC2093" s="4"/>
      <c r="BD2093" s="4"/>
      <c r="BE2093" s="4"/>
      <c r="BG2093" s="4"/>
      <c r="BH2093" s="4"/>
    </row>
    <row r="2094" spans="1:60" x14ac:dyDescent="0.35">
      <c r="A2094" s="4"/>
      <c r="B2094" s="4"/>
      <c r="D2094" s="6" t="str">
        <f t="shared" si="142"/>
        <v/>
      </c>
      <c r="E2094" s="6" t="str">
        <f t="shared" si="143"/>
        <v/>
      </c>
      <c r="F2094" s="6" t="str">
        <f t="shared" si="144"/>
        <v/>
      </c>
      <c r="G2094" s="4"/>
      <c r="H2094" s="4"/>
      <c r="I2094" s="4"/>
      <c r="J2094" s="4"/>
      <c r="K2094" s="4"/>
      <c r="L2094" s="4"/>
      <c r="M2094" s="4"/>
      <c r="N2094" s="4"/>
      <c r="O2094" s="4"/>
      <c r="P2094" s="4"/>
      <c r="Q2094" s="4"/>
      <c r="R2094" s="14"/>
      <c r="S2094" s="14"/>
      <c r="T2094" s="14"/>
      <c r="U2094" s="14"/>
      <c r="V2094" s="14"/>
      <c r="W2094" s="14"/>
      <c r="X2094" s="14"/>
      <c r="Y2094" s="4"/>
      <c r="Z2094" s="4"/>
      <c r="AA2094" s="4"/>
      <c r="AB2094" s="4"/>
      <c r="AC2094" s="4"/>
      <c r="AD2094" s="4"/>
      <c r="AE2094" s="4"/>
      <c r="AF2094" s="4"/>
      <c r="AG2094" s="4"/>
      <c r="AH2094" s="4"/>
      <c r="AI2094" s="4"/>
      <c r="AJ2094" s="4"/>
      <c r="AK2094" s="4"/>
      <c r="AL2094" s="4"/>
      <c r="AM2094" s="4"/>
      <c r="AN2094" s="4"/>
      <c r="AO2094" s="4"/>
      <c r="AP2094" s="4"/>
      <c r="AQ2094" s="4"/>
      <c r="AR2094" s="4"/>
      <c r="AS2094" s="4"/>
      <c r="AT2094" s="4"/>
      <c r="AU2094" s="4"/>
      <c r="AV2094" s="4"/>
      <c r="AW2094" s="4"/>
      <c r="AX2094" s="4"/>
      <c r="AY2094" s="4"/>
      <c r="AZ2094" s="4"/>
      <c r="BA2094" s="4"/>
      <c r="BB2094" s="4"/>
      <c r="BC2094" s="4"/>
      <c r="BD2094" s="4"/>
      <c r="BE2094" s="4"/>
      <c r="BG2094" s="4"/>
      <c r="BH2094" s="4"/>
    </row>
    <row r="2095" spans="1:60" x14ac:dyDescent="0.35">
      <c r="A2095" s="4"/>
      <c r="B2095" s="4"/>
      <c r="D2095" s="6" t="str">
        <f t="shared" si="142"/>
        <v/>
      </c>
      <c r="E2095" s="6" t="str">
        <f t="shared" si="143"/>
        <v/>
      </c>
      <c r="F2095" s="6" t="str">
        <f t="shared" si="144"/>
        <v/>
      </c>
      <c r="G2095" s="4"/>
      <c r="H2095" s="4"/>
      <c r="I2095" s="4"/>
      <c r="J2095" s="4"/>
      <c r="K2095" s="4"/>
      <c r="L2095" s="4"/>
      <c r="M2095" s="4"/>
      <c r="N2095" s="4"/>
      <c r="O2095" s="4"/>
      <c r="P2095" s="4"/>
      <c r="Q2095" s="4"/>
      <c r="R2095" s="14"/>
      <c r="S2095" s="14"/>
      <c r="T2095" s="14"/>
      <c r="U2095" s="14"/>
      <c r="V2095" s="14"/>
      <c r="W2095" s="14"/>
      <c r="X2095" s="1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4"/>
      <c r="AU2095" s="4"/>
      <c r="AV2095" s="4"/>
      <c r="AW2095" s="4"/>
      <c r="AX2095" s="4"/>
      <c r="AY2095" s="4"/>
      <c r="AZ2095" s="4"/>
      <c r="BA2095" s="4"/>
      <c r="BB2095" s="4"/>
      <c r="BC2095" s="4"/>
      <c r="BD2095" s="4"/>
      <c r="BE2095" s="4"/>
      <c r="BG2095" s="4"/>
      <c r="BH2095" s="4"/>
    </row>
    <row r="2096" spans="1:60" x14ac:dyDescent="0.35">
      <c r="A2096" s="4"/>
      <c r="B2096" s="4"/>
      <c r="D2096" s="6" t="str">
        <f t="shared" si="142"/>
        <v/>
      </c>
      <c r="E2096" s="6" t="str">
        <f t="shared" si="143"/>
        <v/>
      </c>
      <c r="F2096" s="6" t="str">
        <f t="shared" si="144"/>
        <v/>
      </c>
      <c r="G2096" s="4"/>
      <c r="H2096" s="4"/>
      <c r="I2096" s="4"/>
      <c r="J2096" s="4"/>
      <c r="K2096" s="4"/>
      <c r="L2096" s="4"/>
      <c r="M2096" s="4"/>
      <c r="N2096" s="4"/>
      <c r="O2096" s="4"/>
      <c r="P2096" s="4"/>
      <c r="Q2096" s="4"/>
      <c r="R2096" s="14"/>
      <c r="S2096" s="14"/>
      <c r="T2096" s="14"/>
      <c r="U2096" s="14"/>
      <c r="V2096" s="14"/>
      <c r="W2096" s="14"/>
      <c r="X2096" s="14"/>
      <c r="Y2096" s="4"/>
      <c r="Z2096" s="4"/>
      <c r="AA2096" s="4"/>
      <c r="AB2096" s="4"/>
      <c r="AC2096" s="4"/>
      <c r="AD2096" s="4"/>
      <c r="AE2096" s="4"/>
      <c r="AF2096" s="4"/>
      <c r="AG2096" s="4"/>
      <c r="AH2096" s="4"/>
      <c r="AI2096" s="4"/>
      <c r="AJ2096" s="4"/>
      <c r="AK2096" s="4"/>
      <c r="AL2096" s="4"/>
      <c r="AM2096" s="4"/>
      <c r="AN2096" s="4"/>
      <c r="AO2096" s="4"/>
      <c r="AP2096" s="4"/>
      <c r="AQ2096" s="4"/>
      <c r="AR2096" s="4"/>
      <c r="AS2096" s="4"/>
      <c r="AT2096" s="4"/>
      <c r="AU2096" s="4"/>
      <c r="AV2096" s="4"/>
      <c r="AW2096" s="4"/>
      <c r="AX2096" s="4"/>
      <c r="AY2096" s="4"/>
      <c r="AZ2096" s="4"/>
      <c r="BA2096" s="4"/>
      <c r="BB2096" s="4"/>
      <c r="BC2096" s="4"/>
      <c r="BD2096" s="4"/>
      <c r="BE2096" s="4"/>
      <c r="BG2096" s="4"/>
      <c r="BH2096" s="4"/>
    </row>
    <row r="2097" spans="1:60" x14ac:dyDescent="0.35">
      <c r="A2097" s="4"/>
      <c r="B2097" s="4"/>
      <c r="D2097" s="6" t="str">
        <f t="shared" si="142"/>
        <v/>
      </c>
      <c r="E2097" s="6" t="str">
        <f t="shared" si="143"/>
        <v/>
      </c>
      <c r="F2097" s="6" t="str">
        <f t="shared" si="144"/>
        <v/>
      </c>
      <c r="G2097" s="4"/>
      <c r="H2097" s="4"/>
      <c r="I2097" s="4"/>
      <c r="J2097" s="4"/>
      <c r="K2097" s="4"/>
      <c r="L2097" s="4"/>
      <c r="M2097" s="4"/>
      <c r="N2097" s="4"/>
      <c r="O2097" s="4"/>
      <c r="P2097" s="4"/>
      <c r="Q2097" s="4"/>
      <c r="R2097" s="14"/>
      <c r="S2097" s="14"/>
      <c r="T2097" s="14"/>
      <c r="U2097" s="14"/>
      <c r="V2097" s="14"/>
      <c r="W2097" s="14"/>
      <c r="X2097" s="14"/>
      <c r="Y2097" s="4"/>
      <c r="Z2097" s="4"/>
      <c r="AA2097" s="4"/>
      <c r="AB2097" s="4"/>
      <c r="AC2097" s="4"/>
      <c r="AD2097" s="4"/>
      <c r="AE2097" s="4"/>
      <c r="AF2097" s="4"/>
      <c r="AG2097" s="4"/>
      <c r="AH2097" s="4"/>
      <c r="AI2097" s="4"/>
      <c r="AJ2097" s="4"/>
      <c r="AK2097" s="4"/>
      <c r="AL2097" s="4"/>
      <c r="AM2097" s="4"/>
      <c r="AN2097" s="4"/>
      <c r="AO2097" s="4"/>
      <c r="AP2097" s="4"/>
      <c r="AQ2097" s="4"/>
      <c r="AR2097" s="4"/>
      <c r="AS2097" s="4"/>
      <c r="AT2097" s="4"/>
      <c r="AU2097" s="4"/>
      <c r="AV2097" s="4"/>
      <c r="AW2097" s="4"/>
      <c r="AX2097" s="4"/>
      <c r="AY2097" s="4"/>
      <c r="AZ2097" s="4"/>
      <c r="BA2097" s="4"/>
      <c r="BB2097" s="4"/>
      <c r="BC2097" s="4"/>
      <c r="BD2097" s="4"/>
      <c r="BE2097" s="4"/>
      <c r="BG2097" s="4"/>
      <c r="BH2097" s="4"/>
    </row>
    <row r="2098" spans="1:60" x14ac:dyDescent="0.35">
      <c r="A2098" s="4"/>
      <c r="B2098" s="4"/>
      <c r="D2098" s="6" t="str">
        <f t="shared" si="142"/>
        <v/>
      </c>
      <c r="E2098" s="6" t="str">
        <f t="shared" si="143"/>
        <v/>
      </c>
      <c r="F2098" s="6" t="str">
        <f t="shared" si="144"/>
        <v/>
      </c>
      <c r="G2098" s="4"/>
      <c r="H2098" s="4"/>
      <c r="I2098" s="4"/>
      <c r="J2098" s="4"/>
      <c r="K2098" s="4"/>
      <c r="L2098" s="4"/>
      <c r="M2098" s="4"/>
      <c r="N2098" s="4"/>
      <c r="O2098" s="4"/>
      <c r="P2098" s="4"/>
      <c r="Q2098" s="4"/>
      <c r="R2098" s="14"/>
      <c r="S2098" s="14"/>
      <c r="T2098" s="14"/>
      <c r="U2098" s="14"/>
      <c r="V2098" s="14"/>
      <c r="W2098" s="14"/>
      <c r="X2098" s="14"/>
      <c r="Y2098" s="4"/>
      <c r="Z2098" s="4"/>
      <c r="AA2098" s="4"/>
      <c r="AB2098" s="4"/>
      <c r="AC2098" s="4"/>
      <c r="AD2098" s="4"/>
      <c r="AE2098" s="4"/>
      <c r="AF2098" s="4"/>
      <c r="AG2098" s="4"/>
      <c r="AH2098" s="4"/>
      <c r="AI2098" s="4"/>
      <c r="AJ2098" s="4"/>
      <c r="AK2098" s="4"/>
      <c r="AL2098" s="4"/>
      <c r="AM2098" s="4"/>
      <c r="AN2098" s="4"/>
      <c r="AO2098" s="4"/>
      <c r="AP2098" s="4"/>
      <c r="AQ2098" s="4"/>
      <c r="AR2098" s="4"/>
      <c r="AS2098" s="4"/>
      <c r="AT2098" s="4"/>
      <c r="AU2098" s="4"/>
      <c r="AV2098" s="4"/>
      <c r="AW2098" s="4"/>
      <c r="AX2098" s="4"/>
      <c r="AY2098" s="4"/>
      <c r="AZ2098" s="4"/>
      <c r="BA2098" s="4"/>
      <c r="BB2098" s="4"/>
      <c r="BC2098" s="4"/>
      <c r="BD2098" s="4"/>
      <c r="BE2098" s="4"/>
      <c r="BG2098" s="4"/>
      <c r="BH2098" s="4"/>
    </row>
    <row r="2099" spans="1:60" x14ac:dyDescent="0.35">
      <c r="A2099" s="4"/>
      <c r="B2099" s="4"/>
      <c r="D2099" s="6" t="str">
        <f t="shared" si="142"/>
        <v/>
      </c>
      <c r="E2099" s="6" t="str">
        <f t="shared" si="143"/>
        <v/>
      </c>
      <c r="F2099" s="6" t="str">
        <f t="shared" si="144"/>
        <v/>
      </c>
      <c r="G2099" s="4"/>
      <c r="H2099" s="4"/>
      <c r="I2099" s="4"/>
      <c r="J2099" s="4"/>
      <c r="K2099" s="4"/>
      <c r="L2099" s="4"/>
      <c r="M2099" s="4"/>
      <c r="N2099" s="4"/>
      <c r="O2099" s="4"/>
      <c r="P2099" s="4"/>
      <c r="Q2099" s="4"/>
      <c r="R2099" s="14"/>
      <c r="S2099" s="14"/>
      <c r="T2099" s="14"/>
      <c r="U2099" s="14"/>
      <c r="V2099" s="14"/>
      <c r="W2099" s="14"/>
      <c r="X2099" s="14"/>
      <c r="Y2099" s="4"/>
      <c r="Z2099" s="4"/>
      <c r="AA2099" s="4"/>
      <c r="AB2099" s="4"/>
      <c r="AC2099" s="4"/>
      <c r="AD2099" s="4"/>
      <c r="AE2099" s="4"/>
      <c r="AF2099" s="4"/>
      <c r="AG2099" s="4"/>
      <c r="AH2099" s="4"/>
      <c r="AI2099" s="4"/>
      <c r="AJ2099" s="4"/>
      <c r="AK2099" s="4"/>
      <c r="AL2099" s="4"/>
      <c r="AM2099" s="4"/>
      <c r="AN2099" s="4"/>
      <c r="AO2099" s="4"/>
      <c r="AP2099" s="4"/>
      <c r="AQ2099" s="4"/>
      <c r="AR2099" s="4"/>
      <c r="AS2099" s="4"/>
      <c r="AT2099" s="4"/>
      <c r="AU2099" s="4"/>
      <c r="AV2099" s="4"/>
      <c r="AW2099" s="4"/>
      <c r="AX2099" s="4"/>
      <c r="AY2099" s="4"/>
      <c r="AZ2099" s="4"/>
      <c r="BA2099" s="4"/>
      <c r="BB2099" s="4"/>
      <c r="BC2099" s="4"/>
      <c r="BD2099" s="4"/>
      <c r="BE2099" s="4"/>
      <c r="BG2099" s="4"/>
      <c r="BH2099" s="4"/>
    </row>
    <row r="2100" spans="1:60" x14ac:dyDescent="0.35">
      <c r="A2100" s="4"/>
      <c r="B2100" s="4"/>
      <c r="D2100" s="6" t="str">
        <f t="shared" si="142"/>
        <v/>
      </c>
      <c r="E2100" s="6" t="str">
        <f t="shared" si="143"/>
        <v/>
      </c>
      <c r="F2100" s="6" t="str">
        <f t="shared" si="144"/>
        <v/>
      </c>
      <c r="G2100" s="4"/>
      <c r="H2100" s="4"/>
      <c r="I2100" s="4"/>
      <c r="J2100" s="4"/>
      <c r="K2100" s="4"/>
      <c r="L2100" s="4"/>
      <c r="M2100" s="4"/>
      <c r="N2100" s="4"/>
      <c r="O2100" s="4"/>
      <c r="P2100" s="4"/>
      <c r="Q2100" s="4"/>
      <c r="R2100" s="14"/>
      <c r="S2100" s="14"/>
      <c r="T2100" s="14"/>
      <c r="U2100" s="14"/>
      <c r="V2100" s="14"/>
      <c r="W2100" s="14"/>
      <c r="X2100" s="14"/>
      <c r="Y2100" s="4"/>
      <c r="Z2100" s="4"/>
      <c r="AA2100" s="4"/>
      <c r="AB2100" s="4"/>
      <c r="AC2100" s="4"/>
      <c r="AD2100" s="4"/>
      <c r="AE2100" s="4"/>
      <c r="AF2100" s="4"/>
      <c r="AG2100" s="4"/>
      <c r="AH2100" s="4"/>
      <c r="AI2100" s="4"/>
      <c r="AJ2100" s="4"/>
      <c r="AK2100" s="4"/>
      <c r="AL2100" s="4"/>
      <c r="AM2100" s="4"/>
      <c r="AN2100" s="4"/>
      <c r="AO2100" s="4"/>
      <c r="AP2100" s="4"/>
      <c r="AQ2100" s="4"/>
      <c r="AR2100" s="4"/>
      <c r="AS2100" s="4"/>
      <c r="AT2100" s="4"/>
      <c r="AU2100" s="4"/>
      <c r="AV2100" s="4"/>
      <c r="AW2100" s="4"/>
      <c r="AX2100" s="4"/>
      <c r="AY2100" s="4"/>
      <c r="AZ2100" s="4"/>
      <c r="BA2100" s="4"/>
      <c r="BB2100" s="4"/>
      <c r="BC2100" s="4"/>
      <c r="BD2100" s="4"/>
      <c r="BE2100" s="4"/>
      <c r="BG2100" s="4"/>
      <c r="BH2100" s="4"/>
    </row>
    <row r="2101" spans="1:60" x14ac:dyDescent="0.35">
      <c r="A2101" s="4"/>
      <c r="B2101" s="4"/>
      <c r="D2101" s="6" t="str">
        <f t="shared" si="142"/>
        <v/>
      </c>
      <c r="E2101" s="6" t="str">
        <f t="shared" si="143"/>
        <v/>
      </c>
      <c r="F2101" s="6" t="str">
        <f t="shared" si="144"/>
        <v/>
      </c>
      <c r="G2101" s="4"/>
      <c r="H2101" s="4"/>
      <c r="I2101" s="4"/>
      <c r="J2101" s="4"/>
      <c r="K2101" s="4"/>
      <c r="L2101" s="4"/>
      <c r="M2101" s="4"/>
      <c r="N2101" s="4"/>
      <c r="O2101" s="4"/>
      <c r="P2101" s="4"/>
      <c r="Q2101" s="4"/>
      <c r="R2101" s="14"/>
      <c r="S2101" s="14"/>
      <c r="T2101" s="14"/>
      <c r="U2101" s="14"/>
      <c r="V2101" s="14"/>
      <c r="W2101" s="14"/>
      <c r="X2101" s="1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c r="AX2101" s="4"/>
      <c r="AY2101" s="4"/>
      <c r="AZ2101" s="4"/>
      <c r="BA2101" s="4"/>
      <c r="BB2101" s="4"/>
      <c r="BC2101" s="4"/>
      <c r="BD2101" s="4"/>
      <c r="BE2101" s="4"/>
      <c r="BG2101" s="4"/>
      <c r="BH2101" s="4"/>
    </row>
    <row r="2102" spans="1:60" x14ac:dyDescent="0.35">
      <c r="A2102" s="4"/>
      <c r="B2102" s="4"/>
      <c r="D2102" s="6" t="str">
        <f t="shared" si="142"/>
        <v/>
      </c>
      <c r="E2102" s="6" t="str">
        <f t="shared" si="143"/>
        <v/>
      </c>
      <c r="F2102" s="6" t="str">
        <f t="shared" si="144"/>
        <v/>
      </c>
      <c r="G2102" s="4"/>
      <c r="H2102" s="4"/>
      <c r="I2102" s="4"/>
      <c r="J2102" s="4"/>
      <c r="K2102" s="4"/>
      <c r="L2102" s="4"/>
      <c r="M2102" s="4"/>
      <c r="N2102" s="4"/>
      <c r="O2102" s="4"/>
      <c r="P2102" s="4"/>
      <c r="Q2102" s="4"/>
      <c r="R2102" s="14"/>
      <c r="S2102" s="14"/>
      <c r="T2102" s="14"/>
      <c r="U2102" s="14"/>
      <c r="V2102" s="14"/>
      <c r="W2102" s="14"/>
      <c r="X2102" s="14"/>
      <c r="Y2102" s="4"/>
      <c r="Z2102" s="4"/>
      <c r="AA2102" s="4"/>
      <c r="AB2102" s="4"/>
      <c r="AC2102" s="4"/>
      <c r="AD2102" s="4"/>
      <c r="AE2102" s="4"/>
      <c r="AF2102" s="4"/>
      <c r="AG2102" s="4"/>
      <c r="AH2102" s="4"/>
      <c r="AI2102" s="4"/>
      <c r="AJ2102" s="4"/>
      <c r="AK2102" s="4"/>
      <c r="AL2102" s="4"/>
      <c r="AM2102" s="4"/>
      <c r="AN2102" s="4"/>
      <c r="AO2102" s="4"/>
      <c r="AP2102" s="4"/>
      <c r="AQ2102" s="4"/>
      <c r="AR2102" s="4"/>
      <c r="AS2102" s="4"/>
      <c r="AT2102" s="4"/>
      <c r="AU2102" s="4"/>
      <c r="AV2102" s="4"/>
      <c r="AW2102" s="4"/>
      <c r="AX2102" s="4"/>
      <c r="AY2102" s="4"/>
      <c r="AZ2102" s="4"/>
      <c r="BA2102" s="4"/>
      <c r="BB2102" s="4"/>
      <c r="BC2102" s="4"/>
      <c r="BD2102" s="4"/>
      <c r="BE2102" s="4"/>
      <c r="BG2102" s="4"/>
      <c r="BH2102" s="4"/>
    </row>
    <row r="2103" spans="1:60" x14ac:dyDescent="0.35">
      <c r="A2103" s="4"/>
      <c r="B2103" s="4"/>
      <c r="D2103" s="6" t="str">
        <f t="shared" si="142"/>
        <v/>
      </c>
      <c r="E2103" s="6" t="str">
        <f t="shared" si="143"/>
        <v/>
      </c>
      <c r="F2103" s="6" t="str">
        <f t="shared" si="144"/>
        <v/>
      </c>
      <c r="G2103" s="4"/>
      <c r="H2103" s="4"/>
      <c r="I2103" s="4"/>
      <c r="J2103" s="4"/>
      <c r="K2103" s="4"/>
      <c r="L2103" s="4"/>
      <c r="M2103" s="4"/>
      <c r="N2103" s="4"/>
      <c r="O2103" s="4"/>
      <c r="P2103" s="4"/>
      <c r="Q2103" s="4"/>
      <c r="R2103" s="14"/>
      <c r="S2103" s="14"/>
      <c r="T2103" s="14"/>
      <c r="U2103" s="14"/>
      <c r="V2103" s="14"/>
      <c r="W2103" s="14"/>
      <c r="X2103" s="14"/>
      <c r="Y2103" s="4"/>
      <c r="Z2103" s="4"/>
      <c r="AA2103" s="4"/>
      <c r="AB2103" s="4"/>
      <c r="AC2103" s="4"/>
      <c r="AD2103" s="4"/>
      <c r="AE2103" s="4"/>
      <c r="AF2103" s="4"/>
      <c r="AG2103" s="4"/>
      <c r="AH2103" s="4"/>
      <c r="AI2103" s="4"/>
      <c r="AJ2103" s="4"/>
      <c r="AK2103" s="4"/>
      <c r="AL2103" s="4"/>
      <c r="AM2103" s="4"/>
      <c r="AN2103" s="4"/>
      <c r="AO2103" s="4"/>
      <c r="AP2103" s="4"/>
      <c r="AQ2103" s="4"/>
      <c r="AR2103" s="4"/>
      <c r="AS2103" s="4"/>
      <c r="AT2103" s="4"/>
      <c r="AU2103" s="4"/>
      <c r="AV2103" s="4"/>
      <c r="AW2103" s="4"/>
      <c r="AX2103" s="4"/>
      <c r="AY2103" s="4"/>
      <c r="AZ2103" s="4"/>
      <c r="BA2103" s="4"/>
      <c r="BB2103" s="4"/>
      <c r="BC2103" s="4"/>
      <c r="BD2103" s="4"/>
      <c r="BE2103" s="4"/>
      <c r="BG2103" s="4"/>
      <c r="BH2103" s="4"/>
    </row>
    <row r="2104" spans="1:60" x14ac:dyDescent="0.35">
      <c r="A2104" s="4"/>
      <c r="B2104" s="4"/>
      <c r="D2104" s="6" t="str">
        <f t="shared" si="142"/>
        <v/>
      </c>
      <c r="E2104" s="6" t="str">
        <f t="shared" si="143"/>
        <v/>
      </c>
      <c r="F2104" s="6" t="str">
        <f t="shared" si="144"/>
        <v/>
      </c>
      <c r="G2104" s="4"/>
      <c r="H2104" s="4"/>
      <c r="I2104" s="4"/>
      <c r="J2104" s="4"/>
      <c r="K2104" s="4"/>
      <c r="L2104" s="4"/>
      <c r="M2104" s="4"/>
      <c r="N2104" s="4"/>
      <c r="O2104" s="4"/>
      <c r="P2104" s="4"/>
      <c r="Q2104" s="4"/>
      <c r="R2104" s="14"/>
      <c r="S2104" s="14"/>
      <c r="T2104" s="14"/>
      <c r="U2104" s="14"/>
      <c r="V2104" s="14"/>
      <c r="W2104" s="14"/>
      <c r="X2104" s="1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c r="AV2104" s="4"/>
      <c r="AW2104" s="4"/>
      <c r="AX2104" s="4"/>
      <c r="AY2104" s="4"/>
      <c r="AZ2104" s="4"/>
      <c r="BA2104" s="4"/>
      <c r="BB2104" s="4"/>
      <c r="BC2104" s="4"/>
      <c r="BD2104" s="4"/>
      <c r="BE2104" s="4"/>
      <c r="BG2104" s="4"/>
      <c r="BH2104" s="4"/>
    </row>
    <row r="2105" spans="1:60" x14ac:dyDescent="0.35">
      <c r="A2105" s="4"/>
      <c r="B2105" s="4"/>
      <c r="D2105" s="6" t="str">
        <f t="shared" si="142"/>
        <v/>
      </c>
      <c r="E2105" s="6" t="str">
        <f t="shared" si="143"/>
        <v/>
      </c>
      <c r="F2105" s="6" t="str">
        <f t="shared" si="144"/>
        <v/>
      </c>
      <c r="G2105" s="4"/>
      <c r="H2105" s="4"/>
      <c r="I2105" s="4"/>
      <c r="J2105" s="4"/>
      <c r="K2105" s="4"/>
      <c r="L2105" s="4"/>
      <c r="M2105" s="4"/>
      <c r="N2105" s="4"/>
      <c r="O2105" s="4"/>
      <c r="P2105" s="4"/>
      <c r="Q2105" s="4"/>
      <c r="R2105" s="14"/>
      <c r="S2105" s="14"/>
      <c r="T2105" s="14"/>
      <c r="U2105" s="14"/>
      <c r="V2105" s="14"/>
      <c r="W2105" s="14"/>
      <c r="X2105" s="14"/>
      <c r="Y2105" s="4"/>
      <c r="Z2105" s="4"/>
      <c r="AA2105" s="4"/>
      <c r="AB2105" s="4"/>
      <c r="AC2105" s="4"/>
      <c r="AD2105" s="4"/>
      <c r="AE2105" s="4"/>
      <c r="AF2105" s="4"/>
      <c r="AG2105" s="4"/>
      <c r="AH2105" s="4"/>
      <c r="AI2105" s="4"/>
      <c r="AJ2105" s="4"/>
      <c r="AK2105" s="4"/>
      <c r="AL2105" s="4"/>
      <c r="AM2105" s="4"/>
      <c r="AN2105" s="4"/>
      <c r="AO2105" s="4"/>
      <c r="AP2105" s="4"/>
      <c r="AQ2105" s="4"/>
      <c r="AR2105" s="4"/>
      <c r="AS2105" s="4"/>
      <c r="AT2105" s="4"/>
      <c r="AU2105" s="4"/>
      <c r="AV2105" s="4"/>
      <c r="AW2105" s="4"/>
      <c r="AX2105" s="4"/>
      <c r="AY2105" s="4"/>
      <c r="AZ2105" s="4"/>
      <c r="BA2105" s="4"/>
      <c r="BB2105" s="4"/>
      <c r="BC2105" s="4"/>
      <c r="BD2105" s="4"/>
      <c r="BE2105" s="4"/>
      <c r="BG2105" s="4"/>
      <c r="BH2105" s="4"/>
    </row>
    <row r="2106" spans="1:60" x14ac:dyDescent="0.35">
      <c r="A2106" s="4"/>
      <c r="B2106" s="4"/>
      <c r="D2106" s="6" t="str">
        <f t="shared" si="142"/>
        <v/>
      </c>
      <c r="E2106" s="6" t="str">
        <f t="shared" si="143"/>
        <v/>
      </c>
      <c r="F2106" s="6" t="str">
        <f t="shared" si="144"/>
        <v/>
      </c>
      <c r="G2106" s="4"/>
      <c r="H2106" s="4"/>
      <c r="I2106" s="4"/>
      <c r="J2106" s="4"/>
      <c r="K2106" s="4"/>
      <c r="L2106" s="4"/>
      <c r="M2106" s="4"/>
      <c r="N2106" s="4"/>
      <c r="O2106" s="4"/>
      <c r="P2106" s="4"/>
      <c r="Q2106" s="4"/>
      <c r="R2106" s="14"/>
      <c r="S2106" s="14"/>
      <c r="T2106" s="14"/>
      <c r="U2106" s="14"/>
      <c r="V2106" s="14"/>
      <c r="W2106" s="14"/>
      <c r="X2106" s="1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c r="AX2106" s="4"/>
      <c r="AY2106" s="4"/>
      <c r="AZ2106" s="4"/>
      <c r="BA2106" s="4"/>
      <c r="BB2106" s="4"/>
      <c r="BC2106" s="4"/>
      <c r="BD2106" s="4"/>
      <c r="BE2106" s="4"/>
      <c r="BG2106" s="4"/>
      <c r="BH2106" s="4"/>
    </row>
    <row r="2107" spans="1:60" x14ac:dyDescent="0.35">
      <c r="A2107" s="4"/>
      <c r="B2107" s="4"/>
      <c r="D2107" s="6" t="str">
        <f t="shared" si="142"/>
        <v/>
      </c>
      <c r="E2107" s="6" t="str">
        <f t="shared" si="143"/>
        <v/>
      </c>
      <c r="F2107" s="6" t="str">
        <f t="shared" si="144"/>
        <v/>
      </c>
      <c r="G2107" s="4"/>
      <c r="H2107" s="4"/>
      <c r="I2107" s="4"/>
      <c r="J2107" s="4"/>
      <c r="K2107" s="4"/>
      <c r="L2107" s="4"/>
      <c r="M2107" s="4"/>
      <c r="N2107" s="4"/>
      <c r="O2107" s="4"/>
      <c r="P2107" s="4"/>
      <c r="Q2107" s="4"/>
      <c r="R2107" s="14"/>
      <c r="S2107" s="14"/>
      <c r="T2107" s="14"/>
      <c r="U2107" s="14"/>
      <c r="V2107" s="14"/>
      <c r="W2107" s="14"/>
      <c r="X2107" s="1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4"/>
      <c r="AU2107" s="4"/>
      <c r="AV2107" s="4"/>
      <c r="AW2107" s="4"/>
      <c r="AX2107" s="4"/>
      <c r="AY2107" s="4"/>
      <c r="AZ2107" s="4"/>
      <c r="BA2107" s="4"/>
      <c r="BB2107" s="4"/>
      <c r="BC2107" s="4"/>
      <c r="BD2107" s="4"/>
      <c r="BE2107" s="4"/>
      <c r="BG2107" s="4"/>
      <c r="BH2107" s="4"/>
    </row>
    <row r="2108" spans="1:60" x14ac:dyDescent="0.35">
      <c r="A2108" s="4"/>
      <c r="B2108" s="4"/>
      <c r="D2108" s="6" t="str">
        <f t="shared" si="142"/>
        <v/>
      </c>
      <c r="E2108" s="6" t="str">
        <f t="shared" si="143"/>
        <v/>
      </c>
      <c r="F2108" s="6" t="str">
        <f t="shared" si="144"/>
        <v/>
      </c>
      <c r="G2108" s="4"/>
      <c r="H2108" s="4"/>
      <c r="I2108" s="4"/>
      <c r="J2108" s="4"/>
      <c r="K2108" s="4"/>
      <c r="L2108" s="4"/>
      <c r="M2108" s="4"/>
      <c r="N2108" s="4"/>
      <c r="O2108" s="4"/>
      <c r="P2108" s="4"/>
      <c r="Q2108" s="4"/>
      <c r="R2108" s="14"/>
      <c r="S2108" s="14"/>
      <c r="T2108" s="14"/>
      <c r="U2108" s="14"/>
      <c r="V2108" s="14"/>
      <c r="W2108" s="14"/>
      <c r="X2108" s="1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c r="AV2108" s="4"/>
      <c r="AW2108" s="4"/>
      <c r="AX2108" s="4"/>
      <c r="AY2108" s="4"/>
      <c r="AZ2108" s="4"/>
      <c r="BA2108" s="4"/>
      <c r="BB2108" s="4"/>
      <c r="BC2108" s="4"/>
      <c r="BD2108" s="4"/>
      <c r="BE2108" s="4"/>
      <c r="BG2108" s="4"/>
      <c r="BH2108" s="4"/>
    </row>
    <row r="2109" spans="1:60" x14ac:dyDescent="0.35">
      <c r="A2109" s="4"/>
      <c r="B2109" s="4"/>
      <c r="D2109" s="6" t="str">
        <f t="shared" ref="D2109:D2172" si="145">IF(C2109="","",VLOOKUP(C2109,district_region,2,FALSE))</f>
        <v/>
      </c>
      <c r="E2109" s="6" t="str">
        <f t="shared" ref="E2109:E2172" si="146">IF(C2109="","",VLOOKUP(C2109,liste_pop,3,FALSE))</f>
        <v/>
      </c>
      <c r="F2109" s="6" t="str">
        <f t="shared" ref="F2109:F2172" si="147">IF(D2109="","",IF(D2109="Dakar",4042240,VLOOKUP(D2109,liste_pop,4,FALSE)))</f>
        <v/>
      </c>
      <c r="G2109" s="4"/>
      <c r="H2109" s="4"/>
      <c r="I2109" s="4"/>
      <c r="J2109" s="4"/>
      <c r="K2109" s="4"/>
      <c r="L2109" s="4"/>
      <c r="M2109" s="4"/>
      <c r="N2109" s="4"/>
      <c r="O2109" s="4"/>
      <c r="P2109" s="4"/>
      <c r="Q2109" s="4"/>
      <c r="R2109" s="14"/>
      <c r="S2109" s="14"/>
      <c r="T2109" s="14"/>
      <c r="U2109" s="14"/>
      <c r="V2109" s="14"/>
      <c r="W2109" s="14"/>
      <c r="X2109" s="1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4"/>
      <c r="AU2109" s="4"/>
      <c r="AV2109" s="4"/>
      <c r="AW2109" s="4"/>
      <c r="AX2109" s="4"/>
      <c r="AY2109" s="4"/>
      <c r="AZ2109" s="4"/>
      <c r="BA2109" s="4"/>
      <c r="BB2109" s="4"/>
      <c r="BC2109" s="4"/>
      <c r="BD2109" s="4"/>
      <c r="BE2109" s="4"/>
      <c r="BG2109" s="4"/>
      <c r="BH2109" s="4"/>
    </row>
    <row r="2110" spans="1:60" x14ac:dyDescent="0.35">
      <c r="A2110" s="4"/>
      <c r="B2110" s="4"/>
      <c r="D2110" s="6" t="str">
        <f t="shared" si="145"/>
        <v/>
      </c>
      <c r="E2110" s="6" t="str">
        <f t="shared" si="146"/>
        <v/>
      </c>
      <c r="F2110" s="6" t="str">
        <f t="shared" si="147"/>
        <v/>
      </c>
      <c r="G2110" s="4"/>
      <c r="H2110" s="4"/>
      <c r="I2110" s="4"/>
      <c r="J2110" s="4"/>
      <c r="K2110" s="4"/>
      <c r="L2110" s="4"/>
      <c r="M2110" s="4"/>
      <c r="N2110" s="4"/>
      <c r="O2110" s="4"/>
      <c r="P2110" s="4"/>
      <c r="Q2110" s="4"/>
      <c r="R2110" s="14"/>
      <c r="S2110" s="14"/>
      <c r="T2110" s="14"/>
      <c r="U2110" s="14"/>
      <c r="V2110" s="14"/>
      <c r="W2110" s="14"/>
      <c r="X2110" s="14"/>
      <c r="Y2110" s="4"/>
      <c r="Z2110" s="4"/>
      <c r="AA2110" s="4"/>
      <c r="AB2110" s="4"/>
      <c r="AC2110" s="4"/>
      <c r="AD2110" s="4"/>
      <c r="AE2110" s="4"/>
      <c r="AF2110" s="4"/>
      <c r="AG2110" s="4"/>
      <c r="AH2110" s="4"/>
      <c r="AI2110" s="4"/>
      <c r="AJ2110" s="4"/>
      <c r="AK2110" s="4"/>
      <c r="AL2110" s="4"/>
      <c r="AM2110" s="4"/>
      <c r="AN2110" s="4"/>
      <c r="AO2110" s="4"/>
      <c r="AP2110" s="4"/>
      <c r="AQ2110" s="4"/>
      <c r="AR2110" s="4"/>
      <c r="AS2110" s="4"/>
      <c r="AT2110" s="4"/>
      <c r="AU2110" s="4"/>
      <c r="AV2110" s="4"/>
      <c r="AW2110" s="4"/>
      <c r="AX2110" s="4"/>
      <c r="AY2110" s="4"/>
      <c r="AZ2110" s="4"/>
      <c r="BA2110" s="4"/>
      <c r="BB2110" s="4"/>
      <c r="BC2110" s="4"/>
      <c r="BD2110" s="4"/>
      <c r="BE2110" s="4"/>
      <c r="BG2110" s="4"/>
      <c r="BH2110" s="4"/>
    </row>
    <row r="2111" spans="1:60" x14ac:dyDescent="0.35">
      <c r="A2111" s="4"/>
      <c r="B2111" s="4"/>
      <c r="D2111" s="6" t="str">
        <f t="shared" si="145"/>
        <v/>
      </c>
      <c r="E2111" s="6" t="str">
        <f t="shared" si="146"/>
        <v/>
      </c>
      <c r="F2111" s="6" t="str">
        <f t="shared" si="147"/>
        <v/>
      </c>
      <c r="G2111" s="4"/>
      <c r="H2111" s="4"/>
      <c r="I2111" s="4"/>
      <c r="J2111" s="4"/>
      <c r="K2111" s="4"/>
      <c r="L2111" s="4"/>
      <c r="M2111" s="4"/>
      <c r="N2111" s="4"/>
      <c r="O2111" s="4"/>
      <c r="P2111" s="4"/>
      <c r="Q2111" s="4"/>
      <c r="R2111" s="14"/>
      <c r="S2111" s="14"/>
      <c r="T2111" s="14"/>
      <c r="U2111" s="14"/>
      <c r="V2111" s="14"/>
      <c r="W2111" s="14"/>
      <c r="X2111" s="1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c r="AX2111" s="4"/>
      <c r="AY2111" s="4"/>
      <c r="AZ2111" s="4"/>
      <c r="BA2111" s="4"/>
      <c r="BB2111" s="4"/>
      <c r="BC2111" s="4"/>
      <c r="BD2111" s="4"/>
      <c r="BE2111" s="4"/>
      <c r="BG2111" s="4"/>
      <c r="BH2111" s="4"/>
    </row>
    <row r="2112" spans="1:60" x14ac:dyDescent="0.35">
      <c r="A2112" s="4"/>
      <c r="B2112" s="4"/>
      <c r="D2112" s="6" t="str">
        <f t="shared" si="145"/>
        <v/>
      </c>
      <c r="E2112" s="6" t="str">
        <f t="shared" si="146"/>
        <v/>
      </c>
      <c r="F2112" s="6" t="str">
        <f t="shared" si="147"/>
        <v/>
      </c>
      <c r="G2112" s="4"/>
      <c r="H2112" s="4"/>
      <c r="I2112" s="4"/>
      <c r="J2112" s="4"/>
      <c r="K2112" s="4"/>
      <c r="L2112" s="4"/>
      <c r="M2112" s="4"/>
      <c r="N2112" s="4"/>
      <c r="O2112" s="4"/>
      <c r="P2112" s="4"/>
      <c r="Q2112" s="4"/>
      <c r="R2112" s="14"/>
      <c r="S2112" s="14"/>
      <c r="T2112" s="14"/>
      <c r="U2112" s="14"/>
      <c r="V2112" s="14"/>
      <c r="W2112" s="14"/>
      <c r="X2112" s="1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4"/>
      <c r="AU2112" s="4"/>
      <c r="AV2112" s="4"/>
      <c r="AW2112" s="4"/>
      <c r="AX2112" s="4"/>
      <c r="AY2112" s="4"/>
      <c r="AZ2112" s="4"/>
      <c r="BA2112" s="4"/>
      <c r="BB2112" s="4"/>
      <c r="BC2112" s="4"/>
      <c r="BD2112" s="4"/>
      <c r="BE2112" s="4"/>
      <c r="BG2112" s="4"/>
      <c r="BH2112" s="4"/>
    </row>
    <row r="2113" spans="1:60" x14ac:dyDescent="0.35">
      <c r="A2113" s="4"/>
      <c r="B2113" s="4"/>
      <c r="D2113" s="6" t="str">
        <f t="shared" si="145"/>
        <v/>
      </c>
      <c r="E2113" s="6" t="str">
        <f t="shared" si="146"/>
        <v/>
      </c>
      <c r="F2113" s="6" t="str">
        <f t="shared" si="147"/>
        <v/>
      </c>
      <c r="G2113" s="4"/>
      <c r="H2113" s="4"/>
      <c r="I2113" s="4"/>
      <c r="J2113" s="4"/>
      <c r="K2113" s="4"/>
      <c r="L2113" s="4"/>
      <c r="M2113" s="4"/>
      <c r="N2113" s="4"/>
      <c r="O2113" s="4"/>
      <c r="P2113" s="4"/>
      <c r="Q2113" s="4"/>
      <c r="R2113" s="14"/>
      <c r="S2113" s="14"/>
      <c r="T2113" s="14"/>
      <c r="U2113" s="14"/>
      <c r="V2113" s="14"/>
      <c r="W2113" s="14"/>
      <c r="X2113" s="1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4"/>
      <c r="AU2113" s="4"/>
      <c r="AV2113" s="4"/>
      <c r="AW2113" s="4"/>
      <c r="AX2113" s="4"/>
      <c r="AY2113" s="4"/>
      <c r="AZ2113" s="4"/>
      <c r="BA2113" s="4"/>
      <c r="BB2113" s="4"/>
      <c r="BC2113" s="4"/>
      <c r="BD2113" s="4"/>
      <c r="BE2113" s="4"/>
      <c r="BG2113" s="4"/>
      <c r="BH2113" s="4"/>
    </row>
    <row r="2114" spans="1:60" x14ac:dyDescent="0.35">
      <c r="A2114" s="4"/>
      <c r="B2114" s="4"/>
      <c r="D2114" s="6" t="str">
        <f t="shared" si="145"/>
        <v/>
      </c>
      <c r="E2114" s="6" t="str">
        <f t="shared" si="146"/>
        <v/>
      </c>
      <c r="F2114" s="6" t="str">
        <f t="shared" si="147"/>
        <v/>
      </c>
      <c r="G2114" s="4"/>
      <c r="H2114" s="4"/>
      <c r="I2114" s="4"/>
      <c r="J2114" s="4"/>
      <c r="K2114" s="4"/>
      <c r="L2114" s="4"/>
      <c r="M2114" s="4"/>
      <c r="N2114" s="4"/>
      <c r="O2114" s="4"/>
      <c r="P2114" s="4"/>
      <c r="Q2114" s="4"/>
      <c r="R2114" s="14"/>
      <c r="S2114" s="14"/>
      <c r="T2114" s="14"/>
      <c r="U2114" s="14"/>
      <c r="V2114" s="14"/>
      <c r="W2114" s="14"/>
      <c r="X2114" s="1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c r="AV2114" s="4"/>
      <c r="AW2114" s="4"/>
      <c r="AX2114" s="4"/>
      <c r="AY2114" s="4"/>
      <c r="AZ2114" s="4"/>
      <c r="BA2114" s="4"/>
      <c r="BB2114" s="4"/>
      <c r="BC2114" s="4"/>
      <c r="BD2114" s="4"/>
      <c r="BE2114" s="4"/>
      <c r="BG2114" s="4"/>
      <c r="BH2114" s="4"/>
    </row>
    <row r="2115" spans="1:60" x14ac:dyDescent="0.35">
      <c r="A2115" s="4"/>
      <c r="B2115" s="4"/>
      <c r="D2115" s="6" t="str">
        <f t="shared" si="145"/>
        <v/>
      </c>
      <c r="E2115" s="6" t="str">
        <f t="shared" si="146"/>
        <v/>
      </c>
      <c r="F2115" s="6" t="str">
        <f t="shared" si="147"/>
        <v/>
      </c>
      <c r="G2115" s="4"/>
      <c r="H2115" s="4"/>
      <c r="I2115" s="4"/>
      <c r="J2115" s="4"/>
      <c r="K2115" s="4"/>
      <c r="L2115" s="4"/>
      <c r="M2115" s="4"/>
      <c r="N2115" s="4"/>
      <c r="O2115" s="4"/>
      <c r="P2115" s="4"/>
      <c r="Q2115" s="4"/>
      <c r="R2115" s="14"/>
      <c r="S2115" s="14"/>
      <c r="T2115" s="14"/>
      <c r="U2115" s="14"/>
      <c r="V2115" s="14"/>
      <c r="W2115" s="14"/>
      <c r="X2115" s="14"/>
      <c r="Y2115" s="4"/>
      <c r="Z2115" s="4"/>
      <c r="AA2115" s="4"/>
      <c r="AB2115" s="4"/>
      <c r="AC2115" s="4"/>
      <c r="AD2115" s="4"/>
      <c r="AE2115" s="4"/>
      <c r="AF2115" s="4"/>
      <c r="AG2115" s="4"/>
      <c r="AH2115" s="4"/>
      <c r="AI2115" s="4"/>
      <c r="AJ2115" s="4"/>
      <c r="AK2115" s="4"/>
      <c r="AL2115" s="4"/>
      <c r="AM2115" s="4"/>
      <c r="AN2115" s="4"/>
      <c r="AO2115" s="4"/>
      <c r="AP2115" s="4"/>
      <c r="AQ2115" s="4"/>
      <c r="AR2115" s="4"/>
      <c r="AS2115" s="4"/>
      <c r="AT2115" s="4"/>
      <c r="AU2115" s="4"/>
      <c r="AV2115" s="4"/>
      <c r="AW2115" s="4"/>
      <c r="AX2115" s="4"/>
      <c r="AY2115" s="4"/>
      <c r="AZ2115" s="4"/>
      <c r="BA2115" s="4"/>
      <c r="BB2115" s="4"/>
      <c r="BC2115" s="4"/>
      <c r="BD2115" s="4"/>
      <c r="BE2115" s="4"/>
      <c r="BG2115" s="4"/>
      <c r="BH2115" s="4"/>
    </row>
    <row r="2116" spans="1:60" x14ac:dyDescent="0.35">
      <c r="A2116" s="4"/>
      <c r="B2116" s="4"/>
      <c r="D2116" s="6" t="str">
        <f t="shared" si="145"/>
        <v/>
      </c>
      <c r="E2116" s="6" t="str">
        <f t="shared" si="146"/>
        <v/>
      </c>
      <c r="F2116" s="6" t="str">
        <f t="shared" si="147"/>
        <v/>
      </c>
      <c r="G2116" s="4"/>
      <c r="H2116" s="4"/>
      <c r="I2116" s="4"/>
      <c r="J2116" s="4"/>
      <c r="K2116" s="4"/>
      <c r="L2116" s="4"/>
      <c r="M2116" s="4"/>
      <c r="N2116" s="4"/>
      <c r="O2116" s="4"/>
      <c r="P2116" s="4"/>
      <c r="Q2116" s="4"/>
      <c r="R2116" s="14"/>
      <c r="S2116" s="14"/>
      <c r="T2116" s="14"/>
      <c r="U2116" s="14"/>
      <c r="V2116" s="14"/>
      <c r="W2116" s="14"/>
      <c r="X2116" s="1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4"/>
      <c r="AU2116" s="4"/>
      <c r="AV2116" s="4"/>
      <c r="AW2116" s="4"/>
      <c r="AX2116" s="4"/>
      <c r="AY2116" s="4"/>
      <c r="AZ2116" s="4"/>
      <c r="BA2116" s="4"/>
      <c r="BB2116" s="4"/>
      <c r="BC2116" s="4"/>
      <c r="BD2116" s="4"/>
      <c r="BE2116" s="4"/>
      <c r="BG2116" s="4"/>
      <c r="BH2116" s="4"/>
    </row>
    <row r="2117" spans="1:60" x14ac:dyDescent="0.35">
      <c r="A2117" s="4"/>
      <c r="B2117" s="4"/>
      <c r="D2117" s="6" t="str">
        <f t="shared" si="145"/>
        <v/>
      </c>
      <c r="E2117" s="6" t="str">
        <f t="shared" si="146"/>
        <v/>
      </c>
      <c r="F2117" s="6" t="str">
        <f t="shared" si="147"/>
        <v/>
      </c>
      <c r="G2117" s="4"/>
      <c r="H2117" s="4"/>
      <c r="I2117" s="4"/>
      <c r="J2117" s="4"/>
      <c r="K2117" s="4"/>
      <c r="L2117" s="4"/>
      <c r="M2117" s="4"/>
      <c r="N2117" s="4"/>
      <c r="O2117" s="4"/>
      <c r="P2117" s="4"/>
      <c r="Q2117" s="4"/>
      <c r="R2117" s="14"/>
      <c r="S2117" s="14"/>
      <c r="T2117" s="14"/>
      <c r="U2117" s="14"/>
      <c r="V2117" s="14"/>
      <c r="W2117" s="14"/>
      <c r="X2117" s="1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c r="AX2117" s="4"/>
      <c r="AY2117" s="4"/>
      <c r="AZ2117" s="4"/>
      <c r="BA2117" s="4"/>
      <c r="BB2117" s="4"/>
      <c r="BC2117" s="4"/>
      <c r="BD2117" s="4"/>
      <c r="BE2117" s="4"/>
      <c r="BG2117" s="4"/>
      <c r="BH2117" s="4"/>
    </row>
    <row r="2118" spans="1:60" x14ac:dyDescent="0.35">
      <c r="A2118" s="4"/>
      <c r="B2118" s="4"/>
      <c r="D2118" s="6" t="str">
        <f t="shared" si="145"/>
        <v/>
      </c>
      <c r="E2118" s="6" t="str">
        <f t="shared" si="146"/>
        <v/>
      </c>
      <c r="F2118" s="6" t="str">
        <f t="shared" si="147"/>
        <v/>
      </c>
      <c r="G2118" s="4"/>
      <c r="H2118" s="4"/>
      <c r="I2118" s="4"/>
      <c r="J2118" s="4"/>
      <c r="K2118" s="4"/>
      <c r="L2118" s="4"/>
      <c r="M2118" s="4"/>
      <c r="N2118" s="4"/>
      <c r="O2118" s="4"/>
      <c r="P2118" s="4"/>
      <c r="Q2118" s="4"/>
      <c r="R2118" s="14"/>
      <c r="S2118" s="14"/>
      <c r="T2118" s="14"/>
      <c r="U2118" s="14"/>
      <c r="V2118" s="14"/>
      <c r="W2118" s="14"/>
      <c r="X2118" s="1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c r="AV2118" s="4"/>
      <c r="AW2118" s="4"/>
      <c r="AX2118" s="4"/>
      <c r="AY2118" s="4"/>
      <c r="AZ2118" s="4"/>
      <c r="BA2118" s="4"/>
      <c r="BB2118" s="4"/>
      <c r="BC2118" s="4"/>
      <c r="BD2118" s="4"/>
      <c r="BE2118" s="4"/>
      <c r="BG2118" s="4"/>
      <c r="BH2118" s="4"/>
    </row>
    <row r="2119" spans="1:60" x14ac:dyDescent="0.35">
      <c r="A2119" s="4"/>
      <c r="B2119" s="4"/>
      <c r="D2119" s="6" t="str">
        <f t="shared" si="145"/>
        <v/>
      </c>
      <c r="E2119" s="6" t="str">
        <f t="shared" si="146"/>
        <v/>
      </c>
      <c r="F2119" s="6" t="str">
        <f t="shared" si="147"/>
        <v/>
      </c>
      <c r="G2119" s="4"/>
      <c r="H2119" s="4"/>
      <c r="I2119" s="4"/>
      <c r="J2119" s="4"/>
      <c r="K2119" s="4"/>
      <c r="L2119" s="4"/>
      <c r="M2119" s="4"/>
      <c r="N2119" s="4"/>
      <c r="O2119" s="4"/>
      <c r="P2119" s="4"/>
      <c r="Q2119" s="4"/>
      <c r="R2119" s="14"/>
      <c r="S2119" s="14"/>
      <c r="T2119" s="14"/>
      <c r="U2119" s="14"/>
      <c r="V2119" s="14"/>
      <c r="W2119" s="14"/>
      <c r="X2119" s="1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c r="AX2119" s="4"/>
      <c r="AY2119" s="4"/>
      <c r="AZ2119" s="4"/>
      <c r="BA2119" s="4"/>
      <c r="BB2119" s="4"/>
      <c r="BC2119" s="4"/>
      <c r="BD2119" s="4"/>
      <c r="BE2119" s="4"/>
      <c r="BG2119" s="4"/>
      <c r="BH2119" s="4"/>
    </row>
    <row r="2120" spans="1:60" x14ac:dyDescent="0.35">
      <c r="A2120" s="4"/>
      <c r="B2120" s="4"/>
      <c r="D2120" s="6" t="str">
        <f t="shared" si="145"/>
        <v/>
      </c>
      <c r="E2120" s="6" t="str">
        <f t="shared" si="146"/>
        <v/>
      </c>
      <c r="F2120" s="6" t="str">
        <f t="shared" si="147"/>
        <v/>
      </c>
      <c r="G2120" s="4"/>
      <c r="H2120" s="4"/>
      <c r="I2120" s="4"/>
      <c r="J2120" s="4"/>
      <c r="K2120" s="4"/>
      <c r="L2120" s="4"/>
      <c r="M2120" s="4"/>
      <c r="N2120" s="4"/>
      <c r="O2120" s="4"/>
      <c r="P2120" s="4"/>
      <c r="Q2120" s="4"/>
      <c r="R2120" s="14"/>
      <c r="S2120" s="14"/>
      <c r="T2120" s="14"/>
      <c r="U2120" s="14"/>
      <c r="V2120" s="14"/>
      <c r="W2120" s="14"/>
      <c r="X2120" s="1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4"/>
      <c r="AU2120" s="4"/>
      <c r="AV2120" s="4"/>
      <c r="AW2120" s="4"/>
      <c r="AX2120" s="4"/>
      <c r="AY2120" s="4"/>
      <c r="AZ2120" s="4"/>
      <c r="BA2120" s="4"/>
      <c r="BB2120" s="4"/>
      <c r="BC2120" s="4"/>
      <c r="BD2120" s="4"/>
      <c r="BE2120" s="4"/>
      <c r="BG2120" s="4"/>
      <c r="BH2120" s="4"/>
    </row>
    <row r="2121" spans="1:60" x14ac:dyDescent="0.35">
      <c r="A2121" s="4"/>
      <c r="B2121" s="4"/>
      <c r="D2121" s="6" t="str">
        <f t="shared" si="145"/>
        <v/>
      </c>
      <c r="E2121" s="6" t="str">
        <f t="shared" si="146"/>
        <v/>
      </c>
      <c r="F2121" s="6" t="str">
        <f t="shared" si="147"/>
        <v/>
      </c>
      <c r="G2121" s="4"/>
      <c r="H2121" s="4"/>
      <c r="I2121" s="4"/>
      <c r="J2121" s="4"/>
      <c r="K2121" s="4"/>
      <c r="L2121" s="4"/>
      <c r="M2121" s="4"/>
      <c r="N2121" s="4"/>
      <c r="O2121" s="4"/>
      <c r="P2121" s="4"/>
      <c r="Q2121" s="4"/>
      <c r="R2121" s="14"/>
      <c r="S2121" s="14"/>
      <c r="T2121" s="14"/>
      <c r="U2121" s="14"/>
      <c r="V2121" s="14"/>
      <c r="W2121" s="14"/>
      <c r="X2121" s="1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c r="AX2121" s="4"/>
      <c r="AY2121" s="4"/>
      <c r="AZ2121" s="4"/>
      <c r="BA2121" s="4"/>
      <c r="BB2121" s="4"/>
      <c r="BC2121" s="4"/>
      <c r="BD2121" s="4"/>
      <c r="BE2121" s="4"/>
      <c r="BG2121" s="4"/>
      <c r="BH2121" s="4"/>
    </row>
    <row r="2122" spans="1:60" x14ac:dyDescent="0.35">
      <c r="A2122" s="4"/>
      <c r="B2122" s="4"/>
      <c r="D2122" s="6" t="str">
        <f t="shared" si="145"/>
        <v/>
      </c>
      <c r="E2122" s="6" t="str">
        <f t="shared" si="146"/>
        <v/>
      </c>
      <c r="F2122" s="6" t="str">
        <f t="shared" si="147"/>
        <v/>
      </c>
      <c r="G2122" s="4"/>
      <c r="H2122" s="4"/>
      <c r="I2122" s="4"/>
      <c r="J2122" s="4"/>
      <c r="K2122" s="4"/>
      <c r="L2122" s="4"/>
      <c r="M2122" s="4"/>
      <c r="N2122" s="4"/>
      <c r="O2122" s="4"/>
      <c r="P2122" s="4"/>
      <c r="Q2122" s="4"/>
      <c r="R2122" s="14"/>
      <c r="S2122" s="14"/>
      <c r="T2122" s="14"/>
      <c r="U2122" s="14"/>
      <c r="V2122" s="14"/>
      <c r="W2122" s="14"/>
      <c r="X2122" s="14"/>
      <c r="Y2122" s="4"/>
      <c r="Z2122" s="4"/>
      <c r="AA2122" s="4"/>
      <c r="AB2122" s="4"/>
      <c r="AC2122" s="4"/>
      <c r="AD2122" s="4"/>
      <c r="AE2122" s="4"/>
      <c r="AF2122" s="4"/>
      <c r="AG2122" s="4"/>
      <c r="AH2122" s="4"/>
      <c r="AI2122" s="4"/>
      <c r="AJ2122" s="4"/>
      <c r="AK2122" s="4"/>
      <c r="AL2122" s="4"/>
      <c r="AM2122" s="4"/>
      <c r="AN2122" s="4"/>
      <c r="AO2122" s="4"/>
      <c r="AP2122" s="4"/>
      <c r="AQ2122" s="4"/>
      <c r="AR2122" s="4"/>
      <c r="AS2122" s="4"/>
      <c r="AT2122" s="4"/>
      <c r="AU2122" s="4"/>
      <c r="AV2122" s="4"/>
      <c r="AW2122" s="4"/>
      <c r="AX2122" s="4"/>
      <c r="AY2122" s="4"/>
      <c r="AZ2122" s="4"/>
      <c r="BA2122" s="4"/>
      <c r="BB2122" s="4"/>
      <c r="BC2122" s="4"/>
      <c r="BD2122" s="4"/>
      <c r="BE2122" s="4"/>
      <c r="BG2122" s="4"/>
      <c r="BH2122" s="4"/>
    </row>
    <row r="2123" spans="1:60" x14ac:dyDescent="0.35">
      <c r="A2123" s="4"/>
      <c r="B2123" s="4"/>
      <c r="D2123" s="6" t="str">
        <f t="shared" si="145"/>
        <v/>
      </c>
      <c r="E2123" s="6" t="str">
        <f t="shared" si="146"/>
        <v/>
      </c>
      <c r="F2123" s="6" t="str">
        <f t="shared" si="147"/>
        <v/>
      </c>
      <c r="G2123" s="4"/>
      <c r="H2123" s="4"/>
      <c r="I2123" s="4"/>
      <c r="J2123" s="4"/>
      <c r="K2123" s="4"/>
      <c r="L2123" s="4"/>
      <c r="M2123" s="4"/>
      <c r="N2123" s="4"/>
      <c r="O2123" s="4"/>
      <c r="P2123" s="4"/>
      <c r="Q2123" s="4"/>
      <c r="R2123" s="14"/>
      <c r="S2123" s="14"/>
      <c r="T2123" s="14"/>
      <c r="U2123" s="14"/>
      <c r="V2123" s="14"/>
      <c r="W2123" s="14"/>
      <c r="X2123" s="1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4"/>
      <c r="AU2123" s="4"/>
      <c r="AV2123" s="4"/>
      <c r="AW2123" s="4"/>
      <c r="AX2123" s="4"/>
      <c r="AY2123" s="4"/>
      <c r="AZ2123" s="4"/>
      <c r="BA2123" s="4"/>
      <c r="BB2123" s="4"/>
      <c r="BC2123" s="4"/>
      <c r="BD2123" s="4"/>
      <c r="BE2123" s="4"/>
      <c r="BG2123" s="4"/>
      <c r="BH2123" s="4"/>
    </row>
    <row r="2124" spans="1:60" x14ac:dyDescent="0.35">
      <c r="A2124" s="4"/>
      <c r="B2124" s="4"/>
      <c r="D2124" s="6" t="str">
        <f t="shared" si="145"/>
        <v/>
      </c>
      <c r="E2124" s="6" t="str">
        <f t="shared" si="146"/>
        <v/>
      </c>
      <c r="F2124" s="6" t="str">
        <f t="shared" si="147"/>
        <v/>
      </c>
      <c r="G2124" s="4"/>
      <c r="H2124" s="4"/>
      <c r="I2124" s="4"/>
      <c r="J2124" s="4"/>
      <c r="K2124" s="4"/>
      <c r="L2124" s="4"/>
      <c r="M2124" s="4"/>
      <c r="N2124" s="4"/>
      <c r="O2124" s="4"/>
      <c r="P2124" s="4"/>
      <c r="Q2124" s="4"/>
      <c r="R2124" s="14"/>
      <c r="S2124" s="14"/>
      <c r="T2124" s="14"/>
      <c r="U2124" s="14"/>
      <c r="V2124" s="14"/>
      <c r="W2124" s="14"/>
      <c r="X2124" s="1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c r="AV2124" s="4"/>
      <c r="AW2124" s="4"/>
      <c r="AX2124" s="4"/>
      <c r="AY2124" s="4"/>
      <c r="AZ2124" s="4"/>
      <c r="BA2124" s="4"/>
      <c r="BB2124" s="4"/>
      <c r="BC2124" s="4"/>
      <c r="BD2124" s="4"/>
      <c r="BE2124" s="4"/>
      <c r="BG2124" s="4"/>
      <c r="BH2124" s="4"/>
    </row>
    <row r="2125" spans="1:60" x14ac:dyDescent="0.35">
      <c r="A2125" s="4"/>
      <c r="B2125" s="4"/>
      <c r="D2125" s="6" t="str">
        <f t="shared" si="145"/>
        <v/>
      </c>
      <c r="E2125" s="6" t="str">
        <f t="shared" si="146"/>
        <v/>
      </c>
      <c r="F2125" s="6" t="str">
        <f t="shared" si="147"/>
        <v/>
      </c>
      <c r="G2125" s="4"/>
      <c r="H2125" s="4"/>
      <c r="I2125" s="4"/>
      <c r="J2125" s="4"/>
      <c r="K2125" s="4"/>
      <c r="L2125" s="4"/>
      <c r="M2125" s="4"/>
      <c r="N2125" s="4"/>
      <c r="O2125" s="4"/>
      <c r="P2125" s="4"/>
      <c r="Q2125" s="4"/>
      <c r="R2125" s="14"/>
      <c r="S2125" s="14"/>
      <c r="T2125" s="14"/>
      <c r="U2125" s="14"/>
      <c r="V2125" s="14"/>
      <c r="W2125" s="14"/>
      <c r="X2125" s="1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4"/>
      <c r="AU2125" s="4"/>
      <c r="AV2125" s="4"/>
      <c r="AW2125" s="4"/>
      <c r="AX2125" s="4"/>
      <c r="AY2125" s="4"/>
      <c r="AZ2125" s="4"/>
      <c r="BA2125" s="4"/>
      <c r="BB2125" s="4"/>
      <c r="BC2125" s="4"/>
      <c r="BD2125" s="4"/>
      <c r="BE2125" s="4"/>
      <c r="BG2125" s="4"/>
      <c r="BH2125" s="4"/>
    </row>
    <row r="2126" spans="1:60" x14ac:dyDescent="0.35">
      <c r="A2126" s="4"/>
      <c r="B2126" s="4"/>
      <c r="D2126" s="6" t="str">
        <f t="shared" si="145"/>
        <v/>
      </c>
      <c r="E2126" s="6" t="str">
        <f t="shared" si="146"/>
        <v/>
      </c>
      <c r="F2126" s="6" t="str">
        <f t="shared" si="147"/>
        <v/>
      </c>
      <c r="G2126" s="4"/>
      <c r="H2126" s="4"/>
      <c r="I2126" s="4"/>
      <c r="J2126" s="4"/>
      <c r="K2126" s="4"/>
      <c r="L2126" s="4"/>
      <c r="M2126" s="4"/>
      <c r="N2126" s="4"/>
      <c r="O2126" s="4"/>
      <c r="P2126" s="4"/>
      <c r="Q2126" s="4"/>
      <c r="R2126" s="14"/>
      <c r="S2126" s="14"/>
      <c r="T2126" s="14"/>
      <c r="U2126" s="14"/>
      <c r="V2126" s="14"/>
      <c r="W2126" s="14"/>
      <c r="X2126" s="1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4"/>
      <c r="AU2126" s="4"/>
      <c r="AV2126" s="4"/>
      <c r="AW2126" s="4"/>
      <c r="AX2126" s="4"/>
      <c r="AY2126" s="4"/>
      <c r="AZ2126" s="4"/>
      <c r="BA2126" s="4"/>
      <c r="BB2126" s="4"/>
      <c r="BC2126" s="4"/>
      <c r="BD2126" s="4"/>
      <c r="BE2126" s="4"/>
      <c r="BG2126" s="4"/>
      <c r="BH2126" s="4"/>
    </row>
    <row r="2127" spans="1:60" x14ac:dyDescent="0.35">
      <c r="A2127" s="4"/>
      <c r="B2127" s="4"/>
      <c r="D2127" s="6" t="str">
        <f t="shared" si="145"/>
        <v/>
      </c>
      <c r="E2127" s="6" t="str">
        <f t="shared" si="146"/>
        <v/>
      </c>
      <c r="F2127" s="6" t="str">
        <f t="shared" si="147"/>
        <v/>
      </c>
      <c r="G2127" s="4"/>
      <c r="H2127" s="4"/>
      <c r="I2127" s="4"/>
      <c r="J2127" s="4"/>
      <c r="K2127" s="4"/>
      <c r="L2127" s="4"/>
      <c r="M2127" s="4"/>
      <c r="N2127" s="4"/>
      <c r="O2127" s="4"/>
      <c r="P2127" s="4"/>
      <c r="Q2127" s="4"/>
      <c r="R2127" s="14"/>
      <c r="S2127" s="14"/>
      <c r="T2127" s="14"/>
      <c r="U2127" s="14"/>
      <c r="V2127" s="14"/>
      <c r="W2127" s="14"/>
      <c r="X2127" s="1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4"/>
      <c r="AU2127" s="4"/>
      <c r="AV2127" s="4"/>
      <c r="AW2127" s="4"/>
      <c r="AX2127" s="4"/>
      <c r="AY2127" s="4"/>
      <c r="AZ2127" s="4"/>
      <c r="BA2127" s="4"/>
      <c r="BB2127" s="4"/>
      <c r="BC2127" s="4"/>
      <c r="BD2127" s="4"/>
      <c r="BE2127" s="4"/>
      <c r="BG2127" s="4"/>
      <c r="BH2127" s="4"/>
    </row>
    <row r="2128" spans="1:60" x14ac:dyDescent="0.35">
      <c r="A2128" s="4"/>
      <c r="B2128" s="4"/>
      <c r="D2128" s="6" t="str">
        <f t="shared" si="145"/>
        <v/>
      </c>
      <c r="E2128" s="6" t="str">
        <f t="shared" si="146"/>
        <v/>
      </c>
      <c r="F2128" s="6" t="str">
        <f t="shared" si="147"/>
        <v/>
      </c>
      <c r="G2128" s="4"/>
      <c r="H2128" s="4"/>
      <c r="I2128" s="4"/>
      <c r="J2128" s="4"/>
      <c r="K2128" s="4"/>
      <c r="L2128" s="4"/>
      <c r="M2128" s="4"/>
      <c r="N2128" s="4"/>
      <c r="O2128" s="4"/>
      <c r="P2128" s="4"/>
      <c r="Q2128" s="4"/>
      <c r="R2128" s="14"/>
      <c r="S2128" s="14"/>
      <c r="T2128" s="14"/>
      <c r="U2128" s="14"/>
      <c r="V2128" s="14"/>
      <c r="W2128" s="14"/>
      <c r="X2128" s="1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4"/>
      <c r="AU2128" s="4"/>
      <c r="AV2128" s="4"/>
      <c r="AW2128" s="4"/>
      <c r="AX2128" s="4"/>
      <c r="AY2128" s="4"/>
      <c r="AZ2128" s="4"/>
      <c r="BA2128" s="4"/>
      <c r="BB2128" s="4"/>
      <c r="BC2128" s="4"/>
      <c r="BD2128" s="4"/>
      <c r="BE2128" s="4"/>
      <c r="BG2128" s="4"/>
      <c r="BH2128" s="4"/>
    </row>
    <row r="2129" spans="1:60" x14ac:dyDescent="0.35">
      <c r="A2129" s="4"/>
      <c r="B2129" s="4"/>
      <c r="D2129" s="6" t="str">
        <f t="shared" si="145"/>
        <v/>
      </c>
      <c r="E2129" s="6" t="str">
        <f t="shared" si="146"/>
        <v/>
      </c>
      <c r="F2129" s="6" t="str">
        <f t="shared" si="147"/>
        <v/>
      </c>
      <c r="G2129" s="4"/>
      <c r="H2129" s="4"/>
      <c r="I2129" s="4"/>
      <c r="J2129" s="4"/>
      <c r="K2129" s="4"/>
      <c r="L2129" s="4"/>
      <c r="M2129" s="4"/>
      <c r="N2129" s="4"/>
      <c r="O2129" s="4"/>
      <c r="P2129" s="4"/>
      <c r="Q2129" s="4"/>
      <c r="R2129" s="14"/>
      <c r="S2129" s="14"/>
      <c r="T2129" s="14"/>
      <c r="U2129" s="14"/>
      <c r="V2129" s="14"/>
      <c r="W2129" s="14"/>
      <c r="X2129" s="1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c r="AV2129" s="4"/>
      <c r="AW2129" s="4"/>
      <c r="AX2129" s="4"/>
      <c r="AY2129" s="4"/>
      <c r="AZ2129" s="4"/>
      <c r="BA2129" s="4"/>
      <c r="BB2129" s="4"/>
      <c r="BC2129" s="4"/>
      <c r="BD2129" s="4"/>
      <c r="BE2129" s="4"/>
      <c r="BG2129" s="4"/>
      <c r="BH2129" s="4"/>
    </row>
    <row r="2130" spans="1:60" x14ac:dyDescent="0.35">
      <c r="A2130" s="4"/>
      <c r="B2130" s="4"/>
      <c r="D2130" s="6" t="str">
        <f t="shared" si="145"/>
        <v/>
      </c>
      <c r="E2130" s="6" t="str">
        <f t="shared" si="146"/>
        <v/>
      </c>
      <c r="F2130" s="6" t="str">
        <f t="shared" si="147"/>
        <v/>
      </c>
      <c r="G2130" s="4"/>
      <c r="H2130" s="4"/>
      <c r="I2130" s="4"/>
      <c r="J2130" s="4"/>
      <c r="K2130" s="4"/>
      <c r="L2130" s="4"/>
      <c r="M2130" s="4"/>
      <c r="N2130" s="4"/>
      <c r="O2130" s="4"/>
      <c r="P2130" s="4"/>
      <c r="Q2130" s="4"/>
      <c r="R2130" s="14"/>
      <c r="S2130" s="14"/>
      <c r="T2130" s="14"/>
      <c r="U2130" s="14"/>
      <c r="V2130" s="14"/>
      <c r="W2130" s="14"/>
      <c r="X2130" s="1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4"/>
      <c r="AU2130" s="4"/>
      <c r="AV2130" s="4"/>
      <c r="AW2130" s="4"/>
      <c r="AX2130" s="4"/>
      <c r="AY2130" s="4"/>
      <c r="AZ2130" s="4"/>
      <c r="BA2130" s="4"/>
      <c r="BB2130" s="4"/>
      <c r="BC2130" s="4"/>
      <c r="BD2130" s="4"/>
      <c r="BE2130" s="4"/>
      <c r="BG2130" s="4"/>
      <c r="BH2130" s="4"/>
    </row>
    <row r="2131" spans="1:60" x14ac:dyDescent="0.35">
      <c r="A2131" s="4"/>
      <c r="B2131" s="4"/>
      <c r="D2131" s="6" t="str">
        <f t="shared" si="145"/>
        <v/>
      </c>
      <c r="E2131" s="6" t="str">
        <f t="shared" si="146"/>
        <v/>
      </c>
      <c r="F2131" s="6" t="str">
        <f t="shared" si="147"/>
        <v/>
      </c>
      <c r="G2131" s="4"/>
      <c r="H2131" s="4"/>
      <c r="I2131" s="4"/>
      <c r="J2131" s="4"/>
      <c r="K2131" s="4"/>
      <c r="L2131" s="4"/>
      <c r="M2131" s="4"/>
      <c r="N2131" s="4"/>
      <c r="O2131" s="4"/>
      <c r="P2131" s="4"/>
      <c r="Q2131" s="4"/>
      <c r="R2131" s="14"/>
      <c r="S2131" s="14"/>
      <c r="T2131" s="14"/>
      <c r="U2131" s="14"/>
      <c r="V2131" s="14"/>
      <c r="W2131" s="14"/>
      <c r="X2131" s="1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4"/>
      <c r="AU2131" s="4"/>
      <c r="AV2131" s="4"/>
      <c r="AW2131" s="4"/>
      <c r="AX2131" s="4"/>
      <c r="AY2131" s="4"/>
      <c r="AZ2131" s="4"/>
      <c r="BA2131" s="4"/>
      <c r="BB2131" s="4"/>
      <c r="BC2131" s="4"/>
      <c r="BD2131" s="4"/>
      <c r="BE2131" s="4"/>
      <c r="BG2131" s="4"/>
      <c r="BH2131" s="4"/>
    </row>
    <row r="2132" spans="1:60" x14ac:dyDescent="0.35">
      <c r="A2132" s="4"/>
      <c r="B2132" s="4"/>
      <c r="D2132" s="6" t="str">
        <f t="shared" si="145"/>
        <v/>
      </c>
      <c r="E2132" s="6" t="str">
        <f t="shared" si="146"/>
        <v/>
      </c>
      <c r="F2132" s="6" t="str">
        <f t="shared" si="147"/>
        <v/>
      </c>
      <c r="G2132" s="4"/>
      <c r="H2132" s="4"/>
      <c r="I2132" s="4"/>
      <c r="J2132" s="4"/>
      <c r="K2132" s="4"/>
      <c r="L2132" s="4"/>
      <c r="M2132" s="4"/>
      <c r="N2132" s="4"/>
      <c r="O2132" s="4"/>
      <c r="P2132" s="4"/>
      <c r="Q2132" s="4"/>
      <c r="R2132" s="14"/>
      <c r="S2132" s="14"/>
      <c r="T2132" s="14"/>
      <c r="U2132" s="14"/>
      <c r="V2132" s="14"/>
      <c r="W2132" s="14"/>
      <c r="X2132" s="1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c r="AV2132" s="4"/>
      <c r="AW2132" s="4"/>
      <c r="AX2132" s="4"/>
      <c r="AY2132" s="4"/>
      <c r="AZ2132" s="4"/>
      <c r="BA2132" s="4"/>
      <c r="BB2132" s="4"/>
      <c r="BC2132" s="4"/>
      <c r="BD2132" s="4"/>
      <c r="BE2132" s="4"/>
      <c r="BG2132" s="4"/>
      <c r="BH2132" s="4"/>
    </row>
    <row r="2133" spans="1:60" x14ac:dyDescent="0.35">
      <c r="A2133" s="4"/>
      <c r="B2133" s="4"/>
      <c r="D2133" s="6" t="str">
        <f t="shared" si="145"/>
        <v/>
      </c>
      <c r="E2133" s="6" t="str">
        <f t="shared" si="146"/>
        <v/>
      </c>
      <c r="F2133" s="6" t="str">
        <f t="shared" si="147"/>
        <v/>
      </c>
      <c r="G2133" s="4"/>
      <c r="H2133" s="4"/>
      <c r="I2133" s="4"/>
      <c r="J2133" s="4"/>
      <c r="K2133" s="4"/>
      <c r="L2133" s="4"/>
      <c r="M2133" s="4"/>
      <c r="N2133" s="4"/>
      <c r="O2133" s="4"/>
      <c r="P2133" s="4"/>
      <c r="Q2133" s="4"/>
      <c r="R2133" s="14"/>
      <c r="S2133" s="14"/>
      <c r="T2133" s="14"/>
      <c r="U2133" s="14"/>
      <c r="V2133" s="14"/>
      <c r="W2133" s="14"/>
      <c r="X2133" s="1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4"/>
      <c r="AU2133" s="4"/>
      <c r="AV2133" s="4"/>
      <c r="AW2133" s="4"/>
      <c r="AX2133" s="4"/>
      <c r="AY2133" s="4"/>
      <c r="AZ2133" s="4"/>
      <c r="BA2133" s="4"/>
      <c r="BB2133" s="4"/>
      <c r="BC2133" s="4"/>
      <c r="BD2133" s="4"/>
      <c r="BE2133" s="4"/>
      <c r="BG2133" s="4"/>
      <c r="BH2133" s="4"/>
    </row>
    <row r="2134" spans="1:60" x14ac:dyDescent="0.35">
      <c r="A2134" s="4"/>
      <c r="B2134" s="4"/>
      <c r="D2134" s="6" t="str">
        <f t="shared" si="145"/>
        <v/>
      </c>
      <c r="E2134" s="6" t="str">
        <f t="shared" si="146"/>
        <v/>
      </c>
      <c r="F2134" s="6" t="str">
        <f t="shared" si="147"/>
        <v/>
      </c>
      <c r="G2134" s="4"/>
      <c r="H2134" s="4"/>
      <c r="I2134" s="4"/>
      <c r="J2134" s="4"/>
      <c r="K2134" s="4"/>
      <c r="L2134" s="4"/>
      <c r="M2134" s="4"/>
      <c r="N2134" s="4"/>
      <c r="O2134" s="4"/>
      <c r="P2134" s="4"/>
      <c r="Q2134" s="4"/>
      <c r="R2134" s="14"/>
      <c r="S2134" s="14"/>
      <c r="T2134" s="14"/>
      <c r="U2134" s="14"/>
      <c r="V2134" s="14"/>
      <c r="W2134" s="14"/>
      <c r="X2134" s="1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4"/>
      <c r="AU2134" s="4"/>
      <c r="AV2134" s="4"/>
      <c r="AW2134" s="4"/>
      <c r="AX2134" s="4"/>
      <c r="AY2134" s="4"/>
      <c r="AZ2134" s="4"/>
      <c r="BA2134" s="4"/>
      <c r="BB2134" s="4"/>
      <c r="BC2134" s="4"/>
      <c r="BD2134" s="4"/>
      <c r="BE2134" s="4"/>
      <c r="BG2134" s="4"/>
      <c r="BH2134" s="4"/>
    </row>
    <row r="2135" spans="1:60" x14ac:dyDescent="0.35">
      <c r="A2135" s="4"/>
      <c r="B2135" s="4"/>
      <c r="D2135" s="6" t="str">
        <f t="shared" si="145"/>
        <v/>
      </c>
      <c r="E2135" s="6" t="str">
        <f t="shared" si="146"/>
        <v/>
      </c>
      <c r="F2135" s="6" t="str">
        <f t="shared" si="147"/>
        <v/>
      </c>
      <c r="G2135" s="4"/>
      <c r="H2135" s="4"/>
      <c r="I2135" s="4"/>
      <c r="J2135" s="4"/>
      <c r="K2135" s="4"/>
      <c r="L2135" s="4"/>
      <c r="M2135" s="4"/>
      <c r="N2135" s="4"/>
      <c r="O2135" s="4"/>
      <c r="P2135" s="4"/>
      <c r="Q2135" s="4"/>
      <c r="R2135" s="14"/>
      <c r="S2135" s="14"/>
      <c r="T2135" s="14"/>
      <c r="U2135" s="14"/>
      <c r="V2135" s="14"/>
      <c r="W2135" s="14"/>
      <c r="X2135" s="1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c r="AV2135" s="4"/>
      <c r="AW2135" s="4"/>
      <c r="AX2135" s="4"/>
      <c r="AY2135" s="4"/>
      <c r="AZ2135" s="4"/>
      <c r="BA2135" s="4"/>
      <c r="BB2135" s="4"/>
      <c r="BC2135" s="4"/>
      <c r="BD2135" s="4"/>
      <c r="BE2135" s="4"/>
      <c r="BG2135" s="4"/>
      <c r="BH2135" s="4"/>
    </row>
    <row r="2136" spans="1:60" x14ac:dyDescent="0.35">
      <c r="A2136" s="4"/>
      <c r="B2136" s="4"/>
      <c r="D2136" s="6" t="str">
        <f t="shared" si="145"/>
        <v/>
      </c>
      <c r="E2136" s="6" t="str">
        <f t="shared" si="146"/>
        <v/>
      </c>
      <c r="F2136" s="6" t="str">
        <f t="shared" si="147"/>
        <v/>
      </c>
      <c r="G2136" s="4"/>
      <c r="H2136" s="4"/>
      <c r="I2136" s="4"/>
      <c r="J2136" s="4"/>
      <c r="K2136" s="4"/>
      <c r="L2136" s="4"/>
      <c r="M2136" s="4"/>
      <c r="N2136" s="4"/>
      <c r="O2136" s="4"/>
      <c r="P2136" s="4"/>
      <c r="Q2136" s="4"/>
      <c r="R2136" s="14"/>
      <c r="S2136" s="14"/>
      <c r="T2136" s="14"/>
      <c r="U2136" s="14"/>
      <c r="V2136" s="14"/>
      <c r="W2136" s="14"/>
      <c r="X2136" s="1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4"/>
      <c r="AU2136" s="4"/>
      <c r="AV2136" s="4"/>
      <c r="AW2136" s="4"/>
      <c r="AX2136" s="4"/>
      <c r="AY2136" s="4"/>
      <c r="AZ2136" s="4"/>
      <c r="BA2136" s="4"/>
      <c r="BB2136" s="4"/>
      <c r="BC2136" s="4"/>
      <c r="BD2136" s="4"/>
      <c r="BE2136" s="4"/>
      <c r="BG2136" s="4"/>
      <c r="BH2136" s="4"/>
    </row>
    <row r="2137" spans="1:60" x14ac:dyDescent="0.35">
      <c r="A2137" s="4"/>
      <c r="B2137" s="4"/>
      <c r="D2137" s="6" t="str">
        <f t="shared" si="145"/>
        <v/>
      </c>
      <c r="E2137" s="6" t="str">
        <f t="shared" si="146"/>
        <v/>
      </c>
      <c r="F2137" s="6" t="str">
        <f t="shared" si="147"/>
        <v/>
      </c>
      <c r="G2137" s="4"/>
      <c r="H2137" s="4"/>
      <c r="I2137" s="4"/>
      <c r="J2137" s="4"/>
      <c r="K2137" s="4"/>
      <c r="L2137" s="4"/>
      <c r="M2137" s="4"/>
      <c r="N2137" s="4"/>
      <c r="O2137" s="4"/>
      <c r="P2137" s="4"/>
      <c r="Q2137" s="4"/>
      <c r="R2137" s="14"/>
      <c r="S2137" s="14"/>
      <c r="T2137" s="14"/>
      <c r="U2137" s="14"/>
      <c r="V2137" s="14"/>
      <c r="W2137" s="14"/>
      <c r="X2137" s="1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4"/>
      <c r="AU2137" s="4"/>
      <c r="AV2137" s="4"/>
      <c r="AW2137" s="4"/>
      <c r="AX2137" s="4"/>
      <c r="AY2137" s="4"/>
      <c r="AZ2137" s="4"/>
      <c r="BA2137" s="4"/>
      <c r="BB2137" s="4"/>
      <c r="BC2137" s="4"/>
      <c r="BD2137" s="4"/>
      <c r="BE2137" s="4"/>
      <c r="BG2137" s="4"/>
      <c r="BH2137" s="4"/>
    </row>
    <row r="2138" spans="1:60" x14ac:dyDescent="0.35">
      <c r="A2138" s="4"/>
      <c r="B2138" s="4"/>
      <c r="D2138" s="6" t="str">
        <f t="shared" si="145"/>
        <v/>
      </c>
      <c r="E2138" s="6" t="str">
        <f t="shared" si="146"/>
        <v/>
      </c>
      <c r="F2138" s="6" t="str">
        <f t="shared" si="147"/>
        <v/>
      </c>
      <c r="G2138" s="4"/>
      <c r="H2138" s="4"/>
      <c r="I2138" s="4"/>
      <c r="J2138" s="4"/>
      <c r="K2138" s="4"/>
      <c r="L2138" s="4"/>
      <c r="M2138" s="4"/>
      <c r="N2138" s="4"/>
      <c r="O2138" s="4"/>
      <c r="P2138" s="4"/>
      <c r="Q2138" s="4"/>
      <c r="R2138" s="14"/>
      <c r="S2138" s="14"/>
      <c r="T2138" s="14"/>
      <c r="U2138" s="14"/>
      <c r="V2138" s="14"/>
      <c r="W2138" s="14"/>
      <c r="X2138" s="1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c r="AV2138" s="4"/>
      <c r="AW2138" s="4"/>
      <c r="AX2138" s="4"/>
      <c r="AY2138" s="4"/>
      <c r="AZ2138" s="4"/>
      <c r="BA2138" s="4"/>
      <c r="BB2138" s="4"/>
      <c r="BC2138" s="4"/>
      <c r="BD2138" s="4"/>
      <c r="BE2138" s="4"/>
      <c r="BG2138" s="4"/>
      <c r="BH2138" s="4"/>
    </row>
    <row r="2139" spans="1:60" x14ac:dyDescent="0.35">
      <c r="A2139" s="4"/>
      <c r="B2139" s="4"/>
      <c r="D2139" s="6" t="str">
        <f t="shared" si="145"/>
        <v/>
      </c>
      <c r="E2139" s="6" t="str">
        <f t="shared" si="146"/>
        <v/>
      </c>
      <c r="F2139" s="6" t="str">
        <f t="shared" si="147"/>
        <v/>
      </c>
      <c r="G2139" s="4"/>
      <c r="H2139" s="4"/>
      <c r="I2139" s="4"/>
      <c r="J2139" s="4"/>
      <c r="K2139" s="4"/>
      <c r="L2139" s="4"/>
      <c r="M2139" s="4"/>
      <c r="N2139" s="4"/>
      <c r="O2139" s="4"/>
      <c r="P2139" s="4"/>
      <c r="Q2139" s="4"/>
      <c r="R2139" s="14"/>
      <c r="S2139" s="14"/>
      <c r="T2139" s="14"/>
      <c r="U2139" s="14"/>
      <c r="V2139" s="14"/>
      <c r="W2139" s="14"/>
      <c r="X2139" s="1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4"/>
      <c r="AU2139" s="4"/>
      <c r="AV2139" s="4"/>
      <c r="AW2139" s="4"/>
      <c r="AX2139" s="4"/>
      <c r="AY2139" s="4"/>
      <c r="AZ2139" s="4"/>
      <c r="BA2139" s="4"/>
      <c r="BB2139" s="4"/>
      <c r="BC2139" s="4"/>
      <c r="BD2139" s="4"/>
      <c r="BE2139" s="4"/>
      <c r="BG2139" s="4"/>
      <c r="BH2139" s="4"/>
    </row>
    <row r="2140" spans="1:60" x14ac:dyDescent="0.35">
      <c r="A2140" s="4"/>
      <c r="B2140" s="4"/>
      <c r="D2140" s="6" t="str">
        <f t="shared" si="145"/>
        <v/>
      </c>
      <c r="E2140" s="6" t="str">
        <f t="shared" si="146"/>
        <v/>
      </c>
      <c r="F2140" s="6" t="str">
        <f t="shared" si="147"/>
        <v/>
      </c>
      <c r="G2140" s="4"/>
      <c r="H2140" s="4"/>
      <c r="I2140" s="4"/>
      <c r="J2140" s="4"/>
      <c r="K2140" s="4"/>
      <c r="L2140" s="4"/>
      <c r="M2140" s="4"/>
      <c r="N2140" s="4"/>
      <c r="O2140" s="4"/>
      <c r="P2140" s="4"/>
      <c r="Q2140" s="4"/>
      <c r="R2140" s="14"/>
      <c r="S2140" s="14"/>
      <c r="T2140" s="14"/>
      <c r="U2140" s="14"/>
      <c r="V2140" s="14"/>
      <c r="W2140" s="14"/>
      <c r="X2140" s="1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4"/>
      <c r="AU2140" s="4"/>
      <c r="AV2140" s="4"/>
      <c r="AW2140" s="4"/>
      <c r="AX2140" s="4"/>
      <c r="AY2140" s="4"/>
      <c r="AZ2140" s="4"/>
      <c r="BA2140" s="4"/>
      <c r="BB2140" s="4"/>
      <c r="BC2140" s="4"/>
      <c r="BD2140" s="4"/>
      <c r="BE2140" s="4"/>
      <c r="BG2140" s="4"/>
      <c r="BH2140" s="4"/>
    </row>
    <row r="2141" spans="1:60" x14ac:dyDescent="0.35">
      <c r="A2141" s="4"/>
      <c r="B2141" s="4"/>
      <c r="D2141" s="6" t="str">
        <f t="shared" si="145"/>
        <v/>
      </c>
      <c r="E2141" s="6" t="str">
        <f t="shared" si="146"/>
        <v/>
      </c>
      <c r="F2141" s="6" t="str">
        <f t="shared" si="147"/>
        <v/>
      </c>
      <c r="G2141" s="4"/>
      <c r="H2141" s="4"/>
      <c r="I2141" s="4"/>
      <c r="J2141" s="4"/>
      <c r="K2141" s="4"/>
      <c r="L2141" s="4"/>
      <c r="M2141" s="4"/>
      <c r="N2141" s="4"/>
      <c r="O2141" s="4"/>
      <c r="P2141" s="4"/>
      <c r="Q2141" s="4"/>
      <c r="R2141" s="14"/>
      <c r="S2141" s="14"/>
      <c r="T2141" s="14"/>
      <c r="U2141" s="14"/>
      <c r="V2141" s="14"/>
      <c r="W2141" s="14"/>
      <c r="X2141" s="1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c r="AX2141" s="4"/>
      <c r="AY2141" s="4"/>
      <c r="AZ2141" s="4"/>
      <c r="BA2141" s="4"/>
      <c r="BB2141" s="4"/>
      <c r="BC2141" s="4"/>
      <c r="BD2141" s="4"/>
      <c r="BE2141" s="4"/>
      <c r="BG2141" s="4"/>
      <c r="BH2141" s="4"/>
    </row>
    <row r="2142" spans="1:60" x14ac:dyDescent="0.35">
      <c r="A2142" s="4"/>
      <c r="B2142" s="4"/>
      <c r="D2142" s="6" t="str">
        <f t="shared" si="145"/>
        <v/>
      </c>
      <c r="E2142" s="6" t="str">
        <f t="shared" si="146"/>
        <v/>
      </c>
      <c r="F2142" s="6" t="str">
        <f t="shared" si="147"/>
        <v/>
      </c>
      <c r="G2142" s="4"/>
      <c r="H2142" s="4"/>
      <c r="I2142" s="4"/>
      <c r="J2142" s="4"/>
      <c r="K2142" s="4"/>
      <c r="L2142" s="4"/>
      <c r="M2142" s="4"/>
      <c r="N2142" s="4"/>
      <c r="O2142" s="4"/>
      <c r="P2142" s="4"/>
      <c r="Q2142" s="4"/>
      <c r="R2142" s="14"/>
      <c r="S2142" s="14"/>
      <c r="T2142" s="14"/>
      <c r="U2142" s="14"/>
      <c r="V2142" s="14"/>
      <c r="W2142" s="14"/>
      <c r="X2142" s="1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c r="AV2142" s="4"/>
      <c r="AW2142" s="4"/>
      <c r="AX2142" s="4"/>
      <c r="AY2142" s="4"/>
      <c r="AZ2142" s="4"/>
      <c r="BA2142" s="4"/>
      <c r="BB2142" s="4"/>
      <c r="BC2142" s="4"/>
      <c r="BD2142" s="4"/>
      <c r="BE2142" s="4"/>
      <c r="BG2142" s="4"/>
      <c r="BH2142" s="4"/>
    </row>
    <row r="2143" spans="1:60" x14ac:dyDescent="0.35">
      <c r="A2143" s="4"/>
      <c r="B2143" s="4"/>
      <c r="D2143" s="6" t="str">
        <f t="shared" si="145"/>
        <v/>
      </c>
      <c r="E2143" s="6" t="str">
        <f t="shared" si="146"/>
        <v/>
      </c>
      <c r="F2143" s="6" t="str">
        <f t="shared" si="147"/>
        <v/>
      </c>
      <c r="G2143" s="4"/>
      <c r="H2143" s="4"/>
      <c r="I2143" s="4"/>
      <c r="J2143" s="4"/>
      <c r="K2143" s="4"/>
      <c r="L2143" s="4"/>
      <c r="M2143" s="4"/>
      <c r="N2143" s="4"/>
      <c r="O2143" s="4"/>
      <c r="P2143" s="4"/>
      <c r="Q2143" s="4"/>
      <c r="R2143" s="14"/>
      <c r="S2143" s="14"/>
      <c r="T2143" s="14"/>
      <c r="U2143" s="14"/>
      <c r="V2143" s="14"/>
      <c r="W2143" s="14"/>
      <c r="X2143" s="1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4"/>
      <c r="AU2143" s="4"/>
      <c r="AV2143" s="4"/>
      <c r="AW2143" s="4"/>
      <c r="AX2143" s="4"/>
      <c r="AY2143" s="4"/>
      <c r="AZ2143" s="4"/>
      <c r="BA2143" s="4"/>
      <c r="BB2143" s="4"/>
      <c r="BC2143" s="4"/>
      <c r="BD2143" s="4"/>
      <c r="BE2143" s="4"/>
      <c r="BG2143" s="4"/>
      <c r="BH2143" s="4"/>
    </row>
    <row r="2144" spans="1:60" x14ac:dyDescent="0.35">
      <c r="A2144" s="4"/>
      <c r="B2144" s="4"/>
      <c r="D2144" s="6" t="str">
        <f t="shared" si="145"/>
        <v/>
      </c>
      <c r="E2144" s="6" t="str">
        <f t="shared" si="146"/>
        <v/>
      </c>
      <c r="F2144" s="6" t="str">
        <f t="shared" si="147"/>
        <v/>
      </c>
      <c r="G2144" s="4"/>
      <c r="H2144" s="4"/>
      <c r="I2144" s="4"/>
      <c r="J2144" s="4"/>
      <c r="K2144" s="4"/>
      <c r="L2144" s="4"/>
      <c r="M2144" s="4"/>
      <c r="N2144" s="4"/>
      <c r="O2144" s="4"/>
      <c r="P2144" s="4"/>
      <c r="Q2144" s="4"/>
      <c r="R2144" s="14"/>
      <c r="S2144" s="14"/>
      <c r="T2144" s="14"/>
      <c r="U2144" s="14"/>
      <c r="V2144" s="14"/>
      <c r="W2144" s="14"/>
      <c r="X2144" s="1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4"/>
      <c r="AU2144" s="4"/>
      <c r="AV2144" s="4"/>
      <c r="AW2144" s="4"/>
      <c r="AX2144" s="4"/>
      <c r="AY2144" s="4"/>
      <c r="AZ2144" s="4"/>
      <c r="BA2144" s="4"/>
      <c r="BB2144" s="4"/>
      <c r="BC2144" s="4"/>
      <c r="BD2144" s="4"/>
      <c r="BE2144" s="4"/>
      <c r="BG2144" s="4"/>
      <c r="BH2144" s="4"/>
    </row>
    <row r="2145" spans="1:60" x14ac:dyDescent="0.35">
      <c r="A2145" s="4"/>
      <c r="B2145" s="4"/>
      <c r="D2145" s="6" t="str">
        <f t="shared" si="145"/>
        <v/>
      </c>
      <c r="E2145" s="6" t="str">
        <f t="shared" si="146"/>
        <v/>
      </c>
      <c r="F2145" s="6" t="str">
        <f t="shared" si="147"/>
        <v/>
      </c>
      <c r="G2145" s="4"/>
      <c r="H2145" s="4"/>
      <c r="I2145" s="4"/>
      <c r="J2145" s="4"/>
      <c r="K2145" s="4"/>
      <c r="L2145" s="4"/>
      <c r="M2145" s="4"/>
      <c r="N2145" s="4"/>
      <c r="O2145" s="4"/>
      <c r="P2145" s="4"/>
      <c r="Q2145" s="4"/>
      <c r="R2145" s="14"/>
      <c r="S2145" s="14"/>
      <c r="T2145" s="14"/>
      <c r="U2145" s="14"/>
      <c r="V2145" s="14"/>
      <c r="W2145" s="14"/>
      <c r="X2145" s="1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c r="BB2145" s="4"/>
      <c r="BC2145" s="4"/>
      <c r="BD2145" s="4"/>
      <c r="BE2145" s="4"/>
      <c r="BG2145" s="4"/>
      <c r="BH2145" s="4"/>
    </row>
    <row r="2146" spans="1:60" x14ac:dyDescent="0.35">
      <c r="A2146" s="4"/>
      <c r="B2146" s="4"/>
      <c r="D2146" s="6" t="str">
        <f t="shared" si="145"/>
        <v/>
      </c>
      <c r="E2146" s="6" t="str">
        <f t="shared" si="146"/>
        <v/>
      </c>
      <c r="F2146" s="6" t="str">
        <f t="shared" si="147"/>
        <v/>
      </c>
      <c r="G2146" s="4"/>
      <c r="H2146" s="4"/>
      <c r="I2146" s="4"/>
      <c r="J2146" s="4"/>
      <c r="K2146" s="4"/>
      <c r="L2146" s="4"/>
      <c r="M2146" s="4"/>
      <c r="N2146" s="4"/>
      <c r="O2146" s="4"/>
      <c r="P2146" s="4"/>
      <c r="Q2146" s="4"/>
      <c r="R2146" s="14"/>
      <c r="S2146" s="14"/>
      <c r="T2146" s="14"/>
      <c r="U2146" s="14"/>
      <c r="V2146" s="14"/>
      <c r="W2146" s="14"/>
      <c r="X2146" s="1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4"/>
      <c r="AU2146" s="4"/>
      <c r="AV2146" s="4"/>
      <c r="AW2146" s="4"/>
      <c r="AX2146" s="4"/>
      <c r="AY2146" s="4"/>
      <c r="AZ2146" s="4"/>
      <c r="BA2146" s="4"/>
      <c r="BB2146" s="4"/>
      <c r="BC2146" s="4"/>
      <c r="BD2146" s="4"/>
      <c r="BE2146" s="4"/>
      <c r="BG2146" s="4"/>
      <c r="BH2146" s="4"/>
    </row>
    <row r="2147" spans="1:60" x14ac:dyDescent="0.35">
      <c r="A2147" s="4"/>
      <c r="B2147" s="4"/>
      <c r="D2147" s="6" t="str">
        <f t="shared" si="145"/>
        <v/>
      </c>
      <c r="E2147" s="6" t="str">
        <f t="shared" si="146"/>
        <v/>
      </c>
      <c r="F2147" s="6" t="str">
        <f t="shared" si="147"/>
        <v/>
      </c>
      <c r="G2147" s="4"/>
      <c r="H2147" s="4"/>
      <c r="I2147" s="4"/>
      <c r="J2147" s="4"/>
      <c r="K2147" s="4"/>
      <c r="L2147" s="4"/>
      <c r="M2147" s="4"/>
      <c r="N2147" s="4"/>
      <c r="O2147" s="4"/>
      <c r="P2147" s="4"/>
      <c r="Q2147" s="4"/>
      <c r="R2147" s="14"/>
      <c r="S2147" s="14"/>
      <c r="T2147" s="14"/>
      <c r="U2147" s="14"/>
      <c r="V2147" s="14"/>
      <c r="W2147" s="14"/>
      <c r="X2147" s="1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4"/>
      <c r="AU2147" s="4"/>
      <c r="AV2147" s="4"/>
      <c r="AW2147" s="4"/>
      <c r="AX2147" s="4"/>
      <c r="AY2147" s="4"/>
      <c r="AZ2147" s="4"/>
      <c r="BA2147" s="4"/>
      <c r="BB2147" s="4"/>
      <c r="BC2147" s="4"/>
      <c r="BD2147" s="4"/>
      <c r="BE2147" s="4"/>
      <c r="BG2147" s="4"/>
      <c r="BH2147" s="4"/>
    </row>
    <row r="2148" spans="1:60" x14ac:dyDescent="0.35">
      <c r="A2148" s="4"/>
      <c r="B2148" s="4"/>
      <c r="D2148" s="6" t="str">
        <f t="shared" si="145"/>
        <v/>
      </c>
      <c r="E2148" s="6" t="str">
        <f t="shared" si="146"/>
        <v/>
      </c>
      <c r="F2148" s="6" t="str">
        <f t="shared" si="147"/>
        <v/>
      </c>
      <c r="G2148" s="4"/>
      <c r="H2148" s="4"/>
      <c r="I2148" s="4"/>
      <c r="J2148" s="4"/>
      <c r="K2148" s="4"/>
      <c r="L2148" s="4"/>
      <c r="M2148" s="4"/>
      <c r="N2148" s="4"/>
      <c r="O2148" s="4"/>
      <c r="P2148" s="4"/>
      <c r="Q2148" s="4"/>
      <c r="R2148" s="14"/>
      <c r="S2148" s="14"/>
      <c r="T2148" s="14"/>
      <c r="U2148" s="14"/>
      <c r="V2148" s="14"/>
      <c r="W2148" s="14"/>
      <c r="X2148" s="1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4"/>
      <c r="AU2148" s="4"/>
      <c r="AV2148" s="4"/>
      <c r="AW2148" s="4"/>
      <c r="AX2148" s="4"/>
      <c r="AY2148" s="4"/>
      <c r="AZ2148" s="4"/>
      <c r="BA2148" s="4"/>
      <c r="BB2148" s="4"/>
      <c r="BC2148" s="4"/>
      <c r="BD2148" s="4"/>
      <c r="BE2148" s="4"/>
      <c r="BG2148" s="4"/>
      <c r="BH2148" s="4"/>
    </row>
    <row r="2149" spans="1:60" x14ac:dyDescent="0.35">
      <c r="A2149" s="4"/>
      <c r="B2149" s="4"/>
      <c r="D2149" s="6" t="str">
        <f t="shared" si="145"/>
        <v/>
      </c>
      <c r="E2149" s="6" t="str">
        <f t="shared" si="146"/>
        <v/>
      </c>
      <c r="F2149" s="6" t="str">
        <f t="shared" si="147"/>
        <v/>
      </c>
      <c r="G2149" s="4"/>
      <c r="H2149" s="4"/>
      <c r="I2149" s="4"/>
      <c r="J2149" s="4"/>
      <c r="K2149" s="4"/>
      <c r="L2149" s="4"/>
      <c r="M2149" s="4"/>
      <c r="N2149" s="4"/>
      <c r="O2149" s="4"/>
      <c r="P2149" s="4"/>
      <c r="Q2149" s="4"/>
      <c r="R2149" s="14"/>
      <c r="S2149" s="14"/>
      <c r="T2149" s="14"/>
      <c r="U2149" s="14"/>
      <c r="V2149" s="14"/>
      <c r="W2149" s="14"/>
      <c r="X2149" s="14"/>
      <c r="Y2149" s="4"/>
      <c r="Z2149" s="4"/>
      <c r="AA2149" s="4"/>
      <c r="AB2149" s="4"/>
      <c r="AC2149" s="4"/>
      <c r="AD2149" s="4"/>
      <c r="AE2149" s="4"/>
      <c r="AF2149" s="4"/>
      <c r="AG2149" s="4"/>
      <c r="AH2149" s="4"/>
      <c r="AI2149" s="4"/>
      <c r="AJ2149" s="4"/>
      <c r="AK2149" s="4"/>
      <c r="AL2149" s="4"/>
      <c r="AM2149" s="4"/>
      <c r="AN2149" s="4"/>
      <c r="AO2149" s="4"/>
      <c r="AP2149" s="4"/>
      <c r="AQ2149" s="4"/>
      <c r="AR2149" s="4"/>
      <c r="AS2149" s="4"/>
      <c r="AT2149" s="4"/>
      <c r="AU2149" s="4"/>
      <c r="AV2149" s="4"/>
      <c r="AW2149" s="4"/>
      <c r="AX2149" s="4"/>
      <c r="AY2149" s="4"/>
      <c r="AZ2149" s="4"/>
      <c r="BA2149" s="4"/>
      <c r="BB2149" s="4"/>
      <c r="BC2149" s="4"/>
      <c r="BD2149" s="4"/>
      <c r="BE2149" s="4"/>
      <c r="BG2149" s="4"/>
      <c r="BH2149" s="4"/>
    </row>
    <row r="2150" spans="1:60" x14ac:dyDescent="0.35">
      <c r="A2150" s="4"/>
      <c r="B2150" s="4"/>
      <c r="D2150" s="6" t="str">
        <f t="shared" si="145"/>
        <v/>
      </c>
      <c r="E2150" s="6" t="str">
        <f t="shared" si="146"/>
        <v/>
      </c>
      <c r="F2150" s="6" t="str">
        <f t="shared" si="147"/>
        <v/>
      </c>
      <c r="G2150" s="4"/>
      <c r="H2150" s="4"/>
      <c r="I2150" s="4"/>
      <c r="J2150" s="4"/>
      <c r="K2150" s="4"/>
      <c r="L2150" s="4"/>
      <c r="M2150" s="4"/>
      <c r="N2150" s="4"/>
      <c r="O2150" s="4"/>
      <c r="P2150" s="4"/>
      <c r="Q2150" s="4"/>
      <c r="R2150" s="14"/>
      <c r="S2150" s="14"/>
      <c r="T2150" s="14"/>
      <c r="U2150" s="14"/>
      <c r="V2150" s="14"/>
      <c r="W2150" s="14"/>
      <c r="X2150" s="1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c r="AV2150" s="4"/>
      <c r="AW2150" s="4"/>
      <c r="AX2150" s="4"/>
      <c r="AY2150" s="4"/>
      <c r="AZ2150" s="4"/>
      <c r="BA2150" s="4"/>
      <c r="BB2150" s="4"/>
      <c r="BC2150" s="4"/>
      <c r="BD2150" s="4"/>
      <c r="BE2150" s="4"/>
      <c r="BG2150" s="4"/>
      <c r="BH2150" s="4"/>
    </row>
    <row r="2151" spans="1:60" x14ac:dyDescent="0.35">
      <c r="A2151" s="4"/>
      <c r="B2151" s="4"/>
      <c r="D2151" s="6" t="str">
        <f t="shared" si="145"/>
        <v/>
      </c>
      <c r="E2151" s="6" t="str">
        <f t="shared" si="146"/>
        <v/>
      </c>
      <c r="F2151" s="6" t="str">
        <f t="shared" si="147"/>
        <v/>
      </c>
      <c r="G2151" s="4"/>
      <c r="H2151" s="4"/>
      <c r="I2151" s="4"/>
      <c r="J2151" s="4"/>
      <c r="K2151" s="4"/>
      <c r="L2151" s="4"/>
      <c r="M2151" s="4"/>
      <c r="N2151" s="4"/>
      <c r="O2151" s="4"/>
      <c r="P2151" s="4"/>
      <c r="Q2151" s="4"/>
      <c r="R2151" s="14"/>
      <c r="S2151" s="14"/>
      <c r="T2151" s="14"/>
      <c r="U2151" s="14"/>
      <c r="V2151" s="14"/>
      <c r="W2151" s="14"/>
      <c r="X2151" s="1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4"/>
      <c r="AU2151" s="4"/>
      <c r="AV2151" s="4"/>
      <c r="AW2151" s="4"/>
      <c r="AX2151" s="4"/>
      <c r="AY2151" s="4"/>
      <c r="AZ2151" s="4"/>
      <c r="BA2151" s="4"/>
      <c r="BB2151" s="4"/>
      <c r="BC2151" s="4"/>
      <c r="BD2151" s="4"/>
      <c r="BE2151" s="4"/>
      <c r="BG2151" s="4"/>
      <c r="BH2151" s="4"/>
    </row>
    <row r="2152" spans="1:60" x14ac:dyDescent="0.35">
      <c r="A2152" s="4"/>
      <c r="B2152" s="4"/>
      <c r="D2152" s="6" t="str">
        <f t="shared" si="145"/>
        <v/>
      </c>
      <c r="E2152" s="6" t="str">
        <f t="shared" si="146"/>
        <v/>
      </c>
      <c r="F2152" s="6" t="str">
        <f t="shared" si="147"/>
        <v/>
      </c>
      <c r="G2152" s="4"/>
      <c r="H2152" s="4"/>
      <c r="I2152" s="4"/>
      <c r="J2152" s="4"/>
      <c r="K2152" s="4"/>
      <c r="L2152" s="4"/>
      <c r="M2152" s="4"/>
      <c r="N2152" s="4"/>
      <c r="O2152" s="4"/>
      <c r="P2152" s="4"/>
      <c r="Q2152" s="4"/>
      <c r="R2152" s="14"/>
      <c r="S2152" s="14"/>
      <c r="T2152" s="14"/>
      <c r="U2152" s="14"/>
      <c r="V2152" s="14"/>
      <c r="W2152" s="14"/>
      <c r="X2152" s="1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4"/>
      <c r="AU2152" s="4"/>
      <c r="AV2152" s="4"/>
      <c r="AW2152" s="4"/>
      <c r="AX2152" s="4"/>
      <c r="AY2152" s="4"/>
      <c r="AZ2152" s="4"/>
      <c r="BA2152" s="4"/>
      <c r="BB2152" s="4"/>
      <c r="BC2152" s="4"/>
      <c r="BD2152" s="4"/>
      <c r="BE2152" s="4"/>
      <c r="BG2152" s="4"/>
      <c r="BH2152" s="4"/>
    </row>
    <row r="2153" spans="1:60" x14ac:dyDescent="0.35">
      <c r="A2153" s="4"/>
      <c r="B2153" s="4"/>
      <c r="D2153" s="6" t="str">
        <f t="shared" si="145"/>
        <v/>
      </c>
      <c r="E2153" s="6" t="str">
        <f t="shared" si="146"/>
        <v/>
      </c>
      <c r="F2153" s="6" t="str">
        <f t="shared" si="147"/>
        <v/>
      </c>
      <c r="G2153" s="4"/>
      <c r="H2153" s="4"/>
      <c r="I2153" s="4"/>
      <c r="J2153" s="4"/>
      <c r="K2153" s="4"/>
      <c r="L2153" s="4"/>
      <c r="M2153" s="4"/>
      <c r="N2153" s="4"/>
      <c r="O2153" s="4"/>
      <c r="P2153" s="4"/>
      <c r="Q2153" s="4"/>
      <c r="R2153" s="14"/>
      <c r="S2153" s="14"/>
      <c r="T2153" s="14"/>
      <c r="U2153" s="14"/>
      <c r="V2153" s="14"/>
      <c r="W2153" s="14"/>
      <c r="X2153" s="1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4"/>
      <c r="AU2153" s="4"/>
      <c r="AV2153" s="4"/>
      <c r="AW2153" s="4"/>
      <c r="AX2153" s="4"/>
      <c r="AY2153" s="4"/>
      <c r="AZ2153" s="4"/>
      <c r="BA2153" s="4"/>
      <c r="BB2153" s="4"/>
      <c r="BC2153" s="4"/>
      <c r="BD2153" s="4"/>
      <c r="BE2153" s="4"/>
      <c r="BG2153" s="4"/>
      <c r="BH2153" s="4"/>
    </row>
    <row r="2154" spans="1:60" x14ac:dyDescent="0.35">
      <c r="A2154" s="4"/>
      <c r="B2154" s="4"/>
      <c r="D2154" s="6" t="str">
        <f t="shared" si="145"/>
        <v/>
      </c>
      <c r="E2154" s="6" t="str">
        <f t="shared" si="146"/>
        <v/>
      </c>
      <c r="F2154" s="6" t="str">
        <f t="shared" si="147"/>
        <v/>
      </c>
      <c r="G2154" s="4"/>
      <c r="H2154" s="4"/>
      <c r="I2154" s="4"/>
      <c r="J2154" s="4"/>
      <c r="K2154" s="4"/>
      <c r="L2154" s="4"/>
      <c r="M2154" s="4"/>
      <c r="N2154" s="4"/>
      <c r="O2154" s="4"/>
      <c r="P2154" s="4"/>
      <c r="Q2154" s="4"/>
      <c r="R2154" s="14"/>
      <c r="S2154" s="14"/>
      <c r="T2154" s="14"/>
      <c r="U2154" s="14"/>
      <c r="V2154" s="14"/>
      <c r="W2154" s="14"/>
      <c r="X2154" s="1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4"/>
      <c r="AU2154" s="4"/>
      <c r="AV2154" s="4"/>
      <c r="AW2154" s="4"/>
      <c r="AX2154" s="4"/>
      <c r="AY2154" s="4"/>
      <c r="AZ2154" s="4"/>
      <c r="BA2154" s="4"/>
      <c r="BB2154" s="4"/>
      <c r="BC2154" s="4"/>
      <c r="BD2154" s="4"/>
      <c r="BE2154" s="4"/>
      <c r="BG2154" s="4"/>
      <c r="BH2154" s="4"/>
    </row>
    <row r="2155" spans="1:60" x14ac:dyDescent="0.35">
      <c r="A2155" s="4"/>
      <c r="B2155" s="4"/>
      <c r="D2155" s="6" t="str">
        <f t="shared" si="145"/>
        <v/>
      </c>
      <c r="E2155" s="6" t="str">
        <f t="shared" si="146"/>
        <v/>
      </c>
      <c r="F2155" s="6" t="str">
        <f t="shared" si="147"/>
        <v/>
      </c>
      <c r="G2155" s="4"/>
      <c r="H2155" s="4"/>
      <c r="I2155" s="4"/>
      <c r="J2155" s="4"/>
      <c r="K2155" s="4"/>
      <c r="L2155" s="4"/>
      <c r="M2155" s="4"/>
      <c r="N2155" s="4"/>
      <c r="O2155" s="4"/>
      <c r="P2155" s="4"/>
      <c r="Q2155" s="4"/>
      <c r="R2155" s="14"/>
      <c r="S2155" s="14"/>
      <c r="T2155" s="14"/>
      <c r="U2155" s="14"/>
      <c r="V2155" s="14"/>
      <c r="W2155" s="14"/>
      <c r="X2155" s="1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4"/>
      <c r="AU2155" s="4"/>
      <c r="AV2155" s="4"/>
      <c r="AW2155" s="4"/>
      <c r="AX2155" s="4"/>
      <c r="AY2155" s="4"/>
      <c r="AZ2155" s="4"/>
      <c r="BA2155" s="4"/>
      <c r="BB2155" s="4"/>
      <c r="BC2155" s="4"/>
      <c r="BD2155" s="4"/>
      <c r="BE2155" s="4"/>
      <c r="BG2155" s="4"/>
      <c r="BH2155" s="4"/>
    </row>
    <row r="2156" spans="1:60" x14ac:dyDescent="0.35">
      <c r="A2156" s="4"/>
      <c r="B2156" s="4"/>
      <c r="D2156" s="6" t="str">
        <f t="shared" si="145"/>
        <v/>
      </c>
      <c r="E2156" s="6" t="str">
        <f t="shared" si="146"/>
        <v/>
      </c>
      <c r="F2156" s="6" t="str">
        <f t="shared" si="147"/>
        <v/>
      </c>
      <c r="G2156" s="4"/>
      <c r="H2156" s="4"/>
      <c r="I2156" s="4"/>
      <c r="J2156" s="4"/>
      <c r="K2156" s="4"/>
      <c r="L2156" s="4"/>
      <c r="M2156" s="4"/>
      <c r="N2156" s="4"/>
      <c r="O2156" s="4"/>
      <c r="P2156" s="4"/>
      <c r="Q2156" s="4"/>
      <c r="R2156" s="14"/>
      <c r="S2156" s="14"/>
      <c r="T2156" s="14"/>
      <c r="U2156" s="14"/>
      <c r="V2156" s="14"/>
      <c r="W2156" s="14"/>
      <c r="X2156" s="1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c r="AV2156" s="4"/>
      <c r="AW2156" s="4"/>
      <c r="AX2156" s="4"/>
      <c r="AY2156" s="4"/>
      <c r="AZ2156" s="4"/>
      <c r="BA2156" s="4"/>
      <c r="BB2156" s="4"/>
      <c r="BC2156" s="4"/>
      <c r="BD2156" s="4"/>
      <c r="BE2156" s="4"/>
      <c r="BG2156" s="4"/>
      <c r="BH2156" s="4"/>
    </row>
    <row r="2157" spans="1:60" x14ac:dyDescent="0.35">
      <c r="A2157" s="4"/>
      <c r="B2157" s="4"/>
      <c r="D2157" s="6" t="str">
        <f t="shared" si="145"/>
        <v/>
      </c>
      <c r="E2157" s="6" t="str">
        <f t="shared" si="146"/>
        <v/>
      </c>
      <c r="F2157" s="6" t="str">
        <f t="shared" si="147"/>
        <v/>
      </c>
      <c r="G2157" s="4"/>
      <c r="H2157" s="4"/>
      <c r="I2157" s="4"/>
      <c r="J2157" s="4"/>
      <c r="K2157" s="4"/>
      <c r="L2157" s="4"/>
      <c r="M2157" s="4"/>
      <c r="N2157" s="4"/>
      <c r="O2157" s="4"/>
      <c r="P2157" s="4"/>
      <c r="Q2157" s="4"/>
      <c r="R2157" s="14"/>
      <c r="S2157" s="14"/>
      <c r="T2157" s="14"/>
      <c r="U2157" s="14"/>
      <c r="V2157" s="14"/>
      <c r="W2157" s="14"/>
      <c r="X2157" s="1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4"/>
      <c r="AU2157" s="4"/>
      <c r="AV2157" s="4"/>
      <c r="AW2157" s="4"/>
      <c r="AX2157" s="4"/>
      <c r="AY2157" s="4"/>
      <c r="AZ2157" s="4"/>
      <c r="BA2157" s="4"/>
      <c r="BB2157" s="4"/>
      <c r="BC2157" s="4"/>
      <c r="BD2157" s="4"/>
      <c r="BE2157" s="4"/>
      <c r="BG2157" s="4"/>
      <c r="BH2157" s="4"/>
    </row>
    <row r="2158" spans="1:60" x14ac:dyDescent="0.35">
      <c r="A2158" s="4"/>
      <c r="B2158" s="4"/>
      <c r="D2158" s="6" t="str">
        <f t="shared" si="145"/>
        <v/>
      </c>
      <c r="E2158" s="6" t="str">
        <f t="shared" si="146"/>
        <v/>
      </c>
      <c r="F2158" s="6" t="str">
        <f t="shared" si="147"/>
        <v/>
      </c>
      <c r="G2158" s="4"/>
      <c r="H2158" s="4"/>
      <c r="I2158" s="4"/>
      <c r="J2158" s="4"/>
      <c r="K2158" s="4"/>
      <c r="L2158" s="4"/>
      <c r="M2158" s="4"/>
      <c r="N2158" s="4"/>
      <c r="O2158" s="4"/>
      <c r="P2158" s="4"/>
      <c r="Q2158" s="4"/>
      <c r="R2158" s="14"/>
      <c r="S2158" s="14"/>
      <c r="T2158" s="14"/>
      <c r="U2158" s="14"/>
      <c r="V2158" s="14"/>
      <c r="W2158" s="14"/>
      <c r="X2158" s="1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4"/>
      <c r="AU2158" s="4"/>
      <c r="AV2158" s="4"/>
      <c r="AW2158" s="4"/>
      <c r="AX2158" s="4"/>
      <c r="AY2158" s="4"/>
      <c r="AZ2158" s="4"/>
      <c r="BA2158" s="4"/>
      <c r="BB2158" s="4"/>
      <c r="BC2158" s="4"/>
      <c r="BD2158" s="4"/>
      <c r="BE2158" s="4"/>
      <c r="BG2158" s="4"/>
      <c r="BH2158" s="4"/>
    </row>
    <row r="2159" spans="1:60" x14ac:dyDescent="0.35">
      <c r="A2159" s="4"/>
      <c r="B2159" s="4"/>
      <c r="D2159" s="6" t="str">
        <f t="shared" si="145"/>
        <v/>
      </c>
      <c r="E2159" s="6" t="str">
        <f t="shared" si="146"/>
        <v/>
      </c>
      <c r="F2159" s="6" t="str">
        <f t="shared" si="147"/>
        <v/>
      </c>
      <c r="G2159" s="4"/>
      <c r="H2159" s="4"/>
      <c r="I2159" s="4"/>
      <c r="J2159" s="4"/>
      <c r="K2159" s="4"/>
      <c r="L2159" s="4"/>
      <c r="M2159" s="4"/>
      <c r="N2159" s="4"/>
      <c r="O2159" s="4"/>
      <c r="P2159" s="4"/>
      <c r="Q2159" s="4"/>
      <c r="R2159" s="14"/>
      <c r="S2159" s="14"/>
      <c r="T2159" s="14"/>
      <c r="U2159" s="14"/>
      <c r="V2159" s="14"/>
      <c r="W2159" s="14"/>
      <c r="X2159" s="1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4"/>
      <c r="AU2159" s="4"/>
      <c r="AV2159" s="4"/>
      <c r="AW2159" s="4"/>
      <c r="AX2159" s="4"/>
      <c r="AY2159" s="4"/>
      <c r="AZ2159" s="4"/>
      <c r="BA2159" s="4"/>
      <c r="BB2159" s="4"/>
      <c r="BC2159" s="4"/>
      <c r="BD2159" s="4"/>
      <c r="BE2159" s="4"/>
      <c r="BG2159" s="4"/>
      <c r="BH2159" s="4"/>
    </row>
    <row r="2160" spans="1:60" x14ac:dyDescent="0.35">
      <c r="A2160" s="4"/>
      <c r="B2160" s="4"/>
      <c r="D2160" s="6" t="str">
        <f t="shared" si="145"/>
        <v/>
      </c>
      <c r="E2160" s="6" t="str">
        <f t="shared" si="146"/>
        <v/>
      </c>
      <c r="F2160" s="6" t="str">
        <f t="shared" si="147"/>
        <v/>
      </c>
      <c r="G2160" s="4"/>
      <c r="H2160" s="4"/>
      <c r="I2160" s="4"/>
      <c r="J2160" s="4"/>
      <c r="K2160" s="4"/>
      <c r="L2160" s="4"/>
      <c r="M2160" s="4"/>
      <c r="N2160" s="4"/>
      <c r="O2160" s="4"/>
      <c r="P2160" s="4"/>
      <c r="Q2160" s="4"/>
      <c r="R2160" s="14"/>
      <c r="S2160" s="14"/>
      <c r="T2160" s="14"/>
      <c r="U2160" s="14"/>
      <c r="V2160" s="14"/>
      <c r="W2160" s="14"/>
      <c r="X2160" s="1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4"/>
      <c r="AU2160" s="4"/>
      <c r="AV2160" s="4"/>
      <c r="AW2160" s="4"/>
      <c r="AX2160" s="4"/>
      <c r="AY2160" s="4"/>
      <c r="AZ2160" s="4"/>
      <c r="BA2160" s="4"/>
      <c r="BB2160" s="4"/>
      <c r="BC2160" s="4"/>
      <c r="BD2160" s="4"/>
      <c r="BE2160" s="4"/>
      <c r="BG2160" s="4"/>
      <c r="BH2160" s="4"/>
    </row>
    <row r="2161" spans="1:60" x14ac:dyDescent="0.35">
      <c r="A2161" s="4"/>
      <c r="B2161" s="4"/>
      <c r="D2161" s="6" t="str">
        <f t="shared" si="145"/>
        <v/>
      </c>
      <c r="E2161" s="6" t="str">
        <f t="shared" si="146"/>
        <v/>
      </c>
      <c r="F2161" s="6" t="str">
        <f t="shared" si="147"/>
        <v/>
      </c>
      <c r="G2161" s="4"/>
      <c r="H2161" s="4"/>
      <c r="I2161" s="4"/>
      <c r="J2161" s="4"/>
      <c r="K2161" s="4"/>
      <c r="L2161" s="4"/>
      <c r="M2161" s="4"/>
      <c r="N2161" s="4"/>
      <c r="O2161" s="4"/>
      <c r="P2161" s="4"/>
      <c r="Q2161" s="4"/>
      <c r="R2161" s="14"/>
      <c r="S2161" s="14"/>
      <c r="T2161" s="14"/>
      <c r="U2161" s="14"/>
      <c r="V2161" s="14"/>
      <c r="W2161" s="14"/>
      <c r="X2161" s="1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4"/>
      <c r="AU2161" s="4"/>
      <c r="AV2161" s="4"/>
      <c r="AW2161" s="4"/>
      <c r="AX2161" s="4"/>
      <c r="AY2161" s="4"/>
      <c r="AZ2161" s="4"/>
      <c r="BA2161" s="4"/>
      <c r="BB2161" s="4"/>
      <c r="BC2161" s="4"/>
      <c r="BD2161" s="4"/>
      <c r="BE2161" s="4"/>
      <c r="BG2161" s="4"/>
      <c r="BH2161" s="4"/>
    </row>
    <row r="2162" spans="1:60" x14ac:dyDescent="0.35">
      <c r="A2162" s="4"/>
      <c r="B2162" s="4"/>
      <c r="D2162" s="6" t="str">
        <f t="shared" si="145"/>
        <v/>
      </c>
      <c r="E2162" s="6" t="str">
        <f t="shared" si="146"/>
        <v/>
      </c>
      <c r="F2162" s="6" t="str">
        <f t="shared" si="147"/>
        <v/>
      </c>
      <c r="G2162" s="4"/>
      <c r="H2162" s="4"/>
      <c r="I2162" s="4"/>
      <c r="J2162" s="4"/>
      <c r="K2162" s="4"/>
      <c r="L2162" s="4"/>
      <c r="M2162" s="4"/>
      <c r="N2162" s="4"/>
      <c r="O2162" s="4"/>
      <c r="P2162" s="4"/>
      <c r="Q2162" s="4"/>
      <c r="R2162" s="14"/>
      <c r="S2162" s="14"/>
      <c r="T2162" s="14"/>
      <c r="U2162" s="14"/>
      <c r="V2162" s="14"/>
      <c r="W2162" s="14"/>
      <c r="X2162" s="1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4"/>
      <c r="AU2162" s="4"/>
      <c r="AV2162" s="4"/>
      <c r="AW2162" s="4"/>
      <c r="AX2162" s="4"/>
      <c r="AY2162" s="4"/>
      <c r="AZ2162" s="4"/>
      <c r="BA2162" s="4"/>
      <c r="BB2162" s="4"/>
      <c r="BC2162" s="4"/>
      <c r="BD2162" s="4"/>
      <c r="BE2162" s="4"/>
      <c r="BG2162" s="4"/>
      <c r="BH2162" s="4"/>
    </row>
    <row r="2163" spans="1:60" x14ac:dyDescent="0.35">
      <c r="A2163" s="4"/>
      <c r="B2163" s="4"/>
      <c r="D2163" s="6" t="str">
        <f t="shared" si="145"/>
        <v/>
      </c>
      <c r="E2163" s="6" t="str">
        <f t="shared" si="146"/>
        <v/>
      </c>
      <c r="F2163" s="6" t="str">
        <f t="shared" si="147"/>
        <v/>
      </c>
      <c r="G2163" s="4"/>
      <c r="H2163" s="4"/>
      <c r="I2163" s="4"/>
      <c r="J2163" s="4"/>
      <c r="K2163" s="4"/>
      <c r="L2163" s="4"/>
      <c r="M2163" s="4"/>
      <c r="N2163" s="4"/>
      <c r="O2163" s="4"/>
      <c r="P2163" s="4"/>
      <c r="Q2163" s="4"/>
      <c r="R2163" s="14"/>
      <c r="S2163" s="14"/>
      <c r="T2163" s="14"/>
      <c r="U2163" s="14"/>
      <c r="V2163" s="14"/>
      <c r="W2163" s="14"/>
      <c r="X2163" s="1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c r="AV2163" s="4"/>
      <c r="AW2163" s="4"/>
      <c r="AX2163" s="4"/>
      <c r="AY2163" s="4"/>
      <c r="AZ2163" s="4"/>
      <c r="BA2163" s="4"/>
      <c r="BB2163" s="4"/>
      <c r="BC2163" s="4"/>
      <c r="BD2163" s="4"/>
      <c r="BE2163" s="4"/>
      <c r="BG2163" s="4"/>
      <c r="BH2163" s="4"/>
    </row>
    <row r="2164" spans="1:60" x14ac:dyDescent="0.35">
      <c r="A2164" s="4"/>
      <c r="B2164" s="4"/>
      <c r="D2164" s="6" t="str">
        <f t="shared" si="145"/>
        <v/>
      </c>
      <c r="E2164" s="6" t="str">
        <f t="shared" si="146"/>
        <v/>
      </c>
      <c r="F2164" s="6" t="str">
        <f t="shared" si="147"/>
        <v/>
      </c>
      <c r="G2164" s="4"/>
      <c r="H2164" s="4"/>
      <c r="I2164" s="4"/>
      <c r="J2164" s="4"/>
      <c r="K2164" s="4"/>
      <c r="L2164" s="4"/>
      <c r="M2164" s="4"/>
      <c r="N2164" s="4"/>
      <c r="O2164" s="4"/>
      <c r="P2164" s="4"/>
      <c r="Q2164" s="4"/>
      <c r="R2164" s="14"/>
      <c r="S2164" s="14"/>
      <c r="T2164" s="14"/>
      <c r="U2164" s="14"/>
      <c r="V2164" s="14"/>
      <c r="W2164" s="14"/>
      <c r="X2164" s="1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c r="AV2164" s="4"/>
      <c r="AW2164" s="4"/>
      <c r="AX2164" s="4"/>
      <c r="AY2164" s="4"/>
      <c r="AZ2164" s="4"/>
      <c r="BA2164" s="4"/>
      <c r="BB2164" s="4"/>
      <c r="BC2164" s="4"/>
      <c r="BD2164" s="4"/>
      <c r="BE2164" s="4"/>
      <c r="BG2164" s="4"/>
      <c r="BH2164" s="4"/>
    </row>
    <row r="2165" spans="1:60" x14ac:dyDescent="0.35">
      <c r="A2165" s="4"/>
      <c r="B2165" s="4"/>
      <c r="D2165" s="6" t="str">
        <f t="shared" si="145"/>
        <v/>
      </c>
      <c r="E2165" s="6" t="str">
        <f t="shared" si="146"/>
        <v/>
      </c>
      <c r="F2165" s="6" t="str">
        <f t="shared" si="147"/>
        <v/>
      </c>
      <c r="G2165" s="4"/>
      <c r="H2165" s="4"/>
      <c r="I2165" s="4"/>
      <c r="J2165" s="4"/>
      <c r="K2165" s="4"/>
      <c r="L2165" s="4"/>
      <c r="M2165" s="4"/>
      <c r="N2165" s="4"/>
      <c r="O2165" s="4"/>
      <c r="P2165" s="4"/>
      <c r="Q2165" s="4"/>
      <c r="R2165" s="14"/>
      <c r="S2165" s="14"/>
      <c r="T2165" s="14"/>
      <c r="U2165" s="14"/>
      <c r="V2165" s="14"/>
      <c r="W2165" s="14"/>
      <c r="X2165" s="1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4"/>
      <c r="AU2165" s="4"/>
      <c r="AV2165" s="4"/>
      <c r="AW2165" s="4"/>
      <c r="AX2165" s="4"/>
      <c r="AY2165" s="4"/>
      <c r="AZ2165" s="4"/>
      <c r="BA2165" s="4"/>
      <c r="BB2165" s="4"/>
      <c r="BC2165" s="4"/>
      <c r="BD2165" s="4"/>
      <c r="BE2165" s="4"/>
      <c r="BG2165" s="4"/>
      <c r="BH2165" s="4"/>
    </row>
    <row r="2166" spans="1:60" x14ac:dyDescent="0.35">
      <c r="A2166" s="4"/>
      <c r="B2166" s="4"/>
      <c r="D2166" s="6" t="str">
        <f t="shared" si="145"/>
        <v/>
      </c>
      <c r="E2166" s="6" t="str">
        <f t="shared" si="146"/>
        <v/>
      </c>
      <c r="F2166" s="6" t="str">
        <f t="shared" si="147"/>
        <v/>
      </c>
      <c r="G2166" s="4"/>
      <c r="H2166" s="4"/>
      <c r="I2166" s="4"/>
      <c r="J2166" s="4"/>
      <c r="K2166" s="4"/>
      <c r="L2166" s="4"/>
      <c r="M2166" s="4"/>
      <c r="N2166" s="4"/>
      <c r="O2166" s="4"/>
      <c r="P2166" s="4"/>
      <c r="Q2166" s="4"/>
      <c r="R2166" s="14"/>
      <c r="S2166" s="14"/>
      <c r="T2166" s="14"/>
      <c r="U2166" s="14"/>
      <c r="V2166" s="14"/>
      <c r="W2166" s="14"/>
      <c r="X2166" s="14"/>
      <c r="Y2166" s="4"/>
      <c r="Z2166" s="4"/>
      <c r="AA2166" s="4"/>
      <c r="AB2166" s="4"/>
      <c r="AC2166" s="4"/>
      <c r="AD2166" s="4"/>
      <c r="AE2166" s="4"/>
      <c r="AF2166" s="4"/>
      <c r="AG2166" s="4"/>
      <c r="AH2166" s="4"/>
      <c r="AI2166" s="4"/>
      <c r="AJ2166" s="4"/>
      <c r="AK2166" s="4"/>
      <c r="AL2166" s="4"/>
      <c r="AM2166" s="4"/>
      <c r="AN2166" s="4"/>
      <c r="AO2166" s="4"/>
      <c r="AP2166" s="4"/>
      <c r="AQ2166" s="4"/>
      <c r="AR2166" s="4"/>
      <c r="AS2166" s="4"/>
      <c r="AT2166" s="4"/>
      <c r="AU2166" s="4"/>
      <c r="AV2166" s="4"/>
      <c r="AW2166" s="4"/>
      <c r="AX2166" s="4"/>
      <c r="AY2166" s="4"/>
      <c r="AZ2166" s="4"/>
      <c r="BA2166" s="4"/>
      <c r="BB2166" s="4"/>
      <c r="BC2166" s="4"/>
      <c r="BD2166" s="4"/>
      <c r="BE2166" s="4"/>
      <c r="BG2166" s="4"/>
      <c r="BH2166" s="4"/>
    </row>
    <row r="2167" spans="1:60" x14ac:dyDescent="0.35">
      <c r="A2167" s="4"/>
      <c r="B2167" s="4"/>
      <c r="D2167" s="6" t="str">
        <f t="shared" si="145"/>
        <v/>
      </c>
      <c r="E2167" s="6" t="str">
        <f t="shared" si="146"/>
        <v/>
      </c>
      <c r="F2167" s="6" t="str">
        <f t="shared" si="147"/>
        <v/>
      </c>
      <c r="G2167" s="4"/>
      <c r="H2167" s="4"/>
      <c r="I2167" s="4"/>
      <c r="J2167" s="4"/>
      <c r="K2167" s="4"/>
      <c r="L2167" s="4"/>
      <c r="M2167" s="4"/>
      <c r="N2167" s="4"/>
      <c r="O2167" s="4"/>
      <c r="P2167" s="4"/>
      <c r="Q2167" s="4"/>
      <c r="R2167" s="14"/>
      <c r="S2167" s="14"/>
      <c r="T2167" s="14"/>
      <c r="U2167" s="14"/>
      <c r="V2167" s="14"/>
      <c r="W2167" s="14"/>
      <c r="X2167" s="1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4"/>
      <c r="AU2167" s="4"/>
      <c r="AV2167" s="4"/>
      <c r="AW2167" s="4"/>
      <c r="AX2167" s="4"/>
      <c r="AY2167" s="4"/>
      <c r="AZ2167" s="4"/>
      <c r="BA2167" s="4"/>
      <c r="BB2167" s="4"/>
      <c r="BC2167" s="4"/>
      <c r="BD2167" s="4"/>
      <c r="BE2167" s="4"/>
      <c r="BG2167" s="4"/>
      <c r="BH2167" s="4"/>
    </row>
    <row r="2168" spans="1:60" x14ac:dyDescent="0.35">
      <c r="A2168" s="4"/>
      <c r="B2168" s="4"/>
      <c r="D2168" s="6" t="str">
        <f t="shared" si="145"/>
        <v/>
      </c>
      <c r="E2168" s="6" t="str">
        <f t="shared" si="146"/>
        <v/>
      </c>
      <c r="F2168" s="6" t="str">
        <f t="shared" si="147"/>
        <v/>
      </c>
      <c r="G2168" s="4"/>
      <c r="H2168" s="4"/>
      <c r="I2168" s="4"/>
      <c r="J2168" s="4"/>
      <c r="K2168" s="4"/>
      <c r="L2168" s="4"/>
      <c r="M2168" s="4"/>
      <c r="N2168" s="4"/>
      <c r="O2168" s="4"/>
      <c r="P2168" s="4"/>
      <c r="Q2168" s="4"/>
      <c r="R2168" s="14"/>
      <c r="S2168" s="14"/>
      <c r="T2168" s="14"/>
      <c r="U2168" s="14"/>
      <c r="V2168" s="14"/>
      <c r="W2168" s="14"/>
      <c r="X2168" s="14"/>
      <c r="Y2168" s="4"/>
      <c r="Z2168" s="4"/>
      <c r="AA2168" s="4"/>
      <c r="AB2168" s="4"/>
      <c r="AC2168" s="4"/>
      <c r="AD2168" s="4"/>
      <c r="AE2168" s="4"/>
      <c r="AF2168" s="4"/>
      <c r="AG2168" s="4"/>
      <c r="AH2168" s="4"/>
      <c r="AI2168" s="4"/>
      <c r="AJ2168" s="4"/>
      <c r="AK2168" s="4"/>
      <c r="AL2168" s="4"/>
      <c r="AM2168" s="4"/>
      <c r="AN2168" s="4"/>
      <c r="AO2168" s="4"/>
      <c r="AP2168" s="4"/>
      <c r="AQ2168" s="4"/>
      <c r="AR2168" s="4"/>
      <c r="AS2168" s="4"/>
      <c r="AT2168" s="4"/>
      <c r="AU2168" s="4"/>
      <c r="AV2168" s="4"/>
      <c r="AW2168" s="4"/>
      <c r="AX2168" s="4"/>
      <c r="AY2168" s="4"/>
      <c r="AZ2168" s="4"/>
      <c r="BA2168" s="4"/>
      <c r="BB2168" s="4"/>
      <c r="BC2168" s="4"/>
      <c r="BD2168" s="4"/>
      <c r="BE2168" s="4"/>
      <c r="BG2168" s="4"/>
      <c r="BH2168" s="4"/>
    </row>
    <row r="2169" spans="1:60" x14ac:dyDescent="0.35">
      <c r="A2169" s="4"/>
      <c r="B2169" s="4"/>
      <c r="D2169" s="6" t="str">
        <f t="shared" si="145"/>
        <v/>
      </c>
      <c r="E2169" s="6" t="str">
        <f t="shared" si="146"/>
        <v/>
      </c>
      <c r="F2169" s="6" t="str">
        <f t="shared" si="147"/>
        <v/>
      </c>
      <c r="G2169" s="4"/>
      <c r="H2169" s="4"/>
      <c r="I2169" s="4"/>
      <c r="J2169" s="4"/>
      <c r="K2169" s="4"/>
      <c r="L2169" s="4"/>
      <c r="M2169" s="4"/>
      <c r="N2169" s="4"/>
      <c r="O2169" s="4"/>
      <c r="P2169" s="4"/>
      <c r="Q2169" s="4"/>
      <c r="R2169" s="14"/>
      <c r="S2169" s="14"/>
      <c r="T2169" s="14"/>
      <c r="U2169" s="14"/>
      <c r="V2169" s="14"/>
      <c r="W2169" s="14"/>
      <c r="X2169" s="1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c r="AV2169" s="4"/>
      <c r="AW2169" s="4"/>
      <c r="AX2169" s="4"/>
      <c r="AY2169" s="4"/>
      <c r="AZ2169" s="4"/>
      <c r="BA2169" s="4"/>
      <c r="BB2169" s="4"/>
      <c r="BC2169" s="4"/>
      <c r="BD2169" s="4"/>
      <c r="BE2169" s="4"/>
      <c r="BG2169" s="4"/>
      <c r="BH2169" s="4"/>
    </row>
    <row r="2170" spans="1:60" x14ac:dyDescent="0.35">
      <c r="A2170" s="4"/>
      <c r="B2170" s="4"/>
      <c r="D2170" s="6" t="str">
        <f t="shared" si="145"/>
        <v/>
      </c>
      <c r="E2170" s="6" t="str">
        <f t="shared" si="146"/>
        <v/>
      </c>
      <c r="F2170" s="6" t="str">
        <f t="shared" si="147"/>
        <v/>
      </c>
      <c r="G2170" s="4"/>
      <c r="H2170" s="4"/>
      <c r="I2170" s="4"/>
      <c r="J2170" s="4"/>
      <c r="K2170" s="4"/>
      <c r="L2170" s="4"/>
      <c r="M2170" s="4"/>
      <c r="N2170" s="4"/>
      <c r="O2170" s="4"/>
      <c r="P2170" s="4"/>
      <c r="Q2170" s="4"/>
      <c r="R2170" s="14"/>
      <c r="S2170" s="14"/>
      <c r="T2170" s="14"/>
      <c r="U2170" s="14"/>
      <c r="V2170" s="14"/>
      <c r="W2170" s="14"/>
      <c r="X2170" s="1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4"/>
      <c r="AU2170" s="4"/>
      <c r="AV2170" s="4"/>
      <c r="AW2170" s="4"/>
      <c r="AX2170" s="4"/>
      <c r="AY2170" s="4"/>
      <c r="AZ2170" s="4"/>
      <c r="BA2170" s="4"/>
      <c r="BB2170" s="4"/>
      <c r="BC2170" s="4"/>
      <c r="BD2170" s="4"/>
      <c r="BE2170" s="4"/>
      <c r="BG2170" s="4"/>
      <c r="BH2170" s="4"/>
    </row>
    <row r="2171" spans="1:60" x14ac:dyDescent="0.35">
      <c r="A2171" s="4"/>
      <c r="B2171" s="4"/>
      <c r="D2171" s="6" t="str">
        <f t="shared" si="145"/>
        <v/>
      </c>
      <c r="E2171" s="6" t="str">
        <f t="shared" si="146"/>
        <v/>
      </c>
      <c r="F2171" s="6" t="str">
        <f t="shared" si="147"/>
        <v/>
      </c>
      <c r="G2171" s="4"/>
      <c r="H2171" s="4"/>
      <c r="I2171" s="4"/>
      <c r="J2171" s="4"/>
      <c r="K2171" s="4"/>
      <c r="L2171" s="4"/>
      <c r="M2171" s="4"/>
      <c r="N2171" s="4"/>
      <c r="O2171" s="4"/>
      <c r="P2171" s="4"/>
      <c r="Q2171" s="4"/>
      <c r="R2171" s="14"/>
      <c r="S2171" s="14"/>
      <c r="T2171" s="14"/>
      <c r="U2171" s="14"/>
      <c r="V2171" s="14"/>
      <c r="W2171" s="14"/>
      <c r="X2171" s="1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4"/>
      <c r="AU2171" s="4"/>
      <c r="AV2171" s="4"/>
      <c r="AW2171" s="4"/>
      <c r="AX2171" s="4"/>
      <c r="AY2171" s="4"/>
      <c r="AZ2171" s="4"/>
      <c r="BA2171" s="4"/>
      <c r="BB2171" s="4"/>
      <c r="BC2171" s="4"/>
      <c r="BD2171" s="4"/>
      <c r="BE2171" s="4"/>
      <c r="BG2171" s="4"/>
      <c r="BH2171" s="4"/>
    </row>
    <row r="2172" spans="1:60" x14ac:dyDescent="0.35">
      <c r="A2172" s="4"/>
      <c r="B2172" s="4"/>
      <c r="D2172" s="6" t="str">
        <f t="shared" si="145"/>
        <v/>
      </c>
      <c r="E2172" s="6" t="str">
        <f t="shared" si="146"/>
        <v/>
      </c>
      <c r="F2172" s="6" t="str">
        <f t="shared" si="147"/>
        <v/>
      </c>
      <c r="G2172" s="4"/>
      <c r="H2172" s="4"/>
      <c r="I2172" s="4"/>
      <c r="J2172" s="4"/>
      <c r="K2172" s="4"/>
      <c r="L2172" s="4"/>
      <c r="M2172" s="4"/>
      <c r="N2172" s="4"/>
      <c r="O2172" s="4"/>
      <c r="P2172" s="4"/>
      <c r="Q2172" s="4"/>
      <c r="R2172" s="14"/>
      <c r="S2172" s="14"/>
      <c r="T2172" s="14"/>
      <c r="U2172" s="14"/>
      <c r="V2172" s="14"/>
      <c r="W2172" s="14"/>
      <c r="X2172" s="1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4"/>
      <c r="AU2172" s="4"/>
      <c r="AV2172" s="4"/>
      <c r="AW2172" s="4"/>
      <c r="AX2172" s="4"/>
      <c r="AY2172" s="4"/>
      <c r="AZ2172" s="4"/>
      <c r="BA2172" s="4"/>
      <c r="BB2172" s="4"/>
      <c r="BC2172" s="4"/>
      <c r="BD2172" s="4"/>
      <c r="BE2172" s="4"/>
      <c r="BG2172" s="4"/>
      <c r="BH2172" s="4"/>
    </row>
    <row r="2173" spans="1:60" x14ac:dyDescent="0.35">
      <c r="A2173" s="4"/>
      <c r="B2173" s="4"/>
      <c r="D2173" s="6" t="str">
        <f t="shared" ref="D2173:D2236" si="148">IF(C2173="","",VLOOKUP(C2173,district_region,2,FALSE))</f>
        <v/>
      </c>
      <c r="E2173" s="6" t="str">
        <f t="shared" ref="E2173:E2236" si="149">IF(C2173="","",VLOOKUP(C2173,liste_pop,3,FALSE))</f>
        <v/>
      </c>
      <c r="F2173" s="6" t="str">
        <f t="shared" ref="F2173:F2236" si="150">IF(D2173="","",IF(D2173="Dakar",4042240,VLOOKUP(D2173,liste_pop,4,FALSE)))</f>
        <v/>
      </c>
      <c r="G2173" s="4"/>
      <c r="H2173" s="4"/>
      <c r="I2173" s="4"/>
      <c r="J2173" s="4"/>
      <c r="K2173" s="4"/>
      <c r="L2173" s="4"/>
      <c r="M2173" s="4"/>
      <c r="N2173" s="4"/>
      <c r="O2173" s="4"/>
      <c r="P2173" s="4"/>
      <c r="Q2173" s="4"/>
      <c r="R2173" s="14"/>
      <c r="S2173" s="14"/>
      <c r="T2173" s="14"/>
      <c r="U2173" s="14"/>
      <c r="V2173" s="14"/>
      <c r="W2173" s="14"/>
      <c r="X2173" s="1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4"/>
      <c r="AU2173" s="4"/>
      <c r="AV2173" s="4"/>
      <c r="AW2173" s="4"/>
      <c r="AX2173" s="4"/>
      <c r="AY2173" s="4"/>
      <c r="AZ2173" s="4"/>
      <c r="BA2173" s="4"/>
      <c r="BB2173" s="4"/>
      <c r="BC2173" s="4"/>
      <c r="BD2173" s="4"/>
      <c r="BE2173" s="4"/>
      <c r="BG2173" s="4"/>
      <c r="BH2173" s="4"/>
    </row>
    <row r="2174" spans="1:60" x14ac:dyDescent="0.35">
      <c r="A2174" s="4"/>
      <c r="B2174" s="4"/>
      <c r="D2174" s="6" t="str">
        <f t="shared" si="148"/>
        <v/>
      </c>
      <c r="E2174" s="6" t="str">
        <f t="shared" si="149"/>
        <v/>
      </c>
      <c r="F2174" s="6" t="str">
        <f t="shared" si="150"/>
        <v/>
      </c>
      <c r="G2174" s="4"/>
      <c r="H2174" s="4"/>
      <c r="I2174" s="4"/>
      <c r="J2174" s="4"/>
      <c r="K2174" s="4"/>
      <c r="L2174" s="4"/>
      <c r="M2174" s="4"/>
      <c r="N2174" s="4"/>
      <c r="O2174" s="4"/>
      <c r="P2174" s="4"/>
      <c r="Q2174" s="4"/>
      <c r="R2174" s="14"/>
      <c r="S2174" s="14"/>
      <c r="T2174" s="14"/>
      <c r="U2174" s="14"/>
      <c r="V2174" s="14"/>
      <c r="W2174" s="14"/>
      <c r="X2174" s="14"/>
      <c r="Y2174" s="4"/>
      <c r="Z2174" s="4"/>
      <c r="AA2174" s="4"/>
      <c r="AB2174" s="4"/>
      <c r="AC2174" s="4"/>
      <c r="AD2174" s="4"/>
      <c r="AE2174" s="4"/>
      <c r="AF2174" s="4"/>
      <c r="AG2174" s="4"/>
      <c r="AH2174" s="4"/>
      <c r="AI2174" s="4"/>
      <c r="AJ2174" s="4"/>
      <c r="AK2174" s="4"/>
      <c r="AL2174" s="4"/>
      <c r="AM2174" s="4"/>
      <c r="AN2174" s="4"/>
      <c r="AO2174" s="4"/>
      <c r="AP2174" s="4"/>
      <c r="AQ2174" s="4"/>
      <c r="AR2174" s="4"/>
      <c r="AS2174" s="4"/>
      <c r="AT2174" s="4"/>
      <c r="AU2174" s="4"/>
      <c r="AV2174" s="4"/>
      <c r="AW2174" s="4"/>
      <c r="AX2174" s="4"/>
      <c r="AY2174" s="4"/>
      <c r="AZ2174" s="4"/>
      <c r="BA2174" s="4"/>
      <c r="BB2174" s="4"/>
      <c r="BC2174" s="4"/>
      <c r="BD2174" s="4"/>
      <c r="BE2174" s="4"/>
      <c r="BG2174" s="4"/>
      <c r="BH2174" s="4"/>
    </row>
    <row r="2175" spans="1:60" x14ac:dyDescent="0.35">
      <c r="A2175" s="4"/>
      <c r="B2175" s="4"/>
      <c r="D2175" s="6" t="str">
        <f t="shared" si="148"/>
        <v/>
      </c>
      <c r="E2175" s="6" t="str">
        <f t="shared" si="149"/>
        <v/>
      </c>
      <c r="F2175" s="6" t="str">
        <f t="shared" si="150"/>
        <v/>
      </c>
      <c r="G2175" s="4"/>
      <c r="H2175" s="4"/>
      <c r="I2175" s="4"/>
      <c r="J2175" s="4"/>
      <c r="K2175" s="4"/>
      <c r="L2175" s="4"/>
      <c r="M2175" s="4"/>
      <c r="N2175" s="4"/>
      <c r="O2175" s="4"/>
      <c r="P2175" s="4"/>
      <c r="Q2175" s="4"/>
      <c r="R2175" s="14"/>
      <c r="S2175" s="14"/>
      <c r="T2175" s="14"/>
      <c r="U2175" s="14"/>
      <c r="V2175" s="14"/>
      <c r="W2175" s="14"/>
      <c r="X2175" s="1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4"/>
      <c r="AU2175" s="4"/>
      <c r="AV2175" s="4"/>
      <c r="AW2175" s="4"/>
      <c r="AX2175" s="4"/>
      <c r="AY2175" s="4"/>
      <c r="AZ2175" s="4"/>
      <c r="BA2175" s="4"/>
      <c r="BB2175" s="4"/>
      <c r="BC2175" s="4"/>
      <c r="BD2175" s="4"/>
      <c r="BE2175" s="4"/>
      <c r="BG2175" s="4"/>
      <c r="BH2175" s="4"/>
    </row>
    <row r="2176" spans="1:60" x14ac:dyDescent="0.35">
      <c r="A2176" s="4"/>
      <c r="B2176" s="4"/>
      <c r="D2176" s="6" t="str">
        <f t="shared" si="148"/>
        <v/>
      </c>
      <c r="E2176" s="6" t="str">
        <f t="shared" si="149"/>
        <v/>
      </c>
      <c r="F2176" s="6" t="str">
        <f t="shared" si="150"/>
        <v/>
      </c>
      <c r="G2176" s="4"/>
      <c r="H2176" s="4"/>
      <c r="I2176" s="4"/>
      <c r="J2176" s="4"/>
      <c r="K2176" s="4"/>
      <c r="L2176" s="4"/>
      <c r="M2176" s="4"/>
      <c r="N2176" s="4"/>
      <c r="O2176" s="4"/>
      <c r="P2176" s="4"/>
      <c r="Q2176" s="4"/>
      <c r="R2176" s="14"/>
      <c r="S2176" s="14"/>
      <c r="T2176" s="14"/>
      <c r="U2176" s="14"/>
      <c r="V2176" s="14"/>
      <c r="W2176" s="14"/>
      <c r="X2176" s="1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4"/>
      <c r="AU2176" s="4"/>
      <c r="AV2176" s="4"/>
      <c r="AW2176" s="4"/>
      <c r="AX2176" s="4"/>
      <c r="AY2176" s="4"/>
      <c r="AZ2176" s="4"/>
      <c r="BA2176" s="4"/>
      <c r="BB2176" s="4"/>
      <c r="BC2176" s="4"/>
      <c r="BD2176" s="4"/>
      <c r="BE2176" s="4"/>
      <c r="BG2176" s="4"/>
      <c r="BH2176" s="4"/>
    </row>
    <row r="2177" spans="1:60" x14ac:dyDescent="0.35">
      <c r="A2177" s="4"/>
      <c r="B2177" s="4"/>
      <c r="D2177" s="6" t="str">
        <f t="shared" si="148"/>
        <v/>
      </c>
      <c r="E2177" s="6" t="str">
        <f t="shared" si="149"/>
        <v/>
      </c>
      <c r="F2177" s="6" t="str">
        <f t="shared" si="150"/>
        <v/>
      </c>
      <c r="G2177" s="4"/>
      <c r="H2177" s="4"/>
      <c r="I2177" s="4"/>
      <c r="J2177" s="4"/>
      <c r="K2177" s="4"/>
      <c r="L2177" s="4"/>
      <c r="M2177" s="4"/>
      <c r="N2177" s="4"/>
      <c r="O2177" s="4"/>
      <c r="P2177" s="4"/>
      <c r="Q2177" s="4"/>
      <c r="R2177" s="14"/>
      <c r="S2177" s="14"/>
      <c r="T2177" s="14"/>
      <c r="U2177" s="14"/>
      <c r="V2177" s="14"/>
      <c r="W2177" s="14"/>
      <c r="X2177" s="1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4"/>
      <c r="AU2177" s="4"/>
      <c r="AV2177" s="4"/>
      <c r="AW2177" s="4"/>
      <c r="AX2177" s="4"/>
      <c r="AY2177" s="4"/>
      <c r="AZ2177" s="4"/>
      <c r="BA2177" s="4"/>
      <c r="BB2177" s="4"/>
      <c r="BC2177" s="4"/>
      <c r="BD2177" s="4"/>
      <c r="BE2177" s="4"/>
      <c r="BG2177" s="4"/>
      <c r="BH2177" s="4"/>
    </row>
    <row r="2178" spans="1:60" x14ac:dyDescent="0.35">
      <c r="A2178" s="4"/>
      <c r="B2178" s="4"/>
      <c r="D2178" s="6" t="str">
        <f t="shared" si="148"/>
        <v/>
      </c>
      <c r="E2178" s="6" t="str">
        <f t="shared" si="149"/>
        <v/>
      </c>
      <c r="F2178" s="6" t="str">
        <f t="shared" si="150"/>
        <v/>
      </c>
      <c r="G2178" s="4"/>
      <c r="H2178" s="4"/>
      <c r="I2178" s="4"/>
      <c r="J2178" s="4"/>
      <c r="K2178" s="4"/>
      <c r="L2178" s="4"/>
      <c r="M2178" s="4"/>
      <c r="N2178" s="4"/>
      <c r="O2178" s="4"/>
      <c r="P2178" s="4"/>
      <c r="Q2178" s="4"/>
      <c r="R2178" s="14"/>
      <c r="S2178" s="14"/>
      <c r="T2178" s="14"/>
      <c r="U2178" s="14"/>
      <c r="V2178" s="14"/>
      <c r="W2178" s="14"/>
      <c r="X2178" s="1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c r="AX2178" s="4"/>
      <c r="AY2178" s="4"/>
      <c r="AZ2178" s="4"/>
      <c r="BA2178" s="4"/>
      <c r="BB2178" s="4"/>
      <c r="BC2178" s="4"/>
      <c r="BD2178" s="4"/>
      <c r="BE2178" s="4"/>
      <c r="BG2178" s="4"/>
      <c r="BH2178" s="4"/>
    </row>
    <row r="2179" spans="1:60" x14ac:dyDescent="0.35">
      <c r="A2179" s="4"/>
      <c r="B2179" s="4"/>
      <c r="D2179" s="6" t="str">
        <f t="shared" si="148"/>
        <v/>
      </c>
      <c r="E2179" s="6" t="str">
        <f t="shared" si="149"/>
        <v/>
      </c>
      <c r="F2179" s="6" t="str">
        <f t="shared" si="150"/>
        <v/>
      </c>
      <c r="G2179" s="4"/>
      <c r="H2179" s="4"/>
      <c r="I2179" s="4"/>
      <c r="J2179" s="4"/>
      <c r="K2179" s="4"/>
      <c r="L2179" s="4"/>
      <c r="M2179" s="4"/>
      <c r="N2179" s="4"/>
      <c r="O2179" s="4"/>
      <c r="P2179" s="4"/>
      <c r="Q2179" s="4"/>
      <c r="R2179" s="14"/>
      <c r="S2179" s="14"/>
      <c r="T2179" s="14"/>
      <c r="U2179" s="14"/>
      <c r="V2179" s="14"/>
      <c r="W2179" s="14"/>
      <c r="X2179" s="14"/>
      <c r="Y2179" s="4"/>
      <c r="Z2179" s="4"/>
      <c r="AA2179" s="4"/>
      <c r="AB2179" s="4"/>
      <c r="AC2179" s="4"/>
      <c r="AD2179" s="4"/>
      <c r="AE2179" s="4"/>
      <c r="AF2179" s="4"/>
      <c r="AG2179" s="4"/>
      <c r="AH2179" s="4"/>
      <c r="AI2179" s="4"/>
      <c r="AJ2179" s="4"/>
      <c r="AK2179" s="4"/>
      <c r="AL2179" s="4"/>
      <c r="AM2179" s="4"/>
      <c r="AN2179" s="4"/>
      <c r="AO2179" s="4"/>
      <c r="AP2179" s="4"/>
      <c r="AQ2179" s="4"/>
      <c r="AR2179" s="4"/>
      <c r="AS2179" s="4"/>
      <c r="AT2179" s="4"/>
      <c r="AU2179" s="4"/>
      <c r="AV2179" s="4"/>
      <c r="AW2179" s="4"/>
      <c r="AX2179" s="4"/>
      <c r="AY2179" s="4"/>
      <c r="AZ2179" s="4"/>
      <c r="BA2179" s="4"/>
      <c r="BB2179" s="4"/>
      <c r="BC2179" s="4"/>
      <c r="BD2179" s="4"/>
      <c r="BE2179" s="4"/>
      <c r="BG2179" s="4"/>
      <c r="BH2179" s="4"/>
    </row>
    <row r="2180" spans="1:60" x14ac:dyDescent="0.35">
      <c r="A2180" s="4"/>
      <c r="B2180" s="4"/>
      <c r="D2180" s="6" t="str">
        <f t="shared" si="148"/>
        <v/>
      </c>
      <c r="E2180" s="6" t="str">
        <f t="shared" si="149"/>
        <v/>
      </c>
      <c r="F2180" s="6" t="str">
        <f t="shared" si="150"/>
        <v/>
      </c>
      <c r="G2180" s="4"/>
      <c r="H2180" s="4"/>
      <c r="I2180" s="4"/>
      <c r="J2180" s="4"/>
      <c r="K2180" s="4"/>
      <c r="L2180" s="4"/>
      <c r="M2180" s="4"/>
      <c r="N2180" s="4"/>
      <c r="O2180" s="4"/>
      <c r="P2180" s="4"/>
      <c r="Q2180" s="4"/>
      <c r="R2180" s="14"/>
      <c r="S2180" s="14"/>
      <c r="T2180" s="14"/>
      <c r="U2180" s="14"/>
      <c r="V2180" s="14"/>
      <c r="W2180" s="14"/>
      <c r="X2180" s="1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c r="AV2180" s="4"/>
      <c r="AW2180" s="4"/>
      <c r="AX2180" s="4"/>
      <c r="AY2180" s="4"/>
      <c r="AZ2180" s="4"/>
      <c r="BA2180" s="4"/>
      <c r="BB2180" s="4"/>
      <c r="BC2180" s="4"/>
      <c r="BD2180" s="4"/>
      <c r="BE2180" s="4"/>
      <c r="BG2180" s="4"/>
      <c r="BH2180" s="4"/>
    </row>
    <row r="2181" spans="1:60" x14ac:dyDescent="0.35">
      <c r="A2181" s="4"/>
      <c r="B2181" s="4"/>
      <c r="D2181" s="6" t="str">
        <f t="shared" si="148"/>
        <v/>
      </c>
      <c r="E2181" s="6" t="str">
        <f t="shared" si="149"/>
        <v/>
      </c>
      <c r="F2181" s="6" t="str">
        <f t="shared" si="150"/>
        <v/>
      </c>
      <c r="G2181" s="4"/>
      <c r="H2181" s="4"/>
      <c r="I2181" s="4"/>
      <c r="J2181" s="4"/>
      <c r="K2181" s="4"/>
      <c r="L2181" s="4"/>
      <c r="M2181" s="4"/>
      <c r="N2181" s="4"/>
      <c r="O2181" s="4"/>
      <c r="P2181" s="4"/>
      <c r="Q2181" s="4"/>
      <c r="R2181" s="14"/>
      <c r="S2181" s="14"/>
      <c r="T2181" s="14"/>
      <c r="U2181" s="14"/>
      <c r="V2181" s="14"/>
      <c r="W2181" s="14"/>
      <c r="X2181" s="1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4"/>
      <c r="AU2181" s="4"/>
      <c r="AV2181" s="4"/>
      <c r="AW2181" s="4"/>
      <c r="AX2181" s="4"/>
      <c r="AY2181" s="4"/>
      <c r="AZ2181" s="4"/>
      <c r="BA2181" s="4"/>
      <c r="BB2181" s="4"/>
      <c r="BC2181" s="4"/>
      <c r="BD2181" s="4"/>
      <c r="BE2181" s="4"/>
      <c r="BG2181" s="4"/>
      <c r="BH2181" s="4"/>
    </row>
    <row r="2182" spans="1:60" x14ac:dyDescent="0.35">
      <c r="A2182" s="4"/>
      <c r="B2182" s="4"/>
      <c r="D2182" s="6" t="str">
        <f t="shared" si="148"/>
        <v/>
      </c>
      <c r="E2182" s="6" t="str">
        <f t="shared" si="149"/>
        <v/>
      </c>
      <c r="F2182" s="6" t="str">
        <f t="shared" si="150"/>
        <v/>
      </c>
      <c r="G2182" s="4"/>
      <c r="H2182" s="4"/>
      <c r="I2182" s="4"/>
      <c r="J2182" s="4"/>
      <c r="K2182" s="4"/>
      <c r="L2182" s="4"/>
      <c r="M2182" s="4"/>
      <c r="N2182" s="4"/>
      <c r="O2182" s="4"/>
      <c r="P2182" s="4"/>
      <c r="Q2182" s="4"/>
      <c r="R2182" s="14"/>
      <c r="S2182" s="14"/>
      <c r="T2182" s="14"/>
      <c r="U2182" s="14"/>
      <c r="V2182" s="14"/>
      <c r="W2182" s="14"/>
      <c r="X2182" s="1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4"/>
      <c r="AU2182" s="4"/>
      <c r="AV2182" s="4"/>
      <c r="AW2182" s="4"/>
      <c r="AX2182" s="4"/>
      <c r="AY2182" s="4"/>
      <c r="AZ2182" s="4"/>
      <c r="BA2182" s="4"/>
      <c r="BB2182" s="4"/>
      <c r="BC2182" s="4"/>
      <c r="BD2182" s="4"/>
      <c r="BE2182" s="4"/>
      <c r="BG2182" s="4"/>
      <c r="BH2182" s="4"/>
    </row>
    <row r="2183" spans="1:60" x14ac:dyDescent="0.35">
      <c r="A2183" s="4"/>
      <c r="B2183" s="4"/>
      <c r="D2183" s="6" t="str">
        <f t="shared" si="148"/>
        <v/>
      </c>
      <c r="E2183" s="6" t="str">
        <f t="shared" si="149"/>
        <v/>
      </c>
      <c r="F2183" s="6" t="str">
        <f t="shared" si="150"/>
        <v/>
      </c>
      <c r="G2183" s="4"/>
      <c r="H2183" s="4"/>
      <c r="I2183" s="4"/>
      <c r="J2183" s="4"/>
      <c r="K2183" s="4"/>
      <c r="L2183" s="4"/>
      <c r="M2183" s="4"/>
      <c r="N2183" s="4"/>
      <c r="O2183" s="4"/>
      <c r="P2183" s="4"/>
      <c r="Q2183" s="4"/>
      <c r="R2183" s="14"/>
      <c r="S2183" s="14"/>
      <c r="T2183" s="14"/>
      <c r="U2183" s="14"/>
      <c r="V2183" s="14"/>
      <c r="W2183" s="14"/>
      <c r="X2183" s="1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c r="AV2183" s="4"/>
      <c r="AW2183" s="4"/>
      <c r="AX2183" s="4"/>
      <c r="AY2183" s="4"/>
      <c r="AZ2183" s="4"/>
      <c r="BA2183" s="4"/>
      <c r="BB2183" s="4"/>
      <c r="BC2183" s="4"/>
      <c r="BD2183" s="4"/>
      <c r="BE2183" s="4"/>
      <c r="BG2183" s="4"/>
      <c r="BH2183" s="4"/>
    </row>
    <row r="2184" spans="1:60" x14ac:dyDescent="0.35">
      <c r="A2184" s="4"/>
      <c r="B2184" s="4"/>
      <c r="D2184" s="6" t="str">
        <f t="shared" si="148"/>
        <v/>
      </c>
      <c r="E2184" s="6" t="str">
        <f t="shared" si="149"/>
        <v/>
      </c>
      <c r="F2184" s="6" t="str">
        <f t="shared" si="150"/>
        <v/>
      </c>
      <c r="G2184" s="4"/>
      <c r="H2184" s="4"/>
      <c r="I2184" s="4"/>
      <c r="J2184" s="4"/>
      <c r="K2184" s="4"/>
      <c r="L2184" s="4"/>
      <c r="M2184" s="4"/>
      <c r="N2184" s="4"/>
      <c r="O2184" s="4"/>
      <c r="P2184" s="4"/>
      <c r="Q2184" s="4"/>
      <c r="R2184" s="14"/>
      <c r="S2184" s="14"/>
      <c r="T2184" s="14"/>
      <c r="U2184" s="14"/>
      <c r="V2184" s="14"/>
      <c r="W2184" s="14"/>
      <c r="X2184" s="14"/>
      <c r="Y2184" s="4"/>
      <c r="Z2184" s="4"/>
      <c r="AA2184" s="4"/>
      <c r="AB2184" s="4"/>
      <c r="AC2184" s="4"/>
      <c r="AD2184" s="4"/>
      <c r="AE2184" s="4"/>
      <c r="AF2184" s="4"/>
      <c r="AG2184" s="4"/>
      <c r="AH2184" s="4"/>
      <c r="AI2184" s="4"/>
      <c r="AJ2184" s="4"/>
      <c r="AK2184" s="4"/>
      <c r="AL2184" s="4"/>
      <c r="AM2184" s="4"/>
      <c r="AN2184" s="4"/>
      <c r="AO2184" s="4"/>
      <c r="AP2184" s="4"/>
      <c r="AQ2184" s="4"/>
      <c r="AR2184" s="4"/>
      <c r="AS2184" s="4"/>
      <c r="AT2184" s="4"/>
      <c r="AU2184" s="4"/>
      <c r="AV2184" s="4"/>
      <c r="AW2184" s="4"/>
      <c r="AX2184" s="4"/>
      <c r="AY2184" s="4"/>
      <c r="AZ2184" s="4"/>
      <c r="BA2184" s="4"/>
      <c r="BB2184" s="4"/>
      <c r="BC2184" s="4"/>
      <c r="BD2184" s="4"/>
      <c r="BE2184" s="4"/>
      <c r="BG2184" s="4"/>
      <c r="BH2184" s="4"/>
    </row>
    <row r="2185" spans="1:60" x14ac:dyDescent="0.35">
      <c r="A2185" s="4"/>
      <c r="B2185" s="4"/>
      <c r="D2185" s="6" t="str">
        <f t="shared" si="148"/>
        <v/>
      </c>
      <c r="E2185" s="6" t="str">
        <f t="shared" si="149"/>
        <v/>
      </c>
      <c r="F2185" s="6" t="str">
        <f t="shared" si="150"/>
        <v/>
      </c>
      <c r="G2185" s="4"/>
      <c r="H2185" s="4"/>
      <c r="I2185" s="4"/>
      <c r="J2185" s="4"/>
      <c r="K2185" s="4"/>
      <c r="L2185" s="4"/>
      <c r="M2185" s="4"/>
      <c r="N2185" s="4"/>
      <c r="O2185" s="4"/>
      <c r="P2185" s="4"/>
      <c r="Q2185" s="4"/>
      <c r="R2185" s="14"/>
      <c r="S2185" s="14"/>
      <c r="T2185" s="14"/>
      <c r="U2185" s="14"/>
      <c r="V2185" s="14"/>
      <c r="W2185" s="14"/>
      <c r="X2185" s="1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c r="AV2185" s="4"/>
      <c r="AW2185" s="4"/>
      <c r="AX2185" s="4"/>
      <c r="AY2185" s="4"/>
      <c r="AZ2185" s="4"/>
      <c r="BA2185" s="4"/>
      <c r="BB2185" s="4"/>
      <c r="BC2185" s="4"/>
      <c r="BD2185" s="4"/>
      <c r="BE2185" s="4"/>
      <c r="BG2185" s="4"/>
      <c r="BH2185" s="4"/>
    </row>
    <row r="2186" spans="1:60" x14ac:dyDescent="0.35">
      <c r="A2186" s="4"/>
      <c r="B2186" s="4"/>
      <c r="D2186" s="6" t="str">
        <f t="shared" si="148"/>
        <v/>
      </c>
      <c r="E2186" s="6" t="str">
        <f t="shared" si="149"/>
        <v/>
      </c>
      <c r="F2186" s="6" t="str">
        <f t="shared" si="150"/>
        <v/>
      </c>
      <c r="G2186" s="4"/>
      <c r="H2186" s="4"/>
      <c r="I2186" s="4"/>
      <c r="J2186" s="4"/>
      <c r="K2186" s="4"/>
      <c r="L2186" s="4"/>
      <c r="M2186" s="4"/>
      <c r="N2186" s="4"/>
      <c r="O2186" s="4"/>
      <c r="P2186" s="4"/>
      <c r="Q2186" s="4"/>
      <c r="R2186" s="14"/>
      <c r="S2186" s="14"/>
      <c r="T2186" s="14"/>
      <c r="U2186" s="14"/>
      <c r="V2186" s="14"/>
      <c r="W2186" s="14"/>
      <c r="X2186" s="1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c r="AV2186" s="4"/>
      <c r="AW2186" s="4"/>
      <c r="AX2186" s="4"/>
      <c r="AY2186" s="4"/>
      <c r="AZ2186" s="4"/>
      <c r="BA2186" s="4"/>
      <c r="BB2186" s="4"/>
      <c r="BC2186" s="4"/>
      <c r="BD2186" s="4"/>
      <c r="BE2186" s="4"/>
      <c r="BG2186" s="4"/>
      <c r="BH2186" s="4"/>
    </row>
    <row r="2187" spans="1:60" x14ac:dyDescent="0.35">
      <c r="A2187" s="4"/>
      <c r="B2187" s="4"/>
      <c r="D2187" s="6" t="str">
        <f t="shared" si="148"/>
        <v/>
      </c>
      <c r="E2187" s="6" t="str">
        <f t="shared" si="149"/>
        <v/>
      </c>
      <c r="F2187" s="6" t="str">
        <f t="shared" si="150"/>
        <v/>
      </c>
      <c r="G2187" s="4"/>
      <c r="H2187" s="4"/>
      <c r="I2187" s="4"/>
      <c r="J2187" s="4"/>
      <c r="K2187" s="4"/>
      <c r="L2187" s="4"/>
      <c r="M2187" s="4"/>
      <c r="N2187" s="4"/>
      <c r="O2187" s="4"/>
      <c r="P2187" s="4"/>
      <c r="Q2187" s="4"/>
      <c r="R2187" s="14"/>
      <c r="S2187" s="14"/>
      <c r="T2187" s="14"/>
      <c r="U2187" s="14"/>
      <c r="V2187" s="14"/>
      <c r="W2187" s="14"/>
      <c r="X2187" s="1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4"/>
      <c r="AU2187" s="4"/>
      <c r="AV2187" s="4"/>
      <c r="AW2187" s="4"/>
      <c r="AX2187" s="4"/>
      <c r="AY2187" s="4"/>
      <c r="AZ2187" s="4"/>
      <c r="BA2187" s="4"/>
      <c r="BB2187" s="4"/>
      <c r="BC2187" s="4"/>
      <c r="BD2187" s="4"/>
      <c r="BE2187" s="4"/>
      <c r="BG2187" s="4"/>
      <c r="BH2187" s="4"/>
    </row>
    <row r="2188" spans="1:60" x14ac:dyDescent="0.35">
      <c r="A2188" s="4"/>
      <c r="B2188" s="4"/>
      <c r="D2188" s="6" t="str">
        <f t="shared" si="148"/>
        <v/>
      </c>
      <c r="E2188" s="6" t="str">
        <f t="shared" si="149"/>
        <v/>
      </c>
      <c r="F2188" s="6" t="str">
        <f t="shared" si="150"/>
        <v/>
      </c>
      <c r="G2188" s="4"/>
      <c r="H2188" s="4"/>
      <c r="I2188" s="4"/>
      <c r="J2188" s="4"/>
      <c r="K2188" s="4"/>
      <c r="L2188" s="4"/>
      <c r="M2188" s="4"/>
      <c r="N2188" s="4"/>
      <c r="O2188" s="4"/>
      <c r="P2188" s="4"/>
      <c r="Q2188" s="4"/>
      <c r="R2188" s="14"/>
      <c r="S2188" s="14"/>
      <c r="T2188" s="14"/>
      <c r="U2188" s="14"/>
      <c r="V2188" s="14"/>
      <c r="W2188" s="14"/>
      <c r="X2188" s="1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4"/>
      <c r="AU2188" s="4"/>
      <c r="AV2188" s="4"/>
      <c r="AW2188" s="4"/>
      <c r="AX2188" s="4"/>
      <c r="AY2188" s="4"/>
      <c r="AZ2188" s="4"/>
      <c r="BA2188" s="4"/>
      <c r="BB2188" s="4"/>
      <c r="BC2188" s="4"/>
      <c r="BD2188" s="4"/>
      <c r="BE2188" s="4"/>
      <c r="BG2188" s="4"/>
      <c r="BH2188" s="4"/>
    </row>
    <row r="2189" spans="1:60" x14ac:dyDescent="0.35">
      <c r="A2189" s="4"/>
      <c r="B2189" s="4"/>
      <c r="D2189" s="6" t="str">
        <f t="shared" si="148"/>
        <v/>
      </c>
      <c r="E2189" s="6" t="str">
        <f t="shared" si="149"/>
        <v/>
      </c>
      <c r="F2189" s="6" t="str">
        <f t="shared" si="150"/>
        <v/>
      </c>
      <c r="G2189" s="4"/>
      <c r="H2189" s="4"/>
      <c r="I2189" s="4"/>
      <c r="J2189" s="4"/>
      <c r="K2189" s="4"/>
      <c r="L2189" s="4"/>
      <c r="M2189" s="4"/>
      <c r="N2189" s="4"/>
      <c r="O2189" s="4"/>
      <c r="P2189" s="4"/>
      <c r="Q2189" s="4"/>
      <c r="R2189" s="14"/>
      <c r="S2189" s="14"/>
      <c r="T2189" s="14"/>
      <c r="U2189" s="14"/>
      <c r="V2189" s="14"/>
      <c r="W2189" s="14"/>
      <c r="X2189" s="1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4"/>
      <c r="AU2189" s="4"/>
      <c r="AV2189" s="4"/>
      <c r="AW2189" s="4"/>
      <c r="AX2189" s="4"/>
      <c r="AY2189" s="4"/>
      <c r="AZ2189" s="4"/>
      <c r="BA2189" s="4"/>
      <c r="BB2189" s="4"/>
      <c r="BC2189" s="4"/>
      <c r="BD2189" s="4"/>
      <c r="BE2189" s="4"/>
      <c r="BG2189" s="4"/>
      <c r="BH2189" s="4"/>
    </row>
    <row r="2190" spans="1:60" x14ac:dyDescent="0.35">
      <c r="A2190" s="4"/>
      <c r="B2190" s="4"/>
      <c r="D2190" s="6" t="str">
        <f t="shared" si="148"/>
        <v/>
      </c>
      <c r="E2190" s="6" t="str">
        <f t="shared" si="149"/>
        <v/>
      </c>
      <c r="F2190" s="6" t="str">
        <f t="shared" si="150"/>
        <v/>
      </c>
      <c r="G2190" s="4"/>
      <c r="H2190" s="4"/>
      <c r="I2190" s="4"/>
      <c r="J2190" s="4"/>
      <c r="K2190" s="4"/>
      <c r="L2190" s="4"/>
      <c r="M2190" s="4"/>
      <c r="N2190" s="4"/>
      <c r="O2190" s="4"/>
      <c r="P2190" s="4"/>
      <c r="Q2190" s="4"/>
      <c r="R2190" s="14"/>
      <c r="S2190" s="14"/>
      <c r="T2190" s="14"/>
      <c r="U2190" s="14"/>
      <c r="V2190" s="14"/>
      <c r="W2190" s="14"/>
      <c r="X2190" s="1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4"/>
      <c r="AU2190" s="4"/>
      <c r="AV2190" s="4"/>
      <c r="AW2190" s="4"/>
      <c r="AX2190" s="4"/>
      <c r="AY2190" s="4"/>
      <c r="AZ2190" s="4"/>
      <c r="BA2190" s="4"/>
      <c r="BB2190" s="4"/>
      <c r="BC2190" s="4"/>
      <c r="BD2190" s="4"/>
      <c r="BE2190" s="4"/>
      <c r="BG2190" s="4"/>
      <c r="BH2190" s="4"/>
    </row>
    <row r="2191" spans="1:60" x14ac:dyDescent="0.35">
      <c r="A2191" s="4"/>
      <c r="B2191" s="4"/>
      <c r="D2191" s="6" t="str">
        <f t="shared" si="148"/>
        <v/>
      </c>
      <c r="E2191" s="6" t="str">
        <f t="shared" si="149"/>
        <v/>
      </c>
      <c r="F2191" s="6" t="str">
        <f t="shared" si="150"/>
        <v/>
      </c>
      <c r="G2191" s="4"/>
      <c r="H2191" s="4"/>
      <c r="I2191" s="4"/>
      <c r="J2191" s="4"/>
      <c r="K2191" s="4"/>
      <c r="L2191" s="4"/>
      <c r="M2191" s="4"/>
      <c r="N2191" s="4"/>
      <c r="O2191" s="4"/>
      <c r="P2191" s="4"/>
      <c r="Q2191" s="4"/>
      <c r="R2191" s="14"/>
      <c r="S2191" s="14"/>
      <c r="T2191" s="14"/>
      <c r="U2191" s="14"/>
      <c r="V2191" s="14"/>
      <c r="W2191" s="14"/>
      <c r="X2191" s="1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4"/>
      <c r="AU2191" s="4"/>
      <c r="AV2191" s="4"/>
      <c r="AW2191" s="4"/>
      <c r="AX2191" s="4"/>
      <c r="AY2191" s="4"/>
      <c r="AZ2191" s="4"/>
      <c r="BA2191" s="4"/>
      <c r="BB2191" s="4"/>
      <c r="BC2191" s="4"/>
      <c r="BD2191" s="4"/>
      <c r="BE2191" s="4"/>
      <c r="BG2191" s="4"/>
      <c r="BH2191" s="4"/>
    </row>
    <row r="2192" spans="1:60" x14ac:dyDescent="0.35">
      <c r="A2192" s="4"/>
      <c r="B2192" s="4"/>
      <c r="D2192" s="6" t="str">
        <f t="shared" si="148"/>
        <v/>
      </c>
      <c r="E2192" s="6" t="str">
        <f t="shared" si="149"/>
        <v/>
      </c>
      <c r="F2192" s="6" t="str">
        <f t="shared" si="150"/>
        <v/>
      </c>
      <c r="G2192" s="4"/>
      <c r="H2192" s="4"/>
      <c r="I2192" s="4"/>
      <c r="J2192" s="4"/>
      <c r="K2192" s="4"/>
      <c r="L2192" s="4"/>
      <c r="M2192" s="4"/>
      <c r="N2192" s="4"/>
      <c r="O2192" s="4"/>
      <c r="P2192" s="4"/>
      <c r="Q2192" s="4"/>
      <c r="R2192" s="14"/>
      <c r="S2192" s="14"/>
      <c r="T2192" s="14"/>
      <c r="U2192" s="14"/>
      <c r="V2192" s="14"/>
      <c r="W2192" s="14"/>
      <c r="X2192" s="1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4"/>
      <c r="AU2192" s="4"/>
      <c r="AV2192" s="4"/>
      <c r="AW2192" s="4"/>
      <c r="AX2192" s="4"/>
      <c r="AY2192" s="4"/>
      <c r="AZ2192" s="4"/>
      <c r="BA2192" s="4"/>
      <c r="BB2192" s="4"/>
      <c r="BC2192" s="4"/>
      <c r="BD2192" s="4"/>
      <c r="BE2192" s="4"/>
      <c r="BG2192" s="4"/>
      <c r="BH2192" s="4"/>
    </row>
    <row r="2193" spans="1:60" x14ac:dyDescent="0.35">
      <c r="A2193" s="4"/>
      <c r="B2193" s="4"/>
      <c r="D2193" s="6" t="str">
        <f t="shared" si="148"/>
        <v/>
      </c>
      <c r="E2193" s="6" t="str">
        <f t="shared" si="149"/>
        <v/>
      </c>
      <c r="F2193" s="6" t="str">
        <f t="shared" si="150"/>
        <v/>
      </c>
      <c r="G2193" s="4"/>
      <c r="H2193" s="4"/>
      <c r="I2193" s="4"/>
      <c r="J2193" s="4"/>
      <c r="K2193" s="4"/>
      <c r="L2193" s="4"/>
      <c r="M2193" s="4"/>
      <c r="N2193" s="4"/>
      <c r="O2193" s="4"/>
      <c r="P2193" s="4"/>
      <c r="Q2193" s="4"/>
      <c r="R2193" s="14"/>
      <c r="S2193" s="14"/>
      <c r="T2193" s="14"/>
      <c r="U2193" s="14"/>
      <c r="V2193" s="14"/>
      <c r="W2193" s="14"/>
      <c r="X2193" s="1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c r="AV2193" s="4"/>
      <c r="AW2193" s="4"/>
      <c r="AX2193" s="4"/>
      <c r="AY2193" s="4"/>
      <c r="AZ2193" s="4"/>
      <c r="BA2193" s="4"/>
      <c r="BB2193" s="4"/>
      <c r="BC2193" s="4"/>
      <c r="BD2193" s="4"/>
      <c r="BE2193" s="4"/>
      <c r="BG2193" s="4"/>
      <c r="BH2193" s="4"/>
    </row>
    <row r="2194" spans="1:60" x14ac:dyDescent="0.35">
      <c r="A2194" s="4"/>
      <c r="B2194" s="4"/>
      <c r="D2194" s="6" t="str">
        <f t="shared" si="148"/>
        <v/>
      </c>
      <c r="E2194" s="6" t="str">
        <f t="shared" si="149"/>
        <v/>
      </c>
      <c r="F2194" s="6" t="str">
        <f t="shared" si="150"/>
        <v/>
      </c>
      <c r="G2194" s="4"/>
      <c r="H2194" s="4"/>
      <c r="I2194" s="4"/>
      <c r="J2194" s="4"/>
      <c r="K2194" s="4"/>
      <c r="L2194" s="4"/>
      <c r="M2194" s="4"/>
      <c r="N2194" s="4"/>
      <c r="O2194" s="4"/>
      <c r="P2194" s="4"/>
      <c r="Q2194" s="4"/>
      <c r="R2194" s="14"/>
      <c r="S2194" s="14"/>
      <c r="T2194" s="14"/>
      <c r="U2194" s="14"/>
      <c r="V2194" s="14"/>
      <c r="W2194" s="14"/>
      <c r="X2194" s="14"/>
      <c r="Y2194" s="4"/>
      <c r="Z2194" s="4"/>
      <c r="AA2194" s="4"/>
      <c r="AB2194" s="4"/>
      <c r="AC2194" s="4"/>
      <c r="AD2194" s="4"/>
      <c r="AE2194" s="4"/>
      <c r="AF2194" s="4"/>
      <c r="AG2194" s="4"/>
      <c r="AH2194" s="4"/>
      <c r="AI2194" s="4"/>
      <c r="AJ2194" s="4"/>
      <c r="AK2194" s="4"/>
      <c r="AL2194" s="4"/>
      <c r="AM2194" s="4"/>
      <c r="AN2194" s="4"/>
      <c r="AO2194" s="4"/>
      <c r="AP2194" s="4"/>
      <c r="AQ2194" s="4"/>
      <c r="AR2194" s="4"/>
      <c r="AS2194" s="4"/>
      <c r="AT2194" s="4"/>
      <c r="AU2194" s="4"/>
      <c r="AV2194" s="4"/>
      <c r="AW2194" s="4"/>
      <c r="AX2194" s="4"/>
      <c r="AY2194" s="4"/>
      <c r="AZ2194" s="4"/>
      <c r="BA2194" s="4"/>
      <c r="BB2194" s="4"/>
      <c r="BC2194" s="4"/>
      <c r="BD2194" s="4"/>
      <c r="BE2194" s="4"/>
      <c r="BG2194" s="4"/>
      <c r="BH2194" s="4"/>
    </row>
    <row r="2195" spans="1:60" x14ac:dyDescent="0.35">
      <c r="A2195" s="4"/>
      <c r="B2195" s="4"/>
      <c r="D2195" s="6" t="str">
        <f t="shared" si="148"/>
        <v/>
      </c>
      <c r="E2195" s="6" t="str">
        <f t="shared" si="149"/>
        <v/>
      </c>
      <c r="F2195" s="6" t="str">
        <f t="shared" si="150"/>
        <v/>
      </c>
      <c r="G2195" s="4"/>
      <c r="H2195" s="4"/>
      <c r="I2195" s="4"/>
      <c r="J2195" s="4"/>
      <c r="K2195" s="4"/>
      <c r="L2195" s="4"/>
      <c r="M2195" s="4"/>
      <c r="N2195" s="4"/>
      <c r="O2195" s="4"/>
      <c r="P2195" s="4"/>
      <c r="Q2195" s="4"/>
      <c r="R2195" s="14"/>
      <c r="S2195" s="14"/>
      <c r="T2195" s="14"/>
      <c r="U2195" s="14"/>
      <c r="V2195" s="14"/>
      <c r="W2195" s="14"/>
      <c r="X2195" s="1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4"/>
      <c r="AU2195" s="4"/>
      <c r="AV2195" s="4"/>
      <c r="AW2195" s="4"/>
      <c r="AX2195" s="4"/>
      <c r="AY2195" s="4"/>
      <c r="AZ2195" s="4"/>
      <c r="BA2195" s="4"/>
      <c r="BB2195" s="4"/>
      <c r="BC2195" s="4"/>
      <c r="BD2195" s="4"/>
      <c r="BE2195" s="4"/>
      <c r="BG2195" s="4"/>
      <c r="BH2195" s="4"/>
    </row>
    <row r="2196" spans="1:60" x14ac:dyDescent="0.35">
      <c r="A2196" s="4"/>
      <c r="B2196" s="4"/>
      <c r="D2196" s="6" t="str">
        <f t="shared" si="148"/>
        <v/>
      </c>
      <c r="E2196" s="6" t="str">
        <f t="shared" si="149"/>
        <v/>
      </c>
      <c r="F2196" s="6" t="str">
        <f t="shared" si="150"/>
        <v/>
      </c>
      <c r="G2196" s="4"/>
      <c r="H2196" s="4"/>
      <c r="I2196" s="4"/>
      <c r="J2196" s="4"/>
      <c r="K2196" s="4"/>
      <c r="L2196" s="4"/>
      <c r="M2196" s="4"/>
      <c r="N2196" s="4"/>
      <c r="O2196" s="4"/>
      <c r="P2196" s="4"/>
      <c r="Q2196" s="4"/>
      <c r="R2196" s="14"/>
      <c r="S2196" s="14"/>
      <c r="T2196" s="14"/>
      <c r="U2196" s="14"/>
      <c r="V2196" s="14"/>
      <c r="W2196" s="14"/>
      <c r="X2196" s="1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4"/>
      <c r="AU2196" s="4"/>
      <c r="AV2196" s="4"/>
      <c r="AW2196" s="4"/>
      <c r="AX2196" s="4"/>
      <c r="AY2196" s="4"/>
      <c r="AZ2196" s="4"/>
      <c r="BA2196" s="4"/>
      <c r="BB2196" s="4"/>
      <c r="BC2196" s="4"/>
      <c r="BD2196" s="4"/>
      <c r="BE2196" s="4"/>
      <c r="BG2196" s="4"/>
      <c r="BH2196" s="4"/>
    </row>
    <row r="2197" spans="1:60" x14ac:dyDescent="0.35">
      <c r="A2197" s="4"/>
      <c r="B2197" s="4"/>
      <c r="D2197" s="6" t="str">
        <f t="shared" si="148"/>
        <v/>
      </c>
      <c r="E2197" s="6" t="str">
        <f t="shared" si="149"/>
        <v/>
      </c>
      <c r="F2197" s="6" t="str">
        <f t="shared" si="150"/>
        <v/>
      </c>
      <c r="G2197" s="4"/>
      <c r="H2197" s="4"/>
      <c r="I2197" s="4"/>
      <c r="J2197" s="4"/>
      <c r="K2197" s="4"/>
      <c r="L2197" s="4"/>
      <c r="M2197" s="4"/>
      <c r="N2197" s="4"/>
      <c r="O2197" s="4"/>
      <c r="P2197" s="4"/>
      <c r="Q2197" s="4"/>
      <c r="R2197" s="14"/>
      <c r="S2197" s="14"/>
      <c r="T2197" s="14"/>
      <c r="U2197" s="14"/>
      <c r="V2197" s="14"/>
      <c r="W2197" s="14"/>
      <c r="X2197" s="1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4"/>
      <c r="AU2197" s="4"/>
      <c r="AV2197" s="4"/>
      <c r="AW2197" s="4"/>
      <c r="AX2197" s="4"/>
      <c r="AY2197" s="4"/>
      <c r="AZ2197" s="4"/>
      <c r="BA2197" s="4"/>
      <c r="BB2197" s="4"/>
      <c r="BC2197" s="4"/>
      <c r="BD2197" s="4"/>
      <c r="BE2197" s="4"/>
      <c r="BG2197" s="4"/>
      <c r="BH2197" s="4"/>
    </row>
    <row r="2198" spans="1:60" x14ac:dyDescent="0.35">
      <c r="A2198" s="4"/>
      <c r="B2198" s="4"/>
      <c r="D2198" s="6" t="str">
        <f t="shared" si="148"/>
        <v/>
      </c>
      <c r="E2198" s="6" t="str">
        <f t="shared" si="149"/>
        <v/>
      </c>
      <c r="F2198" s="6" t="str">
        <f t="shared" si="150"/>
        <v/>
      </c>
      <c r="G2198" s="4"/>
      <c r="H2198" s="4"/>
      <c r="I2198" s="4"/>
      <c r="J2198" s="4"/>
      <c r="K2198" s="4"/>
      <c r="L2198" s="4"/>
      <c r="M2198" s="4"/>
      <c r="N2198" s="4"/>
      <c r="O2198" s="4"/>
      <c r="P2198" s="4"/>
      <c r="Q2198" s="4"/>
      <c r="R2198" s="14"/>
      <c r="S2198" s="14"/>
      <c r="T2198" s="14"/>
      <c r="U2198" s="14"/>
      <c r="V2198" s="14"/>
      <c r="W2198" s="14"/>
      <c r="X2198" s="1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4"/>
      <c r="AU2198" s="4"/>
      <c r="AV2198" s="4"/>
      <c r="AW2198" s="4"/>
      <c r="AX2198" s="4"/>
      <c r="AY2198" s="4"/>
      <c r="AZ2198" s="4"/>
      <c r="BA2198" s="4"/>
      <c r="BB2198" s="4"/>
      <c r="BC2198" s="4"/>
      <c r="BD2198" s="4"/>
      <c r="BE2198" s="4"/>
      <c r="BG2198" s="4"/>
      <c r="BH2198" s="4"/>
    </row>
    <row r="2199" spans="1:60" x14ac:dyDescent="0.35">
      <c r="A2199" s="4"/>
      <c r="B2199" s="4"/>
      <c r="D2199" s="6" t="str">
        <f t="shared" si="148"/>
        <v/>
      </c>
      <c r="E2199" s="6" t="str">
        <f t="shared" si="149"/>
        <v/>
      </c>
      <c r="F2199" s="6" t="str">
        <f t="shared" si="150"/>
        <v/>
      </c>
      <c r="G2199" s="4"/>
      <c r="H2199" s="4"/>
      <c r="I2199" s="4"/>
      <c r="J2199" s="4"/>
      <c r="K2199" s="4"/>
      <c r="L2199" s="4"/>
      <c r="M2199" s="4"/>
      <c r="N2199" s="4"/>
      <c r="O2199" s="4"/>
      <c r="P2199" s="4"/>
      <c r="Q2199" s="4"/>
      <c r="R2199" s="14"/>
      <c r="S2199" s="14"/>
      <c r="T2199" s="14"/>
      <c r="U2199" s="14"/>
      <c r="V2199" s="14"/>
      <c r="W2199" s="14"/>
      <c r="X2199" s="14"/>
      <c r="Y2199" s="4"/>
      <c r="Z2199" s="4"/>
      <c r="AA2199" s="4"/>
      <c r="AB2199" s="4"/>
      <c r="AC2199" s="4"/>
      <c r="AD2199" s="4"/>
      <c r="AE2199" s="4"/>
      <c r="AF2199" s="4"/>
      <c r="AG2199" s="4"/>
      <c r="AH2199" s="4"/>
      <c r="AI2199" s="4"/>
      <c r="AJ2199" s="4"/>
      <c r="AK2199" s="4"/>
      <c r="AL2199" s="4"/>
      <c r="AM2199" s="4"/>
      <c r="AN2199" s="4"/>
      <c r="AO2199" s="4"/>
      <c r="AP2199" s="4"/>
      <c r="AQ2199" s="4"/>
      <c r="AR2199" s="4"/>
      <c r="AS2199" s="4"/>
      <c r="AT2199" s="4"/>
      <c r="AU2199" s="4"/>
      <c r="AV2199" s="4"/>
      <c r="AW2199" s="4"/>
      <c r="AX2199" s="4"/>
      <c r="AY2199" s="4"/>
      <c r="AZ2199" s="4"/>
      <c r="BA2199" s="4"/>
      <c r="BB2199" s="4"/>
      <c r="BC2199" s="4"/>
      <c r="BD2199" s="4"/>
      <c r="BE2199" s="4"/>
      <c r="BG2199" s="4"/>
      <c r="BH2199" s="4"/>
    </row>
    <row r="2200" spans="1:60" x14ac:dyDescent="0.35">
      <c r="A2200" s="4"/>
      <c r="B2200" s="4"/>
      <c r="D2200" s="6" t="str">
        <f t="shared" si="148"/>
        <v/>
      </c>
      <c r="E2200" s="6" t="str">
        <f t="shared" si="149"/>
        <v/>
      </c>
      <c r="F2200" s="6" t="str">
        <f t="shared" si="150"/>
        <v/>
      </c>
      <c r="G2200" s="4"/>
      <c r="H2200" s="4"/>
      <c r="I2200" s="4"/>
      <c r="J2200" s="4"/>
      <c r="K2200" s="4"/>
      <c r="L2200" s="4"/>
      <c r="M2200" s="4"/>
      <c r="N2200" s="4"/>
      <c r="O2200" s="4"/>
      <c r="P2200" s="4"/>
      <c r="Q2200" s="4"/>
      <c r="R2200" s="14"/>
      <c r="S2200" s="14"/>
      <c r="T2200" s="14"/>
      <c r="U2200" s="14"/>
      <c r="V2200" s="14"/>
      <c r="W2200" s="14"/>
      <c r="X2200" s="1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4"/>
      <c r="AU2200" s="4"/>
      <c r="AV2200" s="4"/>
      <c r="AW2200" s="4"/>
      <c r="AX2200" s="4"/>
      <c r="AY2200" s="4"/>
      <c r="AZ2200" s="4"/>
      <c r="BA2200" s="4"/>
      <c r="BB2200" s="4"/>
      <c r="BC2200" s="4"/>
      <c r="BD2200" s="4"/>
      <c r="BE2200" s="4"/>
      <c r="BG2200" s="4"/>
      <c r="BH2200" s="4"/>
    </row>
    <row r="2201" spans="1:60" x14ac:dyDescent="0.35">
      <c r="A2201" s="4"/>
      <c r="B2201" s="4"/>
      <c r="D2201" s="6" t="str">
        <f t="shared" si="148"/>
        <v/>
      </c>
      <c r="E2201" s="6" t="str">
        <f t="shared" si="149"/>
        <v/>
      </c>
      <c r="F2201" s="6" t="str">
        <f t="shared" si="150"/>
        <v/>
      </c>
      <c r="G2201" s="4"/>
      <c r="H2201" s="4"/>
      <c r="I2201" s="4"/>
      <c r="J2201" s="4"/>
      <c r="K2201" s="4"/>
      <c r="L2201" s="4"/>
      <c r="M2201" s="4"/>
      <c r="N2201" s="4"/>
      <c r="O2201" s="4"/>
      <c r="P2201" s="4"/>
      <c r="Q2201" s="4"/>
      <c r="R2201" s="14"/>
      <c r="S2201" s="14"/>
      <c r="T2201" s="14"/>
      <c r="U2201" s="14"/>
      <c r="V2201" s="14"/>
      <c r="W2201" s="14"/>
      <c r="X2201" s="1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4"/>
      <c r="AU2201" s="4"/>
      <c r="AV2201" s="4"/>
      <c r="AW2201" s="4"/>
      <c r="AX2201" s="4"/>
      <c r="AY2201" s="4"/>
      <c r="AZ2201" s="4"/>
      <c r="BA2201" s="4"/>
      <c r="BB2201" s="4"/>
      <c r="BC2201" s="4"/>
      <c r="BD2201" s="4"/>
      <c r="BE2201" s="4"/>
      <c r="BG2201" s="4"/>
      <c r="BH2201" s="4"/>
    </row>
    <row r="2202" spans="1:60" x14ac:dyDescent="0.35">
      <c r="A2202" s="4"/>
      <c r="B2202" s="4"/>
      <c r="D2202" s="6" t="str">
        <f t="shared" si="148"/>
        <v/>
      </c>
      <c r="E2202" s="6" t="str">
        <f t="shared" si="149"/>
        <v/>
      </c>
      <c r="F2202" s="6" t="str">
        <f t="shared" si="150"/>
        <v/>
      </c>
      <c r="G2202" s="4"/>
      <c r="H2202" s="4"/>
      <c r="I2202" s="4"/>
      <c r="J2202" s="4"/>
      <c r="K2202" s="4"/>
      <c r="L2202" s="4"/>
      <c r="M2202" s="4"/>
      <c r="N2202" s="4"/>
      <c r="O2202" s="4"/>
      <c r="P2202" s="4"/>
      <c r="Q2202" s="4"/>
      <c r="R2202" s="14"/>
      <c r="S2202" s="14"/>
      <c r="T2202" s="14"/>
      <c r="U2202" s="14"/>
      <c r="V2202" s="14"/>
      <c r="W2202" s="14"/>
      <c r="X2202" s="1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c r="AV2202" s="4"/>
      <c r="AW2202" s="4"/>
      <c r="AX2202" s="4"/>
      <c r="AY2202" s="4"/>
      <c r="AZ2202" s="4"/>
      <c r="BA2202" s="4"/>
      <c r="BB2202" s="4"/>
      <c r="BC2202" s="4"/>
      <c r="BD2202" s="4"/>
      <c r="BE2202" s="4"/>
      <c r="BG2202" s="4"/>
      <c r="BH2202" s="4"/>
    </row>
    <row r="2203" spans="1:60" x14ac:dyDescent="0.35">
      <c r="A2203" s="4"/>
      <c r="B2203" s="4"/>
      <c r="D2203" s="6" t="str">
        <f t="shared" si="148"/>
        <v/>
      </c>
      <c r="E2203" s="6" t="str">
        <f t="shared" si="149"/>
        <v/>
      </c>
      <c r="F2203" s="6" t="str">
        <f t="shared" si="150"/>
        <v/>
      </c>
      <c r="G2203" s="4"/>
      <c r="H2203" s="4"/>
      <c r="I2203" s="4"/>
      <c r="J2203" s="4"/>
      <c r="K2203" s="4"/>
      <c r="L2203" s="4"/>
      <c r="M2203" s="4"/>
      <c r="N2203" s="4"/>
      <c r="O2203" s="4"/>
      <c r="P2203" s="4"/>
      <c r="Q2203" s="4"/>
      <c r="R2203" s="14"/>
      <c r="S2203" s="14"/>
      <c r="T2203" s="14"/>
      <c r="U2203" s="14"/>
      <c r="V2203" s="14"/>
      <c r="W2203" s="14"/>
      <c r="X2203" s="1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4"/>
      <c r="AU2203" s="4"/>
      <c r="AV2203" s="4"/>
      <c r="AW2203" s="4"/>
      <c r="AX2203" s="4"/>
      <c r="AY2203" s="4"/>
      <c r="AZ2203" s="4"/>
      <c r="BA2203" s="4"/>
      <c r="BB2203" s="4"/>
      <c r="BC2203" s="4"/>
      <c r="BD2203" s="4"/>
      <c r="BE2203" s="4"/>
      <c r="BG2203" s="4"/>
      <c r="BH2203" s="4"/>
    </row>
    <row r="2204" spans="1:60" x14ac:dyDescent="0.35">
      <c r="A2204" s="4"/>
      <c r="B2204" s="4"/>
      <c r="D2204" s="6" t="str">
        <f t="shared" si="148"/>
        <v/>
      </c>
      <c r="E2204" s="6" t="str">
        <f t="shared" si="149"/>
        <v/>
      </c>
      <c r="F2204" s="6" t="str">
        <f t="shared" si="150"/>
        <v/>
      </c>
      <c r="G2204" s="4"/>
      <c r="H2204" s="4"/>
      <c r="I2204" s="4"/>
      <c r="J2204" s="4"/>
      <c r="K2204" s="4"/>
      <c r="L2204" s="4"/>
      <c r="M2204" s="4"/>
      <c r="N2204" s="4"/>
      <c r="O2204" s="4"/>
      <c r="P2204" s="4"/>
      <c r="Q2204" s="4"/>
      <c r="R2204" s="14"/>
      <c r="S2204" s="14"/>
      <c r="T2204" s="14"/>
      <c r="U2204" s="14"/>
      <c r="V2204" s="14"/>
      <c r="W2204" s="14"/>
      <c r="X2204" s="1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c r="AV2204" s="4"/>
      <c r="AW2204" s="4"/>
      <c r="AX2204" s="4"/>
      <c r="AY2204" s="4"/>
      <c r="AZ2204" s="4"/>
      <c r="BA2204" s="4"/>
      <c r="BB2204" s="4"/>
      <c r="BC2204" s="4"/>
      <c r="BD2204" s="4"/>
      <c r="BE2204" s="4"/>
      <c r="BG2204" s="4"/>
      <c r="BH2204" s="4"/>
    </row>
    <row r="2205" spans="1:60" x14ac:dyDescent="0.35">
      <c r="A2205" s="4"/>
      <c r="B2205" s="4"/>
      <c r="D2205" s="6" t="str">
        <f t="shared" si="148"/>
        <v/>
      </c>
      <c r="E2205" s="6" t="str">
        <f t="shared" si="149"/>
        <v/>
      </c>
      <c r="F2205" s="6" t="str">
        <f t="shared" si="150"/>
        <v/>
      </c>
      <c r="G2205" s="4"/>
      <c r="H2205" s="4"/>
      <c r="I2205" s="4"/>
      <c r="J2205" s="4"/>
      <c r="K2205" s="4"/>
      <c r="L2205" s="4"/>
      <c r="M2205" s="4"/>
      <c r="N2205" s="4"/>
      <c r="O2205" s="4"/>
      <c r="P2205" s="4"/>
      <c r="Q2205" s="4"/>
      <c r="R2205" s="14"/>
      <c r="S2205" s="14"/>
      <c r="T2205" s="14"/>
      <c r="U2205" s="14"/>
      <c r="V2205" s="14"/>
      <c r="W2205" s="14"/>
      <c r="X2205" s="1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4"/>
      <c r="AU2205" s="4"/>
      <c r="AV2205" s="4"/>
      <c r="AW2205" s="4"/>
      <c r="AX2205" s="4"/>
      <c r="AY2205" s="4"/>
      <c r="AZ2205" s="4"/>
      <c r="BA2205" s="4"/>
      <c r="BB2205" s="4"/>
      <c r="BC2205" s="4"/>
      <c r="BD2205" s="4"/>
      <c r="BE2205" s="4"/>
      <c r="BG2205" s="4"/>
      <c r="BH2205" s="4"/>
    </row>
    <row r="2206" spans="1:60" x14ac:dyDescent="0.35">
      <c r="A2206" s="4"/>
      <c r="B2206" s="4"/>
      <c r="D2206" s="6" t="str">
        <f t="shared" si="148"/>
        <v/>
      </c>
      <c r="E2206" s="6" t="str">
        <f t="shared" si="149"/>
        <v/>
      </c>
      <c r="F2206" s="6" t="str">
        <f t="shared" si="150"/>
        <v/>
      </c>
      <c r="G2206" s="4"/>
      <c r="H2206" s="4"/>
      <c r="I2206" s="4"/>
      <c r="J2206" s="4"/>
      <c r="K2206" s="4"/>
      <c r="L2206" s="4"/>
      <c r="M2206" s="4"/>
      <c r="N2206" s="4"/>
      <c r="O2206" s="4"/>
      <c r="P2206" s="4"/>
      <c r="Q2206" s="4"/>
      <c r="R2206" s="14"/>
      <c r="S2206" s="14"/>
      <c r="T2206" s="14"/>
      <c r="U2206" s="14"/>
      <c r="V2206" s="14"/>
      <c r="W2206" s="14"/>
      <c r="X2206" s="1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4"/>
      <c r="AU2206" s="4"/>
      <c r="AV2206" s="4"/>
      <c r="AW2206" s="4"/>
      <c r="AX2206" s="4"/>
      <c r="AY2206" s="4"/>
      <c r="AZ2206" s="4"/>
      <c r="BA2206" s="4"/>
      <c r="BB2206" s="4"/>
      <c r="BC2206" s="4"/>
      <c r="BD2206" s="4"/>
      <c r="BE2206" s="4"/>
      <c r="BG2206" s="4"/>
      <c r="BH2206" s="4"/>
    </row>
    <row r="2207" spans="1:60" x14ac:dyDescent="0.35">
      <c r="A2207" s="4"/>
      <c r="B2207" s="4"/>
      <c r="D2207" s="6" t="str">
        <f t="shared" si="148"/>
        <v/>
      </c>
      <c r="E2207" s="6" t="str">
        <f t="shared" si="149"/>
        <v/>
      </c>
      <c r="F2207" s="6" t="str">
        <f t="shared" si="150"/>
        <v/>
      </c>
      <c r="G2207" s="4"/>
      <c r="H2207" s="4"/>
      <c r="I2207" s="4"/>
      <c r="J2207" s="4"/>
      <c r="K2207" s="4"/>
      <c r="L2207" s="4"/>
      <c r="M2207" s="4"/>
      <c r="N2207" s="4"/>
      <c r="O2207" s="4"/>
      <c r="P2207" s="4"/>
      <c r="Q2207" s="4"/>
      <c r="R2207" s="14"/>
      <c r="S2207" s="14"/>
      <c r="T2207" s="14"/>
      <c r="U2207" s="14"/>
      <c r="V2207" s="14"/>
      <c r="W2207" s="14"/>
      <c r="X2207" s="1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c r="AV2207" s="4"/>
      <c r="AW2207" s="4"/>
      <c r="AX2207" s="4"/>
      <c r="AY2207" s="4"/>
      <c r="AZ2207" s="4"/>
      <c r="BA2207" s="4"/>
      <c r="BB2207" s="4"/>
      <c r="BC2207" s="4"/>
      <c r="BD2207" s="4"/>
      <c r="BE2207" s="4"/>
      <c r="BG2207" s="4"/>
      <c r="BH2207" s="4"/>
    </row>
    <row r="2208" spans="1:60" x14ac:dyDescent="0.35">
      <c r="A2208" s="4"/>
      <c r="B2208" s="4"/>
      <c r="D2208" s="6" t="str">
        <f t="shared" si="148"/>
        <v/>
      </c>
      <c r="E2208" s="6" t="str">
        <f t="shared" si="149"/>
        <v/>
      </c>
      <c r="F2208" s="6" t="str">
        <f t="shared" si="150"/>
        <v/>
      </c>
      <c r="G2208" s="4"/>
      <c r="H2208" s="4"/>
      <c r="I2208" s="4"/>
      <c r="J2208" s="4"/>
      <c r="K2208" s="4"/>
      <c r="L2208" s="4"/>
      <c r="M2208" s="4"/>
      <c r="N2208" s="4"/>
      <c r="O2208" s="4"/>
      <c r="P2208" s="4"/>
      <c r="Q2208" s="4"/>
      <c r="R2208" s="14"/>
      <c r="S2208" s="14"/>
      <c r="T2208" s="14"/>
      <c r="U2208" s="14"/>
      <c r="V2208" s="14"/>
      <c r="W2208" s="14"/>
      <c r="X2208" s="1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4"/>
      <c r="AU2208" s="4"/>
      <c r="AV2208" s="4"/>
      <c r="AW2208" s="4"/>
      <c r="AX2208" s="4"/>
      <c r="AY2208" s="4"/>
      <c r="AZ2208" s="4"/>
      <c r="BA2208" s="4"/>
      <c r="BB2208" s="4"/>
      <c r="BC2208" s="4"/>
      <c r="BD2208" s="4"/>
      <c r="BE2208" s="4"/>
      <c r="BG2208" s="4"/>
      <c r="BH2208" s="4"/>
    </row>
    <row r="2209" spans="1:60" x14ac:dyDescent="0.35">
      <c r="A2209" s="4"/>
      <c r="B2209" s="4"/>
      <c r="D2209" s="6" t="str">
        <f t="shared" si="148"/>
        <v/>
      </c>
      <c r="E2209" s="6" t="str">
        <f t="shared" si="149"/>
        <v/>
      </c>
      <c r="F2209" s="6" t="str">
        <f t="shared" si="150"/>
        <v/>
      </c>
      <c r="G2209" s="4"/>
      <c r="H2209" s="4"/>
      <c r="I2209" s="4"/>
      <c r="J2209" s="4"/>
      <c r="K2209" s="4"/>
      <c r="L2209" s="4"/>
      <c r="M2209" s="4"/>
      <c r="N2209" s="4"/>
      <c r="O2209" s="4"/>
      <c r="P2209" s="4"/>
      <c r="Q2209" s="4"/>
      <c r="R2209" s="14"/>
      <c r="S2209" s="14"/>
      <c r="T2209" s="14"/>
      <c r="U2209" s="14"/>
      <c r="V2209" s="14"/>
      <c r="W2209" s="14"/>
      <c r="X2209" s="14"/>
      <c r="Y2209" s="4"/>
      <c r="Z2209" s="4"/>
      <c r="AA2209" s="4"/>
      <c r="AB2209" s="4"/>
      <c r="AC2209" s="4"/>
      <c r="AD2209" s="4"/>
      <c r="AE2209" s="4"/>
      <c r="AF2209" s="4"/>
      <c r="AG2209" s="4"/>
      <c r="AH2209" s="4"/>
      <c r="AI2209" s="4"/>
      <c r="AJ2209" s="4"/>
      <c r="AK2209" s="4"/>
      <c r="AL2209" s="4"/>
      <c r="AM2209" s="4"/>
      <c r="AN2209" s="4"/>
      <c r="AO2209" s="4"/>
      <c r="AP2209" s="4"/>
      <c r="AQ2209" s="4"/>
      <c r="AR2209" s="4"/>
      <c r="AS2209" s="4"/>
      <c r="AT2209" s="4"/>
      <c r="AU2209" s="4"/>
      <c r="AV2209" s="4"/>
      <c r="AW2209" s="4"/>
      <c r="AX2209" s="4"/>
      <c r="AY2209" s="4"/>
      <c r="AZ2209" s="4"/>
      <c r="BA2209" s="4"/>
      <c r="BB2209" s="4"/>
      <c r="BC2209" s="4"/>
      <c r="BD2209" s="4"/>
      <c r="BE2209" s="4"/>
      <c r="BG2209" s="4"/>
      <c r="BH2209" s="4"/>
    </row>
    <row r="2210" spans="1:60" x14ac:dyDescent="0.35">
      <c r="A2210" s="4"/>
      <c r="B2210" s="4"/>
      <c r="D2210" s="6" t="str">
        <f t="shared" si="148"/>
        <v/>
      </c>
      <c r="E2210" s="6" t="str">
        <f t="shared" si="149"/>
        <v/>
      </c>
      <c r="F2210" s="6" t="str">
        <f t="shared" si="150"/>
        <v/>
      </c>
      <c r="G2210" s="4"/>
      <c r="H2210" s="4"/>
      <c r="I2210" s="4"/>
      <c r="J2210" s="4"/>
      <c r="K2210" s="4"/>
      <c r="L2210" s="4"/>
      <c r="M2210" s="4"/>
      <c r="N2210" s="4"/>
      <c r="O2210" s="4"/>
      <c r="P2210" s="4"/>
      <c r="Q2210" s="4"/>
      <c r="R2210" s="14"/>
      <c r="S2210" s="14"/>
      <c r="T2210" s="14"/>
      <c r="U2210" s="14"/>
      <c r="V2210" s="14"/>
      <c r="W2210" s="14"/>
      <c r="X2210" s="1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4"/>
      <c r="AU2210" s="4"/>
      <c r="AV2210" s="4"/>
      <c r="AW2210" s="4"/>
      <c r="AX2210" s="4"/>
      <c r="AY2210" s="4"/>
      <c r="AZ2210" s="4"/>
      <c r="BA2210" s="4"/>
      <c r="BB2210" s="4"/>
      <c r="BC2210" s="4"/>
      <c r="BD2210" s="4"/>
      <c r="BE2210" s="4"/>
      <c r="BG2210" s="4"/>
      <c r="BH2210" s="4"/>
    </row>
    <row r="2211" spans="1:60" x14ac:dyDescent="0.35">
      <c r="A2211" s="4"/>
      <c r="B2211" s="4"/>
      <c r="D2211" s="6" t="str">
        <f t="shared" si="148"/>
        <v/>
      </c>
      <c r="E2211" s="6" t="str">
        <f t="shared" si="149"/>
        <v/>
      </c>
      <c r="F2211" s="6" t="str">
        <f t="shared" si="150"/>
        <v/>
      </c>
      <c r="G2211" s="4"/>
      <c r="H2211" s="4"/>
      <c r="I2211" s="4"/>
      <c r="J2211" s="4"/>
      <c r="K2211" s="4"/>
      <c r="L2211" s="4"/>
      <c r="M2211" s="4"/>
      <c r="N2211" s="4"/>
      <c r="O2211" s="4"/>
      <c r="P2211" s="4"/>
      <c r="Q2211" s="4"/>
      <c r="R2211" s="14"/>
      <c r="S2211" s="14"/>
      <c r="T2211" s="14"/>
      <c r="U2211" s="14"/>
      <c r="V2211" s="14"/>
      <c r="W2211" s="14"/>
      <c r="X2211" s="1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4"/>
      <c r="AU2211" s="4"/>
      <c r="AV2211" s="4"/>
      <c r="AW2211" s="4"/>
      <c r="AX2211" s="4"/>
      <c r="AY2211" s="4"/>
      <c r="AZ2211" s="4"/>
      <c r="BA2211" s="4"/>
      <c r="BB2211" s="4"/>
      <c r="BC2211" s="4"/>
      <c r="BD2211" s="4"/>
      <c r="BE2211" s="4"/>
      <c r="BG2211" s="4"/>
      <c r="BH2211" s="4"/>
    </row>
    <row r="2212" spans="1:60" x14ac:dyDescent="0.35">
      <c r="A2212" s="4"/>
      <c r="B2212" s="4"/>
      <c r="D2212" s="6" t="str">
        <f t="shared" si="148"/>
        <v/>
      </c>
      <c r="E2212" s="6" t="str">
        <f t="shared" si="149"/>
        <v/>
      </c>
      <c r="F2212" s="6" t="str">
        <f t="shared" si="150"/>
        <v/>
      </c>
      <c r="G2212" s="4"/>
      <c r="H2212" s="4"/>
      <c r="I2212" s="4"/>
      <c r="J2212" s="4"/>
      <c r="K2212" s="4"/>
      <c r="L2212" s="4"/>
      <c r="M2212" s="4"/>
      <c r="N2212" s="4"/>
      <c r="O2212" s="4"/>
      <c r="P2212" s="4"/>
      <c r="Q2212" s="4"/>
      <c r="R2212" s="14"/>
      <c r="S2212" s="14"/>
      <c r="T2212" s="14"/>
      <c r="U2212" s="14"/>
      <c r="V2212" s="14"/>
      <c r="W2212" s="14"/>
      <c r="X2212" s="1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4"/>
      <c r="AU2212" s="4"/>
      <c r="AV2212" s="4"/>
      <c r="AW2212" s="4"/>
      <c r="AX2212" s="4"/>
      <c r="AY2212" s="4"/>
      <c r="AZ2212" s="4"/>
      <c r="BA2212" s="4"/>
      <c r="BB2212" s="4"/>
      <c r="BC2212" s="4"/>
      <c r="BD2212" s="4"/>
      <c r="BE2212" s="4"/>
      <c r="BG2212" s="4"/>
      <c r="BH2212" s="4"/>
    </row>
    <row r="2213" spans="1:60" x14ac:dyDescent="0.35">
      <c r="A2213" s="4"/>
      <c r="B2213" s="4"/>
      <c r="D2213" s="6" t="str">
        <f t="shared" si="148"/>
        <v/>
      </c>
      <c r="E2213" s="6" t="str">
        <f t="shared" si="149"/>
        <v/>
      </c>
      <c r="F2213" s="6" t="str">
        <f t="shared" si="150"/>
        <v/>
      </c>
      <c r="G2213" s="4"/>
      <c r="H2213" s="4"/>
      <c r="I2213" s="4"/>
      <c r="J2213" s="4"/>
      <c r="K2213" s="4"/>
      <c r="L2213" s="4"/>
      <c r="M2213" s="4"/>
      <c r="N2213" s="4"/>
      <c r="O2213" s="4"/>
      <c r="P2213" s="4"/>
      <c r="Q2213" s="4"/>
      <c r="R2213" s="14"/>
      <c r="S2213" s="14"/>
      <c r="T2213" s="14"/>
      <c r="U2213" s="14"/>
      <c r="V2213" s="14"/>
      <c r="W2213" s="14"/>
      <c r="X2213" s="1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c r="AV2213" s="4"/>
      <c r="AW2213" s="4"/>
      <c r="AX2213" s="4"/>
      <c r="AY2213" s="4"/>
      <c r="AZ2213" s="4"/>
      <c r="BA2213" s="4"/>
      <c r="BB2213" s="4"/>
      <c r="BC2213" s="4"/>
      <c r="BD2213" s="4"/>
      <c r="BE2213" s="4"/>
      <c r="BG2213" s="4"/>
      <c r="BH2213" s="4"/>
    </row>
    <row r="2214" spans="1:60" x14ac:dyDescent="0.35">
      <c r="A2214" s="4"/>
      <c r="B2214" s="4"/>
      <c r="D2214" s="6" t="str">
        <f t="shared" si="148"/>
        <v/>
      </c>
      <c r="E2214" s="6" t="str">
        <f t="shared" si="149"/>
        <v/>
      </c>
      <c r="F2214" s="6" t="str">
        <f t="shared" si="150"/>
        <v/>
      </c>
      <c r="G2214" s="4"/>
      <c r="H2214" s="4"/>
      <c r="I2214" s="4"/>
      <c r="J2214" s="4"/>
      <c r="K2214" s="4"/>
      <c r="L2214" s="4"/>
      <c r="M2214" s="4"/>
      <c r="N2214" s="4"/>
      <c r="O2214" s="4"/>
      <c r="P2214" s="4"/>
      <c r="Q2214" s="4"/>
      <c r="R2214" s="14"/>
      <c r="S2214" s="14"/>
      <c r="T2214" s="14"/>
      <c r="U2214" s="14"/>
      <c r="V2214" s="14"/>
      <c r="W2214" s="14"/>
      <c r="X2214" s="14"/>
      <c r="Y2214" s="4"/>
      <c r="Z2214" s="4"/>
      <c r="AA2214" s="4"/>
      <c r="AB2214" s="4"/>
      <c r="AC2214" s="4"/>
      <c r="AD2214" s="4"/>
      <c r="AE2214" s="4"/>
      <c r="AF2214" s="4"/>
      <c r="AG2214" s="4"/>
      <c r="AH2214" s="4"/>
      <c r="AI2214" s="4"/>
      <c r="AJ2214" s="4"/>
      <c r="AK2214" s="4"/>
      <c r="AL2214" s="4"/>
      <c r="AM2214" s="4"/>
      <c r="AN2214" s="4"/>
      <c r="AO2214" s="4"/>
      <c r="AP2214" s="4"/>
      <c r="AQ2214" s="4"/>
      <c r="AR2214" s="4"/>
      <c r="AS2214" s="4"/>
      <c r="AT2214" s="4"/>
      <c r="AU2214" s="4"/>
      <c r="AV2214" s="4"/>
      <c r="AW2214" s="4"/>
      <c r="AX2214" s="4"/>
      <c r="AY2214" s="4"/>
      <c r="AZ2214" s="4"/>
      <c r="BA2214" s="4"/>
      <c r="BB2214" s="4"/>
      <c r="BC2214" s="4"/>
      <c r="BD2214" s="4"/>
      <c r="BE2214" s="4"/>
      <c r="BG2214" s="4"/>
      <c r="BH2214" s="4"/>
    </row>
    <row r="2215" spans="1:60" x14ac:dyDescent="0.35">
      <c r="A2215" s="4"/>
      <c r="B2215" s="4"/>
      <c r="D2215" s="6" t="str">
        <f t="shared" si="148"/>
        <v/>
      </c>
      <c r="E2215" s="6" t="str">
        <f t="shared" si="149"/>
        <v/>
      </c>
      <c r="F2215" s="6" t="str">
        <f t="shared" si="150"/>
        <v/>
      </c>
      <c r="G2215" s="4"/>
      <c r="H2215" s="4"/>
      <c r="I2215" s="4"/>
      <c r="J2215" s="4"/>
      <c r="K2215" s="4"/>
      <c r="L2215" s="4"/>
      <c r="M2215" s="4"/>
      <c r="N2215" s="4"/>
      <c r="O2215" s="4"/>
      <c r="P2215" s="4"/>
      <c r="Q2215" s="4"/>
      <c r="R2215" s="14"/>
      <c r="S2215" s="14"/>
      <c r="T2215" s="14"/>
      <c r="U2215" s="14"/>
      <c r="V2215" s="14"/>
      <c r="W2215" s="14"/>
      <c r="X2215" s="1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c r="AV2215" s="4"/>
      <c r="AW2215" s="4"/>
      <c r="AX2215" s="4"/>
      <c r="AY2215" s="4"/>
      <c r="AZ2215" s="4"/>
      <c r="BA2215" s="4"/>
      <c r="BB2215" s="4"/>
      <c r="BC2215" s="4"/>
      <c r="BD2215" s="4"/>
      <c r="BE2215" s="4"/>
      <c r="BG2215" s="4"/>
      <c r="BH2215" s="4"/>
    </row>
    <row r="2216" spans="1:60" x14ac:dyDescent="0.35">
      <c r="A2216" s="4"/>
      <c r="B2216" s="4"/>
      <c r="D2216" s="6" t="str">
        <f t="shared" si="148"/>
        <v/>
      </c>
      <c r="E2216" s="6" t="str">
        <f t="shared" si="149"/>
        <v/>
      </c>
      <c r="F2216" s="6" t="str">
        <f t="shared" si="150"/>
        <v/>
      </c>
      <c r="G2216" s="4"/>
      <c r="H2216" s="4"/>
      <c r="I2216" s="4"/>
      <c r="J2216" s="4"/>
      <c r="K2216" s="4"/>
      <c r="L2216" s="4"/>
      <c r="M2216" s="4"/>
      <c r="N2216" s="4"/>
      <c r="O2216" s="4"/>
      <c r="P2216" s="4"/>
      <c r="Q2216" s="4"/>
      <c r="R2216" s="14"/>
      <c r="S2216" s="14"/>
      <c r="T2216" s="14"/>
      <c r="U2216" s="14"/>
      <c r="V2216" s="14"/>
      <c r="W2216" s="14"/>
      <c r="X2216" s="1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4"/>
      <c r="AU2216" s="4"/>
      <c r="AV2216" s="4"/>
      <c r="AW2216" s="4"/>
      <c r="AX2216" s="4"/>
      <c r="AY2216" s="4"/>
      <c r="AZ2216" s="4"/>
      <c r="BA2216" s="4"/>
      <c r="BB2216" s="4"/>
      <c r="BC2216" s="4"/>
      <c r="BD2216" s="4"/>
      <c r="BE2216" s="4"/>
      <c r="BG2216" s="4"/>
      <c r="BH2216" s="4"/>
    </row>
    <row r="2217" spans="1:60" x14ac:dyDescent="0.35">
      <c r="A2217" s="4"/>
      <c r="B2217" s="4"/>
      <c r="D2217" s="6" t="str">
        <f t="shared" si="148"/>
        <v/>
      </c>
      <c r="E2217" s="6" t="str">
        <f t="shared" si="149"/>
        <v/>
      </c>
      <c r="F2217" s="6" t="str">
        <f t="shared" si="150"/>
        <v/>
      </c>
      <c r="G2217" s="4"/>
      <c r="H2217" s="4"/>
      <c r="I2217" s="4"/>
      <c r="J2217" s="4"/>
      <c r="K2217" s="4"/>
      <c r="L2217" s="4"/>
      <c r="M2217" s="4"/>
      <c r="N2217" s="4"/>
      <c r="O2217" s="4"/>
      <c r="P2217" s="4"/>
      <c r="Q2217" s="4"/>
      <c r="R2217" s="14"/>
      <c r="S2217" s="14"/>
      <c r="T2217" s="14"/>
      <c r="U2217" s="14"/>
      <c r="V2217" s="14"/>
      <c r="W2217" s="14"/>
      <c r="X2217" s="1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c r="AV2217" s="4"/>
      <c r="AW2217" s="4"/>
      <c r="AX2217" s="4"/>
      <c r="AY2217" s="4"/>
      <c r="AZ2217" s="4"/>
      <c r="BA2217" s="4"/>
      <c r="BB2217" s="4"/>
      <c r="BC2217" s="4"/>
      <c r="BD2217" s="4"/>
      <c r="BE2217" s="4"/>
      <c r="BG2217" s="4"/>
      <c r="BH2217" s="4"/>
    </row>
    <row r="2218" spans="1:60" x14ac:dyDescent="0.35">
      <c r="A2218" s="4"/>
      <c r="B2218" s="4"/>
      <c r="D2218" s="6" t="str">
        <f t="shared" si="148"/>
        <v/>
      </c>
      <c r="E2218" s="6" t="str">
        <f t="shared" si="149"/>
        <v/>
      </c>
      <c r="F2218" s="6" t="str">
        <f t="shared" si="150"/>
        <v/>
      </c>
      <c r="G2218" s="4"/>
      <c r="H2218" s="4"/>
      <c r="I2218" s="4"/>
      <c r="J2218" s="4"/>
      <c r="K2218" s="4"/>
      <c r="L2218" s="4"/>
      <c r="M2218" s="4"/>
      <c r="N2218" s="4"/>
      <c r="O2218" s="4"/>
      <c r="P2218" s="4"/>
      <c r="Q2218" s="4"/>
      <c r="R2218" s="14"/>
      <c r="S2218" s="14"/>
      <c r="T2218" s="14"/>
      <c r="U2218" s="14"/>
      <c r="V2218" s="14"/>
      <c r="W2218" s="14"/>
      <c r="X2218" s="1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4"/>
      <c r="AU2218" s="4"/>
      <c r="AV2218" s="4"/>
      <c r="AW2218" s="4"/>
      <c r="AX2218" s="4"/>
      <c r="AY2218" s="4"/>
      <c r="AZ2218" s="4"/>
      <c r="BA2218" s="4"/>
      <c r="BB2218" s="4"/>
      <c r="BC2218" s="4"/>
      <c r="BD2218" s="4"/>
      <c r="BE2218" s="4"/>
      <c r="BG2218" s="4"/>
      <c r="BH2218" s="4"/>
    </row>
    <row r="2219" spans="1:60" x14ac:dyDescent="0.35">
      <c r="A2219" s="4"/>
      <c r="B2219" s="4"/>
      <c r="D2219" s="6" t="str">
        <f t="shared" si="148"/>
        <v/>
      </c>
      <c r="E2219" s="6" t="str">
        <f t="shared" si="149"/>
        <v/>
      </c>
      <c r="F2219" s="6" t="str">
        <f t="shared" si="150"/>
        <v/>
      </c>
      <c r="G2219" s="4"/>
      <c r="H2219" s="4"/>
      <c r="I2219" s="4"/>
      <c r="J2219" s="4"/>
      <c r="K2219" s="4"/>
      <c r="L2219" s="4"/>
      <c r="M2219" s="4"/>
      <c r="N2219" s="4"/>
      <c r="O2219" s="4"/>
      <c r="P2219" s="4"/>
      <c r="Q2219" s="4"/>
      <c r="R2219" s="14"/>
      <c r="S2219" s="14"/>
      <c r="T2219" s="14"/>
      <c r="U2219" s="14"/>
      <c r="V2219" s="14"/>
      <c r="W2219" s="14"/>
      <c r="X2219" s="14"/>
      <c r="Y2219" s="4"/>
      <c r="Z2219" s="4"/>
      <c r="AA2219" s="4"/>
      <c r="AB2219" s="4"/>
      <c r="AC2219" s="4"/>
      <c r="AD2219" s="4"/>
      <c r="AE2219" s="4"/>
      <c r="AF2219" s="4"/>
      <c r="AG2219" s="4"/>
      <c r="AH2219" s="4"/>
      <c r="AI2219" s="4"/>
      <c r="AJ2219" s="4"/>
      <c r="AK2219" s="4"/>
      <c r="AL2219" s="4"/>
      <c r="AM2219" s="4"/>
      <c r="AN2219" s="4"/>
      <c r="AO2219" s="4"/>
      <c r="AP2219" s="4"/>
      <c r="AQ2219" s="4"/>
      <c r="AR2219" s="4"/>
      <c r="AS2219" s="4"/>
      <c r="AT2219" s="4"/>
      <c r="AU2219" s="4"/>
      <c r="AV2219" s="4"/>
      <c r="AW2219" s="4"/>
      <c r="AX2219" s="4"/>
      <c r="AY2219" s="4"/>
      <c r="AZ2219" s="4"/>
      <c r="BA2219" s="4"/>
      <c r="BB2219" s="4"/>
      <c r="BC2219" s="4"/>
      <c r="BD2219" s="4"/>
      <c r="BE2219" s="4"/>
      <c r="BG2219" s="4"/>
      <c r="BH2219" s="4"/>
    </row>
    <row r="2220" spans="1:60" x14ac:dyDescent="0.35">
      <c r="A2220" s="4"/>
      <c r="B2220" s="4"/>
      <c r="D2220" s="6" t="str">
        <f t="shared" si="148"/>
        <v/>
      </c>
      <c r="E2220" s="6" t="str">
        <f t="shared" si="149"/>
        <v/>
      </c>
      <c r="F2220" s="6" t="str">
        <f t="shared" si="150"/>
        <v/>
      </c>
      <c r="G2220" s="4"/>
      <c r="H2220" s="4"/>
      <c r="I2220" s="4"/>
      <c r="J2220" s="4"/>
      <c r="K2220" s="4"/>
      <c r="L2220" s="4"/>
      <c r="M2220" s="4"/>
      <c r="N2220" s="4"/>
      <c r="O2220" s="4"/>
      <c r="P2220" s="4"/>
      <c r="Q2220" s="4"/>
      <c r="R2220" s="14"/>
      <c r="S2220" s="14"/>
      <c r="T2220" s="14"/>
      <c r="U2220" s="14"/>
      <c r="V2220" s="14"/>
      <c r="W2220" s="14"/>
      <c r="X2220" s="1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4"/>
      <c r="AU2220" s="4"/>
      <c r="AV2220" s="4"/>
      <c r="AW2220" s="4"/>
      <c r="AX2220" s="4"/>
      <c r="AY2220" s="4"/>
      <c r="AZ2220" s="4"/>
      <c r="BA2220" s="4"/>
      <c r="BB2220" s="4"/>
      <c r="BC2220" s="4"/>
      <c r="BD2220" s="4"/>
      <c r="BE2220" s="4"/>
      <c r="BG2220" s="4"/>
      <c r="BH2220" s="4"/>
    </row>
    <row r="2221" spans="1:60" x14ac:dyDescent="0.35">
      <c r="A2221" s="4"/>
      <c r="B2221" s="4"/>
      <c r="D2221" s="6" t="str">
        <f t="shared" si="148"/>
        <v/>
      </c>
      <c r="E2221" s="6" t="str">
        <f t="shared" si="149"/>
        <v/>
      </c>
      <c r="F2221" s="6" t="str">
        <f t="shared" si="150"/>
        <v/>
      </c>
      <c r="G2221" s="4"/>
      <c r="H2221" s="4"/>
      <c r="I2221" s="4"/>
      <c r="J2221" s="4"/>
      <c r="K2221" s="4"/>
      <c r="L2221" s="4"/>
      <c r="M2221" s="4"/>
      <c r="N2221" s="4"/>
      <c r="O2221" s="4"/>
      <c r="P2221" s="4"/>
      <c r="Q2221" s="4"/>
      <c r="R2221" s="14"/>
      <c r="S2221" s="14"/>
      <c r="T2221" s="14"/>
      <c r="U2221" s="14"/>
      <c r="V2221" s="14"/>
      <c r="W2221" s="14"/>
      <c r="X2221" s="1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4"/>
      <c r="AU2221" s="4"/>
      <c r="AV2221" s="4"/>
      <c r="AW2221" s="4"/>
      <c r="AX2221" s="4"/>
      <c r="AY2221" s="4"/>
      <c r="AZ2221" s="4"/>
      <c r="BA2221" s="4"/>
      <c r="BB2221" s="4"/>
      <c r="BC2221" s="4"/>
      <c r="BD2221" s="4"/>
      <c r="BE2221" s="4"/>
      <c r="BG2221" s="4"/>
      <c r="BH2221" s="4"/>
    </row>
    <row r="2222" spans="1:60" x14ac:dyDescent="0.35">
      <c r="A2222" s="4"/>
      <c r="B2222" s="4"/>
      <c r="D2222" s="6" t="str">
        <f t="shared" si="148"/>
        <v/>
      </c>
      <c r="E2222" s="6" t="str">
        <f t="shared" si="149"/>
        <v/>
      </c>
      <c r="F2222" s="6" t="str">
        <f t="shared" si="150"/>
        <v/>
      </c>
      <c r="G2222" s="4"/>
      <c r="H2222" s="4"/>
      <c r="I2222" s="4"/>
      <c r="J2222" s="4"/>
      <c r="K2222" s="4"/>
      <c r="L2222" s="4"/>
      <c r="M2222" s="4"/>
      <c r="N2222" s="4"/>
      <c r="O2222" s="4"/>
      <c r="P2222" s="4"/>
      <c r="Q2222" s="4"/>
      <c r="R2222" s="14"/>
      <c r="S2222" s="14"/>
      <c r="T2222" s="14"/>
      <c r="U2222" s="14"/>
      <c r="V2222" s="14"/>
      <c r="W2222" s="14"/>
      <c r="X2222" s="1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4"/>
      <c r="AU2222" s="4"/>
      <c r="AV2222" s="4"/>
      <c r="AW2222" s="4"/>
      <c r="AX2222" s="4"/>
      <c r="AY2222" s="4"/>
      <c r="AZ2222" s="4"/>
      <c r="BA2222" s="4"/>
      <c r="BB2222" s="4"/>
      <c r="BC2222" s="4"/>
      <c r="BD2222" s="4"/>
      <c r="BE2222" s="4"/>
      <c r="BG2222" s="4"/>
      <c r="BH2222" s="4"/>
    </row>
    <row r="2223" spans="1:60" x14ac:dyDescent="0.35">
      <c r="A2223" s="4"/>
      <c r="B2223" s="4"/>
      <c r="D2223" s="6" t="str">
        <f t="shared" si="148"/>
        <v/>
      </c>
      <c r="E2223" s="6" t="str">
        <f t="shared" si="149"/>
        <v/>
      </c>
      <c r="F2223" s="6" t="str">
        <f t="shared" si="150"/>
        <v/>
      </c>
      <c r="G2223" s="4"/>
      <c r="H2223" s="4"/>
      <c r="I2223" s="4"/>
      <c r="J2223" s="4"/>
      <c r="K2223" s="4"/>
      <c r="L2223" s="4"/>
      <c r="M2223" s="4"/>
      <c r="N2223" s="4"/>
      <c r="O2223" s="4"/>
      <c r="P2223" s="4"/>
      <c r="Q2223" s="4"/>
      <c r="R2223" s="14"/>
      <c r="S2223" s="14"/>
      <c r="T2223" s="14"/>
      <c r="U2223" s="14"/>
      <c r="V2223" s="14"/>
      <c r="W2223" s="14"/>
      <c r="X2223" s="1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4"/>
      <c r="AU2223" s="4"/>
      <c r="AV2223" s="4"/>
      <c r="AW2223" s="4"/>
      <c r="AX2223" s="4"/>
      <c r="AY2223" s="4"/>
      <c r="AZ2223" s="4"/>
      <c r="BA2223" s="4"/>
      <c r="BB2223" s="4"/>
      <c r="BC2223" s="4"/>
      <c r="BD2223" s="4"/>
      <c r="BE2223" s="4"/>
      <c r="BG2223" s="4"/>
      <c r="BH2223" s="4"/>
    </row>
    <row r="2224" spans="1:60" x14ac:dyDescent="0.35">
      <c r="A2224" s="4"/>
      <c r="B2224" s="4"/>
      <c r="D2224" s="6" t="str">
        <f t="shared" si="148"/>
        <v/>
      </c>
      <c r="E2224" s="6" t="str">
        <f t="shared" si="149"/>
        <v/>
      </c>
      <c r="F2224" s="6" t="str">
        <f t="shared" si="150"/>
        <v/>
      </c>
      <c r="G2224" s="4"/>
      <c r="H2224" s="4"/>
      <c r="I2224" s="4"/>
      <c r="J2224" s="4"/>
      <c r="K2224" s="4"/>
      <c r="L2224" s="4"/>
      <c r="M2224" s="4"/>
      <c r="N2224" s="4"/>
      <c r="O2224" s="4"/>
      <c r="P2224" s="4"/>
      <c r="Q2224" s="4"/>
      <c r="R2224" s="14"/>
      <c r="S2224" s="14"/>
      <c r="T2224" s="14"/>
      <c r="U2224" s="14"/>
      <c r="V2224" s="14"/>
      <c r="W2224" s="14"/>
      <c r="X2224" s="14"/>
      <c r="Y2224" s="4"/>
      <c r="Z2224" s="4"/>
      <c r="AA2224" s="4"/>
      <c r="AB2224" s="4"/>
      <c r="AC2224" s="4"/>
      <c r="AD2224" s="4"/>
      <c r="AE2224" s="4"/>
      <c r="AF2224" s="4"/>
      <c r="AG2224" s="4"/>
      <c r="AH2224" s="4"/>
      <c r="AI2224" s="4"/>
      <c r="AJ2224" s="4"/>
      <c r="AK2224" s="4"/>
      <c r="AL2224" s="4"/>
      <c r="AM2224" s="4"/>
      <c r="AN2224" s="4"/>
      <c r="AO2224" s="4"/>
      <c r="AP2224" s="4"/>
      <c r="AQ2224" s="4"/>
      <c r="AR2224" s="4"/>
      <c r="AS2224" s="4"/>
      <c r="AT2224" s="4"/>
      <c r="AU2224" s="4"/>
      <c r="AV2224" s="4"/>
      <c r="AW2224" s="4"/>
      <c r="AX2224" s="4"/>
      <c r="AY2224" s="4"/>
      <c r="AZ2224" s="4"/>
      <c r="BA2224" s="4"/>
      <c r="BB2224" s="4"/>
      <c r="BC2224" s="4"/>
      <c r="BD2224" s="4"/>
      <c r="BE2224" s="4"/>
      <c r="BG2224" s="4"/>
      <c r="BH2224" s="4"/>
    </row>
    <row r="2225" spans="1:60" x14ac:dyDescent="0.35">
      <c r="A2225" s="4"/>
      <c r="B2225" s="4"/>
      <c r="D2225" s="6" t="str">
        <f t="shared" si="148"/>
        <v/>
      </c>
      <c r="E2225" s="6" t="str">
        <f t="shared" si="149"/>
        <v/>
      </c>
      <c r="F2225" s="6" t="str">
        <f t="shared" si="150"/>
        <v/>
      </c>
      <c r="G2225" s="4"/>
      <c r="H2225" s="4"/>
      <c r="I2225" s="4"/>
      <c r="J2225" s="4"/>
      <c r="K2225" s="4"/>
      <c r="L2225" s="4"/>
      <c r="M2225" s="4"/>
      <c r="N2225" s="4"/>
      <c r="O2225" s="4"/>
      <c r="P2225" s="4"/>
      <c r="Q2225" s="4"/>
      <c r="R2225" s="14"/>
      <c r="S2225" s="14"/>
      <c r="T2225" s="14"/>
      <c r="U2225" s="14"/>
      <c r="V2225" s="14"/>
      <c r="W2225" s="14"/>
      <c r="X2225" s="1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4"/>
      <c r="AU2225" s="4"/>
      <c r="AV2225" s="4"/>
      <c r="AW2225" s="4"/>
      <c r="AX2225" s="4"/>
      <c r="AY2225" s="4"/>
      <c r="AZ2225" s="4"/>
      <c r="BA2225" s="4"/>
      <c r="BB2225" s="4"/>
      <c r="BC2225" s="4"/>
      <c r="BD2225" s="4"/>
      <c r="BE2225" s="4"/>
      <c r="BG2225" s="4"/>
      <c r="BH2225" s="4"/>
    </row>
    <row r="2226" spans="1:60" x14ac:dyDescent="0.35">
      <c r="A2226" s="4"/>
      <c r="B2226" s="4"/>
      <c r="D2226" s="6" t="str">
        <f t="shared" si="148"/>
        <v/>
      </c>
      <c r="E2226" s="6" t="str">
        <f t="shared" si="149"/>
        <v/>
      </c>
      <c r="F2226" s="6" t="str">
        <f t="shared" si="150"/>
        <v/>
      </c>
      <c r="G2226" s="4"/>
      <c r="H2226" s="4"/>
      <c r="I2226" s="4"/>
      <c r="J2226" s="4"/>
      <c r="K2226" s="4"/>
      <c r="L2226" s="4"/>
      <c r="M2226" s="4"/>
      <c r="N2226" s="4"/>
      <c r="O2226" s="4"/>
      <c r="P2226" s="4"/>
      <c r="Q2226" s="4"/>
      <c r="R2226" s="14"/>
      <c r="S2226" s="14"/>
      <c r="T2226" s="14"/>
      <c r="U2226" s="14"/>
      <c r="V2226" s="14"/>
      <c r="W2226" s="14"/>
      <c r="X2226" s="1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c r="AV2226" s="4"/>
      <c r="AW2226" s="4"/>
      <c r="AX2226" s="4"/>
      <c r="AY2226" s="4"/>
      <c r="AZ2226" s="4"/>
      <c r="BA2226" s="4"/>
      <c r="BB2226" s="4"/>
      <c r="BC2226" s="4"/>
      <c r="BD2226" s="4"/>
      <c r="BE2226" s="4"/>
      <c r="BG2226" s="4"/>
      <c r="BH2226" s="4"/>
    </row>
    <row r="2227" spans="1:60" x14ac:dyDescent="0.35">
      <c r="A2227" s="4"/>
      <c r="B2227" s="4"/>
      <c r="D2227" s="6" t="str">
        <f t="shared" si="148"/>
        <v/>
      </c>
      <c r="E2227" s="6" t="str">
        <f t="shared" si="149"/>
        <v/>
      </c>
      <c r="F2227" s="6" t="str">
        <f t="shared" si="150"/>
        <v/>
      </c>
      <c r="G2227" s="4"/>
      <c r="H2227" s="4"/>
      <c r="I2227" s="4"/>
      <c r="J2227" s="4"/>
      <c r="K2227" s="4"/>
      <c r="L2227" s="4"/>
      <c r="M2227" s="4"/>
      <c r="N2227" s="4"/>
      <c r="O2227" s="4"/>
      <c r="P2227" s="4"/>
      <c r="Q2227" s="4"/>
      <c r="R2227" s="14"/>
      <c r="S2227" s="14"/>
      <c r="T2227" s="14"/>
      <c r="U2227" s="14"/>
      <c r="V2227" s="14"/>
      <c r="W2227" s="14"/>
      <c r="X2227" s="1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c r="AV2227" s="4"/>
      <c r="AW2227" s="4"/>
      <c r="AX2227" s="4"/>
      <c r="AY2227" s="4"/>
      <c r="AZ2227" s="4"/>
      <c r="BA2227" s="4"/>
      <c r="BB2227" s="4"/>
      <c r="BC2227" s="4"/>
      <c r="BD2227" s="4"/>
      <c r="BE2227" s="4"/>
      <c r="BG2227" s="4"/>
      <c r="BH2227" s="4"/>
    </row>
    <row r="2228" spans="1:60" x14ac:dyDescent="0.35">
      <c r="A2228" s="4"/>
      <c r="B2228" s="4"/>
      <c r="D2228" s="6" t="str">
        <f t="shared" si="148"/>
        <v/>
      </c>
      <c r="E2228" s="6" t="str">
        <f t="shared" si="149"/>
        <v/>
      </c>
      <c r="F2228" s="6" t="str">
        <f t="shared" si="150"/>
        <v/>
      </c>
      <c r="G2228" s="4"/>
      <c r="H2228" s="4"/>
      <c r="I2228" s="4"/>
      <c r="J2228" s="4"/>
      <c r="K2228" s="4"/>
      <c r="L2228" s="4"/>
      <c r="M2228" s="4"/>
      <c r="N2228" s="4"/>
      <c r="O2228" s="4"/>
      <c r="P2228" s="4"/>
      <c r="Q2228" s="4"/>
      <c r="R2228" s="14"/>
      <c r="S2228" s="14"/>
      <c r="T2228" s="14"/>
      <c r="U2228" s="14"/>
      <c r="V2228" s="14"/>
      <c r="W2228" s="14"/>
      <c r="X2228" s="1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c r="AV2228" s="4"/>
      <c r="AW2228" s="4"/>
      <c r="AX2228" s="4"/>
      <c r="AY2228" s="4"/>
      <c r="AZ2228" s="4"/>
      <c r="BA2228" s="4"/>
      <c r="BB2228" s="4"/>
      <c r="BC2228" s="4"/>
      <c r="BD2228" s="4"/>
      <c r="BE2228" s="4"/>
      <c r="BG2228" s="4"/>
      <c r="BH2228" s="4"/>
    </row>
    <row r="2229" spans="1:60" x14ac:dyDescent="0.35">
      <c r="A2229" s="4"/>
      <c r="B2229" s="4"/>
      <c r="D2229" s="6" t="str">
        <f t="shared" si="148"/>
        <v/>
      </c>
      <c r="E2229" s="6" t="str">
        <f t="shared" si="149"/>
        <v/>
      </c>
      <c r="F2229" s="6" t="str">
        <f t="shared" si="150"/>
        <v/>
      </c>
      <c r="G2229" s="4"/>
      <c r="H2229" s="4"/>
      <c r="I2229" s="4"/>
      <c r="J2229" s="4"/>
      <c r="K2229" s="4"/>
      <c r="L2229" s="4"/>
      <c r="M2229" s="4"/>
      <c r="N2229" s="4"/>
      <c r="O2229" s="4"/>
      <c r="P2229" s="4"/>
      <c r="Q2229" s="4"/>
      <c r="R2229" s="14"/>
      <c r="S2229" s="14"/>
      <c r="T2229" s="14"/>
      <c r="U2229" s="14"/>
      <c r="V2229" s="14"/>
      <c r="W2229" s="14"/>
      <c r="X2229" s="14"/>
      <c r="Y2229" s="4"/>
      <c r="Z2229" s="4"/>
      <c r="AA2229" s="4"/>
      <c r="AB2229" s="4"/>
      <c r="AC2229" s="4"/>
      <c r="AD2229" s="4"/>
      <c r="AE2229" s="4"/>
      <c r="AF2229" s="4"/>
      <c r="AG2229" s="4"/>
      <c r="AH2229" s="4"/>
      <c r="AI2229" s="4"/>
      <c r="AJ2229" s="4"/>
      <c r="AK2229" s="4"/>
      <c r="AL2229" s="4"/>
      <c r="AM2229" s="4"/>
      <c r="AN2229" s="4"/>
      <c r="AO2229" s="4"/>
      <c r="AP2229" s="4"/>
      <c r="AQ2229" s="4"/>
      <c r="AR2229" s="4"/>
      <c r="AS2229" s="4"/>
      <c r="AT2229" s="4"/>
      <c r="AU2229" s="4"/>
      <c r="AV2229" s="4"/>
      <c r="AW2229" s="4"/>
      <c r="AX2229" s="4"/>
      <c r="AY2229" s="4"/>
      <c r="AZ2229" s="4"/>
      <c r="BA2229" s="4"/>
      <c r="BB2229" s="4"/>
      <c r="BC2229" s="4"/>
      <c r="BD2229" s="4"/>
      <c r="BE2229" s="4"/>
      <c r="BG2229" s="4"/>
      <c r="BH2229" s="4"/>
    </row>
    <row r="2230" spans="1:60" x14ac:dyDescent="0.35">
      <c r="A2230" s="4"/>
      <c r="B2230" s="4"/>
      <c r="D2230" s="6" t="str">
        <f t="shared" si="148"/>
        <v/>
      </c>
      <c r="E2230" s="6" t="str">
        <f t="shared" si="149"/>
        <v/>
      </c>
      <c r="F2230" s="6" t="str">
        <f t="shared" si="150"/>
        <v/>
      </c>
      <c r="G2230" s="4"/>
      <c r="H2230" s="4"/>
      <c r="I2230" s="4"/>
      <c r="J2230" s="4"/>
      <c r="K2230" s="4"/>
      <c r="L2230" s="4"/>
      <c r="M2230" s="4"/>
      <c r="N2230" s="4"/>
      <c r="O2230" s="4"/>
      <c r="P2230" s="4"/>
      <c r="Q2230" s="4"/>
      <c r="R2230" s="14"/>
      <c r="S2230" s="14"/>
      <c r="T2230" s="14"/>
      <c r="U2230" s="14"/>
      <c r="V2230" s="14"/>
      <c r="W2230" s="14"/>
      <c r="X2230" s="14"/>
      <c r="Y2230" s="4"/>
      <c r="Z2230" s="4"/>
      <c r="AA2230" s="4"/>
      <c r="AB2230" s="4"/>
      <c r="AC2230" s="4"/>
      <c r="AD2230" s="4"/>
      <c r="AE2230" s="4"/>
      <c r="AF2230" s="4"/>
      <c r="AG2230" s="4"/>
      <c r="AH2230" s="4"/>
      <c r="AI2230" s="4"/>
      <c r="AJ2230" s="4"/>
      <c r="AK2230" s="4"/>
      <c r="AL2230" s="4"/>
      <c r="AM2230" s="4"/>
      <c r="AN2230" s="4"/>
      <c r="AO2230" s="4"/>
      <c r="AP2230" s="4"/>
      <c r="AQ2230" s="4"/>
      <c r="AR2230" s="4"/>
      <c r="AS2230" s="4"/>
      <c r="AT2230" s="4"/>
      <c r="AU2230" s="4"/>
      <c r="AV2230" s="4"/>
      <c r="AW2230" s="4"/>
      <c r="AX2230" s="4"/>
      <c r="AY2230" s="4"/>
      <c r="AZ2230" s="4"/>
      <c r="BA2230" s="4"/>
      <c r="BB2230" s="4"/>
      <c r="BC2230" s="4"/>
      <c r="BD2230" s="4"/>
      <c r="BE2230" s="4"/>
      <c r="BG2230" s="4"/>
      <c r="BH2230" s="4"/>
    </row>
    <row r="2231" spans="1:60" x14ac:dyDescent="0.35">
      <c r="A2231" s="4"/>
      <c r="B2231" s="4"/>
      <c r="D2231" s="6" t="str">
        <f t="shared" si="148"/>
        <v/>
      </c>
      <c r="E2231" s="6" t="str">
        <f t="shared" si="149"/>
        <v/>
      </c>
      <c r="F2231" s="6" t="str">
        <f t="shared" si="150"/>
        <v/>
      </c>
      <c r="G2231" s="4"/>
      <c r="H2231" s="4"/>
      <c r="I2231" s="4"/>
      <c r="J2231" s="4"/>
      <c r="K2231" s="4"/>
      <c r="L2231" s="4"/>
      <c r="M2231" s="4"/>
      <c r="N2231" s="4"/>
      <c r="O2231" s="4"/>
      <c r="P2231" s="4"/>
      <c r="Q2231" s="4"/>
      <c r="R2231" s="14"/>
      <c r="S2231" s="14"/>
      <c r="T2231" s="14"/>
      <c r="U2231" s="14"/>
      <c r="V2231" s="14"/>
      <c r="W2231" s="14"/>
      <c r="X2231" s="1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c r="AV2231" s="4"/>
      <c r="AW2231" s="4"/>
      <c r="AX2231" s="4"/>
      <c r="AY2231" s="4"/>
      <c r="AZ2231" s="4"/>
      <c r="BA2231" s="4"/>
      <c r="BB2231" s="4"/>
      <c r="BC2231" s="4"/>
      <c r="BD2231" s="4"/>
      <c r="BE2231" s="4"/>
      <c r="BG2231" s="4"/>
      <c r="BH2231" s="4"/>
    </row>
    <row r="2232" spans="1:60" x14ac:dyDescent="0.35">
      <c r="A2232" s="4"/>
      <c r="B2232" s="4"/>
      <c r="D2232" s="6" t="str">
        <f t="shared" si="148"/>
        <v/>
      </c>
      <c r="E2232" s="6" t="str">
        <f t="shared" si="149"/>
        <v/>
      </c>
      <c r="F2232" s="6" t="str">
        <f t="shared" si="150"/>
        <v/>
      </c>
      <c r="G2232" s="4"/>
      <c r="H2232" s="4"/>
      <c r="I2232" s="4"/>
      <c r="J2232" s="4"/>
      <c r="K2232" s="4"/>
      <c r="L2232" s="4"/>
      <c r="M2232" s="4"/>
      <c r="N2232" s="4"/>
      <c r="O2232" s="4"/>
      <c r="P2232" s="4"/>
      <c r="Q2232" s="4"/>
      <c r="R2232" s="14"/>
      <c r="S2232" s="14"/>
      <c r="T2232" s="14"/>
      <c r="U2232" s="14"/>
      <c r="V2232" s="14"/>
      <c r="W2232" s="14"/>
      <c r="X2232" s="1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4"/>
      <c r="AU2232" s="4"/>
      <c r="AV2232" s="4"/>
      <c r="AW2232" s="4"/>
      <c r="AX2232" s="4"/>
      <c r="AY2232" s="4"/>
      <c r="AZ2232" s="4"/>
      <c r="BA2232" s="4"/>
      <c r="BB2232" s="4"/>
      <c r="BC2232" s="4"/>
      <c r="BD2232" s="4"/>
      <c r="BE2232" s="4"/>
      <c r="BG2232" s="4"/>
      <c r="BH2232" s="4"/>
    </row>
    <row r="2233" spans="1:60" x14ac:dyDescent="0.35">
      <c r="A2233" s="4"/>
      <c r="B2233" s="4"/>
      <c r="D2233" s="6" t="str">
        <f t="shared" si="148"/>
        <v/>
      </c>
      <c r="E2233" s="6" t="str">
        <f t="shared" si="149"/>
        <v/>
      </c>
      <c r="F2233" s="6" t="str">
        <f t="shared" si="150"/>
        <v/>
      </c>
      <c r="G2233" s="4"/>
      <c r="H2233" s="4"/>
      <c r="I2233" s="4"/>
      <c r="J2233" s="4"/>
      <c r="K2233" s="4"/>
      <c r="L2233" s="4"/>
      <c r="M2233" s="4"/>
      <c r="N2233" s="4"/>
      <c r="O2233" s="4"/>
      <c r="P2233" s="4"/>
      <c r="Q2233" s="4"/>
      <c r="R2233" s="14"/>
      <c r="S2233" s="14"/>
      <c r="T2233" s="14"/>
      <c r="U2233" s="14"/>
      <c r="V2233" s="14"/>
      <c r="W2233" s="14"/>
      <c r="X2233" s="1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4"/>
      <c r="AU2233" s="4"/>
      <c r="AV2233" s="4"/>
      <c r="AW2233" s="4"/>
      <c r="AX2233" s="4"/>
      <c r="AY2233" s="4"/>
      <c r="AZ2233" s="4"/>
      <c r="BA2233" s="4"/>
      <c r="BB2233" s="4"/>
      <c r="BC2233" s="4"/>
      <c r="BD2233" s="4"/>
      <c r="BE2233" s="4"/>
      <c r="BG2233" s="4"/>
      <c r="BH2233" s="4"/>
    </row>
    <row r="2234" spans="1:60" x14ac:dyDescent="0.35">
      <c r="A2234" s="4"/>
      <c r="B2234" s="4"/>
      <c r="D2234" s="6" t="str">
        <f t="shared" si="148"/>
        <v/>
      </c>
      <c r="E2234" s="6" t="str">
        <f t="shared" si="149"/>
        <v/>
      </c>
      <c r="F2234" s="6" t="str">
        <f t="shared" si="150"/>
        <v/>
      </c>
      <c r="G2234" s="4"/>
      <c r="H2234" s="4"/>
      <c r="I2234" s="4"/>
      <c r="J2234" s="4"/>
      <c r="K2234" s="4"/>
      <c r="L2234" s="4"/>
      <c r="M2234" s="4"/>
      <c r="N2234" s="4"/>
      <c r="O2234" s="4"/>
      <c r="P2234" s="4"/>
      <c r="Q2234" s="4"/>
      <c r="R2234" s="14"/>
      <c r="S2234" s="14"/>
      <c r="T2234" s="14"/>
      <c r="U2234" s="14"/>
      <c r="V2234" s="14"/>
      <c r="W2234" s="14"/>
      <c r="X2234" s="14"/>
      <c r="Y2234" s="4"/>
      <c r="Z2234" s="4"/>
      <c r="AA2234" s="4"/>
      <c r="AB2234" s="4"/>
      <c r="AC2234" s="4"/>
      <c r="AD2234" s="4"/>
      <c r="AE2234" s="4"/>
      <c r="AF2234" s="4"/>
      <c r="AG2234" s="4"/>
      <c r="AH2234" s="4"/>
      <c r="AI2234" s="4"/>
      <c r="AJ2234" s="4"/>
      <c r="AK2234" s="4"/>
      <c r="AL2234" s="4"/>
      <c r="AM2234" s="4"/>
      <c r="AN2234" s="4"/>
      <c r="AO2234" s="4"/>
      <c r="AP2234" s="4"/>
      <c r="AQ2234" s="4"/>
      <c r="AR2234" s="4"/>
      <c r="AS2234" s="4"/>
      <c r="AT2234" s="4"/>
      <c r="AU2234" s="4"/>
      <c r="AV2234" s="4"/>
      <c r="AW2234" s="4"/>
      <c r="AX2234" s="4"/>
      <c r="AY2234" s="4"/>
      <c r="AZ2234" s="4"/>
      <c r="BA2234" s="4"/>
      <c r="BB2234" s="4"/>
      <c r="BC2234" s="4"/>
      <c r="BD2234" s="4"/>
      <c r="BE2234" s="4"/>
      <c r="BG2234" s="4"/>
      <c r="BH2234" s="4"/>
    </row>
    <row r="2235" spans="1:60" x14ac:dyDescent="0.35">
      <c r="A2235" s="4"/>
      <c r="B2235" s="4"/>
      <c r="D2235" s="6" t="str">
        <f t="shared" si="148"/>
        <v/>
      </c>
      <c r="E2235" s="6" t="str">
        <f t="shared" si="149"/>
        <v/>
      </c>
      <c r="F2235" s="6" t="str">
        <f t="shared" si="150"/>
        <v/>
      </c>
      <c r="G2235" s="4"/>
      <c r="H2235" s="4"/>
      <c r="I2235" s="4"/>
      <c r="J2235" s="4"/>
      <c r="K2235" s="4"/>
      <c r="L2235" s="4"/>
      <c r="M2235" s="4"/>
      <c r="N2235" s="4"/>
      <c r="O2235" s="4"/>
      <c r="P2235" s="4"/>
      <c r="Q2235" s="4"/>
      <c r="R2235" s="14"/>
      <c r="S2235" s="14"/>
      <c r="T2235" s="14"/>
      <c r="U2235" s="14"/>
      <c r="V2235" s="14"/>
      <c r="W2235" s="14"/>
      <c r="X2235" s="1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4"/>
      <c r="AU2235" s="4"/>
      <c r="AV2235" s="4"/>
      <c r="AW2235" s="4"/>
      <c r="AX2235" s="4"/>
      <c r="AY2235" s="4"/>
      <c r="AZ2235" s="4"/>
      <c r="BA2235" s="4"/>
      <c r="BB2235" s="4"/>
      <c r="BC2235" s="4"/>
      <c r="BD2235" s="4"/>
      <c r="BE2235" s="4"/>
      <c r="BG2235" s="4"/>
      <c r="BH2235" s="4"/>
    </row>
    <row r="2236" spans="1:60" x14ac:dyDescent="0.35">
      <c r="A2236" s="4"/>
      <c r="B2236" s="4"/>
      <c r="D2236" s="6" t="str">
        <f t="shared" si="148"/>
        <v/>
      </c>
      <c r="E2236" s="6" t="str">
        <f t="shared" si="149"/>
        <v/>
      </c>
      <c r="F2236" s="6" t="str">
        <f t="shared" si="150"/>
        <v/>
      </c>
      <c r="G2236" s="4"/>
      <c r="H2236" s="4"/>
      <c r="I2236" s="4"/>
      <c r="J2236" s="4"/>
      <c r="K2236" s="4"/>
      <c r="L2236" s="4"/>
      <c r="M2236" s="4"/>
      <c r="N2236" s="4"/>
      <c r="O2236" s="4"/>
      <c r="P2236" s="4"/>
      <c r="Q2236" s="4"/>
      <c r="R2236" s="14"/>
      <c r="S2236" s="14"/>
      <c r="T2236" s="14"/>
      <c r="U2236" s="14"/>
      <c r="V2236" s="14"/>
      <c r="W2236" s="14"/>
      <c r="X2236" s="1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4"/>
      <c r="AU2236" s="4"/>
      <c r="AV2236" s="4"/>
      <c r="AW2236" s="4"/>
      <c r="AX2236" s="4"/>
      <c r="AY2236" s="4"/>
      <c r="AZ2236" s="4"/>
      <c r="BA2236" s="4"/>
      <c r="BB2236" s="4"/>
      <c r="BC2236" s="4"/>
      <c r="BD2236" s="4"/>
      <c r="BE2236" s="4"/>
      <c r="BG2236" s="4"/>
      <c r="BH2236" s="4"/>
    </row>
    <row r="2237" spans="1:60" x14ac:dyDescent="0.35">
      <c r="A2237" s="4"/>
      <c r="B2237" s="4"/>
      <c r="D2237" s="6" t="str">
        <f t="shared" ref="D2237:D2300" si="151">IF(C2237="","",VLOOKUP(C2237,district_region,2,FALSE))</f>
        <v/>
      </c>
      <c r="E2237" s="6" t="str">
        <f t="shared" ref="E2237:E2300" si="152">IF(C2237="","",VLOOKUP(C2237,liste_pop,3,FALSE))</f>
        <v/>
      </c>
      <c r="F2237" s="6" t="str">
        <f t="shared" ref="F2237:F2300" si="153">IF(D2237="","",IF(D2237="Dakar",4042240,VLOOKUP(D2237,liste_pop,4,FALSE)))</f>
        <v/>
      </c>
      <c r="G2237" s="4"/>
      <c r="H2237" s="4"/>
      <c r="I2237" s="4"/>
      <c r="J2237" s="4"/>
      <c r="K2237" s="4"/>
      <c r="L2237" s="4"/>
      <c r="M2237" s="4"/>
      <c r="N2237" s="4"/>
      <c r="O2237" s="4"/>
      <c r="P2237" s="4"/>
      <c r="Q2237" s="4"/>
      <c r="R2237" s="14"/>
      <c r="S2237" s="14"/>
      <c r="T2237" s="14"/>
      <c r="U2237" s="14"/>
      <c r="V2237" s="14"/>
      <c r="W2237" s="14"/>
      <c r="X2237" s="1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c r="AV2237" s="4"/>
      <c r="AW2237" s="4"/>
      <c r="AX2237" s="4"/>
      <c r="AY2237" s="4"/>
      <c r="AZ2237" s="4"/>
      <c r="BA2237" s="4"/>
      <c r="BB2237" s="4"/>
      <c r="BC2237" s="4"/>
      <c r="BD2237" s="4"/>
      <c r="BE2237" s="4"/>
      <c r="BG2237" s="4"/>
      <c r="BH2237" s="4"/>
    </row>
    <row r="2238" spans="1:60" x14ac:dyDescent="0.35">
      <c r="A2238" s="4"/>
      <c r="B2238" s="4"/>
      <c r="D2238" s="6" t="str">
        <f t="shared" si="151"/>
        <v/>
      </c>
      <c r="E2238" s="6" t="str">
        <f t="shared" si="152"/>
        <v/>
      </c>
      <c r="F2238" s="6" t="str">
        <f t="shared" si="153"/>
        <v/>
      </c>
      <c r="G2238" s="4"/>
      <c r="H2238" s="4"/>
      <c r="I2238" s="4"/>
      <c r="J2238" s="4"/>
      <c r="K2238" s="4"/>
      <c r="L2238" s="4"/>
      <c r="M2238" s="4"/>
      <c r="N2238" s="4"/>
      <c r="O2238" s="4"/>
      <c r="P2238" s="4"/>
      <c r="Q2238" s="4"/>
      <c r="R2238" s="14"/>
      <c r="S2238" s="14"/>
      <c r="T2238" s="14"/>
      <c r="U2238" s="14"/>
      <c r="V2238" s="14"/>
      <c r="W2238" s="14"/>
      <c r="X2238" s="1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4"/>
      <c r="AU2238" s="4"/>
      <c r="AV2238" s="4"/>
      <c r="AW2238" s="4"/>
      <c r="AX2238" s="4"/>
      <c r="AY2238" s="4"/>
      <c r="AZ2238" s="4"/>
      <c r="BA2238" s="4"/>
      <c r="BB2238" s="4"/>
      <c r="BC2238" s="4"/>
      <c r="BD2238" s="4"/>
      <c r="BE2238" s="4"/>
      <c r="BG2238" s="4"/>
      <c r="BH2238" s="4"/>
    </row>
    <row r="2239" spans="1:60" x14ac:dyDescent="0.35">
      <c r="A2239" s="4"/>
      <c r="B2239" s="4"/>
      <c r="D2239" s="6" t="str">
        <f t="shared" si="151"/>
        <v/>
      </c>
      <c r="E2239" s="6" t="str">
        <f t="shared" si="152"/>
        <v/>
      </c>
      <c r="F2239" s="6" t="str">
        <f t="shared" si="153"/>
        <v/>
      </c>
      <c r="G2239" s="4"/>
      <c r="H2239" s="4"/>
      <c r="I2239" s="4"/>
      <c r="J2239" s="4"/>
      <c r="K2239" s="4"/>
      <c r="L2239" s="4"/>
      <c r="M2239" s="4"/>
      <c r="N2239" s="4"/>
      <c r="O2239" s="4"/>
      <c r="P2239" s="4"/>
      <c r="Q2239" s="4"/>
      <c r="R2239" s="14"/>
      <c r="S2239" s="14"/>
      <c r="T2239" s="14"/>
      <c r="U2239" s="14"/>
      <c r="V2239" s="14"/>
      <c r="W2239" s="14"/>
      <c r="X2239" s="14"/>
      <c r="Y2239" s="4"/>
      <c r="Z2239" s="4"/>
      <c r="AA2239" s="4"/>
      <c r="AB2239" s="4"/>
      <c r="AC2239" s="4"/>
      <c r="AD2239" s="4"/>
      <c r="AE2239" s="4"/>
      <c r="AF2239" s="4"/>
      <c r="AG2239" s="4"/>
      <c r="AH2239" s="4"/>
      <c r="AI2239" s="4"/>
      <c r="AJ2239" s="4"/>
      <c r="AK2239" s="4"/>
      <c r="AL2239" s="4"/>
      <c r="AM2239" s="4"/>
      <c r="AN2239" s="4"/>
      <c r="AO2239" s="4"/>
      <c r="AP2239" s="4"/>
      <c r="AQ2239" s="4"/>
      <c r="AR2239" s="4"/>
      <c r="AS2239" s="4"/>
      <c r="AT2239" s="4"/>
      <c r="AU2239" s="4"/>
      <c r="AV2239" s="4"/>
      <c r="AW2239" s="4"/>
      <c r="AX2239" s="4"/>
      <c r="AY2239" s="4"/>
      <c r="AZ2239" s="4"/>
      <c r="BA2239" s="4"/>
      <c r="BB2239" s="4"/>
      <c r="BC2239" s="4"/>
      <c r="BD2239" s="4"/>
      <c r="BE2239" s="4"/>
      <c r="BG2239" s="4"/>
      <c r="BH2239" s="4"/>
    </row>
    <row r="2240" spans="1:60" x14ac:dyDescent="0.35">
      <c r="A2240" s="4"/>
      <c r="B2240" s="4"/>
      <c r="D2240" s="6" t="str">
        <f t="shared" si="151"/>
        <v/>
      </c>
      <c r="E2240" s="6" t="str">
        <f t="shared" si="152"/>
        <v/>
      </c>
      <c r="F2240" s="6" t="str">
        <f t="shared" si="153"/>
        <v/>
      </c>
      <c r="G2240" s="4"/>
      <c r="H2240" s="4"/>
      <c r="I2240" s="4"/>
      <c r="J2240" s="4"/>
      <c r="K2240" s="4"/>
      <c r="L2240" s="4"/>
      <c r="M2240" s="4"/>
      <c r="N2240" s="4"/>
      <c r="O2240" s="4"/>
      <c r="P2240" s="4"/>
      <c r="Q2240" s="4"/>
      <c r="R2240" s="14"/>
      <c r="S2240" s="14"/>
      <c r="T2240" s="14"/>
      <c r="U2240" s="14"/>
      <c r="V2240" s="14"/>
      <c r="W2240" s="14"/>
      <c r="X2240" s="1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4"/>
      <c r="AU2240" s="4"/>
      <c r="AV2240" s="4"/>
      <c r="AW2240" s="4"/>
      <c r="AX2240" s="4"/>
      <c r="AY2240" s="4"/>
      <c r="AZ2240" s="4"/>
      <c r="BA2240" s="4"/>
      <c r="BB2240" s="4"/>
      <c r="BC2240" s="4"/>
      <c r="BD2240" s="4"/>
      <c r="BE2240" s="4"/>
      <c r="BG2240" s="4"/>
      <c r="BH2240" s="4"/>
    </row>
    <row r="2241" spans="1:60" x14ac:dyDescent="0.35">
      <c r="A2241" s="4"/>
      <c r="B2241" s="4"/>
      <c r="D2241" s="6" t="str">
        <f t="shared" si="151"/>
        <v/>
      </c>
      <c r="E2241" s="6" t="str">
        <f t="shared" si="152"/>
        <v/>
      </c>
      <c r="F2241" s="6" t="str">
        <f t="shared" si="153"/>
        <v/>
      </c>
      <c r="G2241" s="4"/>
      <c r="H2241" s="4"/>
      <c r="I2241" s="4"/>
      <c r="J2241" s="4"/>
      <c r="K2241" s="4"/>
      <c r="L2241" s="4"/>
      <c r="M2241" s="4"/>
      <c r="N2241" s="4"/>
      <c r="O2241" s="4"/>
      <c r="P2241" s="4"/>
      <c r="Q2241" s="4"/>
      <c r="R2241" s="14"/>
      <c r="S2241" s="14"/>
      <c r="T2241" s="14"/>
      <c r="U2241" s="14"/>
      <c r="V2241" s="14"/>
      <c r="W2241" s="14"/>
      <c r="X2241" s="1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c r="AV2241" s="4"/>
      <c r="AW2241" s="4"/>
      <c r="AX2241" s="4"/>
      <c r="AY2241" s="4"/>
      <c r="AZ2241" s="4"/>
      <c r="BA2241" s="4"/>
      <c r="BB2241" s="4"/>
      <c r="BC2241" s="4"/>
      <c r="BD2241" s="4"/>
      <c r="BE2241" s="4"/>
      <c r="BG2241" s="4"/>
      <c r="BH2241" s="4"/>
    </row>
    <row r="2242" spans="1:60" x14ac:dyDescent="0.35">
      <c r="A2242" s="4"/>
      <c r="B2242" s="4"/>
      <c r="D2242" s="6" t="str">
        <f t="shared" si="151"/>
        <v/>
      </c>
      <c r="E2242" s="6" t="str">
        <f t="shared" si="152"/>
        <v/>
      </c>
      <c r="F2242" s="6" t="str">
        <f t="shared" si="153"/>
        <v/>
      </c>
      <c r="G2242" s="4"/>
      <c r="H2242" s="4"/>
      <c r="I2242" s="4"/>
      <c r="J2242" s="4"/>
      <c r="K2242" s="4"/>
      <c r="L2242" s="4"/>
      <c r="M2242" s="4"/>
      <c r="N2242" s="4"/>
      <c r="O2242" s="4"/>
      <c r="P2242" s="4"/>
      <c r="Q2242" s="4"/>
      <c r="R2242" s="14"/>
      <c r="S2242" s="14"/>
      <c r="T2242" s="14"/>
      <c r="U2242" s="14"/>
      <c r="V2242" s="14"/>
      <c r="W2242" s="14"/>
      <c r="X2242" s="1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4"/>
      <c r="AU2242" s="4"/>
      <c r="AV2242" s="4"/>
      <c r="AW2242" s="4"/>
      <c r="AX2242" s="4"/>
      <c r="AY2242" s="4"/>
      <c r="AZ2242" s="4"/>
      <c r="BA2242" s="4"/>
      <c r="BB2242" s="4"/>
      <c r="BC2242" s="4"/>
      <c r="BD2242" s="4"/>
      <c r="BE2242" s="4"/>
      <c r="BG2242" s="4"/>
      <c r="BH2242" s="4"/>
    </row>
    <row r="2243" spans="1:60" x14ac:dyDescent="0.35">
      <c r="A2243" s="4"/>
      <c r="B2243" s="4"/>
      <c r="D2243" s="6" t="str">
        <f t="shared" si="151"/>
        <v/>
      </c>
      <c r="E2243" s="6" t="str">
        <f t="shared" si="152"/>
        <v/>
      </c>
      <c r="F2243" s="6" t="str">
        <f t="shared" si="153"/>
        <v/>
      </c>
      <c r="G2243" s="4"/>
      <c r="H2243" s="4"/>
      <c r="I2243" s="4"/>
      <c r="J2243" s="4"/>
      <c r="K2243" s="4"/>
      <c r="L2243" s="4"/>
      <c r="M2243" s="4"/>
      <c r="N2243" s="4"/>
      <c r="O2243" s="4"/>
      <c r="P2243" s="4"/>
      <c r="Q2243" s="4"/>
      <c r="R2243" s="14"/>
      <c r="S2243" s="14"/>
      <c r="T2243" s="14"/>
      <c r="U2243" s="14"/>
      <c r="V2243" s="14"/>
      <c r="W2243" s="14"/>
      <c r="X2243" s="1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4"/>
      <c r="AU2243" s="4"/>
      <c r="AV2243" s="4"/>
      <c r="AW2243" s="4"/>
      <c r="AX2243" s="4"/>
      <c r="AY2243" s="4"/>
      <c r="AZ2243" s="4"/>
      <c r="BA2243" s="4"/>
      <c r="BB2243" s="4"/>
      <c r="BC2243" s="4"/>
      <c r="BD2243" s="4"/>
      <c r="BE2243" s="4"/>
      <c r="BG2243" s="4"/>
      <c r="BH2243" s="4"/>
    </row>
    <row r="2244" spans="1:60" x14ac:dyDescent="0.35">
      <c r="A2244" s="4"/>
      <c r="B2244" s="4"/>
      <c r="D2244" s="6" t="str">
        <f t="shared" si="151"/>
        <v/>
      </c>
      <c r="E2244" s="6" t="str">
        <f t="shared" si="152"/>
        <v/>
      </c>
      <c r="F2244" s="6" t="str">
        <f t="shared" si="153"/>
        <v/>
      </c>
      <c r="G2244" s="4"/>
      <c r="H2244" s="4"/>
      <c r="I2244" s="4"/>
      <c r="J2244" s="4"/>
      <c r="K2244" s="4"/>
      <c r="L2244" s="4"/>
      <c r="M2244" s="4"/>
      <c r="N2244" s="4"/>
      <c r="O2244" s="4"/>
      <c r="P2244" s="4"/>
      <c r="Q2244" s="4"/>
      <c r="R2244" s="14"/>
      <c r="S2244" s="14"/>
      <c r="T2244" s="14"/>
      <c r="U2244" s="14"/>
      <c r="V2244" s="14"/>
      <c r="W2244" s="14"/>
      <c r="X2244" s="14"/>
      <c r="Y2244" s="4"/>
      <c r="Z2244" s="4"/>
      <c r="AA2244" s="4"/>
      <c r="AB2244" s="4"/>
      <c r="AC2244" s="4"/>
      <c r="AD2244" s="4"/>
      <c r="AE2244" s="4"/>
      <c r="AF2244" s="4"/>
      <c r="AG2244" s="4"/>
      <c r="AH2244" s="4"/>
      <c r="AI2244" s="4"/>
      <c r="AJ2244" s="4"/>
      <c r="AK2244" s="4"/>
      <c r="AL2244" s="4"/>
      <c r="AM2244" s="4"/>
      <c r="AN2244" s="4"/>
      <c r="AO2244" s="4"/>
      <c r="AP2244" s="4"/>
      <c r="AQ2244" s="4"/>
      <c r="AR2244" s="4"/>
      <c r="AS2244" s="4"/>
      <c r="AT2244" s="4"/>
      <c r="AU2244" s="4"/>
      <c r="AV2244" s="4"/>
      <c r="AW2244" s="4"/>
      <c r="AX2244" s="4"/>
      <c r="AY2244" s="4"/>
      <c r="AZ2244" s="4"/>
      <c r="BA2244" s="4"/>
      <c r="BB2244" s="4"/>
      <c r="BC2244" s="4"/>
      <c r="BD2244" s="4"/>
      <c r="BE2244" s="4"/>
      <c r="BG2244" s="4"/>
      <c r="BH2244" s="4"/>
    </row>
    <row r="2245" spans="1:60" x14ac:dyDescent="0.35">
      <c r="A2245" s="4"/>
      <c r="B2245" s="4"/>
      <c r="D2245" s="6" t="str">
        <f t="shared" si="151"/>
        <v/>
      </c>
      <c r="E2245" s="6" t="str">
        <f t="shared" si="152"/>
        <v/>
      </c>
      <c r="F2245" s="6" t="str">
        <f t="shared" si="153"/>
        <v/>
      </c>
      <c r="G2245" s="4"/>
      <c r="H2245" s="4"/>
      <c r="I2245" s="4"/>
      <c r="J2245" s="4"/>
      <c r="K2245" s="4"/>
      <c r="L2245" s="4"/>
      <c r="M2245" s="4"/>
      <c r="N2245" s="4"/>
      <c r="O2245" s="4"/>
      <c r="P2245" s="4"/>
      <c r="Q2245" s="4"/>
      <c r="R2245" s="14"/>
      <c r="S2245" s="14"/>
      <c r="T2245" s="14"/>
      <c r="U2245" s="14"/>
      <c r="V2245" s="14"/>
      <c r="W2245" s="14"/>
      <c r="X2245" s="1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4"/>
      <c r="AU2245" s="4"/>
      <c r="AV2245" s="4"/>
      <c r="AW2245" s="4"/>
      <c r="AX2245" s="4"/>
      <c r="AY2245" s="4"/>
      <c r="AZ2245" s="4"/>
      <c r="BA2245" s="4"/>
      <c r="BB2245" s="4"/>
      <c r="BC2245" s="4"/>
      <c r="BD2245" s="4"/>
      <c r="BE2245" s="4"/>
      <c r="BG2245" s="4"/>
      <c r="BH2245" s="4"/>
    </row>
    <row r="2246" spans="1:60" x14ac:dyDescent="0.35">
      <c r="A2246" s="4"/>
      <c r="B2246" s="4"/>
      <c r="D2246" s="6" t="str">
        <f t="shared" si="151"/>
        <v/>
      </c>
      <c r="E2246" s="6" t="str">
        <f t="shared" si="152"/>
        <v/>
      </c>
      <c r="F2246" s="6" t="str">
        <f t="shared" si="153"/>
        <v/>
      </c>
      <c r="G2246" s="4"/>
      <c r="H2246" s="4"/>
      <c r="I2246" s="4"/>
      <c r="J2246" s="4"/>
      <c r="K2246" s="4"/>
      <c r="L2246" s="4"/>
      <c r="M2246" s="4"/>
      <c r="N2246" s="4"/>
      <c r="O2246" s="4"/>
      <c r="P2246" s="4"/>
      <c r="Q2246" s="4"/>
      <c r="R2246" s="14"/>
      <c r="S2246" s="14"/>
      <c r="T2246" s="14"/>
      <c r="U2246" s="14"/>
      <c r="V2246" s="14"/>
      <c r="W2246" s="14"/>
      <c r="X2246" s="1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4"/>
      <c r="AU2246" s="4"/>
      <c r="AV2246" s="4"/>
      <c r="AW2246" s="4"/>
      <c r="AX2246" s="4"/>
      <c r="AY2246" s="4"/>
      <c r="AZ2246" s="4"/>
      <c r="BA2246" s="4"/>
      <c r="BB2246" s="4"/>
      <c r="BC2246" s="4"/>
      <c r="BD2246" s="4"/>
      <c r="BE2246" s="4"/>
      <c r="BG2246" s="4"/>
      <c r="BH2246" s="4"/>
    </row>
    <row r="2247" spans="1:60" x14ac:dyDescent="0.35">
      <c r="A2247" s="4"/>
      <c r="B2247" s="4"/>
      <c r="D2247" s="6" t="str">
        <f t="shared" si="151"/>
        <v/>
      </c>
      <c r="E2247" s="6" t="str">
        <f t="shared" si="152"/>
        <v/>
      </c>
      <c r="F2247" s="6" t="str">
        <f t="shared" si="153"/>
        <v/>
      </c>
      <c r="G2247" s="4"/>
      <c r="H2247" s="4"/>
      <c r="I2247" s="4"/>
      <c r="J2247" s="4"/>
      <c r="K2247" s="4"/>
      <c r="L2247" s="4"/>
      <c r="M2247" s="4"/>
      <c r="N2247" s="4"/>
      <c r="O2247" s="4"/>
      <c r="P2247" s="4"/>
      <c r="Q2247" s="4"/>
      <c r="R2247" s="14"/>
      <c r="S2247" s="14"/>
      <c r="T2247" s="14"/>
      <c r="U2247" s="14"/>
      <c r="V2247" s="14"/>
      <c r="W2247" s="14"/>
      <c r="X2247" s="1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4"/>
      <c r="AU2247" s="4"/>
      <c r="AV2247" s="4"/>
      <c r="AW2247" s="4"/>
      <c r="AX2247" s="4"/>
      <c r="AY2247" s="4"/>
      <c r="AZ2247" s="4"/>
      <c r="BA2247" s="4"/>
      <c r="BB2247" s="4"/>
      <c r="BC2247" s="4"/>
      <c r="BD2247" s="4"/>
      <c r="BE2247" s="4"/>
      <c r="BG2247" s="4"/>
      <c r="BH2247" s="4"/>
    </row>
    <row r="2248" spans="1:60" x14ac:dyDescent="0.35">
      <c r="A2248" s="4"/>
      <c r="B2248" s="4"/>
      <c r="D2248" s="6" t="str">
        <f t="shared" si="151"/>
        <v/>
      </c>
      <c r="E2248" s="6" t="str">
        <f t="shared" si="152"/>
        <v/>
      </c>
      <c r="F2248" s="6" t="str">
        <f t="shared" si="153"/>
        <v/>
      </c>
      <c r="G2248" s="4"/>
      <c r="H2248" s="4"/>
      <c r="I2248" s="4"/>
      <c r="J2248" s="4"/>
      <c r="K2248" s="4"/>
      <c r="L2248" s="4"/>
      <c r="M2248" s="4"/>
      <c r="N2248" s="4"/>
      <c r="O2248" s="4"/>
      <c r="P2248" s="4"/>
      <c r="Q2248" s="4"/>
      <c r="R2248" s="14"/>
      <c r="S2248" s="14"/>
      <c r="T2248" s="14"/>
      <c r="U2248" s="14"/>
      <c r="V2248" s="14"/>
      <c r="W2248" s="14"/>
      <c r="X2248" s="1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4"/>
      <c r="AU2248" s="4"/>
      <c r="AV2248" s="4"/>
      <c r="AW2248" s="4"/>
      <c r="AX2248" s="4"/>
      <c r="AY2248" s="4"/>
      <c r="AZ2248" s="4"/>
      <c r="BA2248" s="4"/>
      <c r="BB2248" s="4"/>
      <c r="BC2248" s="4"/>
      <c r="BD2248" s="4"/>
      <c r="BE2248" s="4"/>
      <c r="BG2248" s="4"/>
      <c r="BH2248" s="4"/>
    </row>
    <row r="2249" spans="1:60" x14ac:dyDescent="0.35">
      <c r="A2249" s="4"/>
      <c r="B2249" s="4"/>
      <c r="D2249" s="6" t="str">
        <f t="shared" si="151"/>
        <v/>
      </c>
      <c r="E2249" s="6" t="str">
        <f t="shared" si="152"/>
        <v/>
      </c>
      <c r="F2249" s="6" t="str">
        <f t="shared" si="153"/>
        <v/>
      </c>
      <c r="G2249" s="4"/>
      <c r="H2249" s="4"/>
      <c r="I2249" s="4"/>
      <c r="J2249" s="4"/>
      <c r="K2249" s="4"/>
      <c r="L2249" s="4"/>
      <c r="M2249" s="4"/>
      <c r="N2249" s="4"/>
      <c r="O2249" s="4"/>
      <c r="P2249" s="4"/>
      <c r="Q2249" s="4"/>
      <c r="R2249" s="14"/>
      <c r="S2249" s="14"/>
      <c r="T2249" s="14"/>
      <c r="U2249" s="14"/>
      <c r="V2249" s="14"/>
      <c r="W2249" s="14"/>
      <c r="X2249" s="14"/>
      <c r="Y2249" s="4"/>
      <c r="Z2249" s="4"/>
      <c r="AA2249" s="4"/>
      <c r="AB2249" s="4"/>
      <c r="AC2249" s="4"/>
      <c r="AD2249" s="4"/>
      <c r="AE2249" s="4"/>
      <c r="AF2249" s="4"/>
      <c r="AG2249" s="4"/>
      <c r="AH2249" s="4"/>
      <c r="AI2249" s="4"/>
      <c r="AJ2249" s="4"/>
      <c r="AK2249" s="4"/>
      <c r="AL2249" s="4"/>
      <c r="AM2249" s="4"/>
      <c r="AN2249" s="4"/>
      <c r="AO2249" s="4"/>
      <c r="AP2249" s="4"/>
      <c r="AQ2249" s="4"/>
      <c r="AR2249" s="4"/>
      <c r="AS2249" s="4"/>
      <c r="AT2249" s="4"/>
      <c r="AU2249" s="4"/>
      <c r="AV2249" s="4"/>
      <c r="AW2249" s="4"/>
      <c r="AX2249" s="4"/>
      <c r="AY2249" s="4"/>
      <c r="AZ2249" s="4"/>
      <c r="BA2249" s="4"/>
      <c r="BB2249" s="4"/>
      <c r="BC2249" s="4"/>
      <c r="BD2249" s="4"/>
      <c r="BE2249" s="4"/>
      <c r="BG2249" s="4"/>
      <c r="BH2249" s="4"/>
    </row>
    <row r="2250" spans="1:60" x14ac:dyDescent="0.35">
      <c r="A2250" s="4"/>
      <c r="B2250" s="4"/>
      <c r="D2250" s="6" t="str">
        <f t="shared" si="151"/>
        <v/>
      </c>
      <c r="E2250" s="6" t="str">
        <f t="shared" si="152"/>
        <v/>
      </c>
      <c r="F2250" s="6" t="str">
        <f t="shared" si="153"/>
        <v/>
      </c>
      <c r="G2250" s="4"/>
      <c r="H2250" s="4"/>
      <c r="I2250" s="4"/>
      <c r="J2250" s="4"/>
      <c r="K2250" s="4"/>
      <c r="L2250" s="4"/>
      <c r="M2250" s="4"/>
      <c r="N2250" s="4"/>
      <c r="O2250" s="4"/>
      <c r="P2250" s="4"/>
      <c r="Q2250" s="4"/>
      <c r="R2250" s="14"/>
      <c r="S2250" s="14"/>
      <c r="T2250" s="14"/>
      <c r="U2250" s="14"/>
      <c r="V2250" s="14"/>
      <c r="W2250" s="14"/>
      <c r="X2250" s="1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c r="AX2250" s="4"/>
      <c r="AY2250" s="4"/>
      <c r="AZ2250" s="4"/>
      <c r="BA2250" s="4"/>
      <c r="BB2250" s="4"/>
      <c r="BC2250" s="4"/>
      <c r="BD2250" s="4"/>
      <c r="BE2250" s="4"/>
      <c r="BG2250" s="4"/>
      <c r="BH2250" s="4"/>
    </row>
    <row r="2251" spans="1:60" x14ac:dyDescent="0.35">
      <c r="A2251" s="4"/>
      <c r="B2251" s="4"/>
      <c r="D2251" s="6" t="str">
        <f t="shared" si="151"/>
        <v/>
      </c>
      <c r="E2251" s="6" t="str">
        <f t="shared" si="152"/>
        <v/>
      </c>
      <c r="F2251" s="6" t="str">
        <f t="shared" si="153"/>
        <v/>
      </c>
      <c r="G2251" s="4"/>
      <c r="H2251" s="4"/>
      <c r="I2251" s="4"/>
      <c r="J2251" s="4"/>
      <c r="K2251" s="4"/>
      <c r="L2251" s="4"/>
      <c r="M2251" s="4"/>
      <c r="N2251" s="4"/>
      <c r="O2251" s="4"/>
      <c r="P2251" s="4"/>
      <c r="Q2251" s="4"/>
      <c r="R2251" s="14"/>
      <c r="S2251" s="14"/>
      <c r="T2251" s="14"/>
      <c r="U2251" s="14"/>
      <c r="V2251" s="14"/>
      <c r="W2251" s="14"/>
      <c r="X2251" s="1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c r="AV2251" s="4"/>
      <c r="AW2251" s="4"/>
      <c r="AX2251" s="4"/>
      <c r="AY2251" s="4"/>
      <c r="AZ2251" s="4"/>
      <c r="BA2251" s="4"/>
      <c r="BB2251" s="4"/>
      <c r="BC2251" s="4"/>
      <c r="BD2251" s="4"/>
      <c r="BE2251" s="4"/>
      <c r="BG2251" s="4"/>
      <c r="BH2251" s="4"/>
    </row>
    <row r="2252" spans="1:60" x14ac:dyDescent="0.35">
      <c r="A2252" s="4"/>
      <c r="B2252" s="4"/>
      <c r="D2252" s="6" t="str">
        <f t="shared" si="151"/>
        <v/>
      </c>
      <c r="E2252" s="6" t="str">
        <f t="shared" si="152"/>
        <v/>
      </c>
      <c r="F2252" s="6" t="str">
        <f t="shared" si="153"/>
        <v/>
      </c>
      <c r="G2252" s="4"/>
      <c r="H2252" s="4"/>
      <c r="I2252" s="4"/>
      <c r="J2252" s="4"/>
      <c r="K2252" s="4"/>
      <c r="L2252" s="4"/>
      <c r="M2252" s="4"/>
      <c r="N2252" s="4"/>
      <c r="O2252" s="4"/>
      <c r="P2252" s="4"/>
      <c r="Q2252" s="4"/>
      <c r="R2252" s="14"/>
      <c r="S2252" s="14"/>
      <c r="T2252" s="14"/>
      <c r="U2252" s="14"/>
      <c r="V2252" s="14"/>
      <c r="W2252" s="14"/>
      <c r="X2252" s="1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c r="AV2252" s="4"/>
      <c r="AW2252" s="4"/>
      <c r="AX2252" s="4"/>
      <c r="AY2252" s="4"/>
      <c r="AZ2252" s="4"/>
      <c r="BA2252" s="4"/>
      <c r="BB2252" s="4"/>
      <c r="BC2252" s="4"/>
      <c r="BD2252" s="4"/>
      <c r="BE2252" s="4"/>
      <c r="BG2252" s="4"/>
      <c r="BH2252" s="4"/>
    </row>
    <row r="2253" spans="1:60" x14ac:dyDescent="0.35">
      <c r="A2253" s="4"/>
      <c r="B2253" s="4"/>
      <c r="D2253" s="6" t="str">
        <f t="shared" si="151"/>
        <v/>
      </c>
      <c r="E2253" s="6" t="str">
        <f t="shared" si="152"/>
        <v/>
      </c>
      <c r="F2253" s="6" t="str">
        <f t="shared" si="153"/>
        <v/>
      </c>
      <c r="G2253" s="4"/>
      <c r="H2253" s="4"/>
      <c r="I2253" s="4"/>
      <c r="J2253" s="4"/>
      <c r="K2253" s="4"/>
      <c r="L2253" s="4"/>
      <c r="M2253" s="4"/>
      <c r="N2253" s="4"/>
      <c r="O2253" s="4"/>
      <c r="P2253" s="4"/>
      <c r="Q2253" s="4"/>
      <c r="R2253" s="14"/>
      <c r="S2253" s="14"/>
      <c r="T2253" s="14"/>
      <c r="U2253" s="14"/>
      <c r="V2253" s="14"/>
      <c r="W2253" s="14"/>
      <c r="X2253" s="14"/>
      <c r="Y2253" s="4"/>
      <c r="Z2253" s="4"/>
      <c r="AA2253" s="4"/>
      <c r="AB2253" s="4"/>
      <c r="AC2253" s="4"/>
      <c r="AD2253" s="4"/>
      <c r="AE2253" s="4"/>
      <c r="AF2253" s="4"/>
      <c r="AG2253" s="4"/>
      <c r="AH2253" s="4"/>
      <c r="AI2253" s="4"/>
      <c r="AJ2253" s="4"/>
      <c r="AK2253" s="4"/>
      <c r="AL2253" s="4"/>
      <c r="AM2253" s="4"/>
      <c r="AN2253" s="4"/>
      <c r="AO2253" s="4"/>
      <c r="AP2253" s="4"/>
      <c r="AQ2253" s="4"/>
      <c r="AR2253" s="4"/>
      <c r="AS2253" s="4"/>
      <c r="AT2253" s="4"/>
      <c r="AU2253" s="4"/>
      <c r="AV2253" s="4"/>
      <c r="AW2253" s="4"/>
      <c r="AX2253" s="4"/>
      <c r="AY2253" s="4"/>
      <c r="AZ2253" s="4"/>
      <c r="BA2253" s="4"/>
      <c r="BB2253" s="4"/>
      <c r="BC2253" s="4"/>
      <c r="BD2253" s="4"/>
      <c r="BE2253" s="4"/>
      <c r="BG2253" s="4"/>
      <c r="BH2253" s="4"/>
    </row>
    <row r="2254" spans="1:60" x14ac:dyDescent="0.35">
      <c r="A2254" s="4"/>
      <c r="B2254" s="4"/>
      <c r="D2254" s="6" t="str">
        <f t="shared" si="151"/>
        <v/>
      </c>
      <c r="E2254" s="6" t="str">
        <f t="shared" si="152"/>
        <v/>
      </c>
      <c r="F2254" s="6" t="str">
        <f t="shared" si="153"/>
        <v/>
      </c>
      <c r="G2254" s="4"/>
      <c r="H2254" s="4"/>
      <c r="I2254" s="4"/>
      <c r="J2254" s="4"/>
      <c r="K2254" s="4"/>
      <c r="L2254" s="4"/>
      <c r="M2254" s="4"/>
      <c r="N2254" s="4"/>
      <c r="O2254" s="4"/>
      <c r="P2254" s="4"/>
      <c r="Q2254" s="4"/>
      <c r="R2254" s="14"/>
      <c r="S2254" s="14"/>
      <c r="T2254" s="14"/>
      <c r="U2254" s="14"/>
      <c r="V2254" s="14"/>
      <c r="W2254" s="14"/>
      <c r="X2254" s="14"/>
      <c r="Y2254" s="4"/>
      <c r="Z2254" s="4"/>
      <c r="AA2254" s="4"/>
      <c r="AB2254" s="4"/>
      <c r="AC2254" s="4"/>
      <c r="AD2254" s="4"/>
      <c r="AE2254" s="4"/>
      <c r="AF2254" s="4"/>
      <c r="AG2254" s="4"/>
      <c r="AH2254" s="4"/>
      <c r="AI2254" s="4"/>
      <c r="AJ2254" s="4"/>
      <c r="AK2254" s="4"/>
      <c r="AL2254" s="4"/>
      <c r="AM2254" s="4"/>
      <c r="AN2254" s="4"/>
      <c r="AO2254" s="4"/>
      <c r="AP2254" s="4"/>
      <c r="AQ2254" s="4"/>
      <c r="AR2254" s="4"/>
      <c r="AS2254" s="4"/>
      <c r="AT2254" s="4"/>
      <c r="AU2254" s="4"/>
      <c r="AV2254" s="4"/>
      <c r="AW2254" s="4"/>
      <c r="AX2254" s="4"/>
      <c r="AY2254" s="4"/>
      <c r="AZ2254" s="4"/>
      <c r="BA2254" s="4"/>
      <c r="BB2254" s="4"/>
      <c r="BC2254" s="4"/>
      <c r="BD2254" s="4"/>
      <c r="BE2254" s="4"/>
      <c r="BG2254" s="4"/>
      <c r="BH2254" s="4"/>
    </row>
    <row r="2255" spans="1:60" x14ac:dyDescent="0.35">
      <c r="A2255" s="4"/>
      <c r="B2255" s="4"/>
      <c r="D2255" s="6" t="str">
        <f t="shared" si="151"/>
        <v/>
      </c>
      <c r="E2255" s="6" t="str">
        <f t="shared" si="152"/>
        <v/>
      </c>
      <c r="F2255" s="6" t="str">
        <f t="shared" si="153"/>
        <v/>
      </c>
      <c r="G2255" s="4"/>
      <c r="H2255" s="4"/>
      <c r="I2255" s="4"/>
      <c r="J2255" s="4"/>
      <c r="K2255" s="4"/>
      <c r="L2255" s="4"/>
      <c r="M2255" s="4"/>
      <c r="N2255" s="4"/>
      <c r="O2255" s="4"/>
      <c r="P2255" s="4"/>
      <c r="Q2255" s="4"/>
      <c r="R2255" s="14"/>
      <c r="S2255" s="14"/>
      <c r="T2255" s="14"/>
      <c r="U2255" s="14"/>
      <c r="V2255" s="14"/>
      <c r="W2255" s="14"/>
      <c r="X2255" s="1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c r="AV2255" s="4"/>
      <c r="AW2255" s="4"/>
      <c r="AX2255" s="4"/>
      <c r="AY2255" s="4"/>
      <c r="AZ2255" s="4"/>
      <c r="BA2255" s="4"/>
      <c r="BB2255" s="4"/>
      <c r="BC2255" s="4"/>
      <c r="BD2255" s="4"/>
      <c r="BE2255" s="4"/>
      <c r="BG2255" s="4"/>
      <c r="BH2255" s="4"/>
    </row>
    <row r="2256" spans="1:60" x14ac:dyDescent="0.35">
      <c r="A2256" s="4"/>
      <c r="B2256" s="4"/>
      <c r="D2256" s="6" t="str">
        <f t="shared" si="151"/>
        <v/>
      </c>
      <c r="E2256" s="6" t="str">
        <f t="shared" si="152"/>
        <v/>
      </c>
      <c r="F2256" s="6" t="str">
        <f t="shared" si="153"/>
        <v/>
      </c>
      <c r="G2256" s="4"/>
      <c r="H2256" s="4"/>
      <c r="I2256" s="4"/>
      <c r="J2256" s="4"/>
      <c r="K2256" s="4"/>
      <c r="L2256" s="4"/>
      <c r="M2256" s="4"/>
      <c r="N2256" s="4"/>
      <c r="O2256" s="4"/>
      <c r="P2256" s="4"/>
      <c r="Q2256" s="4"/>
      <c r="R2256" s="14"/>
      <c r="S2256" s="14"/>
      <c r="T2256" s="14"/>
      <c r="U2256" s="14"/>
      <c r="V2256" s="14"/>
      <c r="W2256" s="14"/>
      <c r="X2256" s="1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4"/>
      <c r="AU2256" s="4"/>
      <c r="AV2256" s="4"/>
      <c r="AW2256" s="4"/>
      <c r="AX2256" s="4"/>
      <c r="AY2256" s="4"/>
      <c r="AZ2256" s="4"/>
      <c r="BA2256" s="4"/>
      <c r="BB2256" s="4"/>
      <c r="BC2256" s="4"/>
      <c r="BD2256" s="4"/>
      <c r="BE2256" s="4"/>
      <c r="BG2256" s="4"/>
      <c r="BH2256" s="4"/>
    </row>
    <row r="2257" spans="1:60" x14ac:dyDescent="0.35">
      <c r="A2257" s="4"/>
      <c r="B2257" s="4"/>
      <c r="D2257" s="6" t="str">
        <f t="shared" si="151"/>
        <v/>
      </c>
      <c r="E2257" s="6" t="str">
        <f t="shared" si="152"/>
        <v/>
      </c>
      <c r="F2257" s="6" t="str">
        <f t="shared" si="153"/>
        <v/>
      </c>
      <c r="G2257" s="4"/>
      <c r="H2257" s="4"/>
      <c r="I2257" s="4"/>
      <c r="J2257" s="4"/>
      <c r="K2257" s="4"/>
      <c r="L2257" s="4"/>
      <c r="M2257" s="4"/>
      <c r="N2257" s="4"/>
      <c r="O2257" s="4"/>
      <c r="P2257" s="4"/>
      <c r="Q2257" s="4"/>
      <c r="R2257" s="14"/>
      <c r="S2257" s="14"/>
      <c r="T2257" s="14"/>
      <c r="U2257" s="14"/>
      <c r="V2257" s="14"/>
      <c r="W2257" s="14"/>
      <c r="X2257" s="1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4"/>
      <c r="AU2257" s="4"/>
      <c r="AV2257" s="4"/>
      <c r="AW2257" s="4"/>
      <c r="AX2257" s="4"/>
      <c r="AY2257" s="4"/>
      <c r="AZ2257" s="4"/>
      <c r="BA2257" s="4"/>
      <c r="BB2257" s="4"/>
      <c r="BC2257" s="4"/>
      <c r="BD2257" s="4"/>
      <c r="BE2257" s="4"/>
      <c r="BG2257" s="4"/>
      <c r="BH2257" s="4"/>
    </row>
    <row r="2258" spans="1:60" x14ac:dyDescent="0.35">
      <c r="A2258" s="4"/>
      <c r="B2258" s="4"/>
      <c r="D2258" s="6" t="str">
        <f t="shared" si="151"/>
        <v/>
      </c>
      <c r="E2258" s="6" t="str">
        <f t="shared" si="152"/>
        <v/>
      </c>
      <c r="F2258" s="6" t="str">
        <f t="shared" si="153"/>
        <v/>
      </c>
      <c r="G2258" s="4"/>
      <c r="H2258" s="4"/>
      <c r="I2258" s="4"/>
      <c r="J2258" s="4"/>
      <c r="K2258" s="4"/>
      <c r="L2258" s="4"/>
      <c r="M2258" s="4"/>
      <c r="N2258" s="4"/>
      <c r="O2258" s="4"/>
      <c r="P2258" s="4"/>
      <c r="Q2258" s="4"/>
      <c r="R2258" s="14"/>
      <c r="S2258" s="14"/>
      <c r="T2258" s="14"/>
      <c r="U2258" s="14"/>
      <c r="V2258" s="14"/>
      <c r="W2258" s="14"/>
      <c r="X2258" s="1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4"/>
      <c r="AU2258" s="4"/>
      <c r="AV2258" s="4"/>
      <c r="AW2258" s="4"/>
      <c r="AX2258" s="4"/>
      <c r="AY2258" s="4"/>
      <c r="AZ2258" s="4"/>
      <c r="BA2258" s="4"/>
      <c r="BB2258" s="4"/>
      <c r="BC2258" s="4"/>
      <c r="BD2258" s="4"/>
      <c r="BE2258" s="4"/>
      <c r="BG2258" s="4"/>
      <c r="BH2258" s="4"/>
    </row>
    <row r="2259" spans="1:60" x14ac:dyDescent="0.35">
      <c r="A2259" s="4"/>
      <c r="B2259" s="4"/>
      <c r="D2259" s="6" t="str">
        <f t="shared" si="151"/>
        <v/>
      </c>
      <c r="E2259" s="6" t="str">
        <f t="shared" si="152"/>
        <v/>
      </c>
      <c r="F2259" s="6" t="str">
        <f t="shared" si="153"/>
        <v/>
      </c>
      <c r="G2259" s="4"/>
      <c r="H2259" s="4"/>
      <c r="I2259" s="4"/>
      <c r="J2259" s="4"/>
      <c r="K2259" s="4"/>
      <c r="L2259" s="4"/>
      <c r="M2259" s="4"/>
      <c r="N2259" s="4"/>
      <c r="O2259" s="4"/>
      <c r="P2259" s="4"/>
      <c r="Q2259" s="4"/>
      <c r="R2259" s="14"/>
      <c r="S2259" s="14"/>
      <c r="T2259" s="14"/>
      <c r="U2259" s="14"/>
      <c r="V2259" s="14"/>
      <c r="W2259" s="14"/>
      <c r="X2259" s="14"/>
      <c r="Y2259" s="4"/>
      <c r="Z2259" s="4"/>
      <c r="AA2259" s="4"/>
      <c r="AB2259" s="4"/>
      <c r="AC2259" s="4"/>
      <c r="AD2259" s="4"/>
      <c r="AE2259" s="4"/>
      <c r="AF2259" s="4"/>
      <c r="AG2259" s="4"/>
      <c r="AH2259" s="4"/>
      <c r="AI2259" s="4"/>
      <c r="AJ2259" s="4"/>
      <c r="AK2259" s="4"/>
      <c r="AL2259" s="4"/>
      <c r="AM2259" s="4"/>
      <c r="AN2259" s="4"/>
      <c r="AO2259" s="4"/>
      <c r="AP2259" s="4"/>
      <c r="AQ2259" s="4"/>
      <c r="AR2259" s="4"/>
      <c r="AS2259" s="4"/>
      <c r="AT2259" s="4"/>
      <c r="AU2259" s="4"/>
      <c r="AV2259" s="4"/>
      <c r="AW2259" s="4"/>
      <c r="AX2259" s="4"/>
      <c r="AY2259" s="4"/>
      <c r="AZ2259" s="4"/>
      <c r="BA2259" s="4"/>
      <c r="BB2259" s="4"/>
      <c r="BC2259" s="4"/>
      <c r="BD2259" s="4"/>
      <c r="BE2259" s="4"/>
      <c r="BG2259" s="4"/>
      <c r="BH2259" s="4"/>
    </row>
    <row r="2260" spans="1:60" x14ac:dyDescent="0.35">
      <c r="A2260" s="4"/>
      <c r="B2260" s="4"/>
      <c r="D2260" s="6" t="str">
        <f t="shared" si="151"/>
        <v/>
      </c>
      <c r="E2260" s="6" t="str">
        <f t="shared" si="152"/>
        <v/>
      </c>
      <c r="F2260" s="6" t="str">
        <f t="shared" si="153"/>
        <v/>
      </c>
      <c r="G2260" s="4"/>
      <c r="H2260" s="4"/>
      <c r="I2260" s="4"/>
      <c r="J2260" s="4"/>
      <c r="K2260" s="4"/>
      <c r="L2260" s="4"/>
      <c r="M2260" s="4"/>
      <c r="N2260" s="4"/>
      <c r="O2260" s="4"/>
      <c r="P2260" s="4"/>
      <c r="Q2260" s="4"/>
      <c r="R2260" s="14"/>
      <c r="S2260" s="14"/>
      <c r="T2260" s="14"/>
      <c r="U2260" s="14"/>
      <c r="V2260" s="14"/>
      <c r="W2260" s="14"/>
      <c r="X2260" s="1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4"/>
      <c r="AU2260" s="4"/>
      <c r="AV2260" s="4"/>
      <c r="AW2260" s="4"/>
      <c r="AX2260" s="4"/>
      <c r="AY2260" s="4"/>
      <c r="AZ2260" s="4"/>
      <c r="BA2260" s="4"/>
      <c r="BB2260" s="4"/>
      <c r="BC2260" s="4"/>
      <c r="BD2260" s="4"/>
      <c r="BE2260" s="4"/>
      <c r="BG2260" s="4"/>
      <c r="BH2260" s="4"/>
    </row>
    <row r="2261" spans="1:60" x14ac:dyDescent="0.35">
      <c r="A2261" s="4"/>
      <c r="B2261" s="4"/>
      <c r="D2261" s="6" t="str">
        <f t="shared" si="151"/>
        <v/>
      </c>
      <c r="E2261" s="6" t="str">
        <f t="shared" si="152"/>
        <v/>
      </c>
      <c r="F2261" s="6" t="str">
        <f t="shared" si="153"/>
        <v/>
      </c>
      <c r="G2261" s="4"/>
      <c r="H2261" s="4"/>
      <c r="I2261" s="4"/>
      <c r="J2261" s="4"/>
      <c r="K2261" s="4"/>
      <c r="L2261" s="4"/>
      <c r="M2261" s="4"/>
      <c r="N2261" s="4"/>
      <c r="O2261" s="4"/>
      <c r="P2261" s="4"/>
      <c r="Q2261" s="4"/>
      <c r="R2261" s="14"/>
      <c r="S2261" s="14"/>
      <c r="T2261" s="14"/>
      <c r="U2261" s="14"/>
      <c r="V2261" s="14"/>
      <c r="W2261" s="14"/>
      <c r="X2261" s="1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4"/>
      <c r="AU2261" s="4"/>
      <c r="AV2261" s="4"/>
      <c r="AW2261" s="4"/>
      <c r="AX2261" s="4"/>
      <c r="AY2261" s="4"/>
      <c r="AZ2261" s="4"/>
      <c r="BA2261" s="4"/>
      <c r="BB2261" s="4"/>
      <c r="BC2261" s="4"/>
      <c r="BD2261" s="4"/>
      <c r="BE2261" s="4"/>
      <c r="BG2261" s="4"/>
      <c r="BH2261" s="4"/>
    </row>
    <row r="2262" spans="1:60" x14ac:dyDescent="0.35">
      <c r="A2262" s="4"/>
      <c r="B2262" s="4"/>
      <c r="D2262" s="6" t="str">
        <f t="shared" si="151"/>
        <v/>
      </c>
      <c r="E2262" s="6" t="str">
        <f t="shared" si="152"/>
        <v/>
      </c>
      <c r="F2262" s="6" t="str">
        <f t="shared" si="153"/>
        <v/>
      </c>
      <c r="G2262" s="4"/>
      <c r="H2262" s="4"/>
      <c r="I2262" s="4"/>
      <c r="J2262" s="4"/>
      <c r="K2262" s="4"/>
      <c r="L2262" s="4"/>
      <c r="M2262" s="4"/>
      <c r="N2262" s="4"/>
      <c r="O2262" s="4"/>
      <c r="P2262" s="4"/>
      <c r="Q2262" s="4"/>
      <c r="R2262" s="14"/>
      <c r="S2262" s="14"/>
      <c r="T2262" s="14"/>
      <c r="U2262" s="14"/>
      <c r="V2262" s="14"/>
      <c r="W2262" s="14"/>
      <c r="X2262" s="1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4"/>
      <c r="AU2262" s="4"/>
      <c r="AV2262" s="4"/>
      <c r="AW2262" s="4"/>
      <c r="AX2262" s="4"/>
      <c r="AY2262" s="4"/>
      <c r="AZ2262" s="4"/>
      <c r="BA2262" s="4"/>
      <c r="BB2262" s="4"/>
      <c r="BC2262" s="4"/>
      <c r="BD2262" s="4"/>
      <c r="BE2262" s="4"/>
      <c r="BG2262" s="4"/>
      <c r="BH2262" s="4"/>
    </row>
    <row r="2263" spans="1:60" x14ac:dyDescent="0.35">
      <c r="A2263" s="4"/>
      <c r="B2263" s="4"/>
      <c r="D2263" s="6" t="str">
        <f t="shared" si="151"/>
        <v/>
      </c>
      <c r="E2263" s="6" t="str">
        <f t="shared" si="152"/>
        <v/>
      </c>
      <c r="F2263" s="6" t="str">
        <f t="shared" si="153"/>
        <v/>
      </c>
      <c r="G2263" s="4"/>
      <c r="H2263" s="4"/>
      <c r="I2263" s="4"/>
      <c r="J2263" s="4"/>
      <c r="K2263" s="4"/>
      <c r="L2263" s="4"/>
      <c r="M2263" s="4"/>
      <c r="N2263" s="4"/>
      <c r="O2263" s="4"/>
      <c r="P2263" s="4"/>
      <c r="Q2263" s="4"/>
      <c r="R2263" s="14"/>
      <c r="S2263" s="14"/>
      <c r="T2263" s="14"/>
      <c r="U2263" s="14"/>
      <c r="V2263" s="14"/>
      <c r="W2263" s="14"/>
      <c r="X2263" s="1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4"/>
      <c r="AU2263" s="4"/>
      <c r="AV2263" s="4"/>
      <c r="AW2263" s="4"/>
      <c r="AX2263" s="4"/>
      <c r="AY2263" s="4"/>
      <c r="AZ2263" s="4"/>
      <c r="BA2263" s="4"/>
      <c r="BB2263" s="4"/>
      <c r="BC2263" s="4"/>
      <c r="BD2263" s="4"/>
      <c r="BE2263" s="4"/>
      <c r="BG2263" s="4"/>
      <c r="BH2263" s="4"/>
    </row>
    <row r="2264" spans="1:60" x14ac:dyDescent="0.35">
      <c r="A2264" s="4"/>
      <c r="B2264" s="4"/>
      <c r="D2264" s="6" t="str">
        <f t="shared" si="151"/>
        <v/>
      </c>
      <c r="E2264" s="6" t="str">
        <f t="shared" si="152"/>
        <v/>
      </c>
      <c r="F2264" s="6" t="str">
        <f t="shared" si="153"/>
        <v/>
      </c>
      <c r="G2264" s="4"/>
      <c r="H2264" s="4"/>
      <c r="I2264" s="4"/>
      <c r="J2264" s="4"/>
      <c r="K2264" s="4"/>
      <c r="L2264" s="4"/>
      <c r="M2264" s="4"/>
      <c r="N2264" s="4"/>
      <c r="O2264" s="4"/>
      <c r="P2264" s="4"/>
      <c r="Q2264" s="4"/>
      <c r="R2264" s="14"/>
      <c r="S2264" s="14"/>
      <c r="T2264" s="14"/>
      <c r="U2264" s="14"/>
      <c r="V2264" s="14"/>
      <c r="W2264" s="14"/>
      <c r="X2264" s="1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4"/>
      <c r="AU2264" s="4"/>
      <c r="AV2264" s="4"/>
      <c r="AW2264" s="4"/>
      <c r="AX2264" s="4"/>
      <c r="AY2264" s="4"/>
      <c r="AZ2264" s="4"/>
      <c r="BA2264" s="4"/>
      <c r="BB2264" s="4"/>
      <c r="BC2264" s="4"/>
      <c r="BD2264" s="4"/>
      <c r="BE2264" s="4"/>
      <c r="BG2264" s="4"/>
      <c r="BH2264" s="4"/>
    </row>
    <row r="2265" spans="1:60" x14ac:dyDescent="0.35">
      <c r="A2265" s="4"/>
      <c r="B2265" s="4"/>
      <c r="D2265" s="6" t="str">
        <f t="shared" si="151"/>
        <v/>
      </c>
      <c r="E2265" s="6" t="str">
        <f t="shared" si="152"/>
        <v/>
      </c>
      <c r="F2265" s="6" t="str">
        <f t="shared" si="153"/>
        <v/>
      </c>
      <c r="G2265" s="4"/>
      <c r="H2265" s="4"/>
      <c r="I2265" s="4"/>
      <c r="J2265" s="4"/>
      <c r="K2265" s="4"/>
      <c r="L2265" s="4"/>
      <c r="M2265" s="4"/>
      <c r="N2265" s="4"/>
      <c r="O2265" s="4"/>
      <c r="P2265" s="4"/>
      <c r="Q2265" s="4"/>
      <c r="R2265" s="14"/>
      <c r="S2265" s="14"/>
      <c r="T2265" s="14"/>
      <c r="U2265" s="14"/>
      <c r="V2265" s="14"/>
      <c r="W2265" s="14"/>
      <c r="X2265" s="1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4"/>
      <c r="AU2265" s="4"/>
      <c r="AV2265" s="4"/>
      <c r="AW2265" s="4"/>
      <c r="AX2265" s="4"/>
      <c r="AY2265" s="4"/>
      <c r="AZ2265" s="4"/>
      <c r="BA2265" s="4"/>
      <c r="BB2265" s="4"/>
      <c r="BC2265" s="4"/>
      <c r="BD2265" s="4"/>
      <c r="BE2265" s="4"/>
      <c r="BG2265" s="4"/>
      <c r="BH2265" s="4"/>
    </row>
    <row r="2266" spans="1:60" x14ac:dyDescent="0.35">
      <c r="A2266" s="4"/>
      <c r="B2266" s="4"/>
      <c r="D2266" s="6" t="str">
        <f t="shared" si="151"/>
        <v/>
      </c>
      <c r="E2266" s="6" t="str">
        <f t="shared" si="152"/>
        <v/>
      </c>
      <c r="F2266" s="6" t="str">
        <f t="shared" si="153"/>
        <v/>
      </c>
      <c r="G2266" s="4"/>
      <c r="H2266" s="4"/>
      <c r="I2266" s="4"/>
      <c r="J2266" s="4"/>
      <c r="K2266" s="4"/>
      <c r="L2266" s="4"/>
      <c r="M2266" s="4"/>
      <c r="N2266" s="4"/>
      <c r="O2266" s="4"/>
      <c r="P2266" s="4"/>
      <c r="Q2266" s="4"/>
      <c r="R2266" s="14"/>
      <c r="S2266" s="14"/>
      <c r="T2266" s="14"/>
      <c r="U2266" s="14"/>
      <c r="V2266" s="14"/>
      <c r="W2266" s="14"/>
      <c r="X2266" s="1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4"/>
      <c r="AU2266" s="4"/>
      <c r="AV2266" s="4"/>
      <c r="AW2266" s="4"/>
      <c r="AX2266" s="4"/>
      <c r="AY2266" s="4"/>
      <c r="AZ2266" s="4"/>
      <c r="BA2266" s="4"/>
      <c r="BB2266" s="4"/>
      <c r="BC2266" s="4"/>
      <c r="BD2266" s="4"/>
      <c r="BE2266" s="4"/>
      <c r="BG2266" s="4"/>
      <c r="BH2266" s="4"/>
    </row>
    <row r="2267" spans="1:60" x14ac:dyDescent="0.35">
      <c r="A2267" s="4"/>
      <c r="B2267" s="4"/>
      <c r="D2267" s="6" t="str">
        <f t="shared" si="151"/>
        <v/>
      </c>
      <c r="E2267" s="6" t="str">
        <f t="shared" si="152"/>
        <v/>
      </c>
      <c r="F2267" s="6" t="str">
        <f t="shared" si="153"/>
        <v/>
      </c>
      <c r="G2267" s="4"/>
      <c r="H2267" s="4"/>
      <c r="I2267" s="4"/>
      <c r="J2267" s="4"/>
      <c r="K2267" s="4"/>
      <c r="L2267" s="4"/>
      <c r="M2267" s="4"/>
      <c r="N2267" s="4"/>
      <c r="O2267" s="4"/>
      <c r="P2267" s="4"/>
      <c r="Q2267" s="4"/>
      <c r="R2267" s="14"/>
      <c r="S2267" s="14"/>
      <c r="T2267" s="14"/>
      <c r="U2267" s="14"/>
      <c r="V2267" s="14"/>
      <c r="W2267" s="14"/>
      <c r="X2267" s="1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4"/>
      <c r="AU2267" s="4"/>
      <c r="AV2267" s="4"/>
      <c r="AW2267" s="4"/>
      <c r="AX2267" s="4"/>
      <c r="AY2267" s="4"/>
      <c r="AZ2267" s="4"/>
      <c r="BA2267" s="4"/>
      <c r="BB2267" s="4"/>
      <c r="BC2267" s="4"/>
      <c r="BD2267" s="4"/>
      <c r="BE2267" s="4"/>
      <c r="BG2267" s="4"/>
      <c r="BH2267" s="4"/>
    </row>
    <row r="2268" spans="1:60" x14ac:dyDescent="0.35">
      <c r="A2268" s="4"/>
      <c r="B2268" s="4"/>
      <c r="D2268" s="6" t="str">
        <f t="shared" si="151"/>
        <v/>
      </c>
      <c r="E2268" s="6" t="str">
        <f t="shared" si="152"/>
        <v/>
      </c>
      <c r="F2268" s="6" t="str">
        <f t="shared" si="153"/>
        <v/>
      </c>
      <c r="G2268" s="4"/>
      <c r="H2268" s="4"/>
      <c r="I2268" s="4"/>
      <c r="J2268" s="4"/>
      <c r="K2268" s="4"/>
      <c r="L2268" s="4"/>
      <c r="M2268" s="4"/>
      <c r="N2268" s="4"/>
      <c r="O2268" s="4"/>
      <c r="P2268" s="4"/>
      <c r="Q2268" s="4"/>
      <c r="R2268" s="14"/>
      <c r="S2268" s="14"/>
      <c r="T2268" s="14"/>
      <c r="U2268" s="14"/>
      <c r="V2268" s="14"/>
      <c r="W2268" s="14"/>
      <c r="X2268" s="1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4"/>
      <c r="AU2268" s="4"/>
      <c r="AV2268" s="4"/>
      <c r="AW2268" s="4"/>
      <c r="AX2268" s="4"/>
      <c r="AY2268" s="4"/>
      <c r="AZ2268" s="4"/>
      <c r="BA2268" s="4"/>
      <c r="BB2268" s="4"/>
      <c r="BC2268" s="4"/>
      <c r="BD2268" s="4"/>
      <c r="BE2268" s="4"/>
      <c r="BG2268" s="4"/>
      <c r="BH2268" s="4"/>
    </row>
    <row r="2269" spans="1:60" x14ac:dyDescent="0.35">
      <c r="A2269" s="4"/>
      <c r="B2269" s="4"/>
      <c r="D2269" s="6" t="str">
        <f t="shared" si="151"/>
        <v/>
      </c>
      <c r="E2269" s="6" t="str">
        <f t="shared" si="152"/>
        <v/>
      </c>
      <c r="F2269" s="6" t="str">
        <f t="shared" si="153"/>
        <v/>
      </c>
      <c r="G2269" s="4"/>
      <c r="H2269" s="4"/>
      <c r="I2269" s="4"/>
      <c r="J2269" s="4"/>
      <c r="K2269" s="4"/>
      <c r="L2269" s="4"/>
      <c r="M2269" s="4"/>
      <c r="N2269" s="4"/>
      <c r="O2269" s="4"/>
      <c r="P2269" s="4"/>
      <c r="Q2269" s="4"/>
      <c r="R2269" s="14"/>
      <c r="S2269" s="14"/>
      <c r="T2269" s="14"/>
      <c r="U2269" s="14"/>
      <c r="V2269" s="14"/>
      <c r="W2269" s="14"/>
      <c r="X2269" s="14"/>
      <c r="Y2269" s="4"/>
      <c r="Z2269" s="4"/>
      <c r="AA2269" s="4"/>
      <c r="AB2269" s="4"/>
      <c r="AC2269" s="4"/>
      <c r="AD2269" s="4"/>
      <c r="AE2269" s="4"/>
      <c r="AF2269" s="4"/>
      <c r="AG2269" s="4"/>
      <c r="AH2269" s="4"/>
      <c r="AI2269" s="4"/>
      <c r="AJ2269" s="4"/>
      <c r="AK2269" s="4"/>
      <c r="AL2269" s="4"/>
      <c r="AM2269" s="4"/>
      <c r="AN2269" s="4"/>
      <c r="AO2269" s="4"/>
      <c r="AP2269" s="4"/>
      <c r="AQ2269" s="4"/>
      <c r="AR2269" s="4"/>
      <c r="AS2269" s="4"/>
      <c r="AT2269" s="4"/>
      <c r="AU2269" s="4"/>
      <c r="AV2269" s="4"/>
      <c r="AW2269" s="4"/>
      <c r="AX2269" s="4"/>
      <c r="AY2269" s="4"/>
      <c r="AZ2269" s="4"/>
      <c r="BA2269" s="4"/>
      <c r="BB2269" s="4"/>
      <c r="BC2269" s="4"/>
      <c r="BD2269" s="4"/>
      <c r="BE2269" s="4"/>
      <c r="BG2269" s="4"/>
      <c r="BH2269" s="4"/>
    </row>
    <row r="2270" spans="1:60" x14ac:dyDescent="0.35">
      <c r="A2270" s="4"/>
      <c r="B2270" s="4"/>
      <c r="D2270" s="6" t="str">
        <f t="shared" si="151"/>
        <v/>
      </c>
      <c r="E2270" s="6" t="str">
        <f t="shared" si="152"/>
        <v/>
      </c>
      <c r="F2270" s="6" t="str">
        <f t="shared" si="153"/>
        <v/>
      </c>
      <c r="G2270" s="4"/>
      <c r="H2270" s="4"/>
      <c r="I2270" s="4"/>
      <c r="J2270" s="4"/>
      <c r="K2270" s="4"/>
      <c r="L2270" s="4"/>
      <c r="M2270" s="4"/>
      <c r="N2270" s="4"/>
      <c r="O2270" s="4"/>
      <c r="P2270" s="4"/>
      <c r="Q2270" s="4"/>
      <c r="R2270" s="14"/>
      <c r="S2270" s="14"/>
      <c r="T2270" s="14"/>
      <c r="U2270" s="14"/>
      <c r="V2270" s="14"/>
      <c r="W2270" s="14"/>
      <c r="X2270" s="1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4"/>
      <c r="AU2270" s="4"/>
      <c r="AV2270" s="4"/>
      <c r="AW2270" s="4"/>
      <c r="AX2270" s="4"/>
      <c r="AY2270" s="4"/>
      <c r="AZ2270" s="4"/>
      <c r="BA2270" s="4"/>
      <c r="BB2270" s="4"/>
      <c r="BC2270" s="4"/>
      <c r="BD2270" s="4"/>
      <c r="BE2270" s="4"/>
      <c r="BG2270" s="4"/>
      <c r="BH2270" s="4"/>
    </row>
    <row r="2271" spans="1:60" x14ac:dyDescent="0.35">
      <c r="A2271" s="4"/>
      <c r="B2271" s="4"/>
      <c r="D2271" s="6" t="str">
        <f t="shared" si="151"/>
        <v/>
      </c>
      <c r="E2271" s="6" t="str">
        <f t="shared" si="152"/>
        <v/>
      </c>
      <c r="F2271" s="6" t="str">
        <f t="shared" si="153"/>
        <v/>
      </c>
      <c r="G2271" s="4"/>
      <c r="H2271" s="4"/>
      <c r="I2271" s="4"/>
      <c r="J2271" s="4"/>
      <c r="K2271" s="4"/>
      <c r="L2271" s="4"/>
      <c r="M2271" s="4"/>
      <c r="N2271" s="4"/>
      <c r="O2271" s="4"/>
      <c r="P2271" s="4"/>
      <c r="Q2271" s="4"/>
      <c r="R2271" s="14"/>
      <c r="S2271" s="14"/>
      <c r="T2271" s="14"/>
      <c r="U2271" s="14"/>
      <c r="V2271" s="14"/>
      <c r="W2271" s="14"/>
      <c r="X2271" s="1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4"/>
      <c r="AU2271" s="4"/>
      <c r="AV2271" s="4"/>
      <c r="AW2271" s="4"/>
      <c r="AX2271" s="4"/>
      <c r="AY2271" s="4"/>
      <c r="AZ2271" s="4"/>
      <c r="BA2271" s="4"/>
      <c r="BB2271" s="4"/>
      <c r="BC2271" s="4"/>
      <c r="BD2271" s="4"/>
      <c r="BE2271" s="4"/>
      <c r="BG2271" s="4"/>
      <c r="BH2271" s="4"/>
    </row>
    <row r="2272" spans="1:60" x14ac:dyDescent="0.35">
      <c r="A2272" s="4"/>
      <c r="B2272" s="4"/>
      <c r="D2272" s="6" t="str">
        <f t="shared" si="151"/>
        <v/>
      </c>
      <c r="E2272" s="6" t="str">
        <f t="shared" si="152"/>
        <v/>
      </c>
      <c r="F2272" s="6" t="str">
        <f t="shared" si="153"/>
        <v/>
      </c>
      <c r="G2272" s="4"/>
      <c r="H2272" s="4"/>
      <c r="I2272" s="4"/>
      <c r="J2272" s="4"/>
      <c r="K2272" s="4"/>
      <c r="L2272" s="4"/>
      <c r="M2272" s="4"/>
      <c r="N2272" s="4"/>
      <c r="O2272" s="4"/>
      <c r="P2272" s="4"/>
      <c r="Q2272" s="4"/>
      <c r="R2272" s="14"/>
      <c r="S2272" s="14"/>
      <c r="T2272" s="14"/>
      <c r="U2272" s="14"/>
      <c r="V2272" s="14"/>
      <c r="W2272" s="14"/>
      <c r="X2272" s="1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4"/>
      <c r="AU2272" s="4"/>
      <c r="AV2272" s="4"/>
      <c r="AW2272" s="4"/>
      <c r="AX2272" s="4"/>
      <c r="AY2272" s="4"/>
      <c r="AZ2272" s="4"/>
      <c r="BA2272" s="4"/>
      <c r="BB2272" s="4"/>
      <c r="BC2272" s="4"/>
      <c r="BD2272" s="4"/>
      <c r="BE2272" s="4"/>
      <c r="BG2272" s="4"/>
      <c r="BH2272" s="4"/>
    </row>
    <row r="2273" spans="1:60" x14ac:dyDescent="0.35">
      <c r="A2273" s="4"/>
      <c r="B2273" s="4"/>
      <c r="D2273" s="6" t="str">
        <f t="shared" si="151"/>
        <v/>
      </c>
      <c r="E2273" s="6" t="str">
        <f t="shared" si="152"/>
        <v/>
      </c>
      <c r="F2273" s="6" t="str">
        <f t="shared" si="153"/>
        <v/>
      </c>
      <c r="G2273" s="4"/>
      <c r="H2273" s="4"/>
      <c r="I2273" s="4"/>
      <c r="J2273" s="4"/>
      <c r="K2273" s="4"/>
      <c r="L2273" s="4"/>
      <c r="M2273" s="4"/>
      <c r="N2273" s="4"/>
      <c r="O2273" s="4"/>
      <c r="P2273" s="4"/>
      <c r="Q2273" s="4"/>
      <c r="R2273" s="14"/>
      <c r="S2273" s="14"/>
      <c r="T2273" s="14"/>
      <c r="U2273" s="14"/>
      <c r="V2273" s="14"/>
      <c r="W2273" s="14"/>
      <c r="X2273" s="1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4"/>
      <c r="AU2273" s="4"/>
      <c r="AV2273" s="4"/>
      <c r="AW2273" s="4"/>
      <c r="AX2273" s="4"/>
      <c r="AY2273" s="4"/>
      <c r="AZ2273" s="4"/>
      <c r="BA2273" s="4"/>
      <c r="BB2273" s="4"/>
      <c r="BC2273" s="4"/>
      <c r="BD2273" s="4"/>
      <c r="BE2273" s="4"/>
      <c r="BG2273" s="4"/>
      <c r="BH2273" s="4"/>
    </row>
    <row r="2274" spans="1:60" x14ac:dyDescent="0.35">
      <c r="A2274" s="4"/>
      <c r="B2274" s="4"/>
      <c r="D2274" s="6" t="str">
        <f t="shared" si="151"/>
        <v/>
      </c>
      <c r="E2274" s="6" t="str">
        <f t="shared" si="152"/>
        <v/>
      </c>
      <c r="F2274" s="6" t="str">
        <f t="shared" si="153"/>
        <v/>
      </c>
      <c r="G2274" s="4"/>
      <c r="H2274" s="4"/>
      <c r="I2274" s="4"/>
      <c r="J2274" s="4"/>
      <c r="K2274" s="4"/>
      <c r="L2274" s="4"/>
      <c r="M2274" s="4"/>
      <c r="N2274" s="4"/>
      <c r="O2274" s="4"/>
      <c r="P2274" s="4"/>
      <c r="Q2274" s="4"/>
      <c r="R2274" s="14"/>
      <c r="S2274" s="14"/>
      <c r="T2274" s="14"/>
      <c r="U2274" s="14"/>
      <c r="V2274" s="14"/>
      <c r="W2274" s="14"/>
      <c r="X2274" s="14"/>
      <c r="Y2274" s="4"/>
      <c r="Z2274" s="4"/>
      <c r="AA2274" s="4"/>
      <c r="AB2274" s="4"/>
      <c r="AC2274" s="4"/>
      <c r="AD2274" s="4"/>
      <c r="AE2274" s="4"/>
      <c r="AF2274" s="4"/>
      <c r="AG2274" s="4"/>
      <c r="AH2274" s="4"/>
      <c r="AI2274" s="4"/>
      <c r="AJ2274" s="4"/>
      <c r="AK2274" s="4"/>
      <c r="AL2274" s="4"/>
      <c r="AM2274" s="4"/>
      <c r="AN2274" s="4"/>
      <c r="AO2274" s="4"/>
      <c r="AP2274" s="4"/>
      <c r="AQ2274" s="4"/>
      <c r="AR2274" s="4"/>
      <c r="AS2274" s="4"/>
      <c r="AT2274" s="4"/>
      <c r="AU2274" s="4"/>
      <c r="AV2274" s="4"/>
      <c r="AW2274" s="4"/>
      <c r="AX2274" s="4"/>
      <c r="AY2274" s="4"/>
      <c r="AZ2274" s="4"/>
      <c r="BA2274" s="4"/>
      <c r="BB2274" s="4"/>
      <c r="BC2274" s="4"/>
      <c r="BD2274" s="4"/>
      <c r="BE2274" s="4"/>
      <c r="BG2274" s="4"/>
      <c r="BH2274" s="4"/>
    </row>
    <row r="2275" spans="1:60" x14ac:dyDescent="0.35">
      <c r="A2275" s="4"/>
      <c r="B2275" s="4"/>
      <c r="D2275" s="6" t="str">
        <f t="shared" si="151"/>
        <v/>
      </c>
      <c r="E2275" s="6" t="str">
        <f t="shared" si="152"/>
        <v/>
      </c>
      <c r="F2275" s="6" t="str">
        <f t="shared" si="153"/>
        <v/>
      </c>
      <c r="G2275" s="4"/>
      <c r="H2275" s="4"/>
      <c r="I2275" s="4"/>
      <c r="J2275" s="4"/>
      <c r="K2275" s="4"/>
      <c r="L2275" s="4"/>
      <c r="M2275" s="4"/>
      <c r="N2275" s="4"/>
      <c r="O2275" s="4"/>
      <c r="P2275" s="4"/>
      <c r="Q2275" s="4"/>
      <c r="R2275" s="14"/>
      <c r="S2275" s="14"/>
      <c r="T2275" s="14"/>
      <c r="U2275" s="14"/>
      <c r="V2275" s="14"/>
      <c r="W2275" s="14"/>
      <c r="X2275" s="14"/>
      <c r="Y2275" s="4"/>
      <c r="Z2275" s="4"/>
      <c r="AA2275" s="4"/>
      <c r="AB2275" s="4"/>
      <c r="AC2275" s="4"/>
      <c r="AD2275" s="4"/>
      <c r="AE2275" s="4"/>
      <c r="AF2275" s="4"/>
      <c r="AG2275" s="4"/>
      <c r="AH2275" s="4"/>
      <c r="AI2275" s="4"/>
      <c r="AJ2275" s="4"/>
      <c r="AK2275" s="4"/>
      <c r="AL2275" s="4"/>
      <c r="AM2275" s="4"/>
      <c r="AN2275" s="4"/>
      <c r="AO2275" s="4"/>
      <c r="AP2275" s="4"/>
      <c r="AQ2275" s="4"/>
      <c r="AR2275" s="4"/>
      <c r="AS2275" s="4"/>
      <c r="AT2275" s="4"/>
      <c r="AU2275" s="4"/>
      <c r="AV2275" s="4"/>
      <c r="AW2275" s="4"/>
      <c r="AX2275" s="4"/>
      <c r="AY2275" s="4"/>
      <c r="AZ2275" s="4"/>
      <c r="BA2275" s="4"/>
      <c r="BB2275" s="4"/>
      <c r="BC2275" s="4"/>
      <c r="BD2275" s="4"/>
      <c r="BE2275" s="4"/>
      <c r="BG2275" s="4"/>
      <c r="BH2275" s="4"/>
    </row>
    <row r="2276" spans="1:60" x14ac:dyDescent="0.35">
      <c r="A2276" s="4"/>
      <c r="B2276" s="4"/>
      <c r="D2276" s="6" t="str">
        <f t="shared" si="151"/>
        <v/>
      </c>
      <c r="E2276" s="6" t="str">
        <f t="shared" si="152"/>
        <v/>
      </c>
      <c r="F2276" s="6" t="str">
        <f t="shared" si="153"/>
        <v/>
      </c>
      <c r="G2276" s="4"/>
      <c r="H2276" s="4"/>
      <c r="I2276" s="4"/>
      <c r="J2276" s="4"/>
      <c r="K2276" s="4"/>
      <c r="L2276" s="4"/>
      <c r="M2276" s="4"/>
      <c r="N2276" s="4"/>
      <c r="O2276" s="4"/>
      <c r="P2276" s="4"/>
      <c r="Q2276" s="4"/>
      <c r="R2276" s="14"/>
      <c r="S2276" s="14"/>
      <c r="T2276" s="14"/>
      <c r="U2276" s="14"/>
      <c r="V2276" s="14"/>
      <c r="W2276" s="14"/>
      <c r="X2276" s="14"/>
      <c r="Y2276" s="4"/>
      <c r="Z2276" s="4"/>
      <c r="AA2276" s="4"/>
      <c r="AB2276" s="4"/>
      <c r="AC2276" s="4"/>
      <c r="AD2276" s="4"/>
      <c r="AE2276" s="4"/>
      <c r="AF2276" s="4"/>
      <c r="AG2276" s="4"/>
      <c r="AH2276" s="4"/>
      <c r="AI2276" s="4"/>
      <c r="AJ2276" s="4"/>
      <c r="AK2276" s="4"/>
      <c r="AL2276" s="4"/>
      <c r="AM2276" s="4"/>
      <c r="AN2276" s="4"/>
      <c r="AO2276" s="4"/>
      <c r="AP2276" s="4"/>
      <c r="AQ2276" s="4"/>
      <c r="AR2276" s="4"/>
      <c r="AS2276" s="4"/>
      <c r="AT2276" s="4"/>
      <c r="AU2276" s="4"/>
      <c r="AV2276" s="4"/>
      <c r="AW2276" s="4"/>
      <c r="AX2276" s="4"/>
      <c r="AY2276" s="4"/>
      <c r="AZ2276" s="4"/>
      <c r="BA2276" s="4"/>
      <c r="BB2276" s="4"/>
      <c r="BC2276" s="4"/>
      <c r="BD2276" s="4"/>
      <c r="BE2276" s="4"/>
      <c r="BG2276" s="4"/>
      <c r="BH2276" s="4"/>
    </row>
    <row r="2277" spans="1:60" x14ac:dyDescent="0.35">
      <c r="A2277" s="4"/>
      <c r="B2277" s="4"/>
      <c r="D2277" s="6" t="str">
        <f t="shared" si="151"/>
        <v/>
      </c>
      <c r="E2277" s="6" t="str">
        <f t="shared" si="152"/>
        <v/>
      </c>
      <c r="F2277" s="6" t="str">
        <f t="shared" si="153"/>
        <v/>
      </c>
      <c r="G2277" s="4"/>
      <c r="H2277" s="4"/>
      <c r="I2277" s="4"/>
      <c r="J2277" s="4"/>
      <c r="K2277" s="4"/>
      <c r="L2277" s="4"/>
      <c r="M2277" s="4"/>
      <c r="N2277" s="4"/>
      <c r="O2277" s="4"/>
      <c r="P2277" s="4"/>
      <c r="Q2277" s="4"/>
      <c r="R2277" s="14"/>
      <c r="S2277" s="14"/>
      <c r="T2277" s="14"/>
      <c r="U2277" s="14"/>
      <c r="V2277" s="14"/>
      <c r="W2277" s="14"/>
      <c r="X2277" s="1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4"/>
      <c r="AU2277" s="4"/>
      <c r="AV2277" s="4"/>
      <c r="AW2277" s="4"/>
      <c r="AX2277" s="4"/>
      <c r="AY2277" s="4"/>
      <c r="AZ2277" s="4"/>
      <c r="BA2277" s="4"/>
      <c r="BB2277" s="4"/>
      <c r="BC2277" s="4"/>
      <c r="BD2277" s="4"/>
      <c r="BE2277" s="4"/>
      <c r="BG2277" s="4"/>
      <c r="BH2277" s="4"/>
    </row>
    <row r="2278" spans="1:60" x14ac:dyDescent="0.35">
      <c r="A2278" s="4"/>
      <c r="B2278" s="4"/>
      <c r="D2278" s="6" t="str">
        <f t="shared" si="151"/>
        <v/>
      </c>
      <c r="E2278" s="6" t="str">
        <f t="shared" si="152"/>
        <v/>
      </c>
      <c r="F2278" s="6" t="str">
        <f t="shared" si="153"/>
        <v/>
      </c>
      <c r="G2278" s="4"/>
      <c r="H2278" s="4"/>
      <c r="I2278" s="4"/>
      <c r="J2278" s="4"/>
      <c r="K2278" s="4"/>
      <c r="L2278" s="4"/>
      <c r="M2278" s="4"/>
      <c r="N2278" s="4"/>
      <c r="O2278" s="4"/>
      <c r="P2278" s="4"/>
      <c r="Q2278" s="4"/>
      <c r="R2278" s="14"/>
      <c r="S2278" s="14"/>
      <c r="T2278" s="14"/>
      <c r="U2278" s="14"/>
      <c r="V2278" s="14"/>
      <c r="W2278" s="14"/>
      <c r="X2278" s="1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4"/>
      <c r="AU2278" s="4"/>
      <c r="AV2278" s="4"/>
      <c r="AW2278" s="4"/>
      <c r="AX2278" s="4"/>
      <c r="AY2278" s="4"/>
      <c r="AZ2278" s="4"/>
      <c r="BA2278" s="4"/>
      <c r="BB2278" s="4"/>
      <c r="BC2278" s="4"/>
      <c r="BD2278" s="4"/>
      <c r="BE2278" s="4"/>
      <c r="BG2278" s="4"/>
      <c r="BH2278" s="4"/>
    </row>
    <row r="2279" spans="1:60" x14ac:dyDescent="0.35">
      <c r="A2279" s="4"/>
      <c r="B2279" s="4"/>
      <c r="D2279" s="6" t="str">
        <f t="shared" si="151"/>
        <v/>
      </c>
      <c r="E2279" s="6" t="str">
        <f t="shared" si="152"/>
        <v/>
      </c>
      <c r="F2279" s="6" t="str">
        <f t="shared" si="153"/>
        <v/>
      </c>
      <c r="G2279" s="4"/>
      <c r="H2279" s="4"/>
      <c r="I2279" s="4"/>
      <c r="J2279" s="4"/>
      <c r="K2279" s="4"/>
      <c r="L2279" s="4"/>
      <c r="M2279" s="4"/>
      <c r="N2279" s="4"/>
      <c r="O2279" s="4"/>
      <c r="P2279" s="4"/>
      <c r="Q2279" s="4"/>
      <c r="R2279" s="14"/>
      <c r="S2279" s="14"/>
      <c r="T2279" s="14"/>
      <c r="U2279" s="14"/>
      <c r="V2279" s="14"/>
      <c r="W2279" s="14"/>
      <c r="X2279" s="1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4"/>
      <c r="AU2279" s="4"/>
      <c r="AV2279" s="4"/>
      <c r="AW2279" s="4"/>
      <c r="AX2279" s="4"/>
      <c r="AY2279" s="4"/>
      <c r="AZ2279" s="4"/>
      <c r="BA2279" s="4"/>
      <c r="BB2279" s="4"/>
      <c r="BC2279" s="4"/>
      <c r="BD2279" s="4"/>
      <c r="BE2279" s="4"/>
      <c r="BG2279" s="4"/>
      <c r="BH2279" s="4"/>
    </row>
    <row r="2280" spans="1:60" x14ac:dyDescent="0.35">
      <c r="A2280" s="4"/>
      <c r="B2280" s="4"/>
      <c r="D2280" s="6" t="str">
        <f t="shared" si="151"/>
        <v/>
      </c>
      <c r="E2280" s="6" t="str">
        <f t="shared" si="152"/>
        <v/>
      </c>
      <c r="F2280" s="6" t="str">
        <f t="shared" si="153"/>
        <v/>
      </c>
      <c r="G2280" s="4"/>
      <c r="H2280" s="4"/>
      <c r="I2280" s="4"/>
      <c r="J2280" s="4"/>
      <c r="K2280" s="4"/>
      <c r="L2280" s="4"/>
      <c r="M2280" s="4"/>
      <c r="N2280" s="4"/>
      <c r="O2280" s="4"/>
      <c r="P2280" s="4"/>
      <c r="Q2280" s="4"/>
      <c r="R2280" s="14"/>
      <c r="S2280" s="14"/>
      <c r="T2280" s="14"/>
      <c r="U2280" s="14"/>
      <c r="V2280" s="14"/>
      <c r="W2280" s="14"/>
      <c r="X2280" s="1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4"/>
      <c r="AU2280" s="4"/>
      <c r="AV2280" s="4"/>
      <c r="AW2280" s="4"/>
      <c r="AX2280" s="4"/>
      <c r="AY2280" s="4"/>
      <c r="AZ2280" s="4"/>
      <c r="BA2280" s="4"/>
      <c r="BB2280" s="4"/>
      <c r="BC2280" s="4"/>
      <c r="BD2280" s="4"/>
      <c r="BE2280" s="4"/>
      <c r="BG2280" s="4"/>
      <c r="BH2280" s="4"/>
    </row>
    <row r="2281" spans="1:60" x14ac:dyDescent="0.35">
      <c r="A2281" s="4"/>
      <c r="B2281" s="4"/>
      <c r="D2281" s="6" t="str">
        <f t="shared" si="151"/>
        <v/>
      </c>
      <c r="E2281" s="6" t="str">
        <f t="shared" si="152"/>
        <v/>
      </c>
      <c r="F2281" s="6" t="str">
        <f t="shared" si="153"/>
        <v/>
      </c>
      <c r="G2281" s="4"/>
      <c r="H2281" s="4"/>
      <c r="I2281" s="4"/>
      <c r="J2281" s="4"/>
      <c r="K2281" s="4"/>
      <c r="L2281" s="4"/>
      <c r="M2281" s="4"/>
      <c r="N2281" s="4"/>
      <c r="O2281" s="4"/>
      <c r="P2281" s="4"/>
      <c r="Q2281" s="4"/>
      <c r="R2281" s="14"/>
      <c r="S2281" s="14"/>
      <c r="T2281" s="14"/>
      <c r="U2281" s="14"/>
      <c r="V2281" s="14"/>
      <c r="W2281" s="14"/>
      <c r="X2281" s="1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c r="AV2281" s="4"/>
      <c r="AW2281" s="4"/>
      <c r="AX2281" s="4"/>
      <c r="AY2281" s="4"/>
      <c r="AZ2281" s="4"/>
      <c r="BA2281" s="4"/>
      <c r="BB2281" s="4"/>
      <c r="BC2281" s="4"/>
      <c r="BD2281" s="4"/>
      <c r="BE2281" s="4"/>
      <c r="BG2281" s="4"/>
      <c r="BH2281" s="4"/>
    </row>
    <row r="2282" spans="1:60" x14ac:dyDescent="0.35">
      <c r="A2282" s="4"/>
      <c r="B2282" s="4"/>
      <c r="D2282" s="6" t="str">
        <f t="shared" si="151"/>
        <v/>
      </c>
      <c r="E2282" s="6" t="str">
        <f t="shared" si="152"/>
        <v/>
      </c>
      <c r="F2282" s="6" t="str">
        <f t="shared" si="153"/>
        <v/>
      </c>
      <c r="G2282" s="4"/>
      <c r="H2282" s="4"/>
      <c r="I2282" s="4"/>
      <c r="J2282" s="4"/>
      <c r="K2282" s="4"/>
      <c r="L2282" s="4"/>
      <c r="M2282" s="4"/>
      <c r="N2282" s="4"/>
      <c r="O2282" s="4"/>
      <c r="P2282" s="4"/>
      <c r="Q2282" s="4"/>
      <c r="R2282" s="14"/>
      <c r="S2282" s="14"/>
      <c r="T2282" s="14"/>
      <c r="U2282" s="14"/>
      <c r="V2282" s="14"/>
      <c r="W2282" s="14"/>
      <c r="X2282" s="1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4"/>
      <c r="AU2282" s="4"/>
      <c r="AV2282" s="4"/>
      <c r="AW2282" s="4"/>
      <c r="AX2282" s="4"/>
      <c r="AY2282" s="4"/>
      <c r="AZ2282" s="4"/>
      <c r="BA2282" s="4"/>
      <c r="BB2282" s="4"/>
      <c r="BC2282" s="4"/>
      <c r="BD2282" s="4"/>
      <c r="BE2282" s="4"/>
      <c r="BG2282" s="4"/>
      <c r="BH2282" s="4"/>
    </row>
    <row r="2283" spans="1:60" x14ac:dyDescent="0.35">
      <c r="A2283" s="4"/>
      <c r="B2283" s="4"/>
      <c r="D2283" s="6" t="str">
        <f t="shared" si="151"/>
        <v/>
      </c>
      <c r="E2283" s="6" t="str">
        <f t="shared" si="152"/>
        <v/>
      </c>
      <c r="F2283" s="6" t="str">
        <f t="shared" si="153"/>
        <v/>
      </c>
      <c r="G2283" s="4"/>
      <c r="H2283" s="4"/>
      <c r="I2283" s="4"/>
      <c r="J2283" s="4"/>
      <c r="K2283" s="4"/>
      <c r="L2283" s="4"/>
      <c r="M2283" s="4"/>
      <c r="N2283" s="4"/>
      <c r="O2283" s="4"/>
      <c r="P2283" s="4"/>
      <c r="Q2283" s="4"/>
      <c r="R2283" s="14"/>
      <c r="S2283" s="14"/>
      <c r="T2283" s="14"/>
      <c r="U2283" s="14"/>
      <c r="V2283" s="14"/>
      <c r="W2283" s="14"/>
      <c r="X2283" s="14"/>
      <c r="Y2283" s="4"/>
      <c r="Z2283" s="4"/>
      <c r="AA2283" s="4"/>
      <c r="AB2283" s="4"/>
      <c r="AC2283" s="4"/>
      <c r="AD2283" s="4"/>
      <c r="AE2283" s="4"/>
      <c r="AF2283" s="4"/>
      <c r="AG2283" s="4"/>
      <c r="AH2283" s="4"/>
      <c r="AI2283" s="4"/>
      <c r="AJ2283" s="4"/>
      <c r="AK2283" s="4"/>
      <c r="AL2283" s="4"/>
      <c r="AM2283" s="4"/>
      <c r="AN2283" s="4"/>
      <c r="AO2283" s="4"/>
      <c r="AP2283" s="4"/>
      <c r="AQ2283" s="4"/>
      <c r="AR2283" s="4"/>
      <c r="AS2283" s="4"/>
      <c r="AT2283" s="4"/>
      <c r="AU2283" s="4"/>
      <c r="AV2283" s="4"/>
      <c r="AW2283" s="4"/>
      <c r="AX2283" s="4"/>
      <c r="AY2283" s="4"/>
      <c r="AZ2283" s="4"/>
      <c r="BA2283" s="4"/>
      <c r="BB2283" s="4"/>
      <c r="BC2283" s="4"/>
      <c r="BD2283" s="4"/>
      <c r="BE2283" s="4"/>
      <c r="BG2283" s="4"/>
      <c r="BH2283" s="4"/>
    </row>
    <row r="2284" spans="1:60" x14ac:dyDescent="0.35">
      <c r="A2284" s="4"/>
      <c r="B2284" s="4"/>
      <c r="D2284" s="6" t="str">
        <f t="shared" si="151"/>
        <v/>
      </c>
      <c r="E2284" s="6" t="str">
        <f t="shared" si="152"/>
        <v/>
      </c>
      <c r="F2284" s="6" t="str">
        <f t="shared" si="153"/>
        <v/>
      </c>
      <c r="G2284" s="4"/>
      <c r="H2284" s="4"/>
      <c r="I2284" s="4"/>
      <c r="J2284" s="4"/>
      <c r="K2284" s="4"/>
      <c r="L2284" s="4"/>
      <c r="M2284" s="4"/>
      <c r="N2284" s="4"/>
      <c r="O2284" s="4"/>
      <c r="P2284" s="4"/>
      <c r="Q2284" s="4"/>
      <c r="R2284" s="14"/>
      <c r="S2284" s="14"/>
      <c r="T2284" s="14"/>
      <c r="U2284" s="14"/>
      <c r="V2284" s="14"/>
      <c r="W2284" s="14"/>
      <c r="X2284" s="1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4"/>
      <c r="AU2284" s="4"/>
      <c r="AV2284" s="4"/>
      <c r="AW2284" s="4"/>
      <c r="AX2284" s="4"/>
      <c r="AY2284" s="4"/>
      <c r="AZ2284" s="4"/>
      <c r="BA2284" s="4"/>
      <c r="BB2284" s="4"/>
      <c r="BC2284" s="4"/>
      <c r="BD2284" s="4"/>
      <c r="BE2284" s="4"/>
      <c r="BG2284" s="4"/>
      <c r="BH2284" s="4"/>
    </row>
    <row r="2285" spans="1:60" x14ac:dyDescent="0.35">
      <c r="A2285" s="4"/>
      <c r="B2285" s="4"/>
      <c r="D2285" s="6" t="str">
        <f t="shared" si="151"/>
        <v/>
      </c>
      <c r="E2285" s="6" t="str">
        <f t="shared" si="152"/>
        <v/>
      </c>
      <c r="F2285" s="6" t="str">
        <f t="shared" si="153"/>
        <v/>
      </c>
      <c r="G2285" s="4"/>
      <c r="H2285" s="4"/>
      <c r="I2285" s="4"/>
      <c r="J2285" s="4"/>
      <c r="K2285" s="4"/>
      <c r="L2285" s="4"/>
      <c r="M2285" s="4"/>
      <c r="N2285" s="4"/>
      <c r="O2285" s="4"/>
      <c r="P2285" s="4"/>
      <c r="Q2285" s="4"/>
      <c r="R2285" s="14"/>
      <c r="S2285" s="14"/>
      <c r="T2285" s="14"/>
      <c r="U2285" s="14"/>
      <c r="V2285" s="14"/>
      <c r="W2285" s="14"/>
      <c r="X2285" s="1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4"/>
      <c r="AU2285" s="4"/>
      <c r="AV2285" s="4"/>
      <c r="AW2285" s="4"/>
      <c r="AX2285" s="4"/>
      <c r="AY2285" s="4"/>
      <c r="AZ2285" s="4"/>
      <c r="BA2285" s="4"/>
      <c r="BB2285" s="4"/>
      <c r="BC2285" s="4"/>
      <c r="BD2285" s="4"/>
      <c r="BE2285" s="4"/>
      <c r="BG2285" s="4"/>
      <c r="BH2285" s="4"/>
    </row>
    <row r="2286" spans="1:60" x14ac:dyDescent="0.35">
      <c r="A2286" s="4"/>
      <c r="B2286" s="4"/>
      <c r="D2286" s="6" t="str">
        <f t="shared" si="151"/>
        <v/>
      </c>
      <c r="E2286" s="6" t="str">
        <f t="shared" si="152"/>
        <v/>
      </c>
      <c r="F2286" s="6" t="str">
        <f t="shared" si="153"/>
        <v/>
      </c>
      <c r="G2286" s="4"/>
      <c r="H2286" s="4"/>
      <c r="I2286" s="4"/>
      <c r="J2286" s="4"/>
      <c r="K2286" s="4"/>
      <c r="L2286" s="4"/>
      <c r="M2286" s="4"/>
      <c r="N2286" s="4"/>
      <c r="O2286" s="4"/>
      <c r="P2286" s="4"/>
      <c r="Q2286" s="4"/>
      <c r="R2286" s="14"/>
      <c r="S2286" s="14"/>
      <c r="T2286" s="14"/>
      <c r="U2286" s="14"/>
      <c r="V2286" s="14"/>
      <c r="W2286" s="14"/>
      <c r="X2286" s="1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4"/>
      <c r="AU2286" s="4"/>
      <c r="AV2286" s="4"/>
      <c r="AW2286" s="4"/>
      <c r="AX2286" s="4"/>
      <c r="AY2286" s="4"/>
      <c r="AZ2286" s="4"/>
      <c r="BA2286" s="4"/>
      <c r="BB2286" s="4"/>
      <c r="BC2286" s="4"/>
      <c r="BD2286" s="4"/>
      <c r="BE2286" s="4"/>
      <c r="BG2286" s="4"/>
      <c r="BH2286" s="4"/>
    </row>
    <row r="2287" spans="1:60" x14ac:dyDescent="0.35">
      <c r="A2287" s="4"/>
      <c r="B2287" s="4"/>
      <c r="D2287" s="6" t="str">
        <f t="shared" si="151"/>
        <v/>
      </c>
      <c r="E2287" s="6" t="str">
        <f t="shared" si="152"/>
        <v/>
      </c>
      <c r="F2287" s="6" t="str">
        <f t="shared" si="153"/>
        <v/>
      </c>
      <c r="G2287" s="4"/>
      <c r="H2287" s="4"/>
      <c r="I2287" s="4"/>
      <c r="J2287" s="4"/>
      <c r="K2287" s="4"/>
      <c r="L2287" s="4"/>
      <c r="M2287" s="4"/>
      <c r="N2287" s="4"/>
      <c r="O2287" s="4"/>
      <c r="P2287" s="4"/>
      <c r="Q2287" s="4"/>
      <c r="R2287" s="14"/>
      <c r="S2287" s="14"/>
      <c r="T2287" s="14"/>
      <c r="U2287" s="14"/>
      <c r="V2287" s="14"/>
      <c r="W2287" s="14"/>
      <c r="X2287" s="1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4"/>
      <c r="AU2287" s="4"/>
      <c r="AV2287" s="4"/>
      <c r="AW2287" s="4"/>
      <c r="AX2287" s="4"/>
      <c r="AY2287" s="4"/>
      <c r="AZ2287" s="4"/>
      <c r="BA2287" s="4"/>
      <c r="BB2287" s="4"/>
      <c r="BC2287" s="4"/>
      <c r="BD2287" s="4"/>
      <c r="BE2287" s="4"/>
      <c r="BG2287" s="4"/>
      <c r="BH2287" s="4"/>
    </row>
    <row r="2288" spans="1:60" x14ac:dyDescent="0.35">
      <c r="A2288" s="4"/>
      <c r="B2288" s="4"/>
      <c r="D2288" s="6" t="str">
        <f t="shared" si="151"/>
        <v/>
      </c>
      <c r="E2288" s="6" t="str">
        <f t="shared" si="152"/>
        <v/>
      </c>
      <c r="F2288" s="6" t="str">
        <f t="shared" si="153"/>
        <v/>
      </c>
      <c r="G2288" s="4"/>
      <c r="H2288" s="4"/>
      <c r="I2288" s="4"/>
      <c r="J2288" s="4"/>
      <c r="K2288" s="4"/>
      <c r="L2288" s="4"/>
      <c r="M2288" s="4"/>
      <c r="N2288" s="4"/>
      <c r="O2288" s="4"/>
      <c r="P2288" s="4"/>
      <c r="Q2288" s="4"/>
      <c r="R2288" s="14"/>
      <c r="S2288" s="14"/>
      <c r="T2288" s="14"/>
      <c r="U2288" s="14"/>
      <c r="V2288" s="14"/>
      <c r="W2288" s="14"/>
      <c r="X2288" s="14"/>
      <c r="Y2288" s="4"/>
      <c r="Z2288" s="4"/>
      <c r="AA2288" s="4"/>
      <c r="AB2288" s="4"/>
      <c r="AC2288" s="4"/>
      <c r="AD2288" s="4"/>
      <c r="AE2288" s="4"/>
      <c r="AF2288" s="4"/>
      <c r="AG2288" s="4"/>
      <c r="AH2288" s="4"/>
      <c r="AI2288" s="4"/>
      <c r="AJ2288" s="4"/>
      <c r="AK2288" s="4"/>
      <c r="AL2288" s="4"/>
      <c r="AM2288" s="4"/>
      <c r="AN2288" s="4"/>
      <c r="AO2288" s="4"/>
      <c r="AP2288" s="4"/>
      <c r="AQ2288" s="4"/>
      <c r="AR2288" s="4"/>
      <c r="AS2288" s="4"/>
      <c r="AT2288" s="4"/>
      <c r="AU2288" s="4"/>
      <c r="AV2288" s="4"/>
      <c r="AW2288" s="4"/>
      <c r="AX2288" s="4"/>
      <c r="AY2288" s="4"/>
      <c r="AZ2288" s="4"/>
      <c r="BA2288" s="4"/>
      <c r="BB2288" s="4"/>
      <c r="BC2288" s="4"/>
      <c r="BD2288" s="4"/>
      <c r="BE2288" s="4"/>
      <c r="BG2288" s="4"/>
      <c r="BH2288" s="4"/>
    </row>
    <row r="2289" spans="1:60" x14ac:dyDescent="0.35">
      <c r="A2289" s="4"/>
      <c r="B2289" s="4"/>
      <c r="D2289" s="6" t="str">
        <f t="shared" si="151"/>
        <v/>
      </c>
      <c r="E2289" s="6" t="str">
        <f t="shared" si="152"/>
        <v/>
      </c>
      <c r="F2289" s="6" t="str">
        <f t="shared" si="153"/>
        <v/>
      </c>
      <c r="G2289" s="4"/>
      <c r="H2289" s="4"/>
      <c r="I2289" s="4"/>
      <c r="J2289" s="4"/>
      <c r="K2289" s="4"/>
      <c r="L2289" s="4"/>
      <c r="M2289" s="4"/>
      <c r="N2289" s="4"/>
      <c r="O2289" s="4"/>
      <c r="P2289" s="4"/>
      <c r="Q2289" s="4"/>
      <c r="R2289" s="14"/>
      <c r="S2289" s="14"/>
      <c r="T2289" s="14"/>
      <c r="U2289" s="14"/>
      <c r="V2289" s="14"/>
      <c r="W2289" s="14"/>
      <c r="X2289" s="1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4"/>
      <c r="AU2289" s="4"/>
      <c r="AV2289" s="4"/>
      <c r="AW2289" s="4"/>
      <c r="AX2289" s="4"/>
      <c r="AY2289" s="4"/>
      <c r="AZ2289" s="4"/>
      <c r="BA2289" s="4"/>
      <c r="BB2289" s="4"/>
      <c r="BC2289" s="4"/>
      <c r="BD2289" s="4"/>
      <c r="BE2289" s="4"/>
      <c r="BG2289" s="4"/>
      <c r="BH2289" s="4"/>
    </row>
    <row r="2290" spans="1:60" x14ac:dyDescent="0.35">
      <c r="A2290" s="4"/>
      <c r="B2290" s="4"/>
      <c r="D2290" s="6" t="str">
        <f t="shared" si="151"/>
        <v/>
      </c>
      <c r="E2290" s="6" t="str">
        <f t="shared" si="152"/>
        <v/>
      </c>
      <c r="F2290" s="6" t="str">
        <f t="shared" si="153"/>
        <v/>
      </c>
      <c r="G2290" s="4"/>
      <c r="H2290" s="4"/>
      <c r="I2290" s="4"/>
      <c r="J2290" s="4"/>
      <c r="K2290" s="4"/>
      <c r="L2290" s="4"/>
      <c r="M2290" s="4"/>
      <c r="N2290" s="4"/>
      <c r="O2290" s="4"/>
      <c r="P2290" s="4"/>
      <c r="Q2290" s="4"/>
      <c r="R2290" s="14"/>
      <c r="S2290" s="14"/>
      <c r="T2290" s="14"/>
      <c r="U2290" s="14"/>
      <c r="V2290" s="14"/>
      <c r="W2290" s="14"/>
      <c r="X2290" s="1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4"/>
      <c r="AU2290" s="4"/>
      <c r="AV2290" s="4"/>
      <c r="AW2290" s="4"/>
      <c r="AX2290" s="4"/>
      <c r="AY2290" s="4"/>
      <c r="AZ2290" s="4"/>
      <c r="BA2290" s="4"/>
      <c r="BB2290" s="4"/>
      <c r="BC2290" s="4"/>
      <c r="BD2290" s="4"/>
      <c r="BE2290" s="4"/>
      <c r="BG2290" s="4"/>
      <c r="BH2290" s="4"/>
    </row>
    <row r="2291" spans="1:60" x14ac:dyDescent="0.35">
      <c r="A2291" s="4"/>
      <c r="B2291" s="4"/>
      <c r="D2291" s="6" t="str">
        <f t="shared" si="151"/>
        <v/>
      </c>
      <c r="E2291" s="6" t="str">
        <f t="shared" si="152"/>
        <v/>
      </c>
      <c r="F2291" s="6" t="str">
        <f t="shared" si="153"/>
        <v/>
      </c>
      <c r="G2291" s="4"/>
      <c r="H2291" s="4"/>
      <c r="I2291" s="4"/>
      <c r="J2291" s="4"/>
      <c r="K2291" s="4"/>
      <c r="L2291" s="4"/>
      <c r="M2291" s="4"/>
      <c r="N2291" s="4"/>
      <c r="O2291" s="4"/>
      <c r="P2291" s="4"/>
      <c r="Q2291" s="4"/>
      <c r="R2291" s="14"/>
      <c r="S2291" s="14"/>
      <c r="T2291" s="14"/>
      <c r="U2291" s="14"/>
      <c r="V2291" s="14"/>
      <c r="W2291" s="14"/>
      <c r="X2291" s="1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4"/>
      <c r="AU2291" s="4"/>
      <c r="AV2291" s="4"/>
      <c r="AW2291" s="4"/>
      <c r="AX2291" s="4"/>
      <c r="AY2291" s="4"/>
      <c r="AZ2291" s="4"/>
      <c r="BA2291" s="4"/>
      <c r="BB2291" s="4"/>
      <c r="BC2291" s="4"/>
      <c r="BD2291" s="4"/>
      <c r="BE2291" s="4"/>
      <c r="BG2291" s="4"/>
      <c r="BH2291" s="4"/>
    </row>
    <row r="2292" spans="1:60" x14ac:dyDescent="0.35">
      <c r="A2292" s="4"/>
      <c r="B2292" s="4"/>
      <c r="D2292" s="6" t="str">
        <f t="shared" si="151"/>
        <v/>
      </c>
      <c r="E2292" s="6" t="str">
        <f t="shared" si="152"/>
        <v/>
      </c>
      <c r="F2292" s="6" t="str">
        <f t="shared" si="153"/>
        <v/>
      </c>
      <c r="G2292" s="4"/>
      <c r="H2292" s="4"/>
      <c r="I2292" s="4"/>
      <c r="J2292" s="4"/>
      <c r="K2292" s="4"/>
      <c r="L2292" s="4"/>
      <c r="M2292" s="4"/>
      <c r="N2292" s="4"/>
      <c r="O2292" s="4"/>
      <c r="P2292" s="4"/>
      <c r="Q2292" s="4"/>
      <c r="R2292" s="14"/>
      <c r="S2292" s="14"/>
      <c r="T2292" s="14"/>
      <c r="U2292" s="14"/>
      <c r="V2292" s="14"/>
      <c r="W2292" s="14"/>
      <c r="X2292" s="1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4"/>
      <c r="AU2292" s="4"/>
      <c r="AV2292" s="4"/>
      <c r="AW2292" s="4"/>
      <c r="AX2292" s="4"/>
      <c r="AY2292" s="4"/>
      <c r="AZ2292" s="4"/>
      <c r="BA2292" s="4"/>
      <c r="BB2292" s="4"/>
      <c r="BC2292" s="4"/>
      <c r="BD2292" s="4"/>
      <c r="BE2292" s="4"/>
      <c r="BG2292" s="4"/>
      <c r="BH2292" s="4"/>
    </row>
    <row r="2293" spans="1:60" x14ac:dyDescent="0.35">
      <c r="A2293" s="4"/>
      <c r="B2293" s="4"/>
      <c r="D2293" s="6" t="str">
        <f t="shared" si="151"/>
        <v/>
      </c>
      <c r="E2293" s="6" t="str">
        <f t="shared" si="152"/>
        <v/>
      </c>
      <c r="F2293" s="6" t="str">
        <f t="shared" si="153"/>
        <v/>
      </c>
      <c r="G2293" s="4"/>
      <c r="H2293" s="4"/>
      <c r="I2293" s="4"/>
      <c r="J2293" s="4"/>
      <c r="K2293" s="4"/>
      <c r="L2293" s="4"/>
      <c r="M2293" s="4"/>
      <c r="N2293" s="4"/>
      <c r="O2293" s="4"/>
      <c r="P2293" s="4"/>
      <c r="Q2293" s="4"/>
      <c r="R2293" s="14"/>
      <c r="S2293" s="14"/>
      <c r="T2293" s="14"/>
      <c r="U2293" s="14"/>
      <c r="V2293" s="14"/>
      <c r="W2293" s="14"/>
      <c r="X2293" s="14"/>
      <c r="Y2293" s="4"/>
      <c r="Z2293" s="4"/>
      <c r="AA2293" s="4"/>
      <c r="AB2293" s="4"/>
      <c r="AC2293" s="4"/>
      <c r="AD2293" s="4"/>
      <c r="AE2293" s="4"/>
      <c r="AF2293" s="4"/>
      <c r="AG2293" s="4"/>
      <c r="AH2293" s="4"/>
      <c r="AI2293" s="4"/>
      <c r="AJ2293" s="4"/>
      <c r="AK2293" s="4"/>
      <c r="AL2293" s="4"/>
      <c r="AM2293" s="4"/>
      <c r="AN2293" s="4"/>
      <c r="AO2293" s="4"/>
      <c r="AP2293" s="4"/>
      <c r="AQ2293" s="4"/>
      <c r="AR2293" s="4"/>
      <c r="AS2293" s="4"/>
      <c r="AT2293" s="4"/>
      <c r="AU2293" s="4"/>
      <c r="AV2293" s="4"/>
      <c r="AW2293" s="4"/>
      <c r="AX2293" s="4"/>
      <c r="AY2293" s="4"/>
      <c r="AZ2293" s="4"/>
      <c r="BA2293" s="4"/>
      <c r="BB2293" s="4"/>
      <c r="BC2293" s="4"/>
      <c r="BD2293" s="4"/>
      <c r="BE2293" s="4"/>
      <c r="BG2293" s="4"/>
      <c r="BH2293" s="4"/>
    </row>
    <row r="2294" spans="1:60" x14ac:dyDescent="0.35">
      <c r="A2294" s="4"/>
      <c r="B2294" s="4"/>
      <c r="D2294" s="6" t="str">
        <f t="shared" si="151"/>
        <v/>
      </c>
      <c r="E2294" s="6" t="str">
        <f t="shared" si="152"/>
        <v/>
      </c>
      <c r="F2294" s="6" t="str">
        <f t="shared" si="153"/>
        <v/>
      </c>
      <c r="G2294" s="4"/>
      <c r="H2294" s="4"/>
      <c r="I2294" s="4"/>
      <c r="J2294" s="4"/>
      <c r="K2294" s="4"/>
      <c r="L2294" s="4"/>
      <c r="M2294" s="4"/>
      <c r="N2294" s="4"/>
      <c r="O2294" s="4"/>
      <c r="P2294" s="4"/>
      <c r="Q2294" s="4"/>
      <c r="R2294" s="14"/>
      <c r="S2294" s="14"/>
      <c r="T2294" s="14"/>
      <c r="U2294" s="14"/>
      <c r="V2294" s="14"/>
      <c r="W2294" s="14"/>
      <c r="X2294" s="1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4"/>
      <c r="AU2294" s="4"/>
      <c r="AV2294" s="4"/>
      <c r="AW2294" s="4"/>
      <c r="AX2294" s="4"/>
      <c r="AY2294" s="4"/>
      <c r="AZ2294" s="4"/>
      <c r="BA2294" s="4"/>
      <c r="BB2294" s="4"/>
      <c r="BC2294" s="4"/>
      <c r="BD2294" s="4"/>
      <c r="BE2294" s="4"/>
      <c r="BG2294" s="4"/>
      <c r="BH2294" s="4"/>
    </row>
    <row r="2295" spans="1:60" x14ac:dyDescent="0.35">
      <c r="A2295" s="4"/>
      <c r="B2295" s="4"/>
      <c r="D2295" s="6" t="str">
        <f t="shared" si="151"/>
        <v/>
      </c>
      <c r="E2295" s="6" t="str">
        <f t="shared" si="152"/>
        <v/>
      </c>
      <c r="F2295" s="6" t="str">
        <f t="shared" si="153"/>
        <v/>
      </c>
      <c r="G2295" s="4"/>
      <c r="H2295" s="4"/>
      <c r="I2295" s="4"/>
      <c r="J2295" s="4"/>
      <c r="K2295" s="4"/>
      <c r="L2295" s="4"/>
      <c r="M2295" s="4"/>
      <c r="N2295" s="4"/>
      <c r="O2295" s="4"/>
      <c r="P2295" s="4"/>
      <c r="Q2295" s="4"/>
      <c r="R2295" s="14"/>
      <c r="S2295" s="14"/>
      <c r="T2295" s="14"/>
      <c r="U2295" s="14"/>
      <c r="V2295" s="14"/>
      <c r="W2295" s="14"/>
      <c r="X2295" s="14"/>
      <c r="Y2295" s="4"/>
      <c r="Z2295" s="4"/>
      <c r="AA2295" s="4"/>
      <c r="AB2295" s="4"/>
      <c r="AC2295" s="4"/>
      <c r="AD2295" s="4"/>
      <c r="AE2295" s="4"/>
      <c r="AF2295" s="4"/>
      <c r="AG2295" s="4"/>
      <c r="AH2295" s="4"/>
      <c r="AI2295" s="4"/>
      <c r="AJ2295" s="4"/>
      <c r="AK2295" s="4"/>
      <c r="AL2295" s="4"/>
      <c r="AM2295" s="4"/>
      <c r="AN2295" s="4"/>
      <c r="AO2295" s="4"/>
      <c r="AP2295" s="4"/>
      <c r="AQ2295" s="4"/>
      <c r="AR2295" s="4"/>
      <c r="AS2295" s="4"/>
      <c r="AT2295" s="4"/>
      <c r="AU2295" s="4"/>
      <c r="AV2295" s="4"/>
      <c r="AW2295" s="4"/>
      <c r="AX2295" s="4"/>
      <c r="AY2295" s="4"/>
      <c r="AZ2295" s="4"/>
      <c r="BA2295" s="4"/>
      <c r="BB2295" s="4"/>
      <c r="BC2295" s="4"/>
      <c r="BD2295" s="4"/>
      <c r="BE2295" s="4"/>
      <c r="BG2295" s="4"/>
      <c r="BH2295" s="4"/>
    </row>
    <row r="2296" spans="1:60" x14ac:dyDescent="0.35">
      <c r="A2296" s="4"/>
      <c r="B2296" s="4"/>
      <c r="D2296" s="6" t="str">
        <f t="shared" si="151"/>
        <v/>
      </c>
      <c r="E2296" s="6" t="str">
        <f t="shared" si="152"/>
        <v/>
      </c>
      <c r="F2296" s="6" t="str">
        <f t="shared" si="153"/>
        <v/>
      </c>
      <c r="G2296" s="4"/>
      <c r="H2296" s="4"/>
      <c r="I2296" s="4"/>
      <c r="J2296" s="4"/>
      <c r="K2296" s="4"/>
      <c r="L2296" s="4"/>
      <c r="M2296" s="4"/>
      <c r="N2296" s="4"/>
      <c r="O2296" s="4"/>
      <c r="P2296" s="4"/>
      <c r="Q2296" s="4"/>
      <c r="R2296" s="14"/>
      <c r="S2296" s="14"/>
      <c r="T2296" s="14"/>
      <c r="U2296" s="14"/>
      <c r="V2296" s="14"/>
      <c r="W2296" s="14"/>
      <c r="X2296" s="1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c r="AV2296" s="4"/>
      <c r="AW2296" s="4"/>
      <c r="AX2296" s="4"/>
      <c r="AY2296" s="4"/>
      <c r="AZ2296" s="4"/>
      <c r="BA2296" s="4"/>
      <c r="BB2296" s="4"/>
      <c r="BC2296" s="4"/>
      <c r="BD2296" s="4"/>
      <c r="BE2296" s="4"/>
      <c r="BG2296" s="4"/>
      <c r="BH2296" s="4"/>
    </row>
    <row r="2297" spans="1:60" x14ac:dyDescent="0.35">
      <c r="A2297" s="4"/>
      <c r="B2297" s="4"/>
      <c r="D2297" s="6" t="str">
        <f t="shared" si="151"/>
        <v/>
      </c>
      <c r="E2297" s="6" t="str">
        <f t="shared" si="152"/>
        <v/>
      </c>
      <c r="F2297" s="6" t="str">
        <f t="shared" si="153"/>
        <v/>
      </c>
      <c r="G2297" s="4"/>
      <c r="H2297" s="4"/>
      <c r="I2297" s="4"/>
      <c r="J2297" s="4"/>
      <c r="K2297" s="4"/>
      <c r="L2297" s="4"/>
      <c r="M2297" s="4"/>
      <c r="N2297" s="4"/>
      <c r="O2297" s="4"/>
      <c r="P2297" s="4"/>
      <c r="Q2297" s="4"/>
      <c r="R2297" s="14"/>
      <c r="S2297" s="14"/>
      <c r="T2297" s="14"/>
      <c r="U2297" s="14"/>
      <c r="V2297" s="14"/>
      <c r="W2297" s="14"/>
      <c r="X2297" s="1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c r="AV2297" s="4"/>
      <c r="AW2297" s="4"/>
      <c r="AX2297" s="4"/>
      <c r="AY2297" s="4"/>
      <c r="AZ2297" s="4"/>
      <c r="BA2297" s="4"/>
      <c r="BB2297" s="4"/>
      <c r="BC2297" s="4"/>
      <c r="BD2297" s="4"/>
      <c r="BE2297" s="4"/>
      <c r="BG2297" s="4"/>
      <c r="BH2297" s="4"/>
    </row>
    <row r="2298" spans="1:60" x14ac:dyDescent="0.35">
      <c r="A2298" s="4"/>
      <c r="B2298" s="4"/>
      <c r="D2298" s="6" t="str">
        <f t="shared" si="151"/>
        <v/>
      </c>
      <c r="E2298" s="6" t="str">
        <f t="shared" si="152"/>
        <v/>
      </c>
      <c r="F2298" s="6" t="str">
        <f t="shared" si="153"/>
        <v/>
      </c>
      <c r="G2298" s="4"/>
      <c r="H2298" s="4"/>
      <c r="I2298" s="4"/>
      <c r="J2298" s="4"/>
      <c r="K2298" s="4"/>
      <c r="L2298" s="4"/>
      <c r="M2298" s="4"/>
      <c r="N2298" s="4"/>
      <c r="O2298" s="4"/>
      <c r="P2298" s="4"/>
      <c r="Q2298" s="4"/>
      <c r="R2298" s="14"/>
      <c r="S2298" s="14"/>
      <c r="T2298" s="14"/>
      <c r="U2298" s="14"/>
      <c r="V2298" s="14"/>
      <c r="W2298" s="14"/>
      <c r="X2298" s="1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4"/>
      <c r="AU2298" s="4"/>
      <c r="AV2298" s="4"/>
      <c r="AW2298" s="4"/>
      <c r="AX2298" s="4"/>
      <c r="AY2298" s="4"/>
      <c r="AZ2298" s="4"/>
      <c r="BA2298" s="4"/>
      <c r="BB2298" s="4"/>
      <c r="BC2298" s="4"/>
      <c r="BD2298" s="4"/>
      <c r="BE2298" s="4"/>
      <c r="BG2298" s="4"/>
      <c r="BH2298" s="4"/>
    </row>
    <row r="2299" spans="1:60" x14ac:dyDescent="0.35">
      <c r="A2299" s="4"/>
      <c r="B2299" s="4"/>
      <c r="D2299" s="6" t="str">
        <f t="shared" si="151"/>
        <v/>
      </c>
      <c r="E2299" s="6" t="str">
        <f t="shared" si="152"/>
        <v/>
      </c>
      <c r="F2299" s="6" t="str">
        <f t="shared" si="153"/>
        <v/>
      </c>
      <c r="G2299" s="4"/>
      <c r="H2299" s="4"/>
      <c r="I2299" s="4"/>
      <c r="J2299" s="4"/>
      <c r="K2299" s="4"/>
      <c r="L2299" s="4"/>
      <c r="M2299" s="4"/>
      <c r="N2299" s="4"/>
      <c r="O2299" s="4"/>
      <c r="P2299" s="4"/>
      <c r="Q2299" s="4"/>
      <c r="R2299" s="14"/>
      <c r="S2299" s="14"/>
      <c r="T2299" s="14"/>
      <c r="U2299" s="14"/>
      <c r="V2299" s="14"/>
      <c r="W2299" s="14"/>
      <c r="X2299" s="1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c r="AV2299" s="4"/>
      <c r="AW2299" s="4"/>
      <c r="AX2299" s="4"/>
      <c r="AY2299" s="4"/>
      <c r="AZ2299" s="4"/>
      <c r="BA2299" s="4"/>
      <c r="BB2299" s="4"/>
      <c r="BC2299" s="4"/>
      <c r="BD2299" s="4"/>
      <c r="BE2299" s="4"/>
      <c r="BG2299" s="4"/>
      <c r="BH2299" s="4"/>
    </row>
    <row r="2300" spans="1:60" x14ac:dyDescent="0.35">
      <c r="A2300" s="4"/>
      <c r="B2300" s="4"/>
      <c r="D2300" s="6" t="str">
        <f t="shared" si="151"/>
        <v/>
      </c>
      <c r="E2300" s="6" t="str">
        <f t="shared" si="152"/>
        <v/>
      </c>
      <c r="F2300" s="6" t="str">
        <f t="shared" si="153"/>
        <v/>
      </c>
      <c r="G2300" s="4"/>
      <c r="H2300" s="4"/>
      <c r="I2300" s="4"/>
      <c r="J2300" s="4"/>
      <c r="K2300" s="4"/>
      <c r="L2300" s="4"/>
      <c r="M2300" s="4"/>
      <c r="N2300" s="4"/>
      <c r="O2300" s="4"/>
      <c r="P2300" s="4"/>
      <c r="Q2300" s="4"/>
      <c r="R2300" s="14"/>
      <c r="S2300" s="14"/>
      <c r="T2300" s="14"/>
      <c r="U2300" s="14"/>
      <c r="V2300" s="14"/>
      <c r="W2300" s="14"/>
      <c r="X2300" s="1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c r="AX2300" s="4"/>
      <c r="AY2300" s="4"/>
      <c r="AZ2300" s="4"/>
      <c r="BA2300" s="4"/>
      <c r="BB2300" s="4"/>
      <c r="BC2300" s="4"/>
      <c r="BD2300" s="4"/>
      <c r="BE2300" s="4"/>
      <c r="BG2300" s="4"/>
      <c r="BH2300" s="4"/>
    </row>
    <row r="2301" spans="1:60" x14ac:dyDescent="0.35">
      <c r="A2301" s="4"/>
      <c r="B2301" s="4"/>
      <c r="D2301" s="6" t="str">
        <f t="shared" ref="D2301:D2364" si="154">IF(C2301="","",VLOOKUP(C2301,district_region,2,FALSE))</f>
        <v/>
      </c>
      <c r="E2301" s="6" t="str">
        <f t="shared" ref="E2301:E2364" si="155">IF(C2301="","",VLOOKUP(C2301,liste_pop,3,FALSE))</f>
        <v/>
      </c>
      <c r="F2301" s="6" t="str">
        <f t="shared" ref="F2301:F2364" si="156">IF(D2301="","",IF(D2301="Dakar",4042240,VLOOKUP(D2301,liste_pop,4,FALSE)))</f>
        <v/>
      </c>
      <c r="G2301" s="4"/>
      <c r="H2301" s="4"/>
      <c r="I2301" s="4"/>
      <c r="J2301" s="4"/>
      <c r="K2301" s="4"/>
      <c r="L2301" s="4"/>
      <c r="M2301" s="4"/>
      <c r="N2301" s="4"/>
      <c r="O2301" s="4"/>
      <c r="P2301" s="4"/>
      <c r="Q2301" s="4"/>
      <c r="R2301" s="14"/>
      <c r="S2301" s="14"/>
      <c r="T2301" s="14"/>
      <c r="U2301" s="14"/>
      <c r="V2301" s="14"/>
      <c r="W2301" s="14"/>
      <c r="X2301" s="1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4"/>
      <c r="AU2301" s="4"/>
      <c r="AV2301" s="4"/>
      <c r="AW2301" s="4"/>
      <c r="AX2301" s="4"/>
      <c r="AY2301" s="4"/>
      <c r="AZ2301" s="4"/>
      <c r="BA2301" s="4"/>
      <c r="BB2301" s="4"/>
      <c r="BC2301" s="4"/>
      <c r="BD2301" s="4"/>
      <c r="BE2301" s="4"/>
      <c r="BG2301" s="4"/>
      <c r="BH2301" s="4"/>
    </row>
    <row r="2302" spans="1:60" x14ac:dyDescent="0.35">
      <c r="A2302" s="4"/>
      <c r="B2302" s="4"/>
      <c r="D2302" s="6" t="str">
        <f t="shared" si="154"/>
        <v/>
      </c>
      <c r="E2302" s="6" t="str">
        <f t="shared" si="155"/>
        <v/>
      </c>
      <c r="F2302" s="6" t="str">
        <f t="shared" si="156"/>
        <v/>
      </c>
      <c r="G2302" s="4"/>
      <c r="H2302" s="4"/>
      <c r="I2302" s="4"/>
      <c r="J2302" s="4"/>
      <c r="K2302" s="4"/>
      <c r="L2302" s="4"/>
      <c r="M2302" s="4"/>
      <c r="N2302" s="4"/>
      <c r="O2302" s="4"/>
      <c r="P2302" s="4"/>
      <c r="Q2302" s="4"/>
      <c r="R2302" s="14"/>
      <c r="S2302" s="14"/>
      <c r="T2302" s="14"/>
      <c r="U2302" s="14"/>
      <c r="V2302" s="14"/>
      <c r="W2302" s="14"/>
      <c r="X2302" s="1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4"/>
      <c r="AU2302" s="4"/>
      <c r="AV2302" s="4"/>
      <c r="AW2302" s="4"/>
      <c r="AX2302" s="4"/>
      <c r="AY2302" s="4"/>
      <c r="AZ2302" s="4"/>
      <c r="BA2302" s="4"/>
      <c r="BB2302" s="4"/>
      <c r="BC2302" s="4"/>
      <c r="BD2302" s="4"/>
      <c r="BE2302" s="4"/>
      <c r="BG2302" s="4"/>
      <c r="BH2302" s="4"/>
    </row>
    <row r="2303" spans="1:60" x14ac:dyDescent="0.35">
      <c r="A2303" s="4"/>
      <c r="B2303" s="4"/>
      <c r="D2303" s="6" t="str">
        <f t="shared" si="154"/>
        <v/>
      </c>
      <c r="E2303" s="6" t="str">
        <f t="shared" si="155"/>
        <v/>
      </c>
      <c r="F2303" s="6" t="str">
        <f t="shared" si="156"/>
        <v/>
      </c>
      <c r="G2303" s="4"/>
      <c r="H2303" s="4"/>
      <c r="I2303" s="4"/>
      <c r="J2303" s="4"/>
      <c r="K2303" s="4"/>
      <c r="L2303" s="4"/>
      <c r="M2303" s="4"/>
      <c r="N2303" s="4"/>
      <c r="O2303" s="4"/>
      <c r="P2303" s="4"/>
      <c r="Q2303" s="4"/>
      <c r="R2303" s="14"/>
      <c r="S2303" s="14"/>
      <c r="T2303" s="14"/>
      <c r="U2303" s="14"/>
      <c r="V2303" s="14"/>
      <c r="W2303" s="14"/>
      <c r="X2303" s="14"/>
      <c r="Y2303" s="4"/>
      <c r="Z2303" s="4"/>
      <c r="AA2303" s="4"/>
      <c r="AB2303" s="4"/>
      <c r="AC2303" s="4"/>
      <c r="AD2303" s="4"/>
      <c r="AE2303" s="4"/>
      <c r="AF2303" s="4"/>
      <c r="AG2303" s="4"/>
      <c r="AH2303" s="4"/>
      <c r="AI2303" s="4"/>
      <c r="AJ2303" s="4"/>
      <c r="AK2303" s="4"/>
      <c r="AL2303" s="4"/>
      <c r="AM2303" s="4"/>
      <c r="AN2303" s="4"/>
      <c r="AO2303" s="4"/>
      <c r="AP2303" s="4"/>
      <c r="AQ2303" s="4"/>
      <c r="AR2303" s="4"/>
      <c r="AS2303" s="4"/>
      <c r="AT2303" s="4"/>
      <c r="AU2303" s="4"/>
      <c r="AV2303" s="4"/>
      <c r="AW2303" s="4"/>
      <c r="AX2303" s="4"/>
      <c r="AY2303" s="4"/>
      <c r="AZ2303" s="4"/>
      <c r="BA2303" s="4"/>
      <c r="BB2303" s="4"/>
      <c r="BC2303" s="4"/>
      <c r="BD2303" s="4"/>
      <c r="BE2303" s="4"/>
      <c r="BG2303" s="4"/>
      <c r="BH2303" s="4"/>
    </row>
    <row r="2304" spans="1:60" x14ac:dyDescent="0.35">
      <c r="A2304" s="4"/>
      <c r="B2304" s="4"/>
      <c r="D2304" s="6" t="str">
        <f t="shared" si="154"/>
        <v/>
      </c>
      <c r="E2304" s="6" t="str">
        <f t="shared" si="155"/>
        <v/>
      </c>
      <c r="F2304" s="6" t="str">
        <f t="shared" si="156"/>
        <v/>
      </c>
      <c r="G2304" s="4"/>
      <c r="H2304" s="4"/>
      <c r="I2304" s="4"/>
      <c r="J2304" s="4"/>
      <c r="K2304" s="4"/>
      <c r="L2304" s="4"/>
      <c r="M2304" s="4"/>
      <c r="N2304" s="4"/>
      <c r="O2304" s="4"/>
      <c r="P2304" s="4"/>
      <c r="Q2304" s="4"/>
      <c r="R2304" s="14"/>
      <c r="S2304" s="14"/>
      <c r="T2304" s="14"/>
      <c r="U2304" s="14"/>
      <c r="V2304" s="14"/>
      <c r="W2304" s="14"/>
      <c r="X2304" s="1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4"/>
      <c r="AU2304" s="4"/>
      <c r="AV2304" s="4"/>
      <c r="AW2304" s="4"/>
      <c r="AX2304" s="4"/>
      <c r="AY2304" s="4"/>
      <c r="AZ2304" s="4"/>
      <c r="BA2304" s="4"/>
      <c r="BB2304" s="4"/>
      <c r="BC2304" s="4"/>
      <c r="BD2304" s="4"/>
      <c r="BE2304" s="4"/>
      <c r="BG2304" s="4"/>
      <c r="BH2304" s="4"/>
    </row>
    <row r="2305" spans="1:60" x14ac:dyDescent="0.35">
      <c r="A2305" s="4"/>
      <c r="B2305" s="4"/>
      <c r="D2305" s="6" t="str">
        <f t="shared" si="154"/>
        <v/>
      </c>
      <c r="E2305" s="6" t="str">
        <f t="shared" si="155"/>
        <v/>
      </c>
      <c r="F2305" s="6" t="str">
        <f t="shared" si="156"/>
        <v/>
      </c>
      <c r="G2305" s="4"/>
      <c r="H2305" s="4"/>
      <c r="I2305" s="4"/>
      <c r="J2305" s="4"/>
      <c r="K2305" s="4"/>
      <c r="L2305" s="4"/>
      <c r="M2305" s="4"/>
      <c r="N2305" s="4"/>
      <c r="O2305" s="4"/>
      <c r="P2305" s="4"/>
      <c r="Q2305" s="4"/>
      <c r="R2305" s="14"/>
      <c r="S2305" s="14"/>
      <c r="T2305" s="14"/>
      <c r="U2305" s="14"/>
      <c r="V2305" s="14"/>
      <c r="W2305" s="14"/>
      <c r="X2305" s="1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4"/>
      <c r="AU2305" s="4"/>
      <c r="AV2305" s="4"/>
      <c r="AW2305" s="4"/>
      <c r="AX2305" s="4"/>
      <c r="AY2305" s="4"/>
      <c r="AZ2305" s="4"/>
      <c r="BA2305" s="4"/>
      <c r="BB2305" s="4"/>
      <c r="BC2305" s="4"/>
      <c r="BD2305" s="4"/>
      <c r="BE2305" s="4"/>
      <c r="BG2305" s="4"/>
      <c r="BH2305" s="4"/>
    </row>
    <row r="2306" spans="1:60" x14ac:dyDescent="0.35">
      <c r="A2306" s="4"/>
      <c r="B2306" s="4"/>
      <c r="D2306" s="6" t="str">
        <f t="shared" si="154"/>
        <v/>
      </c>
      <c r="E2306" s="6" t="str">
        <f t="shared" si="155"/>
        <v/>
      </c>
      <c r="F2306" s="6" t="str">
        <f t="shared" si="156"/>
        <v/>
      </c>
      <c r="G2306" s="4"/>
      <c r="H2306" s="4"/>
      <c r="I2306" s="4"/>
      <c r="J2306" s="4"/>
      <c r="K2306" s="4"/>
      <c r="L2306" s="4"/>
      <c r="M2306" s="4"/>
      <c r="N2306" s="4"/>
      <c r="O2306" s="4"/>
      <c r="P2306" s="4"/>
      <c r="Q2306" s="4"/>
      <c r="R2306" s="14"/>
      <c r="S2306" s="14"/>
      <c r="T2306" s="14"/>
      <c r="U2306" s="14"/>
      <c r="V2306" s="14"/>
      <c r="W2306" s="14"/>
      <c r="X2306" s="1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4"/>
      <c r="AU2306" s="4"/>
      <c r="AV2306" s="4"/>
      <c r="AW2306" s="4"/>
      <c r="AX2306" s="4"/>
      <c r="AY2306" s="4"/>
      <c r="AZ2306" s="4"/>
      <c r="BA2306" s="4"/>
      <c r="BB2306" s="4"/>
      <c r="BC2306" s="4"/>
      <c r="BD2306" s="4"/>
      <c r="BE2306" s="4"/>
      <c r="BG2306" s="4"/>
      <c r="BH2306" s="4"/>
    </row>
    <row r="2307" spans="1:60" x14ac:dyDescent="0.35">
      <c r="A2307" s="4"/>
      <c r="B2307" s="4"/>
      <c r="D2307" s="6" t="str">
        <f t="shared" si="154"/>
        <v/>
      </c>
      <c r="E2307" s="6" t="str">
        <f t="shared" si="155"/>
        <v/>
      </c>
      <c r="F2307" s="6" t="str">
        <f t="shared" si="156"/>
        <v/>
      </c>
      <c r="G2307" s="4"/>
      <c r="H2307" s="4"/>
      <c r="I2307" s="4"/>
      <c r="J2307" s="4"/>
      <c r="K2307" s="4"/>
      <c r="L2307" s="4"/>
      <c r="M2307" s="4"/>
      <c r="N2307" s="4"/>
      <c r="O2307" s="4"/>
      <c r="P2307" s="4"/>
      <c r="Q2307" s="4"/>
      <c r="R2307" s="14"/>
      <c r="S2307" s="14"/>
      <c r="T2307" s="14"/>
      <c r="U2307" s="14"/>
      <c r="V2307" s="14"/>
      <c r="W2307" s="14"/>
      <c r="X2307" s="1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c r="AV2307" s="4"/>
      <c r="AW2307" s="4"/>
      <c r="AX2307" s="4"/>
      <c r="AY2307" s="4"/>
      <c r="AZ2307" s="4"/>
      <c r="BA2307" s="4"/>
      <c r="BB2307" s="4"/>
      <c r="BC2307" s="4"/>
      <c r="BD2307" s="4"/>
      <c r="BE2307" s="4"/>
      <c r="BG2307" s="4"/>
      <c r="BH2307" s="4"/>
    </row>
    <row r="2308" spans="1:60" x14ac:dyDescent="0.35">
      <c r="A2308" s="4"/>
      <c r="B2308" s="4"/>
      <c r="D2308" s="6" t="str">
        <f t="shared" si="154"/>
        <v/>
      </c>
      <c r="E2308" s="6" t="str">
        <f t="shared" si="155"/>
        <v/>
      </c>
      <c r="F2308" s="6" t="str">
        <f t="shared" si="156"/>
        <v/>
      </c>
      <c r="G2308" s="4"/>
      <c r="H2308" s="4"/>
      <c r="I2308" s="4"/>
      <c r="J2308" s="4"/>
      <c r="K2308" s="4"/>
      <c r="L2308" s="4"/>
      <c r="M2308" s="4"/>
      <c r="N2308" s="4"/>
      <c r="O2308" s="4"/>
      <c r="P2308" s="4"/>
      <c r="Q2308" s="4"/>
      <c r="R2308" s="14"/>
      <c r="S2308" s="14"/>
      <c r="T2308" s="14"/>
      <c r="U2308" s="14"/>
      <c r="V2308" s="14"/>
      <c r="W2308" s="14"/>
      <c r="X2308" s="14"/>
      <c r="Y2308" s="4"/>
      <c r="Z2308" s="4"/>
      <c r="AA2308" s="4"/>
      <c r="AB2308" s="4"/>
      <c r="AC2308" s="4"/>
      <c r="AD2308" s="4"/>
      <c r="AE2308" s="4"/>
      <c r="AF2308" s="4"/>
      <c r="AG2308" s="4"/>
      <c r="AH2308" s="4"/>
      <c r="AI2308" s="4"/>
      <c r="AJ2308" s="4"/>
      <c r="AK2308" s="4"/>
      <c r="AL2308" s="4"/>
      <c r="AM2308" s="4"/>
      <c r="AN2308" s="4"/>
      <c r="AO2308" s="4"/>
      <c r="AP2308" s="4"/>
      <c r="AQ2308" s="4"/>
      <c r="AR2308" s="4"/>
      <c r="AS2308" s="4"/>
      <c r="AT2308" s="4"/>
      <c r="AU2308" s="4"/>
      <c r="AV2308" s="4"/>
      <c r="AW2308" s="4"/>
      <c r="AX2308" s="4"/>
      <c r="AY2308" s="4"/>
      <c r="AZ2308" s="4"/>
      <c r="BA2308" s="4"/>
      <c r="BB2308" s="4"/>
      <c r="BC2308" s="4"/>
      <c r="BD2308" s="4"/>
      <c r="BE2308" s="4"/>
      <c r="BG2308" s="4"/>
      <c r="BH2308" s="4"/>
    </row>
    <row r="2309" spans="1:60" x14ac:dyDescent="0.35">
      <c r="A2309" s="4"/>
      <c r="B2309" s="4"/>
      <c r="D2309" s="6" t="str">
        <f t="shared" si="154"/>
        <v/>
      </c>
      <c r="E2309" s="6" t="str">
        <f t="shared" si="155"/>
        <v/>
      </c>
      <c r="F2309" s="6" t="str">
        <f t="shared" si="156"/>
        <v/>
      </c>
      <c r="G2309" s="4"/>
      <c r="H2309" s="4"/>
      <c r="I2309" s="4"/>
      <c r="J2309" s="4"/>
      <c r="K2309" s="4"/>
      <c r="L2309" s="4"/>
      <c r="M2309" s="4"/>
      <c r="N2309" s="4"/>
      <c r="O2309" s="4"/>
      <c r="P2309" s="4"/>
      <c r="Q2309" s="4"/>
      <c r="R2309" s="14"/>
      <c r="S2309" s="14"/>
      <c r="T2309" s="14"/>
      <c r="U2309" s="14"/>
      <c r="V2309" s="14"/>
      <c r="W2309" s="14"/>
      <c r="X2309" s="1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4"/>
      <c r="AU2309" s="4"/>
      <c r="AV2309" s="4"/>
      <c r="AW2309" s="4"/>
      <c r="AX2309" s="4"/>
      <c r="AY2309" s="4"/>
      <c r="AZ2309" s="4"/>
      <c r="BA2309" s="4"/>
      <c r="BB2309" s="4"/>
      <c r="BC2309" s="4"/>
      <c r="BD2309" s="4"/>
      <c r="BE2309" s="4"/>
      <c r="BG2309" s="4"/>
      <c r="BH2309" s="4"/>
    </row>
    <row r="2310" spans="1:60" x14ac:dyDescent="0.35">
      <c r="A2310" s="4"/>
      <c r="B2310" s="4"/>
      <c r="D2310" s="6" t="str">
        <f t="shared" si="154"/>
        <v/>
      </c>
      <c r="E2310" s="6" t="str">
        <f t="shared" si="155"/>
        <v/>
      </c>
      <c r="F2310" s="6" t="str">
        <f t="shared" si="156"/>
        <v/>
      </c>
      <c r="G2310" s="4"/>
      <c r="H2310" s="4"/>
      <c r="I2310" s="4"/>
      <c r="J2310" s="4"/>
      <c r="K2310" s="4"/>
      <c r="L2310" s="4"/>
      <c r="M2310" s="4"/>
      <c r="N2310" s="4"/>
      <c r="O2310" s="4"/>
      <c r="P2310" s="4"/>
      <c r="Q2310" s="4"/>
      <c r="R2310" s="14"/>
      <c r="S2310" s="14"/>
      <c r="T2310" s="14"/>
      <c r="U2310" s="14"/>
      <c r="V2310" s="14"/>
      <c r="W2310" s="14"/>
      <c r="X2310" s="1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4"/>
      <c r="AU2310" s="4"/>
      <c r="AV2310" s="4"/>
      <c r="AW2310" s="4"/>
      <c r="AX2310" s="4"/>
      <c r="AY2310" s="4"/>
      <c r="AZ2310" s="4"/>
      <c r="BA2310" s="4"/>
      <c r="BB2310" s="4"/>
      <c r="BC2310" s="4"/>
      <c r="BD2310" s="4"/>
      <c r="BE2310" s="4"/>
      <c r="BG2310" s="4"/>
      <c r="BH2310" s="4"/>
    </row>
    <row r="2311" spans="1:60" x14ac:dyDescent="0.35">
      <c r="A2311" s="4"/>
      <c r="B2311" s="4"/>
      <c r="D2311" s="6" t="str">
        <f t="shared" si="154"/>
        <v/>
      </c>
      <c r="E2311" s="6" t="str">
        <f t="shared" si="155"/>
        <v/>
      </c>
      <c r="F2311" s="6" t="str">
        <f t="shared" si="156"/>
        <v/>
      </c>
      <c r="G2311" s="4"/>
      <c r="H2311" s="4"/>
      <c r="I2311" s="4"/>
      <c r="J2311" s="4"/>
      <c r="K2311" s="4"/>
      <c r="L2311" s="4"/>
      <c r="M2311" s="4"/>
      <c r="N2311" s="4"/>
      <c r="O2311" s="4"/>
      <c r="P2311" s="4"/>
      <c r="Q2311" s="4"/>
      <c r="R2311" s="14"/>
      <c r="S2311" s="14"/>
      <c r="T2311" s="14"/>
      <c r="U2311" s="14"/>
      <c r="V2311" s="14"/>
      <c r="W2311" s="14"/>
      <c r="X2311" s="1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4"/>
      <c r="AU2311" s="4"/>
      <c r="AV2311" s="4"/>
      <c r="AW2311" s="4"/>
      <c r="AX2311" s="4"/>
      <c r="AY2311" s="4"/>
      <c r="AZ2311" s="4"/>
      <c r="BA2311" s="4"/>
      <c r="BB2311" s="4"/>
      <c r="BC2311" s="4"/>
      <c r="BD2311" s="4"/>
      <c r="BE2311" s="4"/>
      <c r="BG2311" s="4"/>
      <c r="BH2311" s="4"/>
    </row>
    <row r="2312" spans="1:60" x14ac:dyDescent="0.35">
      <c r="A2312" s="4"/>
      <c r="B2312" s="4"/>
      <c r="D2312" s="6" t="str">
        <f t="shared" si="154"/>
        <v/>
      </c>
      <c r="E2312" s="6" t="str">
        <f t="shared" si="155"/>
        <v/>
      </c>
      <c r="F2312" s="6" t="str">
        <f t="shared" si="156"/>
        <v/>
      </c>
      <c r="G2312" s="4"/>
      <c r="H2312" s="4"/>
      <c r="I2312" s="4"/>
      <c r="J2312" s="4"/>
      <c r="K2312" s="4"/>
      <c r="L2312" s="4"/>
      <c r="M2312" s="4"/>
      <c r="N2312" s="4"/>
      <c r="O2312" s="4"/>
      <c r="P2312" s="4"/>
      <c r="Q2312" s="4"/>
      <c r="R2312" s="14"/>
      <c r="S2312" s="14"/>
      <c r="T2312" s="14"/>
      <c r="U2312" s="14"/>
      <c r="V2312" s="14"/>
      <c r="W2312" s="14"/>
      <c r="X2312" s="1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4"/>
      <c r="AU2312" s="4"/>
      <c r="AV2312" s="4"/>
      <c r="AW2312" s="4"/>
      <c r="AX2312" s="4"/>
      <c r="AY2312" s="4"/>
      <c r="AZ2312" s="4"/>
      <c r="BA2312" s="4"/>
      <c r="BB2312" s="4"/>
      <c r="BC2312" s="4"/>
      <c r="BD2312" s="4"/>
      <c r="BE2312" s="4"/>
      <c r="BG2312" s="4"/>
      <c r="BH2312" s="4"/>
    </row>
    <row r="2313" spans="1:60" x14ac:dyDescent="0.35">
      <c r="A2313" s="4"/>
      <c r="B2313" s="4"/>
      <c r="D2313" s="6" t="str">
        <f t="shared" si="154"/>
        <v/>
      </c>
      <c r="E2313" s="6" t="str">
        <f t="shared" si="155"/>
        <v/>
      </c>
      <c r="F2313" s="6" t="str">
        <f t="shared" si="156"/>
        <v/>
      </c>
      <c r="G2313" s="4"/>
      <c r="H2313" s="4"/>
      <c r="I2313" s="4"/>
      <c r="J2313" s="4"/>
      <c r="K2313" s="4"/>
      <c r="L2313" s="4"/>
      <c r="M2313" s="4"/>
      <c r="N2313" s="4"/>
      <c r="O2313" s="4"/>
      <c r="P2313" s="4"/>
      <c r="Q2313" s="4"/>
      <c r="R2313" s="14"/>
      <c r="S2313" s="14"/>
      <c r="T2313" s="14"/>
      <c r="U2313" s="14"/>
      <c r="V2313" s="14"/>
      <c r="W2313" s="14"/>
      <c r="X2313" s="14"/>
      <c r="Y2313" s="4"/>
      <c r="Z2313" s="4"/>
      <c r="AA2313" s="4"/>
      <c r="AB2313" s="4"/>
      <c r="AC2313" s="4"/>
      <c r="AD2313" s="4"/>
      <c r="AE2313" s="4"/>
      <c r="AF2313" s="4"/>
      <c r="AG2313" s="4"/>
      <c r="AH2313" s="4"/>
      <c r="AI2313" s="4"/>
      <c r="AJ2313" s="4"/>
      <c r="AK2313" s="4"/>
      <c r="AL2313" s="4"/>
      <c r="AM2313" s="4"/>
      <c r="AN2313" s="4"/>
      <c r="AO2313" s="4"/>
      <c r="AP2313" s="4"/>
      <c r="AQ2313" s="4"/>
      <c r="AR2313" s="4"/>
      <c r="AS2313" s="4"/>
      <c r="AT2313" s="4"/>
      <c r="AU2313" s="4"/>
      <c r="AV2313" s="4"/>
      <c r="AW2313" s="4"/>
      <c r="AX2313" s="4"/>
      <c r="AY2313" s="4"/>
      <c r="AZ2313" s="4"/>
      <c r="BA2313" s="4"/>
      <c r="BB2313" s="4"/>
      <c r="BC2313" s="4"/>
      <c r="BD2313" s="4"/>
      <c r="BE2313" s="4"/>
      <c r="BG2313" s="4"/>
      <c r="BH2313" s="4"/>
    </row>
    <row r="2314" spans="1:60" x14ac:dyDescent="0.35">
      <c r="A2314" s="4"/>
      <c r="B2314" s="4"/>
      <c r="D2314" s="6" t="str">
        <f t="shared" si="154"/>
        <v/>
      </c>
      <c r="E2314" s="6" t="str">
        <f t="shared" si="155"/>
        <v/>
      </c>
      <c r="F2314" s="6" t="str">
        <f t="shared" si="156"/>
        <v/>
      </c>
      <c r="G2314" s="4"/>
      <c r="H2314" s="4"/>
      <c r="I2314" s="4"/>
      <c r="J2314" s="4"/>
      <c r="K2314" s="4"/>
      <c r="L2314" s="4"/>
      <c r="M2314" s="4"/>
      <c r="N2314" s="4"/>
      <c r="O2314" s="4"/>
      <c r="P2314" s="4"/>
      <c r="Q2314" s="4"/>
      <c r="R2314" s="14"/>
      <c r="S2314" s="14"/>
      <c r="T2314" s="14"/>
      <c r="U2314" s="14"/>
      <c r="V2314" s="14"/>
      <c r="W2314" s="14"/>
      <c r="X2314" s="1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4"/>
      <c r="AU2314" s="4"/>
      <c r="AV2314" s="4"/>
      <c r="AW2314" s="4"/>
      <c r="AX2314" s="4"/>
      <c r="AY2314" s="4"/>
      <c r="AZ2314" s="4"/>
      <c r="BA2314" s="4"/>
      <c r="BB2314" s="4"/>
      <c r="BC2314" s="4"/>
      <c r="BD2314" s="4"/>
      <c r="BE2314" s="4"/>
      <c r="BG2314" s="4"/>
      <c r="BH2314" s="4"/>
    </row>
    <row r="2315" spans="1:60" x14ac:dyDescent="0.35">
      <c r="A2315" s="4"/>
      <c r="B2315" s="4"/>
      <c r="D2315" s="6" t="str">
        <f t="shared" si="154"/>
        <v/>
      </c>
      <c r="E2315" s="6" t="str">
        <f t="shared" si="155"/>
        <v/>
      </c>
      <c r="F2315" s="6" t="str">
        <f t="shared" si="156"/>
        <v/>
      </c>
      <c r="G2315" s="4"/>
      <c r="H2315" s="4"/>
      <c r="I2315" s="4"/>
      <c r="J2315" s="4"/>
      <c r="K2315" s="4"/>
      <c r="L2315" s="4"/>
      <c r="M2315" s="4"/>
      <c r="N2315" s="4"/>
      <c r="O2315" s="4"/>
      <c r="P2315" s="4"/>
      <c r="Q2315" s="4"/>
      <c r="R2315" s="14"/>
      <c r="S2315" s="14"/>
      <c r="T2315" s="14"/>
      <c r="U2315" s="14"/>
      <c r="V2315" s="14"/>
      <c r="W2315" s="14"/>
      <c r="X2315" s="1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4"/>
      <c r="AU2315" s="4"/>
      <c r="AV2315" s="4"/>
      <c r="AW2315" s="4"/>
      <c r="AX2315" s="4"/>
      <c r="AY2315" s="4"/>
      <c r="AZ2315" s="4"/>
      <c r="BA2315" s="4"/>
      <c r="BB2315" s="4"/>
      <c r="BC2315" s="4"/>
      <c r="BD2315" s="4"/>
      <c r="BE2315" s="4"/>
      <c r="BG2315" s="4"/>
      <c r="BH2315" s="4"/>
    </row>
    <row r="2316" spans="1:60" x14ac:dyDescent="0.35">
      <c r="A2316" s="4"/>
      <c r="B2316" s="4"/>
      <c r="D2316" s="6" t="str">
        <f t="shared" si="154"/>
        <v/>
      </c>
      <c r="E2316" s="6" t="str">
        <f t="shared" si="155"/>
        <v/>
      </c>
      <c r="F2316" s="6" t="str">
        <f t="shared" si="156"/>
        <v/>
      </c>
      <c r="G2316" s="4"/>
      <c r="H2316" s="4"/>
      <c r="I2316" s="4"/>
      <c r="J2316" s="4"/>
      <c r="K2316" s="4"/>
      <c r="L2316" s="4"/>
      <c r="M2316" s="4"/>
      <c r="N2316" s="4"/>
      <c r="O2316" s="4"/>
      <c r="P2316" s="4"/>
      <c r="Q2316" s="4"/>
      <c r="R2316" s="14"/>
      <c r="S2316" s="14"/>
      <c r="T2316" s="14"/>
      <c r="U2316" s="14"/>
      <c r="V2316" s="14"/>
      <c r="W2316" s="14"/>
      <c r="X2316" s="1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4"/>
      <c r="AU2316" s="4"/>
      <c r="AV2316" s="4"/>
      <c r="AW2316" s="4"/>
      <c r="AX2316" s="4"/>
      <c r="AY2316" s="4"/>
      <c r="AZ2316" s="4"/>
      <c r="BA2316" s="4"/>
      <c r="BB2316" s="4"/>
      <c r="BC2316" s="4"/>
      <c r="BD2316" s="4"/>
      <c r="BE2316" s="4"/>
      <c r="BG2316" s="4"/>
      <c r="BH2316" s="4"/>
    </row>
    <row r="2317" spans="1:60" x14ac:dyDescent="0.35">
      <c r="A2317" s="4"/>
      <c r="B2317" s="4"/>
      <c r="D2317" s="6" t="str">
        <f t="shared" si="154"/>
        <v/>
      </c>
      <c r="E2317" s="6" t="str">
        <f t="shared" si="155"/>
        <v/>
      </c>
      <c r="F2317" s="6" t="str">
        <f t="shared" si="156"/>
        <v/>
      </c>
      <c r="G2317" s="4"/>
      <c r="H2317" s="4"/>
      <c r="I2317" s="4"/>
      <c r="J2317" s="4"/>
      <c r="K2317" s="4"/>
      <c r="L2317" s="4"/>
      <c r="M2317" s="4"/>
      <c r="N2317" s="4"/>
      <c r="O2317" s="4"/>
      <c r="P2317" s="4"/>
      <c r="Q2317" s="4"/>
      <c r="R2317" s="14"/>
      <c r="S2317" s="14"/>
      <c r="T2317" s="14"/>
      <c r="U2317" s="14"/>
      <c r="V2317" s="14"/>
      <c r="W2317" s="14"/>
      <c r="X2317" s="14"/>
      <c r="Y2317" s="4"/>
      <c r="Z2317" s="4"/>
      <c r="AA2317" s="4"/>
      <c r="AB2317" s="4"/>
      <c r="AC2317" s="4"/>
      <c r="AD2317" s="4"/>
      <c r="AE2317" s="4"/>
      <c r="AF2317" s="4"/>
      <c r="AG2317" s="4"/>
      <c r="AH2317" s="4"/>
      <c r="AI2317" s="4"/>
      <c r="AJ2317" s="4"/>
      <c r="AK2317" s="4"/>
      <c r="AL2317" s="4"/>
      <c r="AM2317" s="4"/>
      <c r="AN2317" s="4"/>
      <c r="AO2317" s="4"/>
      <c r="AP2317" s="4"/>
      <c r="AQ2317" s="4"/>
      <c r="AR2317" s="4"/>
      <c r="AS2317" s="4"/>
      <c r="AT2317" s="4"/>
      <c r="AU2317" s="4"/>
      <c r="AV2317" s="4"/>
      <c r="AW2317" s="4"/>
      <c r="AX2317" s="4"/>
      <c r="AY2317" s="4"/>
      <c r="AZ2317" s="4"/>
      <c r="BA2317" s="4"/>
      <c r="BB2317" s="4"/>
      <c r="BC2317" s="4"/>
      <c r="BD2317" s="4"/>
      <c r="BE2317" s="4"/>
      <c r="BG2317" s="4"/>
      <c r="BH2317" s="4"/>
    </row>
    <row r="2318" spans="1:60" x14ac:dyDescent="0.35">
      <c r="A2318" s="4"/>
      <c r="B2318" s="4"/>
      <c r="D2318" s="6" t="str">
        <f t="shared" si="154"/>
        <v/>
      </c>
      <c r="E2318" s="6" t="str">
        <f t="shared" si="155"/>
        <v/>
      </c>
      <c r="F2318" s="6" t="str">
        <f t="shared" si="156"/>
        <v/>
      </c>
      <c r="G2318" s="4"/>
      <c r="H2318" s="4"/>
      <c r="I2318" s="4"/>
      <c r="J2318" s="4"/>
      <c r="K2318" s="4"/>
      <c r="L2318" s="4"/>
      <c r="M2318" s="4"/>
      <c r="N2318" s="4"/>
      <c r="O2318" s="4"/>
      <c r="P2318" s="4"/>
      <c r="Q2318" s="4"/>
      <c r="R2318" s="14"/>
      <c r="S2318" s="14"/>
      <c r="T2318" s="14"/>
      <c r="U2318" s="14"/>
      <c r="V2318" s="14"/>
      <c r="W2318" s="14"/>
      <c r="X2318" s="14"/>
      <c r="Y2318" s="4"/>
      <c r="Z2318" s="4"/>
      <c r="AA2318" s="4"/>
      <c r="AB2318" s="4"/>
      <c r="AC2318" s="4"/>
      <c r="AD2318" s="4"/>
      <c r="AE2318" s="4"/>
      <c r="AF2318" s="4"/>
      <c r="AG2318" s="4"/>
      <c r="AH2318" s="4"/>
      <c r="AI2318" s="4"/>
      <c r="AJ2318" s="4"/>
      <c r="AK2318" s="4"/>
      <c r="AL2318" s="4"/>
      <c r="AM2318" s="4"/>
      <c r="AN2318" s="4"/>
      <c r="AO2318" s="4"/>
      <c r="AP2318" s="4"/>
      <c r="AQ2318" s="4"/>
      <c r="AR2318" s="4"/>
      <c r="AS2318" s="4"/>
      <c r="AT2318" s="4"/>
      <c r="AU2318" s="4"/>
      <c r="AV2318" s="4"/>
      <c r="AW2318" s="4"/>
      <c r="AX2318" s="4"/>
      <c r="AY2318" s="4"/>
      <c r="AZ2318" s="4"/>
      <c r="BA2318" s="4"/>
      <c r="BB2318" s="4"/>
      <c r="BC2318" s="4"/>
      <c r="BD2318" s="4"/>
      <c r="BE2318" s="4"/>
      <c r="BG2318" s="4"/>
      <c r="BH2318" s="4"/>
    </row>
    <row r="2319" spans="1:60" x14ac:dyDescent="0.35">
      <c r="A2319" s="4"/>
      <c r="B2319" s="4"/>
      <c r="D2319" s="6" t="str">
        <f t="shared" si="154"/>
        <v/>
      </c>
      <c r="E2319" s="6" t="str">
        <f t="shared" si="155"/>
        <v/>
      </c>
      <c r="F2319" s="6" t="str">
        <f t="shared" si="156"/>
        <v/>
      </c>
      <c r="G2319" s="4"/>
      <c r="H2319" s="4"/>
      <c r="I2319" s="4"/>
      <c r="J2319" s="4"/>
      <c r="K2319" s="4"/>
      <c r="L2319" s="4"/>
      <c r="M2319" s="4"/>
      <c r="N2319" s="4"/>
      <c r="O2319" s="4"/>
      <c r="P2319" s="4"/>
      <c r="Q2319" s="4"/>
      <c r="R2319" s="14"/>
      <c r="S2319" s="14"/>
      <c r="T2319" s="14"/>
      <c r="U2319" s="14"/>
      <c r="V2319" s="14"/>
      <c r="W2319" s="14"/>
      <c r="X2319" s="1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4"/>
      <c r="AU2319" s="4"/>
      <c r="AV2319" s="4"/>
      <c r="AW2319" s="4"/>
      <c r="AX2319" s="4"/>
      <c r="AY2319" s="4"/>
      <c r="AZ2319" s="4"/>
      <c r="BA2319" s="4"/>
      <c r="BB2319" s="4"/>
      <c r="BC2319" s="4"/>
      <c r="BD2319" s="4"/>
      <c r="BE2319" s="4"/>
      <c r="BG2319" s="4"/>
      <c r="BH2319" s="4"/>
    </row>
    <row r="2320" spans="1:60" x14ac:dyDescent="0.35">
      <c r="A2320" s="4"/>
      <c r="B2320" s="4"/>
      <c r="D2320" s="6" t="str">
        <f t="shared" si="154"/>
        <v/>
      </c>
      <c r="E2320" s="6" t="str">
        <f t="shared" si="155"/>
        <v/>
      </c>
      <c r="F2320" s="6" t="str">
        <f t="shared" si="156"/>
        <v/>
      </c>
      <c r="G2320" s="4"/>
      <c r="H2320" s="4"/>
      <c r="I2320" s="4"/>
      <c r="J2320" s="4"/>
      <c r="K2320" s="4"/>
      <c r="L2320" s="4"/>
      <c r="M2320" s="4"/>
      <c r="N2320" s="4"/>
      <c r="O2320" s="4"/>
      <c r="P2320" s="4"/>
      <c r="Q2320" s="4"/>
      <c r="R2320" s="14"/>
      <c r="S2320" s="14"/>
      <c r="T2320" s="14"/>
      <c r="U2320" s="14"/>
      <c r="V2320" s="14"/>
      <c r="W2320" s="14"/>
      <c r="X2320" s="1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4"/>
      <c r="AU2320" s="4"/>
      <c r="AV2320" s="4"/>
      <c r="AW2320" s="4"/>
      <c r="AX2320" s="4"/>
      <c r="AY2320" s="4"/>
      <c r="AZ2320" s="4"/>
      <c r="BA2320" s="4"/>
      <c r="BB2320" s="4"/>
      <c r="BC2320" s="4"/>
      <c r="BD2320" s="4"/>
      <c r="BE2320" s="4"/>
      <c r="BG2320" s="4"/>
      <c r="BH2320" s="4"/>
    </row>
    <row r="2321" spans="1:60" x14ac:dyDescent="0.35">
      <c r="A2321" s="4"/>
      <c r="B2321" s="4"/>
      <c r="D2321" s="6" t="str">
        <f t="shared" si="154"/>
        <v/>
      </c>
      <c r="E2321" s="6" t="str">
        <f t="shared" si="155"/>
        <v/>
      </c>
      <c r="F2321" s="6" t="str">
        <f t="shared" si="156"/>
        <v/>
      </c>
      <c r="G2321" s="4"/>
      <c r="H2321" s="4"/>
      <c r="I2321" s="4"/>
      <c r="J2321" s="4"/>
      <c r="K2321" s="4"/>
      <c r="L2321" s="4"/>
      <c r="M2321" s="4"/>
      <c r="N2321" s="4"/>
      <c r="O2321" s="4"/>
      <c r="P2321" s="4"/>
      <c r="Q2321" s="4"/>
      <c r="R2321" s="14"/>
      <c r="S2321" s="14"/>
      <c r="T2321" s="14"/>
      <c r="U2321" s="14"/>
      <c r="V2321" s="14"/>
      <c r="W2321" s="14"/>
      <c r="X2321" s="1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4"/>
      <c r="AU2321" s="4"/>
      <c r="AV2321" s="4"/>
      <c r="AW2321" s="4"/>
      <c r="AX2321" s="4"/>
      <c r="AY2321" s="4"/>
      <c r="AZ2321" s="4"/>
      <c r="BA2321" s="4"/>
      <c r="BB2321" s="4"/>
      <c r="BC2321" s="4"/>
      <c r="BD2321" s="4"/>
      <c r="BE2321" s="4"/>
      <c r="BG2321" s="4"/>
      <c r="BH2321" s="4"/>
    </row>
    <row r="2322" spans="1:60" x14ac:dyDescent="0.35">
      <c r="A2322" s="4"/>
      <c r="B2322" s="4"/>
      <c r="D2322" s="6" t="str">
        <f t="shared" si="154"/>
        <v/>
      </c>
      <c r="E2322" s="6" t="str">
        <f t="shared" si="155"/>
        <v/>
      </c>
      <c r="F2322" s="6" t="str">
        <f t="shared" si="156"/>
        <v/>
      </c>
      <c r="G2322" s="4"/>
      <c r="H2322" s="4"/>
      <c r="I2322" s="4"/>
      <c r="J2322" s="4"/>
      <c r="K2322" s="4"/>
      <c r="L2322" s="4"/>
      <c r="M2322" s="4"/>
      <c r="N2322" s="4"/>
      <c r="O2322" s="4"/>
      <c r="P2322" s="4"/>
      <c r="Q2322" s="4"/>
      <c r="R2322" s="14"/>
      <c r="S2322" s="14"/>
      <c r="T2322" s="14"/>
      <c r="U2322" s="14"/>
      <c r="V2322" s="14"/>
      <c r="W2322" s="14"/>
      <c r="X2322" s="1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4"/>
      <c r="AU2322" s="4"/>
      <c r="AV2322" s="4"/>
      <c r="AW2322" s="4"/>
      <c r="AX2322" s="4"/>
      <c r="AY2322" s="4"/>
      <c r="AZ2322" s="4"/>
      <c r="BA2322" s="4"/>
      <c r="BB2322" s="4"/>
      <c r="BC2322" s="4"/>
      <c r="BD2322" s="4"/>
      <c r="BE2322" s="4"/>
      <c r="BG2322" s="4"/>
      <c r="BH2322" s="4"/>
    </row>
    <row r="2323" spans="1:60" x14ac:dyDescent="0.35">
      <c r="A2323" s="4"/>
      <c r="B2323" s="4"/>
      <c r="D2323" s="6" t="str">
        <f t="shared" si="154"/>
        <v/>
      </c>
      <c r="E2323" s="6" t="str">
        <f t="shared" si="155"/>
        <v/>
      </c>
      <c r="F2323" s="6" t="str">
        <f t="shared" si="156"/>
        <v/>
      </c>
      <c r="G2323" s="4"/>
      <c r="H2323" s="4"/>
      <c r="I2323" s="4"/>
      <c r="J2323" s="4"/>
      <c r="K2323" s="4"/>
      <c r="L2323" s="4"/>
      <c r="M2323" s="4"/>
      <c r="N2323" s="4"/>
      <c r="O2323" s="4"/>
      <c r="P2323" s="4"/>
      <c r="Q2323" s="4"/>
      <c r="R2323" s="14"/>
      <c r="S2323" s="14"/>
      <c r="T2323" s="14"/>
      <c r="U2323" s="14"/>
      <c r="V2323" s="14"/>
      <c r="W2323" s="14"/>
      <c r="X2323" s="14"/>
      <c r="Y2323" s="4"/>
      <c r="Z2323" s="4"/>
      <c r="AA2323" s="4"/>
      <c r="AB2323" s="4"/>
      <c r="AC2323" s="4"/>
      <c r="AD2323" s="4"/>
      <c r="AE2323" s="4"/>
      <c r="AF2323" s="4"/>
      <c r="AG2323" s="4"/>
      <c r="AH2323" s="4"/>
      <c r="AI2323" s="4"/>
      <c r="AJ2323" s="4"/>
      <c r="AK2323" s="4"/>
      <c r="AL2323" s="4"/>
      <c r="AM2323" s="4"/>
      <c r="AN2323" s="4"/>
      <c r="AO2323" s="4"/>
      <c r="AP2323" s="4"/>
      <c r="AQ2323" s="4"/>
      <c r="AR2323" s="4"/>
      <c r="AS2323" s="4"/>
      <c r="AT2323" s="4"/>
      <c r="AU2323" s="4"/>
      <c r="AV2323" s="4"/>
      <c r="AW2323" s="4"/>
      <c r="AX2323" s="4"/>
      <c r="AY2323" s="4"/>
      <c r="AZ2323" s="4"/>
      <c r="BA2323" s="4"/>
      <c r="BB2323" s="4"/>
      <c r="BC2323" s="4"/>
      <c r="BD2323" s="4"/>
      <c r="BE2323" s="4"/>
      <c r="BG2323" s="4"/>
      <c r="BH2323" s="4"/>
    </row>
    <row r="2324" spans="1:60" x14ac:dyDescent="0.35">
      <c r="A2324" s="4"/>
      <c r="B2324" s="4"/>
      <c r="D2324" s="6" t="str">
        <f t="shared" si="154"/>
        <v/>
      </c>
      <c r="E2324" s="6" t="str">
        <f t="shared" si="155"/>
        <v/>
      </c>
      <c r="F2324" s="6" t="str">
        <f t="shared" si="156"/>
        <v/>
      </c>
      <c r="G2324" s="4"/>
      <c r="H2324" s="4"/>
      <c r="I2324" s="4"/>
      <c r="J2324" s="4"/>
      <c r="K2324" s="4"/>
      <c r="L2324" s="4"/>
      <c r="M2324" s="4"/>
      <c r="N2324" s="4"/>
      <c r="O2324" s="4"/>
      <c r="P2324" s="4"/>
      <c r="Q2324" s="4"/>
      <c r="R2324" s="14"/>
      <c r="S2324" s="14"/>
      <c r="T2324" s="14"/>
      <c r="U2324" s="14"/>
      <c r="V2324" s="14"/>
      <c r="W2324" s="14"/>
      <c r="X2324" s="1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4"/>
      <c r="AU2324" s="4"/>
      <c r="AV2324" s="4"/>
      <c r="AW2324" s="4"/>
      <c r="AX2324" s="4"/>
      <c r="AY2324" s="4"/>
      <c r="AZ2324" s="4"/>
      <c r="BA2324" s="4"/>
      <c r="BB2324" s="4"/>
      <c r="BC2324" s="4"/>
      <c r="BD2324" s="4"/>
      <c r="BE2324" s="4"/>
      <c r="BG2324" s="4"/>
      <c r="BH2324" s="4"/>
    </row>
    <row r="2325" spans="1:60" x14ac:dyDescent="0.35">
      <c r="A2325" s="4"/>
      <c r="B2325" s="4"/>
      <c r="D2325" s="6" t="str">
        <f t="shared" si="154"/>
        <v/>
      </c>
      <c r="E2325" s="6" t="str">
        <f t="shared" si="155"/>
        <v/>
      </c>
      <c r="F2325" s="6" t="str">
        <f t="shared" si="156"/>
        <v/>
      </c>
      <c r="G2325" s="4"/>
      <c r="H2325" s="4"/>
      <c r="I2325" s="4"/>
      <c r="J2325" s="4"/>
      <c r="K2325" s="4"/>
      <c r="L2325" s="4"/>
      <c r="M2325" s="4"/>
      <c r="N2325" s="4"/>
      <c r="O2325" s="4"/>
      <c r="P2325" s="4"/>
      <c r="Q2325" s="4"/>
      <c r="R2325" s="14"/>
      <c r="S2325" s="14"/>
      <c r="T2325" s="14"/>
      <c r="U2325" s="14"/>
      <c r="V2325" s="14"/>
      <c r="W2325" s="14"/>
      <c r="X2325" s="1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4"/>
      <c r="AU2325" s="4"/>
      <c r="AV2325" s="4"/>
      <c r="AW2325" s="4"/>
      <c r="AX2325" s="4"/>
      <c r="AY2325" s="4"/>
      <c r="AZ2325" s="4"/>
      <c r="BA2325" s="4"/>
      <c r="BB2325" s="4"/>
      <c r="BC2325" s="4"/>
      <c r="BD2325" s="4"/>
      <c r="BE2325" s="4"/>
      <c r="BG2325" s="4"/>
      <c r="BH2325" s="4"/>
    </row>
    <row r="2326" spans="1:60" x14ac:dyDescent="0.35">
      <c r="A2326" s="4"/>
      <c r="B2326" s="4"/>
      <c r="D2326" s="6" t="str">
        <f t="shared" si="154"/>
        <v/>
      </c>
      <c r="E2326" s="6" t="str">
        <f t="shared" si="155"/>
        <v/>
      </c>
      <c r="F2326" s="6" t="str">
        <f t="shared" si="156"/>
        <v/>
      </c>
      <c r="G2326" s="4"/>
      <c r="H2326" s="4"/>
      <c r="I2326" s="4"/>
      <c r="J2326" s="4"/>
      <c r="K2326" s="4"/>
      <c r="L2326" s="4"/>
      <c r="M2326" s="4"/>
      <c r="N2326" s="4"/>
      <c r="O2326" s="4"/>
      <c r="P2326" s="4"/>
      <c r="Q2326" s="4"/>
      <c r="R2326" s="14"/>
      <c r="S2326" s="14"/>
      <c r="T2326" s="14"/>
      <c r="U2326" s="14"/>
      <c r="V2326" s="14"/>
      <c r="W2326" s="14"/>
      <c r="X2326" s="1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4"/>
      <c r="AU2326" s="4"/>
      <c r="AV2326" s="4"/>
      <c r="AW2326" s="4"/>
      <c r="AX2326" s="4"/>
      <c r="AY2326" s="4"/>
      <c r="AZ2326" s="4"/>
      <c r="BA2326" s="4"/>
      <c r="BB2326" s="4"/>
      <c r="BC2326" s="4"/>
      <c r="BD2326" s="4"/>
      <c r="BE2326" s="4"/>
      <c r="BG2326" s="4"/>
      <c r="BH2326" s="4"/>
    </row>
    <row r="2327" spans="1:60" x14ac:dyDescent="0.35">
      <c r="A2327" s="4"/>
      <c r="B2327" s="4"/>
      <c r="D2327" s="6" t="str">
        <f t="shared" si="154"/>
        <v/>
      </c>
      <c r="E2327" s="6" t="str">
        <f t="shared" si="155"/>
        <v/>
      </c>
      <c r="F2327" s="6" t="str">
        <f t="shared" si="156"/>
        <v/>
      </c>
      <c r="G2327" s="4"/>
      <c r="H2327" s="4"/>
      <c r="I2327" s="4"/>
      <c r="J2327" s="4"/>
      <c r="K2327" s="4"/>
      <c r="L2327" s="4"/>
      <c r="M2327" s="4"/>
      <c r="N2327" s="4"/>
      <c r="O2327" s="4"/>
      <c r="P2327" s="4"/>
      <c r="Q2327" s="4"/>
      <c r="R2327" s="14"/>
      <c r="S2327" s="14"/>
      <c r="T2327" s="14"/>
      <c r="U2327" s="14"/>
      <c r="V2327" s="14"/>
      <c r="W2327" s="14"/>
      <c r="X2327" s="1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4"/>
      <c r="AU2327" s="4"/>
      <c r="AV2327" s="4"/>
      <c r="AW2327" s="4"/>
      <c r="AX2327" s="4"/>
      <c r="AY2327" s="4"/>
      <c r="AZ2327" s="4"/>
      <c r="BA2327" s="4"/>
      <c r="BB2327" s="4"/>
      <c r="BC2327" s="4"/>
      <c r="BD2327" s="4"/>
      <c r="BE2327" s="4"/>
      <c r="BG2327" s="4"/>
      <c r="BH2327" s="4"/>
    </row>
    <row r="2328" spans="1:60" x14ac:dyDescent="0.35">
      <c r="A2328" s="4"/>
      <c r="B2328" s="4"/>
      <c r="D2328" s="6" t="str">
        <f t="shared" si="154"/>
        <v/>
      </c>
      <c r="E2328" s="6" t="str">
        <f t="shared" si="155"/>
        <v/>
      </c>
      <c r="F2328" s="6" t="str">
        <f t="shared" si="156"/>
        <v/>
      </c>
      <c r="G2328" s="4"/>
      <c r="H2328" s="4"/>
      <c r="I2328" s="4"/>
      <c r="J2328" s="4"/>
      <c r="K2328" s="4"/>
      <c r="L2328" s="4"/>
      <c r="M2328" s="4"/>
      <c r="N2328" s="4"/>
      <c r="O2328" s="4"/>
      <c r="P2328" s="4"/>
      <c r="Q2328" s="4"/>
      <c r="R2328" s="14"/>
      <c r="S2328" s="14"/>
      <c r="T2328" s="14"/>
      <c r="U2328" s="14"/>
      <c r="V2328" s="14"/>
      <c r="W2328" s="14"/>
      <c r="X2328" s="14"/>
      <c r="Y2328" s="4"/>
      <c r="Z2328" s="4"/>
      <c r="AA2328" s="4"/>
      <c r="AB2328" s="4"/>
      <c r="AC2328" s="4"/>
      <c r="AD2328" s="4"/>
      <c r="AE2328" s="4"/>
      <c r="AF2328" s="4"/>
      <c r="AG2328" s="4"/>
      <c r="AH2328" s="4"/>
      <c r="AI2328" s="4"/>
      <c r="AJ2328" s="4"/>
      <c r="AK2328" s="4"/>
      <c r="AL2328" s="4"/>
      <c r="AM2328" s="4"/>
      <c r="AN2328" s="4"/>
      <c r="AO2328" s="4"/>
      <c r="AP2328" s="4"/>
      <c r="AQ2328" s="4"/>
      <c r="AR2328" s="4"/>
      <c r="AS2328" s="4"/>
      <c r="AT2328" s="4"/>
      <c r="AU2328" s="4"/>
      <c r="AV2328" s="4"/>
      <c r="AW2328" s="4"/>
      <c r="AX2328" s="4"/>
      <c r="AY2328" s="4"/>
      <c r="AZ2328" s="4"/>
      <c r="BA2328" s="4"/>
      <c r="BB2328" s="4"/>
      <c r="BC2328" s="4"/>
      <c r="BD2328" s="4"/>
      <c r="BE2328" s="4"/>
      <c r="BG2328" s="4"/>
      <c r="BH2328" s="4"/>
    </row>
    <row r="2329" spans="1:60" x14ac:dyDescent="0.35">
      <c r="A2329" s="4"/>
      <c r="B2329" s="4"/>
      <c r="D2329" s="6" t="str">
        <f t="shared" si="154"/>
        <v/>
      </c>
      <c r="E2329" s="6" t="str">
        <f t="shared" si="155"/>
        <v/>
      </c>
      <c r="F2329" s="6" t="str">
        <f t="shared" si="156"/>
        <v/>
      </c>
      <c r="G2329" s="4"/>
      <c r="H2329" s="4"/>
      <c r="I2329" s="4"/>
      <c r="J2329" s="4"/>
      <c r="K2329" s="4"/>
      <c r="L2329" s="4"/>
      <c r="M2329" s="4"/>
      <c r="N2329" s="4"/>
      <c r="O2329" s="4"/>
      <c r="P2329" s="4"/>
      <c r="Q2329" s="4"/>
      <c r="R2329" s="14"/>
      <c r="S2329" s="14"/>
      <c r="T2329" s="14"/>
      <c r="U2329" s="14"/>
      <c r="V2329" s="14"/>
      <c r="W2329" s="14"/>
      <c r="X2329" s="1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4"/>
      <c r="AU2329" s="4"/>
      <c r="AV2329" s="4"/>
      <c r="AW2329" s="4"/>
      <c r="AX2329" s="4"/>
      <c r="AY2329" s="4"/>
      <c r="AZ2329" s="4"/>
      <c r="BA2329" s="4"/>
      <c r="BB2329" s="4"/>
      <c r="BC2329" s="4"/>
      <c r="BD2329" s="4"/>
      <c r="BE2329" s="4"/>
      <c r="BG2329" s="4"/>
      <c r="BH2329" s="4"/>
    </row>
    <row r="2330" spans="1:60" x14ac:dyDescent="0.35">
      <c r="A2330" s="4"/>
      <c r="B2330" s="4"/>
      <c r="D2330" s="6" t="str">
        <f t="shared" si="154"/>
        <v/>
      </c>
      <c r="E2330" s="6" t="str">
        <f t="shared" si="155"/>
        <v/>
      </c>
      <c r="F2330" s="6" t="str">
        <f t="shared" si="156"/>
        <v/>
      </c>
      <c r="G2330" s="4"/>
      <c r="H2330" s="4"/>
      <c r="I2330" s="4"/>
      <c r="J2330" s="4"/>
      <c r="K2330" s="4"/>
      <c r="L2330" s="4"/>
      <c r="M2330" s="4"/>
      <c r="N2330" s="4"/>
      <c r="O2330" s="4"/>
      <c r="P2330" s="4"/>
      <c r="Q2330" s="4"/>
      <c r="R2330" s="14"/>
      <c r="S2330" s="14"/>
      <c r="T2330" s="14"/>
      <c r="U2330" s="14"/>
      <c r="V2330" s="14"/>
      <c r="W2330" s="14"/>
      <c r="X2330" s="1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4"/>
      <c r="AU2330" s="4"/>
      <c r="AV2330" s="4"/>
      <c r="AW2330" s="4"/>
      <c r="AX2330" s="4"/>
      <c r="AY2330" s="4"/>
      <c r="AZ2330" s="4"/>
      <c r="BA2330" s="4"/>
      <c r="BB2330" s="4"/>
      <c r="BC2330" s="4"/>
      <c r="BD2330" s="4"/>
      <c r="BE2330" s="4"/>
      <c r="BG2330" s="4"/>
      <c r="BH2330" s="4"/>
    </row>
    <row r="2331" spans="1:60" x14ac:dyDescent="0.35">
      <c r="A2331" s="4"/>
      <c r="B2331" s="4"/>
      <c r="D2331" s="6" t="str">
        <f t="shared" si="154"/>
        <v/>
      </c>
      <c r="E2331" s="6" t="str">
        <f t="shared" si="155"/>
        <v/>
      </c>
      <c r="F2331" s="6" t="str">
        <f t="shared" si="156"/>
        <v/>
      </c>
      <c r="G2331" s="4"/>
      <c r="H2331" s="4"/>
      <c r="I2331" s="4"/>
      <c r="J2331" s="4"/>
      <c r="K2331" s="4"/>
      <c r="L2331" s="4"/>
      <c r="M2331" s="4"/>
      <c r="N2331" s="4"/>
      <c r="O2331" s="4"/>
      <c r="P2331" s="4"/>
      <c r="Q2331" s="4"/>
      <c r="R2331" s="14"/>
      <c r="S2331" s="14"/>
      <c r="T2331" s="14"/>
      <c r="U2331" s="14"/>
      <c r="V2331" s="14"/>
      <c r="W2331" s="14"/>
      <c r="X2331" s="1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4"/>
      <c r="AU2331" s="4"/>
      <c r="AV2331" s="4"/>
      <c r="AW2331" s="4"/>
      <c r="AX2331" s="4"/>
      <c r="AY2331" s="4"/>
      <c r="AZ2331" s="4"/>
      <c r="BA2331" s="4"/>
      <c r="BB2331" s="4"/>
      <c r="BC2331" s="4"/>
      <c r="BD2331" s="4"/>
      <c r="BE2331" s="4"/>
      <c r="BG2331" s="4"/>
      <c r="BH2331" s="4"/>
    </row>
    <row r="2332" spans="1:60" x14ac:dyDescent="0.35">
      <c r="A2332" s="4"/>
      <c r="B2332" s="4"/>
      <c r="D2332" s="6" t="str">
        <f t="shared" si="154"/>
        <v/>
      </c>
      <c r="E2332" s="6" t="str">
        <f t="shared" si="155"/>
        <v/>
      </c>
      <c r="F2332" s="6" t="str">
        <f t="shared" si="156"/>
        <v/>
      </c>
      <c r="G2332" s="4"/>
      <c r="H2332" s="4"/>
      <c r="I2332" s="4"/>
      <c r="J2332" s="4"/>
      <c r="K2332" s="4"/>
      <c r="L2332" s="4"/>
      <c r="M2332" s="4"/>
      <c r="N2332" s="4"/>
      <c r="O2332" s="4"/>
      <c r="P2332" s="4"/>
      <c r="Q2332" s="4"/>
      <c r="R2332" s="14"/>
      <c r="S2332" s="14"/>
      <c r="T2332" s="14"/>
      <c r="U2332" s="14"/>
      <c r="V2332" s="14"/>
      <c r="W2332" s="14"/>
      <c r="X2332" s="1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4"/>
      <c r="AU2332" s="4"/>
      <c r="AV2332" s="4"/>
      <c r="AW2332" s="4"/>
      <c r="AX2332" s="4"/>
      <c r="AY2332" s="4"/>
      <c r="AZ2332" s="4"/>
      <c r="BA2332" s="4"/>
      <c r="BB2332" s="4"/>
      <c r="BC2332" s="4"/>
      <c r="BD2332" s="4"/>
      <c r="BE2332" s="4"/>
      <c r="BG2332" s="4"/>
      <c r="BH2332" s="4"/>
    </row>
    <row r="2333" spans="1:60" x14ac:dyDescent="0.35">
      <c r="A2333" s="4"/>
      <c r="B2333" s="4"/>
      <c r="D2333" s="6" t="str">
        <f t="shared" si="154"/>
        <v/>
      </c>
      <c r="E2333" s="6" t="str">
        <f t="shared" si="155"/>
        <v/>
      </c>
      <c r="F2333" s="6" t="str">
        <f t="shared" si="156"/>
        <v/>
      </c>
      <c r="G2333" s="4"/>
      <c r="H2333" s="4"/>
      <c r="I2333" s="4"/>
      <c r="J2333" s="4"/>
      <c r="K2333" s="4"/>
      <c r="L2333" s="4"/>
      <c r="M2333" s="4"/>
      <c r="N2333" s="4"/>
      <c r="O2333" s="4"/>
      <c r="P2333" s="4"/>
      <c r="Q2333" s="4"/>
      <c r="R2333" s="14"/>
      <c r="S2333" s="14"/>
      <c r="T2333" s="14"/>
      <c r="U2333" s="14"/>
      <c r="V2333" s="14"/>
      <c r="W2333" s="14"/>
      <c r="X2333" s="1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4"/>
      <c r="AU2333" s="4"/>
      <c r="AV2333" s="4"/>
      <c r="AW2333" s="4"/>
      <c r="AX2333" s="4"/>
      <c r="AY2333" s="4"/>
      <c r="AZ2333" s="4"/>
      <c r="BA2333" s="4"/>
      <c r="BB2333" s="4"/>
      <c r="BC2333" s="4"/>
      <c r="BD2333" s="4"/>
      <c r="BE2333" s="4"/>
      <c r="BG2333" s="4"/>
      <c r="BH2333" s="4"/>
    </row>
    <row r="2334" spans="1:60" x14ac:dyDescent="0.35">
      <c r="A2334" s="4"/>
      <c r="B2334" s="4"/>
      <c r="D2334" s="6" t="str">
        <f t="shared" si="154"/>
        <v/>
      </c>
      <c r="E2334" s="6" t="str">
        <f t="shared" si="155"/>
        <v/>
      </c>
      <c r="F2334" s="6" t="str">
        <f t="shared" si="156"/>
        <v/>
      </c>
      <c r="G2334" s="4"/>
      <c r="H2334" s="4"/>
      <c r="I2334" s="4"/>
      <c r="J2334" s="4"/>
      <c r="K2334" s="4"/>
      <c r="L2334" s="4"/>
      <c r="M2334" s="4"/>
      <c r="N2334" s="4"/>
      <c r="O2334" s="4"/>
      <c r="P2334" s="4"/>
      <c r="Q2334" s="4"/>
      <c r="R2334" s="14"/>
      <c r="S2334" s="14"/>
      <c r="T2334" s="14"/>
      <c r="U2334" s="14"/>
      <c r="V2334" s="14"/>
      <c r="W2334" s="14"/>
      <c r="X2334" s="1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4"/>
      <c r="AU2334" s="4"/>
      <c r="AV2334" s="4"/>
      <c r="AW2334" s="4"/>
      <c r="AX2334" s="4"/>
      <c r="AY2334" s="4"/>
      <c r="AZ2334" s="4"/>
      <c r="BA2334" s="4"/>
      <c r="BB2334" s="4"/>
      <c r="BC2334" s="4"/>
      <c r="BD2334" s="4"/>
      <c r="BE2334" s="4"/>
      <c r="BG2334" s="4"/>
      <c r="BH2334" s="4"/>
    </row>
    <row r="2335" spans="1:60" x14ac:dyDescent="0.35">
      <c r="A2335" s="4"/>
      <c r="B2335" s="4"/>
      <c r="D2335" s="6" t="str">
        <f t="shared" si="154"/>
        <v/>
      </c>
      <c r="E2335" s="6" t="str">
        <f t="shared" si="155"/>
        <v/>
      </c>
      <c r="F2335" s="6" t="str">
        <f t="shared" si="156"/>
        <v/>
      </c>
      <c r="G2335" s="4"/>
      <c r="H2335" s="4"/>
      <c r="I2335" s="4"/>
      <c r="J2335" s="4"/>
      <c r="K2335" s="4"/>
      <c r="L2335" s="4"/>
      <c r="M2335" s="4"/>
      <c r="N2335" s="4"/>
      <c r="O2335" s="4"/>
      <c r="P2335" s="4"/>
      <c r="Q2335" s="4"/>
      <c r="R2335" s="14"/>
      <c r="S2335" s="14"/>
      <c r="T2335" s="14"/>
      <c r="U2335" s="14"/>
      <c r="V2335" s="14"/>
      <c r="W2335" s="14"/>
      <c r="X2335" s="1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4"/>
      <c r="AU2335" s="4"/>
      <c r="AV2335" s="4"/>
      <c r="AW2335" s="4"/>
      <c r="AX2335" s="4"/>
      <c r="AY2335" s="4"/>
      <c r="AZ2335" s="4"/>
      <c r="BA2335" s="4"/>
      <c r="BB2335" s="4"/>
      <c r="BC2335" s="4"/>
      <c r="BD2335" s="4"/>
      <c r="BE2335" s="4"/>
      <c r="BG2335" s="4"/>
      <c r="BH2335" s="4"/>
    </row>
    <row r="2336" spans="1:60" x14ac:dyDescent="0.35">
      <c r="A2336" s="4"/>
      <c r="B2336" s="4"/>
      <c r="D2336" s="6" t="str">
        <f t="shared" si="154"/>
        <v/>
      </c>
      <c r="E2336" s="6" t="str">
        <f t="shared" si="155"/>
        <v/>
      </c>
      <c r="F2336" s="6" t="str">
        <f t="shared" si="156"/>
        <v/>
      </c>
      <c r="G2336" s="4"/>
      <c r="H2336" s="4"/>
      <c r="I2336" s="4"/>
      <c r="J2336" s="4"/>
      <c r="K2336" s="4"/>
      <c r="L2336" s="4"/>
      <c r="M2336" s="4"/>
      <c r="N2336" s="4"/>
      <c r="O2336" s="4"/>
      <c r="P2336" s="4"/>
      <c r="Q2336" s="4"/>
      <c r="R2336" s="14"/>
      <c r="S2336" s="14"/>
      <c r="T2336" s="14"/>
      <c r="U2336" s="14"/>
      <c r="V2336" s="14"/>
      <c r="W2336" s="14"/>
      <c r="X2336" s="1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4"/>
      <c r="AU2336" s="4"/>
      <c r="AV2336" s="4"/>
      <c r="AW2336" s="4"/>
      <c r="AX2336" s="4"/>
      <c r="AY2336" s="4"/>
      <c r="AZ2336" s="4"/>
      <c r="BA2336" s="4"/>
      <c r="BB2336" s="4"/>
      <c r="BC2336" s="4"/>
      <c r="BD2336" s="4"/>
      <c r="BE2336" s="4"/>
      <c r="BG2336" s="4"/>
      <c r="BH2336" s="4"/>
    </row>
    <row r="2337" spans="1:60" x14ac:dyDescent="0.35">
      <c r="A2337" s="4"/>
      <c r="B2337" s="4"/>
      <c r="D2337" s="6" t="str">
        <f t="shared" si="154"/>
        <v/>
      </c>
      <c r="E2337" s="6" t="str">
        <f t="shared" si="155"/>
        <v/>
      </c>
      <c r="F2337" s="6" t="str">
        <f t="shared" si="156"/>
        <v/>
      </c>
      <c r="G2337" s="4"/>
      <c r="H2337" s="4"/>
      <c r="I2337" s="4"/>
      <c r="J2337" s="4"/>
      <c r="K2337" s="4"/>
      <c r="L2337" s="4"/>
      <c r="M2337" s="4"/>
      <c r="N2337" s="4"/>
      <c r="O2337" s="4"/>
      <c r="P2337" s="4"/>
      <c r="Q2337" s="4"/>
      <c r="R2337" s="14"/>
      <c r="S2337" s="14"/>
      <c r="T2337" s="14"/>
      <c r="U2337" s="14"/>
      <c r="V2337" s="14"/>
      <c r="W2337" s="14"/>
      <c r="X2337" s="1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4"/>
      <c r="AU2337" s="4"/>
      <c r="AV2337" s="4"/>
      <c r="AW2337" s="4"/>
      <c r="AX2337" s="4"/>
      <c r="AY2337" s="4"/>
      <c r="AZ2337" s="4"/>
      <c r="BA2337" s="4"/>
      <c r="BB2337" s="4"/>
      <c r="BC2337" s="4"/>
      <c r="BD2337" s="4"/>
      <c r="BE2337" s="4"/>
      <c r="BG2337" s="4"/>
      <c r="BH2337" s="4"/>
    </row>
    <row r="2338" spans="1:60" x14ac:dyDescent="0.35">
      <c r="A2338" s="4"/>
      <c r="B2338" s="4"/>
      <c r="D2338" s="6" t="str">
        <f t="shared" si="154"/>
        <v/>
      </c>
      <c r="E2338" s="6" t="str">
        <f t="shared" si="155"/>
        <v/>
      </c>
      <c r="F2338" s="6" t="str">
        <f t="shared" si="156"/>
        <v/>
      </c>
      <c r="G2338" s="4"/>
      <c r="H2338" s="4"/>
      <c r="I2338" s="4"/>
      <c r="J2338" s="4"/>
      <c r="K2338" s="4"/>
      <c r="L2338" s="4"/>
      <c r="M2338" s="4"/>
      <c r="N2338" s="4"/>
      <c r="O2338" s="4"/>
      <c r="P2338" s="4"/>
      <c r="Q2338" s="4"/>
      <c r="R2338" s="14"/>
      <c r="S2338" s="14"/>
      <c r="T2338" s="14"/>
      <c r="U2338" s="14"/>
      <c r="V2338" s="14"/>
      <c r="W2338" s="14"/>
      <c r="X2338" s="14"/>
      <c r="Y2338" s="4"/>
      <c r="Z2338" s="4"/>
      <c r="AA2338" s="4"/>
      <c r="AB2338" s="4"/>
      <c r="AC2338" s="4"/>
      <c r="AD2338" s="4"/>
      <c r="AE2338" s="4"/>
      <c r="AF2338" s="4"/>
      <c r="AG2338" s="4"/>
      <c r="AH2338" s="4"/>
      <c r="AI2338" s="4"/>
      <c r="AJ2338" s="4"/>
      <c r="AK2338" s="4"/>
      <c r="AL2338" s="4"/>
      <c r="AM2338" s="4"/>
      <c r="AN2338" s="4"/>
      <c r="AO2338" s="4"/>
      <c r="AP2338" s="4"/>
      <c r="AQ2338" s="4"/>
      <c r="AR2338" s="4"/>
      <c r="AS2338" s="4"/>
      <c r="AT2338" s="4"/>
      <c r="AU2338" s="4"/>
      <c r="AV2338" s="4"/>
      <c r="AW2338" s="4"/>
      <c r="AX2338" s="4"/>
      <c r="AY2338" s="4"/>
      <c r="AZ2338" s="4"/>
      <c r="BA2338" s="4"/>
      <c r="BB2338" s="4"/>
      <c r="BC2338" s="4"/>
      <c r="BD2338" s="4"/>
      <c r="BE2338" s="4"/>
      <c r="BG2338" s="4"/>
      <c r="BH2338" s="4"/>
    </row>
    <row r="2339" spans="1:60" x14ac:dyDescent="0.35">
      <c r="A2339" s="4"/>
      <c r="B2339" s="4"/>
      <c r="D2339" s="6" t="str">
        <f t="shared" si="154"/>
        <v/>
      </c>
      <c r="E2339" s="6" t="str">
        <f t="shared" si="155"/>
        <v/>
      </c>
      <c r="F2339" s="6" t="str">
        <f t="shared" si="156"/>
        <v/>
      </c>
      <c r="G2339" s="4"/>
      <c r="H2339" s="4"/>
      <c r="I2339" s="4"/>
      <c r="J2339" s="4"/>
      <c r="K2339" s="4"/>
      <c r="L2339" s="4"/>
      <c r="M2339" s="4"/>
      <c r="N2339" s="4"/>
      <c r="O2339" s="4"/>
      <c r="P2339" s="4"/>
      <c r="Q2339" s="4"/>
      <c r="R2339" s="14"/>
      <c r="S2339" s="14"/>
      <c r="T2339" s="14"/>
      <c r="U2339" s="14"/>
      <c r="V2339" s="14"/>
      <c r="W2339" s="14"/>
      <c r="X2339" s="14"/>
      <c r="Y2339" s="4"/>
      <c r="Z2339" s="4"/>
      <c r="AA2339" s="4"/>
      <c r="AB2339" s="4"/>
      <c r="AC2339" s="4"/>
      <c r="AD2339" s="4"/>
      <c r="AE2339" s="4"/>
      <c r="AF2339" s="4"/>
      <c r="AG2339" s="4"/>
      <c r="AH2339" s="4"/>
      <c r="AI2339" s="4"/>
      <c r="AJ2339" s="4"/>
      <c r="AK2339" s="4"/>
      <c r="AL2339" s="4"/>
      <c r="AM2339" s="4"/>
      <c r="AN2339" s="4"/>
      <c r="AO2339" s="4"/>
      <c r="AP2339" s="4"/>
      <c r="AQ2339" s="4"/>
      <c r="AR2339" s="4"/>
      <c r="AS2339" s="4"/>
      <c r="AT2339" s="4"/>
      <c r="AU2339" s="4"/>
      <c r="AV2339" s="4"/>
      <c r="AW2339" s="4"/>
      <c r="AX2339" s="4"/>
      <c r="AY2339" s="4"/>
      <c r="AZ2339" s="4"/>
      <c r="BA2339" s="4"/>
      <c r="BB2339" s="4"/>
      <c r="BC2339" s="4"/>
      <c r="BD2339" s="4"/>
      <c r="BE2339" s="4"/>
      <c r="BG2339" s="4"/>
      <c r="BH2339" s="4"/>
    </row>
    <row r="2340" spans="1:60" x14ac:dyDescent="0.35">
      <c r="A2340" s="4"/>
      <c r="B2340" s="4"/>
      <c r="D2340" s="6" t="str">
        <f t="shared" si="154"/>
        <v/>
      </c>
      <c r="E2340" s="6" t="str">
        <f t="shared" si="155"/>
        <v/>
      </c>
      <c r="F2340" s="6" t="str">
        <f t="shared" si="156"/>
        <v/>
      </c>
      <c r="G2340" s="4"/>
      <c r="H2340" s="4"/>
      <c r="I2340" s="4"/>
      <c r="J2340" s="4"/>
      <c r="K2340" s="4"/>
      <c r="L2340" s="4"/>
      <c r="M2340" s="4"/>
      <c r="N2340" s="4"/>
      <c r="O2340" s="4"/>
      <c r="P2340" s="4"/>
      <c r="Q2340" s="4"/>
      <c r="R2340" s="14"/>
      <c r="S2340" s="14"/>
      <c r="T2340" s="14"/>
      <c r="U2340" s="14"/>
      <c r="V2340" s="14"/>
      <c r="W2340" s="14"/>
      <c r="X2340" s="1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4"/>
      <c r="AU2340" s="4"/>
      <c r="AV2340" s="4"/>
      <c r="AW2340" s="4"/>
      <c r="AX2340" s="4"/>
      <c r="AY2340" s="4"/>
      <c r="AZ2340" s="4"/>
      <c r="BA2340" s="4"/>
      <c r="BB2340" s="4"/>
      <c r="BC2340" s="4"/>
      <c r="BD2340" s="4"/>
      <c r="BE2340" s="4"/>
      <c r="BG2340" s="4"/>
      <c r="BH2340" s="4"/>
    </row>
    <row r="2341" spans="1:60" x14ac:dyDescent="0.35">
      <c r="A2341" s="4"/>
      <c r="B2341" s="4"/>
      <c r="D2341" s="6" t="str">
        <f t="shared" si="154"/>
        <v/>
      </c>
      <c r="E2341" s="6" t="str">
        <f t="shared" si="155"/>
        <v/>
      </c>
      <c r="F2341" s="6" t="str">
        <f t="shared" si="156"/>
        <v/>
      </c>
      <c r="G2341" s="4"/>
      <c r="H2341" s="4"/>
      <c r="I2341" s="4"/>
      <c r="J2341" s="4"/>
      <c r="K2341" s="4"/>
      <c r="L2341" s="4"/>
      <c r="M2341" s="4"/>
      <c r="N2341" s="4"/>
      <c r="O2341" s="4"/>
      <c r="P2341" s="4"/>
      <c r="Q2341" s="4"/>
      <c r="R2341" s="14"/>
      <c r="S2341" s="14"/>
      <c r="T2341" s="14"/>
      <c r="U2341" s="14"/>
      <c r="V2341" s="14"/>
      <c r="W2341" s="14"/>
      <c r="X2341" s="1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4"/>
      <c r="AU2341" s="4"/>
      <c r="AV2341" s="4"/>
      <c r="AW2341" s="4"/>
      <c r="AX2341" s="4"/>
      <c r="AY2341" s="4"/>
      <c r="AZ2341" s="4"/>
      <c r="BA2341" s="4"/>
      <c r="BB2341" s="4"/>
      <c r="BC2341" s="4"/>
      <c r="BD2341" s="4"/>
      <c r="BE2341" s="4"/>
      <c r="BG2341" s="4"/>
      <c r="BH2341" s="4"/>
    </row>
    <row r="2342" spans="1:60" x14ac:dyDescent="0.35">
      <c r="A2342" s="4"/>
      <c r="B2342" s="4"/>
      <c r="D2342" s="6" t="str">
        <f t="shared" si="154"/>
        <v/>
      </c>
      <c r="E2342" s="6" t="str">
        <f t="shared" si="155"/>
        <v/>
      </c>
      <c r="F2342" s="6" t="str">
        <f t="shared" si="156"/>
        <v/>
      </c>
      <c r="G2342" s="4"/>
      <c r="H2342" s="4"/>
      <c r="I2342" s="4"/>
      <c r="J2342" s="4"/>
      <c r="K2342" s="4"/>
      <c r="L2342" s="4"/>
      <c r="M2342" s="4"/>
      <c r="N2342" s="4"/>
      <c r="O2342" s="4"/>
      <c r="P2342" s="4"/>
      <c r="Q2342" s="4"/>
      <c r="R2342" s="14"/>
      <c r="S2342" s="14"/>
      <c r="T2342" s="14"/>
      <c r="U2342" s="14"/>
      <c r="V2342" s="14"/>
      <c r="W2342" s="14"/>
      <c r="X2342" s="1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4"/>
      <c r="AU2342" s="4"/>
      <c r="AV2342" s="4"/>
      <c r="AW2342" s="4"/>
      <c r="AX2342" s="4"/>
      <c r="AY2342" s="4"/>
      <c r="AZ2342" s="4"/>
      <c r="BA2342" s="4"/>
      <c r="BB2342" s="4"/>
      <c r="BC2342" s="4"/>
      <c r="BD2342" s="4"/>
      <c r="BE2342" s="4"/>
      <c r="BG2342" s="4"/>
      <c r="BH2342" s="4"/>
    </row>
    <row r="2343" spans="1:60" x14ac:dyDescent="0.35">
      <c r="A2343" s="4"/>
      <c r="B2343" s="4"/>
      <c r="D2343" s="6" t="str">
        <f t="shared" si="154"/>
        <v/>
      </c>
      <c r="E2343" s="6" t="str">
        <f t="shared" si="155"/>
        <v/>
      </c>
      <c r="F2343" s="6" t="str">
        <f t="shared" si="156"/>
        <v/>
      </c>
      <c r="G2343" s="4"/>
      <c r="H2343" s="4"/>
      <c r="I2343" s="4"/>
      <c r="J2343" s="4"/>
      <c r="K2343" s="4"/>
      <c r="L2343" s="4"/>
      <c r="M2343" s="4"/>
      <c r="N2343" s="4"/>
      <c r="O2343" s="4"/>
      <c r="P2343" s="4"/>
      <c r="Q2343" s="4"/>
      <c r="R2343" s="14"/>
      <c r="S2343" s="14"/>
      <c r="T2343" s="14"/>
      <c r="U2343" s="14"/>
      <c r="V2343" s="14"/>
      <c r="W2343" s="14"/>
      <c r="X2343" s="1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4"/>
      <c r="AU2343" s="4"/>
      <c r="AV2343" s="4"/>
      <c r="AW2343" s="4"/>
      <c r="AX2343" s="4"/>
      <c r="AY2343" s="4"/>
      <c r="AZ2343" s="4"/>
      <c r="BA2343" s="4"/>
      <c r="BB2343" s="4"/>
      <c r="BC2343" s="4"/>
      <c r="BD2343" s="4"/>
      <c r="BE2343" s="4"/>
      <c r="BG2343" s="4"/>
      <c r="BH2343" s="4"/>
    </row>
    <row r="2344" spans="1:60" x14ac:dyDescent="0.35">
      <c r="A2344" s="4"/>
      <c r="B2344" s="4"/>
      <c r="D2344" s="6" t="str">
        <f t="shared" si="154"/>
        <v/>
      </c>
      <c r="E2344" s="6" t="str">
        <f t="shared" si="155"/>
        <v/>
      </c>
      <c r="F2344" s="6" t="str">
        <f t="shared" si="156"/>
        <v/>
      </c>
      <c r="G2344" s="4"/>
      <c r="H2344" s="4"/>
      <c r="I2344" s="4"/>
      <c r="J2344" s="4"/>
      <c r="K2344" s="4"/>
      <c r="L2344" s="4"/>
      <c r="M2344" s="4"/>
      <c r="N2344" s="4"/>
      <c r="O2344" s="4"/>
      <c r="P2344" s="4"/>
      <c r="Q2344" s="4"/>
      <c r="R2344" s="14"/>
      <c r="S2344" s="14"/>
      <c r="T2344" s="14"/>
      <c r="U2344" s="14"/>
      <c r="V2344" s="14"/>
      <c r="W2344" s="14"/>
      <c r="X2344" s="14"/>
      <c r="Y2344" s="4"/>
      <c r="Z2344" s="4"/>
      <c r="AA2344" s="4"/>
      <c r="AB2344" s="4"/>
      <c r="AC2344" s="4"/>
      <c r="AD2344" s="4"/>
      <c r="AE2344" s="4"/>
      <c r="AF2344" s="4"/>
      <c r="AG2344" s="4"/>
      <c r="AH2344" s="4"/>
      <c r="AI2344" s="4"/>
      <c r="AJ2344" s="4"/>
      <c r="AK2344" s="4"/>
      <c r="AL2344" s="4"/>
      <c r="AM2344" s="4"/>
      <c r="AN2344" s="4"/>
      <c r="AO2344" s="4"/>
      <c r="AP2344" s="4"/>
      <c r="AQ2344" s="4"/>
      <c r="AR2344" s="4"/>
      <c r="AS2344" s="4"/>
      <c r="AT2344" s="4"/>
      <c r="AU2344" s="4"/>
      <c r="AV2344" s="4"/>
      <c r="AW2344" s="4"/>
      <c r="AX2344" s="4"/>
      <c r="AY2344" s="4"/>
      <c r="AZ2344" s="4"/>
      <c r="BA2344" s="4"/>
      <c r="BB2344" s="4"/>
      <c r="BC2344" s="4"/>
      <c r="BD2344" s="4"/>
      <c r="BE2344" s="4"/>
      <c r="BG2344" s="4"/>
      <c r="BH2344" s="4"/>
    </row>
    <row r="2345" spans="1:60" x14ac:dyDescent="0.35">
      <c r="A2345" s="4"/>
      <c r="B2345" s="4"/>
      <c r="D2345" s="6" t="str">
        <f t="shared" si="154"/>
        <v/>
      </c>
      <c r="E2345" s="6" t="str">
        <f t="shared" si="155"/>
        <v/>
      </c>
      <c r="F2345" s="6" t="str">
        <f t="shared" si="156"/>
        <v/>
      </c>
      <c r="G2345" s="4"/>
      <c r="H2345" s="4"/>
      <c r="I2345" s="4"/>
      <c r="J2345" s="4"/>
      <c r="K2345" s="4"/>
      <c r="L2345" s="4"/>
      <c r="M2345" s="4"/>
      <c r="N2345" s="4"/>
      <c r="O2345" s="4"/>
      <c r="P2345" s="4"/>
      <c r="Q2345" s="4"/>
      <c r="R2345" s="14"/>
      <c r="S2345" s="14"/>
      <c r="T2345" s="14"/>
      <c r="U2345" s="14"/>
      <c r="V2345" s="14"/>
      <c r="W2345" s="14"/>
      <c r="X2345" s="1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4"/>
      <c r="AU2345" s="4"/>
      <c r="AV2345" s="4"/>
      <c r="AW2345" s="4"/>
      <c r="AX2345" s="4"/>
      <c r="AY2345" s="4"/>
      <c r="AZ2345" s="4"/>
      <c r="BA2345" s="4"/>
      <c r="BB2345" s="4"/>
      <c r="BC2345" s="4"/>
      <c r="BD2345" s="4"/>
      <c r="BE2345" s="4"/>
      <c r="BG2345" s="4"/>
      <c r="BH2345" s="4"/>
    </row>
    <row r="2346" spans="1:60" x14ac:dyDescent="0.35">
      <c r="A2346" s="4"/>
      <c r="B2346" s="4"/>
      <c r="D2346" s="6" t="str">
        <f t="shared" si="154"/>
        <v/>
      </c>
      <c r="E2346" s="6" t="str">
        <f t="shared" si="155"/>
        <v/>
      </c>
      <c r="F2346" s="6" t="str">
        <f t="shared" si="156"/>
        <v/>
      </c>
      <c r="G2346" s="4"/>
      <c r="H2346" s="4"/>
      <c r="I2346" s="4"/>
      <c r="J2346" s="4"/>
      <c r="K2346" s="4"/>
      <c r="L2346" s="4"/>
      <c r="M2346" s="4"/>
      <c r="N2346" s="4"/>
      <c r="O2346" s="4"/>
      <c r="P2346" s="4"/>
      <c r="Q2346" s="4"/>
      <c r="R2346" s="14"/>
      <c r="S2346" s="14"/>
      <c r="T2346" s="14"/>
      <c r="U2346" s="14"/>
      <c r="V2346" s="14"/>
      <c r="W2346" s="14"/>
      <c r="X2346" s="1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4"/>
      <c r="AU2346" s="4"/>
      <c r="AV2346" s="4"/>
      <c r="AW2346" s="4"/>
      <c r="AX2346" s="4"/>
      <c r="AY2346" s="4"/>
      <c r="AZ2346" s="4"/>
      <c r="BA2346" s="4"/>
      <c r="BB2346" s="4"/>
      <c r="BC2346" s="4"/>
      <c r="BD2346" s="4"/>
      <c r="BE2346" s="4"/>
      <c r="BG2346" s="4"/>
      <c r="BH2346" s="4"/>
    </row>
    <row r="2347" spans="1:60" x14ac:dyDescent="0.35">
      <c r="A2347" s="4"/>
      <c r="B2347" s="4"/>
      <c r="D2347" s="6" t="str">
        <f t="shared" si="154"/>
        <v/>
      </c>
      <c r="E2347" s="6" t="str">
        <f t="shared" si="155"/>
        <v/>
      </c>
      <c r="F2347" s="6" t="str">
        <f t="shared" si="156"/>
        <v/>
      </c>
      <c r="G2347" s="4"/>
      <c r="H2347" s="4"/>
      <c r="I2347" s="4"/>
      <c r="J2347" s="4"/>
      <c r="K2347" s="4"/>
      <c r="L2347" s="4"/>
      <c r="M2347" s="4"/>
      <c r="N2347" s="4"/>
      <c r="O2347" s="4"/>
      <c r="P2347" s="4"/>
      <c r="Q2347" s="4"/>
      <c r="R2347" s="14"/>
      <c r="S2347" s="14"/>
      <c r="T2347" s="14"/>
      <c r="U2347" s="14"/>
      <c r="V2347" s="14"/>
      <c r="W2347" s="14"/>
      <c r="X2347" s="1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4"/>
      <c r="AU2347" s="4"/>
      <c r="AV2347" s="4"/>
      <c r="AW2347" s="4"/>
      <c r="AX2347" s="4"/>
      <c r="AY2347" s="4"/>
      <c r="AZ2347" s="4"/>
      <c r="BA2347" s="4"/>
      <c r="BB2347" s="4"/>
      <c r="BC2347" s="4"/>
      <c r="BD2347" s="4"/>
      <c r="BE2347" s="4"/>
      <c r="BG2347" s="4"/>
      <c r="BH2347" s="4"/>
    </row>
    <row r="2348" spans="1:60" x14ac:dyDescent="0.35">
      <c r="A2348" s="4"/>
      <c r="B2348" s="4"/>
      <c r="D2348" s="6" t="str">
        <f t="shared" si="154"/>
        <v/>
      </c>
      <c r="E2348" s="6" t="str">
        <f t="shared" si="155"/>
        <v/>
      </c>
      <c r="F2348" s="6" t="str">
        <f t="shared" si="156"/>
        <v/>
      </c>
      <c r="G2348" s="4"/>
      <c r="H2348" s="4"/>
      <c r="I2348" s="4"/>
      <c r="J2348" s="4"/>
      <c r="K2348" s="4"/>
      <c r="L2348" s="4"/>
      <c r="M2348" s="4"/>
      <c r="N2348" s="4"/>
      <c r="O2348" s="4"/>
      <c r="P2348" s="4"/>
      <c r="Q2348" s="4"/>
      <c r="R2348" s="14"/>
      <c r="S2348" s="14"/>
      <c r="T2348" s="14"/>
      <c r="U2348" s="14"/>
      <c r="V2348" s="14"/>
      <c r="W2348" s="14"/>
      <c r="X2348" s="1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4"/>
      <c r="AU2348" s="4"/>
      <c r="AV2348" s="4"/>
      <c r="AW2348" s="4"/>
      <c r="AX2348" s="4"/>
      <c r="AY2348" s="4"/>
      <c r="AZ2348" s="4"/>
      <c r="BA2348" s="4"/>
      <c r="BB2348" s="4"/>
      <c r="BC2348" s="4"/>
      <c r="BD2348" s="4"/>
      <c r="BE2348" s="4"/>
      <c r="BG2348" s="4"/>
      <c r="BH2348" s="4"/>
    </row>
    <row r="2349" spans="1:60" x14ac:dyDescent="0.35">
      <c r="A2349" s="4"/>
      <c r="B2349" s="4"/>
      <c r="D2349" s="6" t="str">
        <f t="shared" si="154"/>
        <v/>
      </c>
      <c r="E2349" s="6" t="str">
        <f t="shared" si="155"/>
        <v/>
      </c>
      <c r="F2349" s="6" t="str">
        <f t="shared" si="156"/>
        <v/>
      </c>
      <c r="G2349" s="4"/>
      <c r="H2349" s="4"/>
      <c r="I2349" s="4"/>
      <c r="J2349" s="4"/>
      <c r="K2349" s="4"/>
      <c r="L2349" s="4"/>
      <c r="M2349" s="4"/>
      <c r="N2349" s="4"/>
      <c r="O2349" s="4"/>
      <c r="P2349" s="4"/>
      <c r="Q2349" s="4"/>
      <c r="R2349" s="14"/>
      <c r="S2349" s="14"/>
      <c r="T2349" s="14"/>
      <c r="U2349" s="14"/>
      <c r="V2349" s="14"/>
      <c r="W2349" s="14"/>
      <c r="X2349" s="14"/>
      <c r="Y2349" s="4"/>
      <c r="Z2349" s="4"/>
      <c r="AA2349" s="4"/>
      <c r="AB2349" s="4"/>
      <c r="AC2349" s="4"/>
      <c r="AD2349" s="4"/>
      <c r="AE2349" s="4"/>
      <c r="AF2349" s="4"/>
      <c r="AG2349" s="4"/>
      <c r="AH2349" s="4"/>
      <c r="AI2349" s="4"/>
      <c r="AJ2349" s="4"/>
      <c r="AK2349" s="4"/>
      <c r="AL2349" s="4"/>
      <c r="AM2349" s="4"/>
      <c r="AN2349" s="4"/>
      <c r="AO2349" s="4"/>
      <c r="AP2349" s="4"/>
      <c r="AQ2349" s="4"/>
      <c r="AR2349" s="4"/>
      <c r="AS2349" s="4"/>
      <c r="AT2349" s="4"/>
      <c r="AU2349" s="4"/>
      <c r="AV2349" s="4"/>
      <c r="AW2349" s="4"/>
      <c r="AX2349" s="4"/>
      <c r="AY2349" s="4"/>
      <c r="AZ2349" s="4"/>
      <c r="BA2349" s="4"/>
      <c r="BB2349" s="4"/>
      <c r="BC2349" s="4"/>
      <c r="BD2349" s="4"/>
      <c r="BE2349" s="4"/>
      <c r="BG2349" s="4"/>
      <c r="BH2349" s="4"/>
    </row>
    <row r="2350" spans="1:60" x14ac:dyDescent="0.35">
      <c r="A2350" s="4"/>
      <c r="B2350" s="4"/>
      <c r="D2350" s="6" t="str">
        <f t="shared" si="154"/>
        <v/>
      </c>
      <c r="E2350" s="6" t="str">
        <f t="shared" si="155"/>
        <v/>
      </c>
      <c r="F2350" s="6" t="str">
        <f t="shared" si="156"/>
        <v/>
      </c>
      <c r="G2350" s="4"/>
      <c r="H2350" s="4"/>
      <c r="I2350" s="4"/>
      <c r="J2350" s="4"/>
      <c r="K2350" s="4"/>
      <c r="L2350" s="4"/>
      <c r="M2350" s="4"/>
      <c r="N2350" s="4"/>
      <c r="O2350" s="4"/>
      <c r="P2350" s="4"/>
      <c r="Q2350" s="4"/>
      <c r="R2350" s="14"/>
      <c r="S2350" s="14"/>
      <c r="T2350" s="14"/>
      <c r="U2350" s="14"/>
      <c r="V2350" s="14"/>
      <c r="W2350" s="14"/>
      <c r="X2350" s="1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4"/>
      <c r="AU2350" s="4"/>
      <c r="AV2350" s="4"/>
      <c r="AW2350" s="4"/>
      <c r="AX2350" s="4"/>
      <c r="AY2350" s="4"/>
      <c r="AZ2350" s="4"/>
      <c r="BA2350" s="4"/>
      <c r="BB2350" s="4"/>
      <c r="BC2350" s="4"/>
      <c r="BD2350" s="4"/>
      <c r="BE2350" s="4"/>
      <c r="BG2350" s="4"/>
      <c r="BH2350" s="4"/>
    </row>
    <row r="2351" spans="1:60" x14ac:dyDescent="0.35">
      <c r="A2351" s="4"/>
      <c r="B2351" s="4"/>
      <c r="D2351" s="6" t="str">
        <f t="shared" si="154"/>
        <v/>
      </c>
      <c r="E2351" s="6" t="str">
        <f t="shared" si="155"/>
        <v/>
      </c>
      <c r="F2351" s="6" t="str">
        <f t="shared" si="156"/>
        <v/>
      </c>
      <c r="G2351" s="4"/>
      <c r="H2351" s="4"/>
      <c r="I2351" s="4"/>
      <c r="J2351" s="4"/>
      <c r="K2351" s="4"/>
      <c r="L2351" s="4"/>
      <c r="M2351" s="4"/>
      <c r="N2351" s="4"/>
      <c r="O2351" s="4"/>
      <c r="P2351" s="4"/>
      <c r="Q2351" s="4"/>
      <c r="R2351" s="14"/>
      <c r="S2351" s="14"/>
      <c r="T2351" s="14"/>
      <c r="U2351" s="14"/>
      <c r="V2351" s="14"/>
      <c r="W2351" s="14"/>
      <c r="X2351" s="1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4"/>
      <c r="AU2351" s="4"/>
      <c r="AV2351" s="4"/>
      <c r="AW2351" s="4"/>
      <c r="AX2351" s="4"/>
      <c r="AY2351" s="4"/>
      <c r="AZ2351" s="4"/>
      <c r="BA2351" s="4"/>
      <c r="BB2351" s="4"/>
      <c r="BC2351" s="4"/>
      <c r="BD2351" s="4"/>
      <c r="BE2351" s="4"/>
      <c r="BG2351" s="4"/>
      <c r="BH2351" s="4"/>
    </row>
    <row r="2352" spans="1:60" x14ac:dyDescent="0.35">
      <c r="A2352" s="4"/>
      <c r="B2352" s="4"/>
      <c r="D2352" s="6" t="str">
        <f t="shared" si="154"/>
        <v/>
      </c>
      <c r="E2352" s="6" t="str">
        <f t="shared" si="155"/>
        <v/>
      </c>
      <c r="F2352" s="6" t="str">
        <f t="shared" si="156"/>
        <v/>
      </c>
      <c r="G2352" s="4"/>
      <c r="H2352" s="4"/>
      <c r="I2352" s="4"/>
      <c r="J2352" s="4"/>
      <c r="K2352" s="4"/>
      <c r="L2352" s="4"/>
      <c r="M2352" s="4"/>
      <c r="N2352" s="4"/>
      <c r="O2352" s="4"/>
      <c r="P2352" s="4"/>
      <c r="Q2352" s="4"/>
      <c r="R2352" s="14"/>
      <c r="S2352" s="14"/>
      <c r="T2352" s="14"/>
      <c r="U2352" s="14"/>
      <c r="V2352" s="14"/>
      <c r="W2352" s="14"/>
      <c r="X2352" s="1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4"/>
      <c r="AU2352" s="4"/>
      <c r="AV2352" s="4"/>
      <c r="AW2352" s="4"/>
      <c r="AX2352" s="4"/>
      <c r="AY2352" s="4"/>
      <c r="AZ2352" s="4"/>
      <c r="BA2352" s="4"/>
      <c r="BB2352" s="4"/>
      <c r="BC2352" s="4"/>
      <c r="BD2352" s="4"/>
      <c r="BE2352" s="4"/>
      <c r="BG2352" s="4"/>
      <c r="BH2352" s="4"/>
    </row>
    <row r="2353" spans="1:60" x14ac:dyDescent="0.35">
      <c r="A2353" s="4"/>
      <c r="B2353" s="4"/>
      <c r="D2353" s="6" t="str">
        <f t="shared" si="154"/>
        <v/>
      </c>
      <c r="E2353" s="6" t="str">
        <f t="shared" si="155"/>
        <v/>
      </c>
      <c r="F2353" s="6" t="str">
        <f t="shared" si="156"/>
        <v/>
      </c>
      <c r="G2353" s="4"/>
      <c r="H2353" s="4"/>
      <c r="I2353" s="4"/>
      <c r="J2353" s="4"/>
      <c r="K2353" s="4"/>
      <c r="L2353" s="4"/>
      <c r="M2353" s="4"/>
      <c r="N2353" s="4"/>
      <c r="O2353" s="4"/>
      <c r="P2353" s="4"/>
      <c r="Q2353" s="4"/>
      <c r="R2353" s="14"/>
      <c r="S2353" s="14"/>
      <c r="T2353" s="14"/>
      <c r="U2353" s="14"/>
      <c r="V2353" s="14"/>
      <c r="W2353" s="14"/>
      <c r="X2353" s="1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4"/>
      <c r="AU2353" s="4"/>
      <c r="AV2353" s="4"/>
      <c r="AW2353" s="4"/>
      <c r="AX2353" s="4"/>
      <c r="AY2353" s="4"/>
      <c r="AZ2353" s="4"/>
      <c r="BA2353" s="4"/>
      <c r="BB2353" s="4"/>
      <c r="BC2353" s="4"/>
      <c r="BD2353" s="4"/>
      <c r="BE2353" s="4"/>
      <c r="BG2353" s="4"/>
      <c r="BH2353" s="4"/>
    </row>
    <row r="2354" spans="1:60" x14ac:dyDescent="0.35">
      <c r="A2354" s="4"/>
      <c r="B2354" s="4"/>
      <c r="D2354" s="6" t="str">
        <f t="shared" si="154"/>
        <v/>
      </c>
      <c r="E2354" s="6" t="str">
        <f t="shared" si="155"/>
        <v/>
      </c>
      <c r="F2354" s="6" t="str">
        <f t="shared" si="156"/>
        <v/>
      </c>
      <c r="G2354" s="4"/>
      <c r="H2354" s="4"/>
      <c r="I2354" s="4"/>
      <c r="J2354" s="4"/>
      <c r="K2354" s="4"/>
      <c r="L2354" s="4"/>
      <c r="M2354" s="4"/>
      <c r="N2354" s="4"/>
      <c r="O2354" s="4"/>
      <c r="P2354" s="4"/>
      <c r="Q2354" s="4"/>
      <c r="R2354" s="14"/>
      <c r="S2354" s="14"/>
      <c r="T2354" s="14"/>
      <c r="U2354" s="14"/>
      <c r="V2354" s="14"/>
      <c r="W2354" s="14"/>
      <c r="X2354" s="14"/>
      <c r="Y2354" s="4"/>
      <c r="Z2354" s="4"/>
      <c r="AA2354" s="4"/>
      <c r="AB2354" s="4"/>
      <c r="AC2354" s="4"/>
      <c r="AD2354" s="4"/>
      <c r="AE2354" s="4"/>
      <c r="AF2354" s="4"/>
      <c r="AG2354" s="4"/>
      <c r="AH2354" s="4"/>
      <c r="AI2354" s="4"/>
      <c r="AJ2354" s="4"/>
      <c r="AK2354" s="4"/>
      <c r="AL2354" s="4"/>
      <c r="AM2354" s="4"/>
      <c r="AN2354" s="4"/>
      <c r="AO2354" s="4"/>
      <c r="AP2354" s="4"/>
      <c r="AQ2354" s="4"/>
      <c r="AR2354" s="4"/>
      <c r="AS2354" s="4"/>
      <c r="AT2354" s="4"/>
      <c r="AU2354" s="4"/>
      <c r="AV2354" s="4"/>
      <c r="AW2354" s="4"/>
      <c r="AX2354" s="4"/>
      <c r="AY2354" s="4"/>
      <c r="AZ2354" s="4"/>
      <c r="BA2354" s="4"/>
      <c r="BB2354" s="4"/>
      <c r="BC2354" s="4"/>
      <c r="BD2354" s="4"/>
      <c r="BE2354" s="4"/>
      <c r="BG2354" s="4"/>
      <c r="BH2354" s="4"/>
    </row>
    <row r="2355" spans="1:60" x14ac:dyDescent="0.35">
      <c r="A2355" s="4"/>
      <c r="B2355" s="4"/>
      <c r="D2355" s="6" t="str">
        <f t="shared" si="154"/>
        <v/>
      </c>
      <c r="E2355" s="6" t="str">
        <f t="shared" si="155"/>
        <v/>
      </c>
      <c r="F2355" s="6" t="str">
        <f t="shared" si="156"/>
        <v/>
      </c>
      <c r="G2355" s="4"/>
      <c r="H2355" s="4"/>
      <c r="I2355" s="4"/>
      <c r="J2355" s="4"/>
      <c r="K2355" s="4"/>
      <c r="L2355" s="4"/>
      <c r="M2355" s="4"/>
      <c r="N2355" s="4"/>
      <c r="O2355" s="4"/>
      <c r="P2355" s="4"/>
      <c r="Q2355" s="4"/>
      <c r="R2355" s="14"/>
      <c r="S2355" s="14"/>
      <c r="T2355" s="14"/>
      <c r="U2355" s="14"/>
      <c r="V2355" s="14"/>
      <c r="W2355" s="14"/>
      <c r="X2355" s="1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4"/>
      <c r="AU2355" s="4"/>
      <c r="AV2355" s="4"/>
      <c r="AW2355" s="4"/>
      <c r="AX2355" s="4"/>
      <c r="AY2355" s="4"/>
      <c r="AZ2355" s="4"/>
      <c r="BA2355" s="4"/>
      <c r="BB2355" s="4"/>
      <c r="BC2355" s="4"/>
      <c r="BD2355" s="4"/>
      <c r="BE2355" s="4"/>
      <c r="BG2355" s="4"/>
      <c r="BH2355" s="4"/>
    </row>
    <row r="2356" spans="1:60" x14ac:dyDescent="0.35">
      <c r="A2356" s="4"/>
      <c r="B2356" s="4"/>
      <c r="D2356" s="6" t="str">
        <f t="shared" si="154"/>
        <v/>
      </c>
      <c r="E2356" s="6" t="str">
        <f t="shared" si="155"/>
        <v/>
      </c>
      <c r="F2356" s="6" t="str">
        <f t="shared" si="156"/>
        <v/>
      </c>
      <c r="G2356" s="4"/>
      <c r="H2356" s="4"/>
      <c r="I2356" s="4"/>
      <c r="J2356" s="4"/>
      <c r="K2356" s="4"/>
      <c r="L2356" s="4"/>
      <c r="M2356" s="4"/>
      <c r="N2356" s="4"/>
      <c r="O2356" s="4"/>
      <c r="P2356" s="4"/>
      <c r="Q2356" s="4"/>
      <c r="R2356" s="14"/>
      <c r="S2356" s="14"/>
      <c r="T2356" s="14"/>
      <c r="U2356" s="14"/>
      <c r="V2356" s="14"/>
      <c r="W2356" s="14"/>
      <c r="X2356" s="1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4"/>
      <c r="AU2356" s="4"/>
      <c r="AV2356" s="4"/>
      <c r="AW2356" s="4"/>
      <c r="AX2356" s="4"/>
      <c r="AY2356" s="4"/>
      <c r="AZ2356" s="4"/>
      <c r="BA2356" s="4"/>
      <c r="BB2356" s="4"/>
      <c r="BC2356" s="4"/>
      <c r="BD2356" s="4"/>
      <c r="BE2356" s="4"/>
      <c r="BG2356" s="4"/>
      <c r="BH2356" s="4"/>
    </row>
    <row r="2357" spans="1:60" x14ac:dyDescent="0.35">
      <c r="A2357" s="4"/>
      <c r="B2357" s="4"/>
      <c r="D2357" s="6" t="str">
        <f t="shared" si="154"/>
        <v/>
      </c>
      <c r="E2357" s="6" t="str">
        <f t="shared" si="155"/>
        <v/>
      </c>
      <c r="F2357" s="6" t="str">
        <f t="shared" si="156"/>
        <v/>
      </c>
      <c r="G2357" s="4"/>
      <c r="H2357" s="4"/>
      <c r="I2357" s="4"/>
      <c r="J2357" s="4"/>
      <c r="K2357" s="4"/>
      <c r="L2357" s="4"/>
      <c r="M2357" s="4"/>
      <c r="N2357" s="4"/>
      <c r="O2357" s="4"/>
      <c r="P2357" s="4"/>
      <c r="Q2357" s="4"/>
      <c r="R2357" s="14"/>
      <c r="S2357" s="14"/>
      <c r="T2357" s="14"/>
      <c r="U2357" s="14"/>
      <c r="V2357" s="14"/>
      <c r="W2357" s="14"/>
      <c r="X2357" s="1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4"/>
      <c r="AU2357" s="4"/>
      <c r="AV2357" s="4"/>
      <c r="AW2357" s="4"/>
      <c r="AX2357" s="4"/>
      <c r="AY2357" s="4"/>
      <c r="AZ2357" s="4"/>
      <c r="BA2357" s="4"/>
      <c r="BB2357" s="4"/>
      <c r="BC2357" s="4"/>
      <c r="BD2357" s="4"/>
      <c r="BE2357" s="4"/>
      <c r="BG2357" s="4"/>
      <c r="BH2357" s="4"/>
    </row>
    <row r="2358" spans="1:60" x14ac:dyDescent="0.35">
      <c r="A2358" s="4"/>
      <c r="B2358" s="4"/>
      <c r="D2358" s="6" t="str">
        <f t="shared" si="154"/>
        <v/>
      </c>
      <c r="E2358" s="6" t="str">
        <f t="shared" si="155"/>
        <v/>
      </c>
      <c r="F2358" s="6" t="str">
        <f t="shared" si="156"/>
        <v/>
      </c>
      <c r="G2358" s="4"/>
      <c r="H2358" s="4"/>
      <c r="I2358" s="4"/>
      <c r="J2358" s="4"/>
      <c r="K2358" s="4"/>
      <c r="L2358" s="4"/>
      <c r="M2358" s="4"/>
      <c r="N2358" s="4"/>
      <c r="O2358" s="4"/>
      <c r="P2358" s="4"/>
      <c r="Q2358" s="4"/>
      <c r="R2358" s="14"/>
      <c r="S2358" s="14"/>
      <c r="T2358" s="14"/>
      <c r="U2358" s="14"/>
      <c r="V2358" s="14"/>
      <c r="W2358" s="14"/>
      <c r="X2358" s="1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4"/>
      <c r="AU2358" s="4"/>
      <c r="AV2358" s="4"/>
      <c r="AW2358" s="4"/>
      <c r="AX2358" s="4"/>
      <c r="AY2358" s="4"/>
      <c r="AZ2358" s="4"/>
      <c r="BA2358" s="4"/>
      <c r="BB2358" s="4"/>
      <c r="BC2358" s="4"/>
      <c r="BD2358" s="4"/>
      <c r="BE2358" s="4"/>
      <c r="BG2358" s="4"/>
      <c r="BH2358" s="4"/>
    </row>
    <row r="2359" spans="1:60" x14ac:dyDescent="0.35">
      <c r="A2359" s="4"/>
      <c r="B2359" s="4"/>
      <c r="D2359" s="6" t="str">
        <f t="shared" si="154"/>
        <v/>
      </c>
      <c r="E2359" s="6" t="str">
        <f t="shared" si="155"/>
        <v/>
      </c>
      <c r="F2359" s="6" t="str">
        <f t="shared" si="156"/>
        <v/>
      </c>
      <c r="G2359" s="4"/>
      <c r="H2359" s="4"/>
      <c r="I2359" s="4"/>
      <c r="J2359" s="4"/>
      <c r="K2359" s="4"/>
      <c r="L2359" s="4"/>
      <c r="M2359" s="4"/>
      <c r="N2359" s="4"/>
      <c r="O2359" s="4"/>
      <c r="P2359" s="4"/>
      <c r="Q2359" s="4"/>
      <c r="R2359" s="14"/>
      <c r="S2359" s="14"/>
      <c r="T2359" s="14"/>
      <c r="U2359" s="14"/>
      <c r="V2359" s="14"/>
      <c r="W2359" s="14"/>
      <c r="X2359" s="14"/>
      <c r="Y2359" s="4"/>
      <c r="Z2359" s="4"/>
      <c r="AA2359" s="4"/>
      <c r="AB2359" s="4"/>
      <c r="AC2359" s="4"/>
      <c r="AD2359" s="4"/>
      <c r="AE2359" s="4"/>
      <c r="AF2359" s="4"/>
      <c r="AG2359" s="4"/>
      <c r="AH2359" s="4"/>
      <c r="AI2359" s="4"/>
      <c r="AJ2359" s="4"/>
      <c r="AK2359" s="4"/>
      <c r="AL2359" s="4"/>
      <c r="AM2359" s="4"/>
      <c r="AN2359" s="4"/>
      <c r="AO2359" s="4"/>
      <c r="AP2359" s="4"/>
      <c r="AQ2359" s="4"/>
      <c r="AR2359" s="4"/>
      <c r="AS2359" s="4"/>
      <c r="AT2359" s="4"/>
      <c r="AU2359" s="4"/>
      <c r="AV2359" s="4"/>
      <c r="AW2359" s="4"/>
      <c r="AX2359" s="4"/>
      <c r="AY2359" s="4"/>
      <c r="AZ2359" s="4"/>
      <c r="BA2359" s="4"/>
      <c r="BB2359" s="4"/>
      <c r="BC2359" s="4"/>
      <c r="BD2359" s="4"/>
      <c r="BE2359" s="4"/>
      <c r="BG2359" s="4"/>
      <c r="BH2359" s="4"/>
    </row>
    <row r="2360" spans="1:60" x14ac:dyDescent="0.35">
      <c r="A2360" s="4"/>
      <c r="B2360" s="4"/>
      <c r="D2360" s="6" t="str">
        <f t="shared" si="154"/>
        <v/>
      </c>
      <c r="E2360" s="6" t="str">
        <f t="shared" si="155"/>
        <v/>
      </c>
      <c r="F2360" s="6" t="str">
        <f t="shared" si="156"/>
        <v/>
      </c>
      <c r="G2360" s="4"/>
      <c r="H2360" s="4"/>
      <c r="I2360" s="4"/>
      <c r="J2360" s="4"/>
      <c r="K2360" s="4"/>
      <c r="L2360" s="4"/>
      <c r="M2360" s="4"/>
      <c r="N2360" s="4"/>
      <c r="O2360" s="4"/>
      <c r="P2360" s="4"/>
      <c r="Q2360" s="4"/>
      <c r="R2360" s="14"/>
      <c r="S2360" s="14"/>
      <c r="T2360" s="14"/>
      <c r="U2360" s="14"/>
      <c r="V2360" s="14"/>
      <c r="W2360" s="14"/>
      <c r="X2360" s="1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4"/>
      <c r="AU2360" s="4"/>
      <c r="AV2360" s="4"/>
      <c r="AW2360" s="4"/>
      <c r="AX2360" s="4"/>
      <c r="AY2360" s="4"/>
      <c r="AZ2360" s="4"/>
      <c r="BA2360" s="4"/>
      <c r="BB2360" s="4"/>
      <c r="BC2360" s="4"/>
      <c r="BD2360" s="4"/>
      <c r="BE2360" s="4"/>
      <c r="BG2360" s="4"/>
      <c r="BH2360" s="4"/>
    </row>
    <row r="2361" spans="1:60" x14ac:dyDescent="0.35">
      <c r="A2361" s="4"/>
      <c r="B2361" s="4"/>
      <c r="D2361" s="6" t="str">
        <f t="shared" si="154"/>
        <v/>
      </c>
      <c r="E2361" s="6" t="str">
        <f t="shared" si="155"/>
        <v/>
      </c>
      <c r="F2361" s="6" t="str">
        <f t="shared" si="156"/>
        <v/>
      </c>
      <c r="G2361" s="4"/>
      <c r="H2361" s="4"/>
      <c r="I2361" s="4"/>
      <c r="J2361" s="4"/>
      <c r="K2361" s="4"/>
      <c r="L2361" s="4"/>
      <c r="M2361" s="4"/>
      <c r="N2361" s="4"/>
      <c r="O2361" s="4"/>
      <c r="P2361" s="4"/>
      <c r="Q2361" s="4"/>
      <c r="R2361" s="14"/>
      <c r="S2361" s="14"/>
      <c r="T2361" s="14"/>
      <c r="U2361" s="14"/>
      <c r="V2361" s="14"/>
      <c r="W2361" s="14"/>
      <c r="X2361" s="1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4"/>
      <c r="AU2361" s="4"/>
      <c r="AV2361" s="4"/>
      <c r="AW2361" s="4"/>
      <c r="AX2361" s="4"/>
      <c r="AY2361" s="4"/>
      <c r="AZ2361" s="4"/>
      <c r="BA2361" s="4"/>
      <c r="BB2361" s="4"/>
      <c r="BC2361" s="4"/>
      <c r="BD2361" s="4"/>
      <c r="BE2361" s="4"/>
      <c r="BG2361" s="4"/>
      <c r="BH2361" s="4"/>
    </row>
    <row r="2362" spans="1:60" x14ac:dyDescent="0.35">
      <c r="A2362" s="4"/>
      <c r="B2362" s="4"/>
      <c r="D2362" s="6" t="str">
        <f t="shared" si="154"/>
        <v/>
      </c>
      <c r="E2362" s="6" t="str">
        <f t="shared" si="155"/>
        <v/>
      </c>
      <c r="F2362" s="6" t="str">
        <f t="shared" si="156"/>
        <v/>
      </c>
      <c r="G2362" s="4"/>
      <c r="H2362" s="4"/>
      <c r="I2362" s="4"/>
      <c r="J2362" s="4"/>
      <c r="K2362" s="4"/>
      <c r="L2362" s="4"/>
      <c r="M2362" s="4"/>
      <c r="N2362" s="4"/>
      <c r="O2362" s="4"/>
      <c r="P2362" s="4"/>
      <c r="Q2362" s="4"/>
      <c r="R2362" s="14"/>
      <c r="S2362" s="14"/>
      <c r="T2362" s="14"/>
      <c r="U2362" s="14"/>
      <c r="V2362" s="14"/>
      <c r="W2362" s="14"/>
      <c r="X2362" s="14"/>
      <c r="Y2362" s="4"/>
      <c r="Z2362" s="4"/>
      <c r="AA2362" s="4"/>
      <c r="AB2362" s="4"/>
      <c r="AC2362" s="4"/>
      <c r="AD2362" s="4"/>
      <c r="AE2362" s="4"/>
      <c r="AF2362" s="4"/>
      <c r="AG2362" s="4"/>
      <c r="AH2362" s="4"/>
      <c r="AI2362" s="4"/>
      <c r="AJ2362" s="4"/>
      <c r="AK2362" s="4"/>
      <c r="AL2362" s="4"/>
      <c r="AM2362" s="4"/>
      <c r="AN2362" s="4"/>
      <c r="AO2362" s="4"/>
      <c r="AP2362" s="4"/>
      <c r="AQ2362" s="4"/>
      <c r="AR2362" s="4"/>
      <c r="AS2362" s="4"/>
      <c r="AT2362" s="4"/>
      <c r="AU2362" s="4"/>
      <c r="AV2362" s="4"/>
      <c r="AW2362" s="4"/>
      <c r="AX2362" s="4"/>
      <c r="AY2362" s="4"/>
      <c r="AZ2362" s="4"/>
      <c r="BA2362" s="4"/>
      <c r="BB2362" s="4"/>
      <c r="BC2362" s="4"/>
      <c r="BD2362" s="4"/>
      <c r="BE2362" s="4"/>
      <c r="BG2362" s="4"/>
      <c r="BH2362" s="4"/>
    </row>
    <row r="2363" spans="1:60" x14ac:dyDescent="0.35">
      <c r="A2363" s="4"/>
      <c r="B2363" s="4"/>
      <c r="D2363" s="6" t="str">
        <f t="shared" si="154"/>
        <v/>
      </c>
      <c r="E2363" s="6" t="str">
        <f t="shared" si="155"/>
        <v/>
      </c>
      <c r="F2363" s="6" t="str">
        <f t="shared" si="156"/>
        <v/>
      </c>
      <c r="G2363" s="4"/>
      <c r="H2363" s="4"/>
      <c r="I2363" s="4"/>
      <c r="J2363" s="4"/>
      <c r="K2363" s="4"/>
      <c r="L2363" s="4"/>
      <c r="M2363" s="4"/>
      <c r="N2363" s="4"/>
      <c r="O2363" s="4"/>
      <c r="P2363" s="4"/>
      <c r="Q2363" s="4"/>
      <c r="R2363" s="14"/>
      <c r="S2363" s="14"/>
      <c r="T2363" s="14"/>
      <c r="U2363" s="14"/>
      <c r="V2363" s="14"/>
      <c r="W2363" s="14"/>
      <c r="X2363" s="1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c r="AV2363" s="4"/>
      <c r="AW2363" s="4"/>
      <c r="AX2363" s="4"/>
      <c r="AY2363" s="4"/>
      <c r="AZ2363" s="4"/>
      <c r="BA2363" s="4"/>
      <c r="BB2363" s="4"/>
      <c r="BC2363" s="4"/>
      <c r="BD2363" s="4"/>
      <c r="BE2363" s="4"/>
      <c r="BG2363" s="4"/>
      <c r="BH2363" s="4"/>
    </row>
    <row r="2364" spans="1:60" x14ac:dyDescent="0.35">
      <c r="A2364" s="4"/>
      <c r="B2364" s="4"/>
      <c r="D2364" s="6" t="str">
        <f t="shared" si="154"/>
        <v/>
      </c>
      <c r="E2364" s="6" t="str">
        <f t="shared" si="155"/>
        <v/>
      </c>
      <c r="F2364" s="6" t="str">
        <f t="shared" si="156"/>
        <v/>
      </c>
      <c r="G2364" s="4"/>
      <c r="H2364" s="4"/>
      <c r="I2364" s="4"/>
      <c r="J2364" s="4"/>
      <c r="K2364" s="4"/>
      <c r="L2364" s="4"/>
      <c r="M2364" s="4"/>
      <c r="N2364" s="4"/>
      <c r="O2364" s="4"/>
      <c r="P2364" s="4"/>
      <c r="Q2364" s="4"/>
      <c r="R2364" s="14"/>
      <c r="S2364" s="14"/>
      <c r="T2364" s="14"/>
      <c r="U2364" s="14"/>
      <c r="V2364" s="14"/>
      <c r="W2364" s="14"/>
      <c r="X2364" s="14"/>
      <c r="Y2364" s="4"/>
      <c r="Z2364" s="4"/>
      <c r="AA2364" s="4"/>
      <c r="AB2364" s="4"/>
      <c r="AC2364" s="4"/>
      <c r="AD2364" s="4"/>
      <c r="AE2364" s="4"/>
      <c r="AF2364" s="4"/>
      <c r="AG2364" s="4"/>
      <c r="AH2364" s="4"/>
      <c r="AI2364" s="4"/>
      <c r="AJ2364" s="4"/>
      <c r="AK2364" s="4"/>
      <c r="AL2364" s="4"/>
      <c r="AM2364" s="4"/>
      <c r="AN2364" s="4"/>
      <c r="AO2364" s="4"/>
      <c r="AP2364" s="4"/>
      <c r="AQ2364" s="4"/>
      <c r="AR2364" s="4"/>
      <c r="AS2364" s="4"/>
      <c r="AT2364" s="4"/>
      <c r="AU2364" s="4"/>
      <c r="AV2364" s="4"/>
      <c r="AW2364" s="4"/>
      <c r="AX2364" s="4"/>
      <c r="AY2364" s="4"/>
      <c r="AZ2364" s="4"/>
      <c r="BA2364" s="4"/>
      <c r="BB2364" s="4"/>
      <c r="BC2364" s="4"/>
      <c r="BD2364" s="4"/>
      <c r="BE2364" s="4"/>
      <c r="BG2364" s="4"/>
      <c r="BH2364" s="4"/>
    </row>
    <row r="2365" spans="1:60" x14ac:dyDescent="0.35">
      <c r="A2365" s="4"/>
      <c r="B2365" s="4"/>
      <c r="D2365" s="6" t="str">
        <f t="shared" ref="D2365:D2428" si="157">IF(C2365="","",VLOOKUP(C2365,district_region,2,FALSE))</f>
        <v/>
      </c>
      <c r="E2365" s="6" t="str">
        <f t="shared" ref="E2365:E2428" si="158">IF(C2365="","",VLOOKUP(C2365,liste_pop,3,FALSE))</f>
        <v/>
      </c>
      <c r="F2365" s="6" t="str">
        <f t="shared" ref="F2365:F2428" si="159">IF(D2365="","",IF(D2365="Dakar",4042240,VLOOKUP(D2365,liste_pop,4,FALSE)))</f>
        <v/>
      </c>
      <c r="G2365" s="4"/>
      <c r="H2365" s="4"/>
      <c r="I2365" s="4"/>
      <c r="J2365" s="4"/>
      <c r="K2365" s="4"/>
      <c r="L2365" s="4"/>
      <c r="M2365" s="4"/>
      <c r="N2365" s="4"/>
      <c r="O2365" s="4"/>
      <c r="P2365" s="4"/>
      <c r="Q2365" s="4"/>
      <c r="R2365" s="14"/>
      <c r="S2365" s="14"/>
      <c r="T2365" s="14"/>
      <c r="U2365" s="14"/>
      <c r="V2365" s="14"/>
      <c r="W2365" s="14"/>
      <c r="X2365" s="1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4"/>
      <c r="AU2365" s="4"/>
      <c r="AV2365" s="4"/>
      <c r="AW2365" s="4"/>
      <c r="AX2365" s="4"/>
      <c r="AY2365" s="4"/>
      <c r="AZ2365" s="4"/>
      <c r="BA2365" s="4"/>
      <c r="BB2365" s="4"/>
      <c r="BC2365" s="4"/>
      <c r="BD2365" s="4"/>
      <c r="BE2365" s="4"/>
      <c r="BG2365" s="4"/>
      <c r="BH2365" s="4"/>
    </row>
    <row r="2366" spans="1:60" x14ac:dyDescent="0.35">
      <c r="A2366" s="4"/>
      <c r="B2366" s="4"/>
      <c r="D2366" s="6" t="str">
        <f t="shared" si="157"/>
        <v/>
      </c>
      <c r="E2366" s="6" t="str">
        <f t="shared" si="158"/>
        <v/>
      </c>
      <c r="F2366" s="6" t="str">
        <f t="shared" si="159"/>
        <v/>
      </c>
      <c r="G2366" s="4"/>
      <c r="H2366" s="4"/>
      <c r="I2366" s="4"/>
      <c r="J2366" s="4"/>
      <c r="K2366" s="4"/>
      <c r="L2366" s="4"/>
      <c r="M2366" s="4"/>
      <c r="N2366" s="4"/>
      <c r="O2366" s="4"/>
      <c r="P2366" s="4"/>
      <c r="Q2366" s="4"/>
      <c r="R2366" s="14"/>
      <c r="S2366" s="14"/>
      <c r="T2366" s="14"/>
      <c r="U2366" s="14"/>
      <c r="V2366" s="14"/>
      <c r="W2366" s="14"/>
      <c r="X2366" s="1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4"/>
      <c r="AU2366" s="4"/>
      <c r="AV2366" s="4"/>
      <c r="AW2366" s="4"/>
      <c r="AX2366" s="4"/>
      <c r="AY2366" s="4"/>
      <c r="AZ2366" s="4"/>
      <c r="BA2366" s="4"/>
      <c r="BB2366" s="4"/>
      <c r="BC2366" s="4"/>
      <c r="BD2366" s="4"/>
      <c r="BE2366" s="4"/>
      <c r="BG2366" s="4"/>
      <c r="BH2366" s="4"/>
    </row>
    <row r="2367" spans="1:60" x14ac:dyDescent="0.35">
      <c r="A2367" s="4"/>
      <c r="B2367" s="4"/>
      <c r="D2367" s="6" t="str">
        <f t="shared" si="157"/>
        <v/>
      </c>
      <c r="E2367" s="6" t="str">
        <f t="shared" si="158"/>
        <v/>
      </c>
      <c r="F2367" s="6" t="str">
        <f t="shared" si="159"/>
        <v/>
      </c>
      <c r="G2367" s="4"/>
      <c r="H2367" s="4"/>
      <c r="I2367" s="4"/>
      <c r="J2367" s="4"/>
      <c r="K2367" s="4"/>
      <c r="L2367" s="4"/>
      <c r="M2367" s="4"/>
      <c r="N2367" s="4"/>
      <c r="O2367" s="4"/>
      <c r="P2367" s="4"/>
      <c r="Q2367" s="4"/>
      <c r="R2367" s="14"/>
      <c r="S2367" s="14"/>
      <c r="T2367" s="14"/>
      <c r="U2367" s="14"/>
      <c r="V2367" s="14"/>
      <c r="W2367" s="14"/>
      <c r="X2367" s="1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4"/>
      <c r="AU2367" s="4"/>
      <c r="AV2367" s="4"/>
      <c r="AW2367" s="4"/>
      <c r="AX2367" s="4"/>
      <c r="AY2367" s="4"/>
      <c r="AZ2367" s="4"/>
      <c r="BA2367" s="4"/>
      <c r="BB2367" s="4"/>
      <c r="BC2367" s="4"/>
      <c r="BD2367" s="4"/>
      <c r="BE2367" s="4"/>
      <c r="BG2367" s="4"/>
      <c r="BH2367" s="4"/>
    </row>
    <row r="2368" spans="1:60" x14ac:dyDescent="0.35">
      <c r="A2368" s="4"/>
      <c r="B2368" s="4"/>
      <c r="D2368" s="6" t="str">
        <f t="shared" si="157"/>
        <v/>
      </c>
      <c r="E2368" s="6" t="str">
        <f t="shared" si="158"/>
        <v/>
      </c>
      <c r="F2368" s="6" t="str">
        <f t="shared" si="159"/>
        <v/>
      </c>
      <c r="G2368" s="4"/>
      <c r="H2368" s="4"/>
      <c r="I2368" s="4"/>
      <c r="J2368" s="4"/>
      <c r="K2368" s="4"/>
      <c r="L2368" s="4"/>
      <c r="M2368" s="4"/>
      <c r="N2368" s="4"/>
      <c r="O2368" s="4"/>
      <c r="P2368" s="4"/>
      <c r="Q2368" s="4"/>
      <c r="R2368" s="14"/>
      <c r="S2368" s="14"/>
      <c r="T2368" s="14"/>
      <c r="U2368" s="14"/>
      <c r="V2368" s="14"/>
      <c r="W2368" s="14"/>
      <c r="X2368" s="1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4"/>
      <c r="AU2368" s="4"/>
      <c r="AV2368" s="4"/>
      <c r="AW2368" s="4"/>
      <c r="AX2368" s="4"/>
      <c r="AY2368" s="4"/>
      <c r="AZ2368" s="4"/>
      <c r="BA2368" s="4"/>
      <c r="BB2368" s="4"/>
      <c r="BC2368" s="4"/>
      <c r="BD2368" s="4"/>
      <c r="BE2368" s="4"/>
      <c r="BG2368" s="4"/>
      <c r="BH2368" s="4"/>
    </row>
    <row r="2369" spans="1:60" x14ac:dyDescent="0.35">
      <c r="A2369" s="4"/>
      <c r="B2369" s="4"/>
      <c r="D2369" s="6" t="str">
        <f t="shared" si="157"/>
        <v/>
      </c>
      <c r="E2369" s="6" t="str">
        <f t="shared" si="158"/>
        <v/>
      </c>
      <c r="F2369" s="6" t="str">
        <f t="shared" si="159"/>
        <v/>
      </c>
      <c r="G2369" s="4"/>
      <c r="H2369" s="4"/>
      <c r="I2369" s="4"/>
      <c r="J2369" s="4"/>
      <c r="K2369" s="4"/>
      <c r="L2369" s="4"/>
      <c r="M2369" s="4"/>
      <c r="N2369" s="4"/>
      <c r="O2369" s="4"/>
      <c r="P2369" s="4"/>
      <c r="Q2369" s="4"/>
      <c r="R2369" s="14"/>
      <c r="S2369" s="14"/>
      <c r="T2369" s="14"/>
      <c r="U2369" s="14"/>
      <c r="V2369" s="14"/>
      <c r="W2369" s="14"/>
      <c r="X2369" s="1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4"/>
      <c r="AU2369" s="4"/>
      <c r="AV2369" s="4"/>
      <c r="AW2369" s="4"/>
      <c r="AX2369" s="4"/>
      <c r="AY2369" s="4"/>
      <c r="AZ2369" s="4"/>
      <c r="BA2369" s="4"/>
      <c r="BB2369" s="4"/>
      <c r="BC2369" s="4"/>
      <c r="BD2369" s="4"/>
      <c r="BE2369" s="4"/>
      <c r="BG2369" s="4"/>
      <c r="BH2369" s="4"/>
    </row>
    <row r="2370" spans="1:60" x14ac:dyDescent="0.35">
      <c r="A2370" s="4"/>
      <c r="B2370" s="4"/>
      <c r="D2370" s="6" t="str">
        <f t="shared" si="157"/>
        <v/>
      </c>
      <c r="E2370" s="6" t="str">
        <f t="shared" si="158"/>
        <v/>
      </c>
      <c r="F2370" s="6" t="str">
        <f t="shared" si="159"/>
        <v/>
      </c>
      <c r="G2370" s="4"/>
      <c r="H2370" s="4"/>
      <c r="I2370" s="4"/>
      <c r="J2370" s="4"/>
      <c r="K2370" s="4"/>
      <c r="L2370" s="4"/>
      <c r="M2370" s="4"/>
      <c r="N2370" s="4"/>
      <c r="O2370" s="4"/>
      <c r="P2370" s="4"/>
      <c r="Q2370" s="4"/>
      <c r="R2370" s="14"/>
      <c r="S2370" s="14"/>
      <c r="T2370" s="14"/>
      <c r="U2370" s="14"/>
      <c r="V2370" s="14"/>
      <c r="W2370" s="14"/>
      <c r="X2370" s="14"/>
      <c r="Y2370" s="4"/>
      <c r="Z2370" s="4"/>
      <c r="AA2370" s="4"/>
      <c r="AB2370" s="4"/>
      <c r="AC2370" s="4"/>
      <c r="AD2370" s="4"/>
      <c r="AE2370" s="4"/>
      <c r="AF2370" s="4"/>
      <c r="AG2370" s="4"/>
      <c r="AH2370" s="4"/>
      <c r="AI2370" s="4"/>
      <c r="AJ2370" s="4"/>
      <c r="AK2370" s="4"/>
      <c r="AL2370" s="4"/>
      <c r="AM2370" s="4"/>
      <c r="AN2370" s="4"/>
      <c r="AO2370" s="4"/>
      <c r="AP2370" s="4"/>
      <c r="AQ2370" s="4"/>
      <c r="AR2370" s="4"/>
      <c r="AS2370" s="4"/>
      <c r="AT2370" s="4"/>
      <c r="AU2370" s="4"/>
      <c r="AV2370" s="4"/>
      <c r="AW2370" s="4"/>
      <c r="AX2370" s="4"/>
      <c r="AY2370" s="4"/>
      <c r="AZ2370" s="4"/>
      <c r="BA2370" s="4"/>
      <c r="BB2370" s="4"/>
      <c r="BC2370" s="4"/>
      <c r="BD2370" s="4"/>
      <c r="BE2370" s="4"/>
      <c r="BG2370" s="4"/>
      <c r="BH2370" s="4"/>
    </row>
    <row r="2371" spans="1:60" x14ac:dyDescent="0.35">
      <c r="A2371" s="4"/>
      <c r="B2371" s="4"/>
      <c r="D2371" s="6" t="str">
        <f t="shared" si="157"/>
        <v/>
      </c>
      <c r="E2371" s="6" t="str">
        <f t="shared" si="158"/>
        <v/>
      </c>
      <c r="F2371" s="6" t="str">
        <f t="shared" si="159"/>
        <v/>
      </c>
      <c r="G2371" s="4"/>
      <c r="H2371" s="4"/>
      <c r="I2371" s="4"/>
      <c r="J2371" s="4"/>
      <c r="K2371" s="4"/>
      <c r="L2371" s="4"/>
      <c r="M2371" s="4"/>
      <c r="N2371" s="4"/>
      <c r="O2371" s="4"/>
      <c r="P2371" s="4"/>
      <c r="Q2371" s="4"/>
      <c r="R2371" s="14"/>
      <c r="S2371" s="14"/>
      <c r="T2371" s="14"/>
      <c r="U2371" s="14"/>
      <c r="V2371" s="14"/>
      <c r="W2371" s="14"/>
      <c r="X2371" s="14"/>
      <c r="Y2371" s="4"/>
      <c r="Z2371" s="4"/>
      <c r="AA2371" s="4"/>
      <c r="AB2371" s="4"/>
      <c r="AC2371" s="4"/>
      <c r="AD2371" s="4"/>
      <c r="AE2371" s="4"/>
      <c r="AF2371" s="4"/>
      <c r="AG2371" s="4"/>
      <c r="AH2371" s="4"/>
      <c r="AI2371" s="4"/>
      <c r="AJ2371" s="4"/>
      <c r="AK2371" s="4"/>
      <c r="AL2371" s="4"/>
      <c r="AM2371" s="4"/>
      <c r="AN2371" s="4"/>
      <c r="AO2371" s="4"/>
      <c r="AP2371" s="4"/>
      <c r="AQ2371" s="4"/>
      <c r="AR2371" s="4"/>
      <c r="AS2371" s="4"/>
      <c r="AT2371" s="4"/>
      <c r="AU2371" s="4"/>
      <c r="AV2371" s="4"/>
      <c r="AW2371" s="4"/>
      <c r="AX2371" s="4"/>
      <c r="AY2371" s="4"/>
      <c r="AZ2371" s="4"/>
      <c r="BA2371" s="4"/>
      <c r="BB2371" s="4"/>
      <c r="BC2371" s="4"/>
      <c r="BD2371" s="4"/>
      <c r="BE2371" s="4"/>
      <c r="BG2371" s="4"/>
      <c r="BH2371" s="4"/>
    </row>
    <row r="2372" spans="1:60" x14ac:dyDescent="0.35">
      <c r="A2372" s="4"/>
      <c r="B2372" s="4"/>
      <c r="D2372" s="6" t="str">
        <f t="shared" si="157"/>
        <v/>
      </c>
      <c r="E2372" s="6" t="str">
        <f t="shared" si="158"/>
        <v/>
      </c>
      <c r="F2372" s="6" t="str">
        <f t="shared" si="159"/>
        <v/>
      </c>
      <c r="G2372" s="4"/>
      <c r="H2372" s="4"/>
      <c r="I2372" s="4"/>
      <c r="J2372" s="4"/>
      <c r="K2372" s="4"/>
      <c r="L2372" s="4"/>
      <c r="M2372" s="4"/>
      <c r="N2372" s="4"/>
      <c r="O2372" s="4"/>
      <c r="P2372" s="4"/>
      <c r="Q2372" s="4"/>
      <c r="R2372" s="14"/>
      <c r="S2372" s="14"/>
      <c r="T2372" s="14"/>
      <c r="U2372" s="14"/>
      <c r="V2372" s="14"/>
      <c r="W2372" s="14"/>
      <c r="X2372" s="1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4"/>
      <c r="AU2372" s="4"/>
      <c r="AV2372" s="4"/>
      <c r="AW2372" s="4"/>
      <c r="AX2372" s="4"/>
      <c r="AY2372" s="4"/>
      <c r="AZ2372" s="4"/>
      <c r="BA2372" s="4"/>
      <c r="BB2372" s="4"/>
      <c r="BC2372" s="4"/>
      <c r="BD2372" s="4"/>
      <c r="BE2372" s="4"/>
      <c r="BG2372" s="4"/>
      <c r="BH2372" s="4"/>
    </row>
    <row r="2373" spans="1:60" x14ac:dyDescent="0.35">
      <c r="A2373" s="4"/>
      <c r="B2373" s="4"/>
      <c r="D2373" s="6" t="str">
        <f t="shared" si="157"/>
        <v/>
      </c>
      <c r="E2373" s="6" t="str">
        <f t="shared" si="158"/>
        <v/>
      </c>
      <c r="F2373" s="6" t="str">
        <f t="shared" si="159"/>
        <v/>
      </c>
      <c r="G2373" s="4"/>
      <c r="H2373" s="4"/>
      <c r="I2373" s="4"/>
      <c r="J2373" s="4"/>
      <c r="K2373" s="4"/>
      <c r="L2373" s="4"/>
      <c r="M2373" s="4"/>
      <c r="N2373" s="4"/>
      <c r="O2373" s="4"/>
      <c r="P2373" s="4"/>
      <c r="Q2373" s="4"/>
      <c r="R2373" s="14"/>
      <c r="S2373" s="14"/>
      <c r="T2373" s="14"/>
      <c r="U2373" s="14"/>
      <c r="V2373" s="14"/>
      <c r="W2373" s="14"/>
      <c r="X2373" s="1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4"/>
      <c r="AU2373" s="4"/>
      <c r="AV2373" s="4"/>
      <c r="AW2373" s="4"/>
      <c r="AX2373" s="4"/>
      <c r="AY2373" s="4"/>
      <c r="AZ2373" s="4"/>
      <c r="BA2373" s="4"/>
      <c r="BB2373" s="4"/>
      <c r="BC2373" s="4"/>
      <c r="BD2373" s="4"/>
      <c r="BE2373" s="4"/>
      <c r="BG2373" s="4"/>
      <c r="BH2373" s="4"/>
    </row>
    <row r="2374" spans="1:60" x14ac:dyDescent="0.35">
      <c r="A2374" s="4"/>
      <c r="B2374" s="4"/>
      <c r="D2374" s="6" t="str">
        <f t="shared" si="157"/>
        <v/>
      </c>
      <c r="E2374" s="6" t="str">
        <f t="shared" si="158"/>
        <v/>
      </c>
      <c r="F2374" s="6" t="str">
        <f t="shared" si="159"/>
        <v/>
      </c>
      <c r="G2374" s="4"/>
      <c r="H2374" s="4"/>
      <c r="I2374" s="4"/>
      <c r="J2374" s="4"/>
      <c r="K2374" s="4"/>
      <c r="L2374" s="4"/>
      <c r="M2374" s="4"/>
      <c r="N2374" s="4"/>
      <c r="O2374" s="4"/>
      <c r="P2374" s="4"/>
      <c r="Q2374" s="4"/>
      <c r="R2374" s="14"/>
      <c r="S2374" s="14"/>
      <c r="T2374" s="14"/>
      <c r="U2374" s="14"/>
      <c r="V2374" s="14"/>
      <c r="W2374" s="14"/>
      <c r="X2374" s="1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4"/>
      <c r="AU2374" s="4"/>
      <c r="AV2374" s="4"/>
      <c r="AW2374" s="4"/>
      <c r="AX2374" s="4"/>
      <c r="AY2374" s="4"/>
      <c r="AZ2374" s="4"/>
      <c r="BA2374" s="4"/>
      <c r="BB2374" s="4"/>
      <c r="BC2374" s="4"/>
      <c r="BD2374" s="4"/>
      <c r="BE2374" s="4"/>
      <c r="BG2374" s="4"/>
      <c r="BH2374" s="4"/>
    </row>
    <row r="2375" spans="1:60" x14ac:dyDescent="0.35">
      <c r="A2375" s="4"/>
      <c r="B2375" s="4"/>
      <c r="D2375" s="6" t="str">
        <f t="shared" si="157"/>
        <v/>
      </c>
      <c r="E2375" s="6" t="str">
        <f t="shared" si="158"/>
        <v/>
      </c>
      <c r="F2375" s="6" t="str">
        <f t="shared" si="159"/>
        <v/>
      </c>
      <c r="G2375" s="4"/>
      <c r="H2375" s="4"/>
      <c r="I2375" s="4"/>
      <c r="J2375" s="4"/>
      <c r="K2375" s="4"/>
      <c r="L2375" s="4"/>
      <c r="M2375" s="4"/>
      <c r="N2375" s="4"/>
      <c r="O2375" s="4"/>
      <c r="P2375" s="4"/>
      <c r="Q2375" s="4"/>
      <c r="R2375" s="14"/>
      <c r="S2375" s="14"/>
      <c r="T2375" s="14"/>
      <c r="U2375" s="14"/>
      <c r="V2375" s="14"/>
      <c r="W2375" s="14"/>
      <c r="X2375" s="1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4"/>
      <c r="AU2375" s="4"/>
      <c r="AV2375" s="4"/>
      <c r="AW2375" s="4"/>
      <c r="AX2375" s="4"/>
      <c r="AY2375" s="4"/>
      <c r="AZ2375" s="4"/>
      <c r="BA2375" s="4"/>
      <c r="BB2375" s="4"/>
      <c r="BC2375" s="4"/>
      <c r="BD2375" s="4"/>
      <c r="BE2375" s="4"/>
      <c r="BG2375" s="4"/>
      <c r="BH2375" s="4"/>
    </row>
    <row r="2376" spans="1:60" x14ac:dyDescent="0.35">
      <c r="A2376" s="4"/>
      <c r="B2376" s="4"/>
      <c r="D2376" s="6" t="str">
        <f t="shared" si="157"/>
        <v/>
      </c>
      <c r="E2376" s="6" t="str">
        <f t="shared" si="158"/>
        <v/>
      </c>
      <c r="F2376" s="6" t="str">
        <f t="shared" si="159"/>
        <v/>
      </c>
      <c r="G2376" s="4"/>
      <c r="H2376" s="4"/>
      <c r="I2376" s="4"/>
      <c r="J2376" s="4"/>
      <c r="K2376" s="4"/>
      <c r="L2376" s="4"/>
      <c r="M2376" s="4"/>
      <c r="N2376" s="4"/>
      <c r="O2376" s="4"/>
      <c r="P2376" s="4"/>
      <c r="Q2376" s="4"/>
      <c r="R2376" s="14"/>
      <c r="S2376" s="14"/>
      <c r="T2376" s="14"/>
      <c r="U2376" s="14"/>
      <c r="V2376" s="14"/>
      <c r="W2376" s="14"/>
      <c r="X2376" s="1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4"/>
      <c r="AU2376" s="4"/>
      <c r="AV2376" s="4"/>
      <c r="AW2376" s="4"/>
      <c r="AX2376" s="4"/>
      <c r="AY2376" s="4"/>
      <c r="AZ2376" s="4"/>
      <c r="BA2376" s="4"/>
      <c r="BB2376" s="4"/>
      <c r="BC2376" s="4"/>
      <c r="BD2376" s="4"/>
      <c r="BE2376" s="4"/>
      <c r="BG2376" s="4"/>
      <c r="BH2376" s="4"/>
    </row>
    <row r="2377" spans="1:60" x14ac:dyDescent="0.35">
      <c r="A2377" s="4"/>
      <c r="B2377" s="4"/>
      <c r="D2377" s="6" t="str">
        <f t="shared" si="157"/>
        <v/>
      </c>
      <c r="E2377" s="6" t="str">
        <f t="shared" si="158"/>
        <v/>
      </c>
      <c r="F2377" s="6" t="str">
        <f t="shared" si="159"/>
        <v/>
      </c>
      <c r="G2377" s="4"/>
      <c r="H2377" s="4"/>
      <c r="I2377" s="4"/>
      <c r="J2377" s="4"/>
      <c r="K2377" s="4"/>
      <c r="L2377" s="4"/>
      <c r="M2377" s="4"/>
      <c r="N2377" s="4"/>
      <c r="O2377" s="4"/>
      <c r="P2377" s="4"/>
      <c r="Q2377" s="4"/>
      <c r="R2377" s="14"/>
      <c r="S2377" s="14"/>
      <c r="T2377" s="14"/>
      <c r="U2377" s="14"/>
      <c r="V2377" s="14"/>
      <c r="W2377" s="14"/>
      <c r="X2377" s="14"/>
      <c r="Y2377" s="4"/>
      <c r="Z2377" s="4"/>
      <c r="AA2377" s="4"/>
      <c r="AB2377" s="4"/>
      <c r="AC2377" s="4"/>
      <c r="AD2377" s="4"/>
      <c r="AE2377" s="4"/>
      <c r="AF2377" s="4"/>
      <c r="AG2377" s="4"/>
      <c r="AH2377" s="4"/>
      <c r="AI2377" s="4"/>
      <c r="AJ2377" s="4"/>
      <c r="AK2377" s="4"/>
      <c r="AL2377" s="4"/>
      <c r="AM2377" s="4"/>
      <c r="AN2377" s="4"/>
      <c r="AO2377" s="4"/>
      <c r="AP2377" s="4"/>
      <c r="AQ2377" s="4"/>
      <c r="AR2377" s="4"/>
      <c r="AS2377" s="4"/>
      <c r="AT2377" s="4"/>
      <c r="AU2377" s="4"/>
      <c r="AV2377" s="4"/>
      <c r="AW2377" s="4"/>
      <c r="AX2377" s="4"/>
      <c r="AY2377" s="4"/>
      <c r="AZ2377" s="4"/>
      <c r="BA2377" s="4"/>
      <c r="BB2377" s="4"/>
      <c r="BC2377" s="4"/>
      <c r="BD2377" s="4"/>
      <c r="BE2377" s="4"/>
      <c r="BG2377" s="4"/>
      <c r="BH2377" s="4"/>
    </row>
    <row r="2378" spans="1:60" x14ac:dyDescent="0.35">
      <c r="A2378" s="4"/>
      <c r="B2378" s="4"/>
      <c r="D2378" s="6" t="str">
        <f t="shared" si="157"/>
        <v/>
      </c>
      <c r="E2378" s="6" t="str">
        <f t="shared" si="158"/>
        <v/>
      </c>
      <c r="F2378" s="6" t="str">
        <f t="shared" si="159"/>
        <v/>
      </c>
      <c r="G2378" s="4"/>
      <c r="H2378" s="4"/>
      <c r="I2378" s="4"/>
      <c r="J2378" s="4"/>
      <c r="K2378" s="4"/>
      <c r="L2378" s="4"/>
      <c r="M2378" s="4"/>
      <c r="N2378" s="4"/>
      <c r="O2378" s="4"/>
      <c r="P2378" s="4"/>
      <c r="Q2378" s="4"/>
      <c r="R2378" s="14"/>
      <c r="S2378" s="14"/>
      <c r="T2378" s="14"/>
      <c r="U2378" s="14"/>
      <c r="V2378" s="14"/>
      <c r="W2378" s="14"/>
      <c r="X2378" s="1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c r="AV2378" s="4"/>
      <c r="AW2378" s="4"/>
      <c r="AX2378" s="4"/>
      <c r="AY2378" s="4"/>
      <c r="AZ2378" s="4"/>
      <c r="BA2378" s="4"/>
      <c r="BB2378" s="4"/>
      <c r="BC2378" s="4"/>
      <c r="BD2378" s="4"/>
      <c r="BE2378" s="4"/>
      <c r="BG2378" s="4"/>
      <c r="BH2378" s="4"/>
    </row>
    <row r="2379" spans="1:60" x14ac:dyDescent="0.35">
      <c r="A2379" s="4"/>
      <c r="B2379" s="4"/>
      <c r="D2379" s="6" t="str">
        <f t="shared" si="157"/>
        <v/>
      </c>
      <c r="E2379" s="6" t="str">
        <f t="shared" si="158"/>
        <v/>
      </c>
      <c r="F2379" s="6" t="str">
        <f t="shared" si="159"/>
        <v/>
      </c>
      <c r="G2379" s="4"/>
      <c r="H2379" s="4"/>
      <c r="I2379" s="4"/>
      <c r="J2379" s="4"/>
      <c r="K2379" s="4"/>
      <c r="L2379" s="4"/>
      <c r="M2379" s="4"/>
      <c r="N2379" s="4"/>
      <c r="O2379" s="4"/>
      <c r="P2379" s="4"/>
      <c r="Q2379" s="4"/>
      <c r="R2379" s="14"/>
      <c r="S2379" s="14"/>
      <c r="T2379" s="14"/>
      <c r="U2379" s="14"/>
      <c r="V2379" s="14"/>
      <c r="W2379" s="14"/>
      <c r="X2379" s="1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c r="AV2379" s="4"/>
      <c r="AW2379" s="4"/>
      <c r="AX2379" s="4"/>
      <c r="AY2379" s="4"/>
      <c r="AZ2379" s="4"/>
      <c r="BA2379" s="4"/>
      <c r="BB2379" s="4"/>
      <c r="BC2379" s="4"/>
      <c r="BD2379" s="4"/>
      <c r="BE2379" s="4"/>
      <c r="BG2379" s="4"/>
      <c r="BH2379" s="4"/>
    </row>
    <row r="2380" spans="1:60" x14ac:dyDescent="0.35">
      <c r="A2380" s="4"/>
      <c r="B2380" s="4"/>
      <c r="D2380" s="6" t="str">
        <f t="shared" si="157"/>
        <v/>
      </c>
      <c r="E2380" s="6" t="str">
        <f t="shared" si="158"/>
        <v/>
      </c>
      <c r="F2380" s="6" t="str">
        <f t="shared" si="159"/>
        <v/>
      </c>
      <c r="G2380" s="4"/>
      <c r="H2380" s="4"/>
      <c r="I2380" s="4"/>
      <c r="J2380" s="4"/>
      <c r="K2380" s="4"/>
      <c r="L2380" s="4"/>
      <c r="M2380" s="4"/>
      <c r="N2380" s="4"/>
      <c r="O2380" s="4"/>
      <c r="P2380" s="4"/>
      <c r="Q2380" s="4"/>
      <c r="R2380" s="14"/>
      <c r="S2380" s="14"/>
      <c r="T2380" s="14"/>
      <c r="U2380" s="14"/>
      <c r="V2380" s="14"/>
      <c r="W2380" s="14"/>
      <c r="X2380" s="1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c r="AV2380" s="4"/>
      <c r="AW2380" s="4"/>
      <c r="AX2380" s="4"/>
      <c r="AY2380" s="4"/>
      <c r="AZ2380" s="4"/>
      <c r="BA2380" s="4"/>
      <c r="BB2380" s="4"/>
      <c r="BC2380" s="4"/>
      <c r="BD2380" s="4"/>
      <c r="BE2380" s="4"/>
      <c r="BG2380" s="4"/>
      <c r="BH2380" s="4"/>
    </row>
    <row r="2381" spans="1:60" x14ac:dyDescent="0.35">
      <c r="A2381" s="4"/>
      <c r="B2381" s="4"/>
      <c r="D2381" s="6" t="str">
        <f t="shared" si="157"/>
        <v/>
      </c>
      <c r="E2381" s="6" t="str">
        <f t="shared" si="158"/>
        <v/>
      </c>
      <c r="F2381" s="6" t="str">
        <f t="shared" si="159"/>
        <v/>
      </c>
      <c r="G2381" s="4"/>
      <c r="H2381" s="4"/>
      <c r="I2381" s="4"/>
      <c r="J2381" s="4"/>
      <c r="K2381" s="4"/>
      <c r="L2381" s="4"/>
      <c r="M2381" s="4"/>
      <c r="N2381" s="4"/>
      <c r="O2381" s="4"/>
      <c r="P2381" s="4"/>
      <c r="Q2381" s="4"/>
      <c r="R2381" s="14"/>
      <c r="S2381" s="14"/>
      <c r="T2381" s="14"/>
      <c r="U2381" s="14"/>
      <c r="V2381" s="14"/>
      <c r="W2381" s="14"/>
      <c r="X2381" s="1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4"/>
      <c r="AU2381" s="4"/>
      <c r="AV2381" s="4"/>
      <c r="AW2381" s="4"/>
      <c r="AX2381" s="4"/>
      <c r="AY2381" s="4"/>
      <c r="AZ2381" s="4"/>
      <c r="BA2381" s="4"/>
      <c r="BB2381" s="4"/>
      <c r="BC2381" s="4"/>
      <c r="BD2381" s="4"/>
      <c r="BE2381" s="4"/>
      <c r="BG2381" s="4"/>
      <c r="BH2381" s="4"/>
    </row>
    <row r="2382" spans="1:60" x14ac:dyDescent="0.35">
      <c r="A2382" s="4"/>
      <c r="B2382" s="4"/>
      <c r="D2382" s="6" t="str">
        <f t="shared" si="157"/>
        <v/>
      </c>
      <c r="E2382" s="6" t="str">
        <f t="shared" si="158"/>
        <v/>
      </c>
      <c r="F2382" s="6" t="str">
        <f t="shared" si="159"/>
        <v/>
      </c>
      <c r="G2382" s="4"/>
      <c r="H2382" s="4"/>
      <c r="I2382" s="4"/>
      <c r="J2382" s="4"/>
      <c r="K2382" s="4"/>
      <c r="L2382" s="4"/>
      <c r="M2382" s="4"/>
      <c r="N2382" s="4"/>
      <c r="O2382" s="4"/>
      <c r="P2382" s="4"/>
      <c r="Q2382" s="4"/>
      <c r="R2382" s="14"/>
      <c r="S2382" s="14"/>
      <c r="T2382" s="14"/>
      <c r="U2382" s="14"/>
      <c r="V2382" s="14"/>
      <c r="W2382" s="14"/>
      <c r="X2382" s="1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4"/>
      <c r="AU2382" s="4"/>
      <c r="AV2382" s="4"/>
      <c r="AW2382" s="4"/>
      <c r="AX2382" s="4"/>
      <c r="AY2382" s="4"/>
      <c r="AZ2382" s="4"/>
      <c r="BA2382" s="4"/>
      <c r="BB2382" s="4"/>
      <c r="BC2382" s="4"/>
      <c r="BD2382" s="4"/>
      <c r="BE2382" s="4"/>
      <c r="BG2382" s="4"/>
      <c r="BH2382" s="4"/>
    </row>
    <row r="2383" spans="1:60" x14ac:dyDescent="0.35">
      <c r="A2383" s="4"/>
      <c r="B2383" s="4"/>
      <c r="D2383" s="6" t="str">
        <f t="shared" si="157"/>
        <v/>
      </c>
      <c r="E2383" s="6" t="str">
        <f t="shared" si="158"/>
        <v/>
      </c>
      <c r="F2383" s="6" t="str">
        <f t="shared" si="159"/>
        <v/>
      </c>
      <c r="G2383" s="4"/>
      <c r="H2383" s="4"/>
      <c r="I2383" s="4"/>
      <c r="J2383" s="4"/>
      <c r="K2383" s="4"/>
      <c r="L2383" s="4"/>
      <c r="M2383" s="4"/>
      <c r="N2383" s="4"/>
      <c r="O2383" s="4"/>
      <c r="P2383" s="4"/>
      <c r="Q2383" s="4"/>
      <c r="R2383" s="14"/>
      <c r="S2383" s="14"/>
      <c r="T2383" s="14"/>
      <c r="U2383" s="14"/>
      <c r="V2383" s="14"/>
      <c r="W2383" s="14"/>
      <c r="X2383" s="1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4"/>
      <c r="AU2383" s="4"/>
      <c r="AV2383" s="4"/>
      <c r="AW2383" s="4"/>
      <c r="AX2383" s="4"/>
      <c r="AY2383" s="4"/>
      <c r="AZ2383" s="4"/>
      <c r="BA2383" s="4"/>
      <c r="BB2383" s="4"/>
      <c r="BC2383" s="4"/>
      <c r="BD2383" s="4"/>
      <c r="BE2383" s="4"/>
      <c r="BG2383" s="4"/>
      <c r="BH2383" s="4"/>
    </row>
    <row r="2384" spans="1:60" x14ac:dyDescent="0.35">
      <c r="A2384" s="4"/>
      <c r="B2384" s="4"/>
      <c r="D2384" s="6" t="str">
        <f t="shared" si="157"/>
        <v/>
      </c>
      <c r="E2384" s="6" t="str">
        <f t="shared" si="158"/>
        <v/>
      </c>
      <c r="F2384" s="6" t="str">
        <f t="shared" si="159"/>
        <v/>
      </c>
      <c r="G2384" s="4"/>
      <c r="H2384" s="4"/>
      <c r="I2384" s="4"/>
      <c r="J2384" s="4"/>
      <c r="K2384" s="4"/>
      <c r="L2384" s="4"/>
      <c r="M2384" s="4"/>
      <c r="N2384" s="4"/>
      <c r="O2384" s="4"/>
      <c r="P2384" s="4"/>
      <c r="Q2384" s="4"/>
      <c r="R2384" s="14"/>
      <c r="S2384" s="14"/>
      <c r="T2384" s="14"/>
      <c r="U2384" s="14"/>
      <c r="V2384" s="14"/>
      <c r="W2384" s="14"/>
      <c r="X2384" s="1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4"/>
      <c r="AU2384" s="4"/>
      <c r="AV2384" s="4"/>
      <c r="AW2384" s="4"/>
      <c r="AX2384" s="4"/>
      <c r="AY2384" s="4"/>
      <c r="AZ2384" s="4"/>
      <c r="BA2384" s="4"/>
      <c r="BB2384" s="4"/>
      <c r="BC2384" s="4"/>
      <c r="BD2384" s="4"/>
      <c r="BE2384" s="4"/>
      <c r="BG2384" s="4"/>
      <c r="BH2384" s="4"/>
    </row>
    <row r="2385" spans="1:60" x14ac:dyDescent="0.35">
      <c r="A2385" s="4"/>
      <c r="B2385" s="4"/>
      <c r="D2385" s="6" t="str">
        <f t="shared" si="157"/>
        <v/>
      </c>
      <c r="E2385" s="6" t="str">
        <f t="shared" si="158"/>
        <v/>
      </c>
      <c r="F2385" s="6" t="str">
        <f t="shared" si="159"/>
        <v/>
      </c>
      <c r="G2385" s="4"/>
      <c r="H2385" s="4"/>
      <c r="I2385" s="4"/>
      <c r="J2385" s="4"/>
      <c r="K2385" s="4"/>
      <c r="L2385" s="4"/>
      <c r="M2385" s="4"/>
      <c r="N2385" s="4"/>
      <c r="O2385" s="4"/>
      <c r="P2385" s="4"/>
      <c r="Q2385" s="4"/>
      <c r="R2385" s="14"/>
      <c r="S2385" s="14"/>
      <c r="T2385" s="14"/>
      <c r="U2385" s="14"/>
      <c r="V2385" s="14"/>
      <c r="W2385" s="14"/>
      <c r="X2385" s="1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4"/>
      <c r="AU2385" s="4"/>
      <c r="AV2385" s="4"/>
      <c r="AW2385" s="4"/>
      <c r="AX2385" s="4"/>
      <c r="AY2385" s="4"/>
      <c r="AZ2385" s="4"/>
      <c r="BA2385" s="4"/>
      <c r="BB2385" s="4"/>
      <c r="BC2385" s="4"/>
      <c r="BD2385" s="4"/>
      <c r="BE2385" s="4"/>
      <c r="BG2385" s="4"/>
      <c r="BH2385" s="4"/>
    </row>
    <row r="2386" spans="1:60" x14ac:dyDescent="0.35">
      <c r="A2386" s="4"/>
      <c r="B2386" s="4"/>
      <c r="D2386" s="6" t="str">
        <f t="shared" si="157"/>
        <v/>
      </c>
      <c r="E2386" s="6" t="str">
        <f t="shared" si="158"/>
        <v/>
      </c>
      <c r="F2386" s="6" t="str">
        <f t="shared" si="159"/>
        <v/>
      </c>
      <c r="G2386" s="4"/>
      <c r="H2386" s="4"/>
      <c r="I2386" s="4"/>
      <c r="J2386" s="4"/>
      <c r="K2386" s="4"/>
      <c r="L2386" s="4"/>
      <c r="M2386" s="4"/>
      <c r="N2386" s="4"/>
      <c r="O2386" s="4"/>
      <c r="P2386" s="4"/>
      <c r="Q2386" s="4"/>
      <c r="R2386" s="14"/>
      <c r="S2386" s="14"/>
      <c r="T2386" s="14"/>
      <c r="U2386" s="14"/>
      <c r="V2386" s="14"/>
      <c r="W2386" s="14"/>
      <c r="X2386" s="1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4"/>
      <c r="AU2386" s="4"/>
      <c r="AV2386" s="4"/>
      <c r="AW2386" s="4"/>
      <c r="AX2386" s="4"/>
      <c r="AY2386" s="4"/>
      <c r="AZ2386" s="4"/>
      <c r="BA2386" s="4"/>
      <c r="BB2386" s="4"/>
      <c r="BC2386" s="4"/>
      <c r="BD2386" s="4"/>
      <c r="BE2386" s="4"/>
      <c r="BG2386" s="4"/>
      <c r="BH2386" s="4"/>
    </row>
    <row r="2387" spans="1:60" x14ac:dyDescent="0.35">
      <c r="A2387" s="4"/>
      <c r="B2387" s="4"/>
      <c r="D2387" s="6" t="str">
        <f t="shared" si="157"/>
        <v/>
      </c>
      <c r="E2387" s="6" t="str">
        <f t="shared" si="158"/>
        <v/>
      </c>
      <c r="F2387" s="6" t="str">
        <f t="shared" si="159"/>
        <v/>
      </c>
      <c r="G2387" s="4"/>
      <c r="H2387" s="4"/>
      <c r="I2387" s="4"/>
      <c r="J2387" s="4"/>
      <c r="K2387" s="4"/>
      <c r="L2387" s="4"/>
      <c r="M2387" s="4"/>
      <c r="N2387" s="4"/>
      <c r="O2387" s="4"/>
      <c r="P2387" s="4"/>
      <c r="Q2387" s="4"/>
      <c r="R2387" s="14"/>
      <c r="S2387" s="14"/>
      <c r="T2387" s="14"/>
      <c r="U2387" s="14"/>
      <c r="V2387" s="14"/>
      <c r="W2387" s="14"/>
      <c r="X2387" s="14"/>
      <c r="Y2387" s="4"/>
      <c r="Z2387" s="4"/>
      <c r="AA2387" s="4"/>
      <c r="AB2387" s="4"/>
      <c r="AC2387" s="4"/>
      <c r="AD2387" s="4"/>
      <c r="AE2387" s="4"/>
      <c r="AF2387" s="4"/>
      <c r="AG2387" s="4"/>
      <c r="AH2387" s="4"/>
      <c r="AI2387" s="4"/>
      <c r="AJ2387" s="4"/>
      <c r="AK2387" s="4"/>
      <c r="AL2387" s="4"/>
      <c r="AM2387" s="4"/>
      <c r="AN2387" s="4"/>
      <c r="AO2387" s="4"/>
      <c r="AP2387" s="4"/>
      <c r="AQ2387" s="4"/>
      <c r="AR2387" s="4"/>
      <c r="AS2387" s="4"/>
      <c r="AT2387" s="4"/>
      <c r="AU2387" s="4"/>
      <c r="AV2387" s="4"/>
      <c r="AW2387" s="4"/>
      <c r="AX2387" s="4"/>
      <c r="AY2387" s="4"/>
      <c r="AZ2387" s="4"/>
      <c r="BA2387" s="4"/>
      <c r="BB2387" s="4"/>
      <c r="BC2387" s="4"/>
      <c r="BD2387" s="4"/>
      <c r="BE2387" s="4"/>
      <c r="BG2387" s="4"/>
      <c r="BH2387" s="4"/>
    </row>
    <row r="2388" spans="1:60" x14ac:dyDescent="0.35">
      <c r="A2388" s="4"/>
      <c r="B2388" s="4"/>
      <c r="D2388" s="6" t="str">
        <f t="shared" si="157"/>
        <v/>
      </c>
      <c r="E2388" s="6" t="str">
        <f t="shared" si="158"/>
        <v/>
      </c>
      <c r="F2388" s="6" t="str">
        <f t="shared" si="159"/>
        <v/>
      </c>
      <c r="G2388" s="4"/>
      <c r="H2388" s="4"/>
      <c r="I2388" s="4"/>
      <c r="J2388" s="4"/>
      <c r="K2388" s="4"/>
      <c r="L2388" s="4"/>
      <c r="M2388" s="4"/>
      <c r="N2388" s="4"/>
      <c r="O2388" s="4"/>
      <c r="P2388" s="4"/>
      <c r="Q2388" s="4"/>
      <c r="R2388" s="14"/>
      <c r="S2388" s="14"/>
      <c r="T2388" s="14"/>
      <c r="U2388" s="14"/>
      <c r="V2388" s="14"/>
      <c r="W2388" s="14"/>
      <c r="X2388" s="1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4"/>
      <c r="AU2388" s="4"/>
      <c r="AV2388" s="4"/>
      <c r="AW2388" s="4"/>
      <c r="AX2388" s="4"/>
      <c r="AY2388" s="4"/>
      <c r="AZ2388" s="4"/>
      <c r="BA2388" s="4"/>
      <c r="BB2388" s="4"/>
      <c r="BC2388" s="4"/>
      <c r="BD2388" s="4"/>
      <c r="BE2388" s="4"/>
      <c r="BG2388" s="4"/>
      <c r="BH2388" s="4"/>
    </row>
    <row r="2389" spans="1:60" x14ac:dyDescent="0.35">
      <c r="A2389" s="4"/>
      <c r="B2389" s="4"/>
      <c r="D2389" s="6" t="str">
        <f t="shared" si="157"/>
        <v/>
      </c>
      <c r="E2389" s="6" t="str">
        <f t="shared" si="158"/>
        <v/>
      </c>
      <c r="F2389" s="6" t="str">
        <f t="shared" si="159"/>
        <v/>
      </c>
      <c r="G2389" s="4"/>
      <c r="H2389" s="4"/>
      <c r="I2389" s="4"/>
      <c r="J2389" s="4"/>
      <c r="K2389" s="4"/>
      <c r="L2389" s="4"/>
      <c r="M2389" s="4"/>
      <c r="N2389" s="4"/>
      <c r="O2389" s="4"/>
      <c r="P2389" s="4"/>
      <c r="Q2389" s="4"/>
      <c r="R2389" s="14"/>
      <c r="S2389" s="14"/>
      <c r="T2389" s="14"/>
      <c r="U2389" s="14"/>
      <c r="V2389" s="14"/>
      <c r="W2389" s="14"/>
      <c r="X2389" s="1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4"/>
      <c r="AU2389" s="4"/>
      <c r="AV2389" s="4"/>
      <c r="AW2389" s="4"/>
      <c r="AX2389" s="4"/>
      <c r="AY2389" s="4"/>
      <c r="AZ2389" s="4"/>
      <c r="BA2389" s="4"/>
      <c r="BB2389" s="4"/>
      <c r="BC2389" s="4"/>
      <c r="BD2389" s="4"/>
      <c r="BE2389" s="4"/>
      <c r="BG2389" s="4"/>
      <c r="BH2389" s="4"/>
    </row>
    <row r="2390" spans="1:60" x14ac:dyDescent="0.35">
      <c r="A2390" s="4"/>
      <c r="B2390" s="4"/>
      <c r="D2390" s="6" t="str">
        <f t="shared" si="157"/>
        <v/>
      </c>
      <c r="E2390" s="6" t="str">
        <f t="shared" si="158"/>
        <v/>
      </c>
      <c r="F2390" s="6" t="str">
        <f t="shared" si="159"/>
        <v/>
      </c>
      <c r="G2390" s="4"/>
      <c r="H2390" s="4"/>
      <c r="I2390" s="4"/>
      <c r="J2390" s="4"/>
      <c r="K2390" s="4"/>
      <c r="L2390" s="4"/>
      <c r="M2390" s="4"/>
      <c r="N2390" s="4"/>
      <c r="O2390" s="4"/>
      <c r="P2390" s="4"/>
      <c r="Q2390" s="4"/>
      <c r="R2390" s="14"/>
      <c r="S2390" s="14"/>
      <c r="T2390" s="14"/>
      <c r="U2390" s="14"/>
      <c r="V2390" s="14"/>
      <c r="W2390" s="14"/>
      <c r="X2390" s="1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4"/>
      <c r="AU2390" s="4"/>
      <c r="AV2390" s="4"/>
      <c r="AW2390" s="4"/>
      <c r="AX2390" s="4"/>
      <c r="AY2390" s="4"/>
      <c r="AZ2390" s="4"/>
      <c r="BA2390" s="4"/>
      <c r="BB2390" s="4"/>
      <c r="BC2390" s="4"/>
      <c r="BD2390" s="4"/>
      <c r="BE2390" s="4"/>
      <c r="BG2390" s="4"/>
      <c r="BH2390" s="4"/>
    </row>
    <row r="2391" spans="1:60" x14ac:dyDescent="0.35">
      <c r="A2391" s="4"/>
      <c r="B2391" s="4"/>
      <c r="D2391" s="6" t="str">
        <f t="shared" si="157"/>
        <v/>
      </c>
      <c r="E2391" s="6" t="str">
        <f t="shared" si="158"/>
        <v/>
      </c>
      <c r="F2391" s="6" t="str">
        <f t="shared" si="159"/>
        <v/>
      </c>
      <c r="G2391" s="4"/>
      <c r="H2391" s="4"/>
      <c r="I2391" s="4"/>
      <c r="J2391" s="4"/>
      <c r="K2391" s="4"/>
      <c r="L2391" s="4"/>
      <c r="M2391" s="4"/>
      <c r="N2391" s="4"/>
      <c r="O2391" s="4"/>
      <c r="P2391" s="4"/>
      <c r="Q2391" s="4"/>
      <c r="R2391" s="14"/>
      <c r="S2391" s="14"/>
      <c r="T2391" s="14"/>
      <c r="U2391" s="14"/>
      <c r="V2391" s="14"/>
      <c r="W2391" s="14"/>
      <c r="X2391" s="1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4"/>
      <c r="AU2391" s="4"/>
      <c r="AV2391" s="4"/>
      <c r="AW2391" s="4"/>
      <c r="AX2391" s="4"/>
      <c r="AY2391" s="4"/>
      <c r="AZ2391" s="4"/>
      <c r="BA2391" s="4"/>
      <c r="BB2391" s="4"/>
      <c r="BC2391" s="4"/>
      <c r="BD2391" s="4"/>
      <c r="BE2391" s="4"/>
      <c r="BG2391" s="4"/>
      <c r="BH2391" s="4"/>
    </row>
    <row r="2392" spans="1:60" x14ac:dyDescent="0.35">
      <c r="A2392" s="4"/>
      <c r="B2392" s="4"/>
      <c r="D2392" s="6" t="str">
        <f t="shared" si="157"/>
        <v/>
      </c>
      <c r="E2392" s="6" t="str">
        <f t="shared" si="158"/>
        <v/>
      </c>
      <c r="F2392" s="6" t="str">
        <f t="shared" si="159"/>
        <v/>
      </c>
      <c r="G2392" s="4"/>
      <c r="H2392" s="4"/>
      <c r="I2392" s="4"/>
      <c r="J2392" s="4"/>
      <c r="K2392" s="4"/>
      <c r="L2392" s="4"/>
      <c r="M2392" s="4"/>
      <c r="N2392" s="4"/>
      <c r="O2392" s="4"/>
      <c r="P2392" s="4"/>
      <c r="Q2392" s="4"/>
      <c r="R2392" s="14"/>
      <c r="S2392" s="14"/>
      <c r="T2392" s="14"/>
      <c r="U2392" s="14"/>
      <c r="V2392" s="14"/>
      <c r="W2392" s="14"/>
      <c r="X2392" s="14"/>
      <c r="Y2392" s="4"/>
      <c r="Z2392" s="4"/>
      <c r="AA2392" s="4"/>
      <c r="AB2392" s="4"/>
      <c r="AC2392" s="4"/>
      <c r="AD2392" s="4"/>
      <c r="AE2392" s="4"/>
      <c r="AF2392" s="4"/>
      <c r="AG2392" s="4"/>
      <c r="AH2392" s="4"/>
      <c r="AI2392" s="4"/>
      <c r="AJ2392" s="4"/>
      <c r="AK2392" s="4"/>
      <c r="AL2392" s="4"/>
      <c r="AM2392" s="4"/>
      <c r="AN2392" s="4"/>
      <c r="AO2392" s="4"/>
      <c r="AP2392" s="4"/>
      <c r="AQ2392" s="4"/>
      <c r="AR2392" s="4"/>
      <c r="AS2392" s="4"/>
      <c r="AT2392" s="4"/>
      <c r="AU2392" s="4"/>
      <c r="AV2392" s="4"/>
      <c r="AW2392" s="4"/>
      <c r="AX2392" s="4"/>
      <c r="AY2392" s="4"/>
      <c r="AZ2392" s="4"/>
      <c r="BA2392" s="4"/>
      <c r="BB2392" s="4"/>
      <c r="BC2392" s="4"/>
      <c r="BD2392" s="4"/>
      <c r="BE2392" s="4"/>
      <c r="BG2392" s="4"/>
      <c r="BH2392" s="4"/>
    </row>
    <row r="2393" spans="1:60" x14ac:dyDescent="0.35">
      <c r="A2393" s="4"/>
      <c r="B2393" s="4"/>
      <c r="D2393" s="6" t="str">
        <f t="shared" si="157"/>
        <v/>
      </c>
      <c r="E2393" s="6" t="str">
        <f t="shared" si="158"/>
        <v/>
      </c>
      <c r="F2393" s="6" t="str">
        <f t="shared" si="159"/>
        <v/>
      </c>
      <c r="G2393" s="4"/>
      <c r="H2393" s="4"/>
      <c r="I2393" s="4"/>
      <c r="J2393" s="4"/>
      <c r="K2393" s="4"/>
      <c r="L2393" s="4"/>
      <c r="M2393" s="4"/>
      <c r="N2393" s="4"/>
      <c r="O2393" s="4"/>
      <c r="P2393" s="4"/>
      <c r="Q2393" s="4"/>
      <c r="R2393" s="14"/>
      <c r="S2393" s="14"/>
      <c r="T2393" s="14"/>
      <c r="U2393" s="14"/>
      <c r="V2393" s="14"/>
      <c r="W2393" s="14"/>
      <c r="X2393" s="1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4"/>
      <c r="AU2393" s="4"/>
      <c r="AV2393" s="4"/>
      <c r="AW2393" s="4"/>
      <c r="AX2393" s="4"/>
      <c r="AY2393" s="4"/>
      <c r="AZ2393" s="4"/>
      <c r="BA2393" s="4"/>
      <c r="BB2393" s="4"/>
      <c r="BC2393" s="4"/>
      <c r="BD2393" s="4"/>
      <c r="BE2393" s="4"/>
      <c r="BG2393" s="4"/>
      <c r="BH2393" s="4"/>
    </row>
    <row r="2394" spans="1:60" x14ac:dyDescent="0.35">
      <c r="A2394" s="4"/>
      <c r="B2394" s="4"/>
      <c r="D2394" s="6" t="str">
        <f t="shared" si="157"/>
        <v/>
      </c>
      <c r="E2394" s="6" t="str">
        <f t="shared" si="158"/>
        <v/>
      </c>
      <c r="F2394" s="6" t="str">
        <f t="shared" si="159"/>
        <v/>
      </c>
      <c r="G2394" s="4"/>
      <c r="H2394" s="4"/>
      <c r="I2394" s="4"/>
      <c r="J2394" s="4"/>
      <c r="K2394" s="4"/>
      <c r="L2394" s="4"/>
      <c r="M2394" s="4"/>
      <c r="N2394" s="4"/>
      <c r="O2394" s="4"/>
      <c r="P2394" s="4"/>
      <c r="Q2394" s="4"/>
      <c r="R2394" s="14"/>
      <c r="S2394" s="14"/>
      <c r="T2394" s="14"/>
      <c r="U2394" s="14"/>
      <c r="V2394" s="14"/>
      <c r="W2394" s="14"/>
      <c r="X2394" s="1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4"/>
      <c r="AU2394" s="4"/>
      <c r="AV2394" s="4"/>
      <c r="AW2394" s="4"/>
      <c r="AX2394" s="4"/>
      <c r="AY2394" s="4"/>
      <c r="AZ2394" s="4"/>
      <c r="BA2394" s="4"/>
      <c r="BB2394" s="4"/>
      <c r="BC2394" s="4"/>
      <c r="BD2394" s="4"/>
      <c r="BE2394" s="4"/>
      <c r="BG2394" s="4"/>
      <c r="BH2394" s="4"/>
    </row>
    <row r="2395" spans="1:60" x14ac:dyDescent="0.35">
      <c r="A2395" s="4"/>
      <c r="B2395" s="4"/>
      <c r="D2395" s="6" t="str">
        <f t="shared" si="157"/>
        <v/>
      </c>
      <c r="E2395" s="6" t="str">
        <f t="shared" si="158"/>
        <v/>
      </c>
      <c r="F2395" s="6" t="str">
        <f t="shared" si="159"/>
        <v/>
      </c>
      <c r="G2395" s="4"/>
      <c r="H2395" s="4"/>
      <c r="I2395" s="4"/>
      <c r="J2395" s="4"/>
      <c r="K2395" s="4"/>
      <c r="L2395" s="4"/>
      <c r="M2395" s="4"/>
      <c r="N2395" s="4"/>
      <c r="O2395" s="4"/>
      <c r="P2395" s="4"/>
      <c r="Q2395" s="4"/>
      <c r="R2395" s="14"/>
      <c r="S2395" s="14"/>
      <c r="T2395" s="14"/>
      <c r="U2395" s="14"/>
      <c r="V2395" s="14"/>
      <c r="W2395" s="14"/>
      <c r="X2395" s="1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4"/>
      <c r="AU2395" s="4"/>
      <c r="AV2395" s="4"/>
      <c r="AW2395" s="4"/>
      <c r="AX2395" s="4"/>
      <c r="AY2395" s="4"/>
      <c r="AZ2395" s="4"/>
      <c r="BA2395" s="4"/>
      <c r="BB2395" s="4"/>
      <c r="BC2395" s="4"/>
      <c r="BD2395" s="4"/>
      <c r="BE2395" s="4"/>
      <c r="BG2395" s="4"/>
      <c r="BH2395" s="4"/>
    </row>
    <row r="2396" spans="1:60" x14ac:dyDescent="0.35">
      <c r="A2396" s="4"/>
      <c r="B2396" s="4"/>
      <c r="D2396" s="6" t="str">
        <f t="shared" si="157"/>
        <v/>
      </c>
      <c r="E2396" s="6" t="str">
        <f t="shared" si="158"/>
        <v/>
      </c>
      <c r="F2396" s="6" t="str">
        <f t="shared" si="159"/>
        <v/>
      </c>
      <c r="G2396" s="4"/>
      <c r="H2396" s="4"/>
      <c r="I2396" s="4"/>
      <c r="J2396" s="4"/>
      <c r="K2396" s="4"/>
      <c r="L2396" s="4"/>
      <c r="M2396" s="4"/>
      <c r="N2396" s="4"/>
      <c r="O2396" s="4"/>
      <c r="P2396" s="4"/>
      <c r="Q2396" s="4"/>
      <c r="R2396" s="14"/>
      <c r="S2396" s="14"/>
      <c r="T2396" s="14"/>
      <c r="U2396" s="14"/>
      <c r="V2396" s="14"/>
      <c r="W2396" s="14"/>
      <c r="X2396" s="1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4"/>
      <c r="AU2396" s="4"/>
      <c r="AV2396" s="4"/>
      <c r="AW2396" s="4"/>
      <c r="AX2396" s="4"/>
      <c r="AY2396" s="4"/>
      <c r="AZ2396" s="4"/>
      <c r="BA2396" s="4"/>
      <c r="BB2396" s="4"/>
      <c r="BC2396" s="4"/>
      <c r="BD2396" s="4"/>
      <c r="BE2396" s="4"/>
      <c r="BG2396" s="4"/>
      <c r="BH2396" s="4"/>
    </row>
    <row r="2397" spans="1:60" x14ac:dyDescent="0.35">
      <c r="A2397" s="4"/>
      <c r="B2397" s="4"/>
      <c r="D2397" s="6" t="str">
        <f t="shared" si="157"/>
        <v/>
      </c>
      <c r="E2397" s="6" t="str">
        <f t="shared" si="158"/>
        <v/>
      </c>
      <c r="F2397" s="6" t="str">
        <f t="shared" si="159"/>
        <v/>
      </c>
      <c r="G2397" s="4"/>
      <c r="H2397" s="4"/>
      <c r="I2397" s="4"/>
      <c r="J2397" s="4"/>
      <c r="K2397" s="4"/>
      <c r="L2397" s="4"/>
      <c r="M2397" s="4"/>
      <c r="N2397" s="4"/>
      <c r="O2397" s="4"/>
      <c r="P2397" s="4"/>
      <c r="Q2397" s="4"/>
      <c r="R2397" s="14"/>
      <c r="S2397" s="14"/>
      <c r="T2397" s="14"/>
      <c r="U2397" s="14"/>
      <c r="V2397" s="14"/>
      <c r="W2397" s="14"/>
      <c r="X2397" s="14"/>
      <c r="Y2397" s="4"/>
      <c r="Z2397" s="4"/>
      <c r="AA2397" s="4"/>
      <c r="AB2397" s="4"/>
      <c r="AC2397" s="4"/>
      <c r="AD2397" s="4"/>
      <c r="AE2397" s="4"/>
      <c r="AF2397" s="4"/>
      <c r="AG2397" s="4"/>
      <c r="AH2397" s="4"/>
      <c r="AI2397" s="4"/>
      <c r="AJ2397" s="4"/>
      <c r="AK2397" s="4"/>
      <c r="AL2397" s="4"/>
      <c r="AM2397" s="4"/>
      <c r="AN2397" s="4"/>
      <c r="AO2397" s="4"/>
      <c r="AP2397" s="4"/>
      <c r="AQ2397" s="4"/>
      <c r="AR2397" s="4"/>
      <c r="AS2397" s="4"/>
      <c r="AT2397" s="4"/>
      <c r="AU2397" s="4"/>
      <c r="AV2397" s="4"/>
      <c r="AW2397" s="4"/>
      <c r="AX2397" s="4"/>
      <c r="AY2397" s="4"/>
      <c r="AZ2397" s="4"/>
      <c r="BA2397" s="4"/>
      <c r="BB2397" s="4"/>
      <c r="BC2397" s="4"/>
      <c r="BD2397" s="4"/>
      <c r="BE2397" s="4"/>
      <c r="BG2397" s="4"/>
      <c r="BH2397" s="4"/>
    </row>
    <row r="2398" spans="1:60" x14ac:dyDescent="0.35">
      <c r="A2398" s="4"/>
      <c r="B2398" s="4"/>
      <c r="D2398" s="6" t="str">
        <f t="shared" si="157"/>
        <v/>
      </c>
      <c r="E2398" s="6" t="str">
        <f t="shared" si="158"/>
        <v/>
      </c>
      <c r="F2398" s="6" t="str">
        <f t="shared" si="159"/>
        <v/>
      </c>
      <c r="G2398" s="4"/>
      <c r="H2398" s="4"/>
      <c r="I2398" s="4"/>
      <c r="J2398" s="4"/>
      <c r="K2398" s="4"/>
      <c r="L2398" s="4"/>
      <c r="M2398" s="4"/>
      <c r="N2398" s="4"/>
      <c r="O2398" s="4"/>
      <c r="P2398" s="4"/>
      <c r="Q2398" s="4"/>
      <c r="R2398" s="14"/>
      <c r="S2398" s="14"/>
      <c r="T2398" s="14"/>
      <c r="U2398" s="14"/>
      <c r="V2398" s="14"/>
      <c r="W2398" s="14"/>
      <c r="X2398" s="1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4"/>
      <c r="AU2398" s="4"/>
      <c r="AV2398" s="4"/>
      <c r="AW2398" s="4"/>
      <c r="AX2398" s="4"/>
      <c r="AY2398" s="4"/>
      <c r="AZ2398" s="4"/>
      <c r="BA2398" s="4"/>
      <c r="BB2398" s="4"/>
      <c r="BC2398" s="4"/>
      <c r="BD2398" s="4"/>
      <c r="BE2398" s="4"/>
      <c r="BG2398" s="4"/>
      <c r="BH2398" s="4"/>
    </row>
    <row r="2399" spans="1:60" x14ac:dyDescent="0.35">
      <c r="A2399" s="4"/>
      <c r="B2399" s="4"/>
      <c r="D2399" s="6" t="str">
        <f t="shared" si="157"/>
        <v/>
      </c>
      <c r="E2399" s="6" t="str">
        <f t="shared" si="158"/>
        <v/>
      </c>
      <c r="F2399" s="6" t="str">
        <f t="shared" si="159"/>
        <v/>
      </c>
      <c r="G2399" s="4"/>
      <c r="H2399" s="4"/>
      <c r="I2399" s="4"/>
      <c r="J2399" s="4"/>
      <c r="K2399" s="4"/>
      <c r="L2399" s="4"/>
      <c r="M2399" s="4"/>
      <c r="N2399" s="4"/>
      <c r="O2399" s="4"/>
      <c r="P2399" s="4"/>
      <c r="Q2399" s="4"/>
      <c r="R2399" s="14"/>
      <c r="S2399" s="14"/>
      <c r="T2399" s="14"/>
      <c r="U2399" s="14"/>
      <c r="V2399" s="14"/>
      <c r="W2399" s="14"/>
      <c r="X2399" s="1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4"/>
      <c r="AU2399" s="4"/>
      <c r="AV2399" s="4"/>
      <c r="AW2399" s="4"/>
      <c r="AX2399" s="4"/>
      <c r="AY2399" s="4"/>
      <c r="AZ2399" s="4"/>
      <c r="BA2399" s="4"/>
      <c r="BB2399" s="4"/>
      <c r="BC2399" s="4"/>
      <c r="BD2399" s="4"/>
      <c r="BE2399" s="4"/>
      <c r="BG2399" s="4"/>
      <c r="BH2399" s="4"/>
    </row>
    <row r="2400" spans="1:60" x14ac:dyDescent="0.35">
      <c r="A2400" s="4"/>
      <c r="B2400" s="4"/>
      <c r="D2400" s="6" t="str">
        <f t="shared" si="157"/>
        <v/>
      </c>
      <c r="E2400" s="6" t="str">
        <f t="shared" si="158"/>
        <v/>
      </c>
      <c r="F2400" s="6" t="str">
        <f t="shared" si="159"/>
        <v/>
      </c>
      <c r="G2400" s="4"/>
      <c r="H2400" s="4"/>
      <c r="I2400" s="4"/>
      <c r="J2400" s="4"/>
      <c r="K2400" s="4"/>
      <c r="L2400" s="4"/>
      <c r="M2400" s="4"/>
      <c r="N2400" s="4"/>
      <c r="O2400" s="4"/>
      <c r="P2400" s="4"/>
      <c r="Q2400" s="4"/>
      <c r="R2400" s="14"/>
      <c r="S2400" s="14"/>
      <c r="T2400" s="14"/>
      <c r="U2400" s="14"/>
      <c r="V2400" s="14"/>
      <c r="W2400" s="14"/>
      <c r="X2400" s="1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4"/>
      <c r="AU2400" s="4"/>
      <c r="AV2400" s="4"/>
      <c r="AW2400" s="4"/>
      <c r="AX2400" s="4"/>
      <c r="AY2400" s="4"/>
      <c r="AZ2400" s="4"/>
      <c r="BA2400" s="4"/>
      <c r="BB2400" s="4"/>
      <c r="BC2400" s="4"/>
      <c r="BD2400" s="4"/>
      <c r="BE2400" s="4"/>
      <c r="BG2400" s="4"/>
      <c r="BH2400" s="4"/>
    </row>
    <row r="2401" spans="1:60" x14ac:dyDescent="0.35">
      <c r="A2401" s="4"/>
      <c r="B2401" s="4"/>
      <c r="D2401" s="6" t="str">
        <f t="shared" si="157"/>
        <v/>
      </c>
      <c r="E2401" s="6" t="str">
        <f t="shared" si="158"/>
        <v/>
      </c>
      <c r="F2401" s="6" t="str">
        <f t="shared" si="159"/>
        <v/>
      </c>
      <c r="G2401" s="4"/>
      <c r="H2401" s="4"/>
      <c r="I2401" s="4"/>
      <c r="J2401" s="4"/>
      <c r="K2401" s="4"/>
      <c r="L2401" s="4"/>
      <c r="M2401" s="4"/>
      <c r="N2401" s="4"/>
      <c r="O2401" s="4"/>
      <c r="P2401" s="4"/>
      <c r="Q2401" s="4"/>
      <c r="R2401" s="14"/>
      <c r="S2401" s="14"/>
      <c r="T2401" s="14"/>
      <c r="U2401" s="14"/>
      <c r="V2401" s="14"/>
      <c r="W2401" s="14"/>
      <c r="X2401" s="1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4"/>
      <c r="AU2401" s="4"/>
      <c r="AV2401" s="4"/>
      <c r="AW2401" s="4"/>
      <c r="AX2401" s="4"/>
      <c r="AY2401" s="4"/>
      <c r="AZ2401" s="4"/>
      <c r="BA2401" s="4"/>
      <c r="BB2401" s="4"/>
      <c r="BC2401" s="4"/>
      <c r="BD2401" s="4"/>
      <c r="BE2401" s="4"/>
      <c r="BG2401" s="4"/>
      <c r="BH2401" s="4"/>
    </row>
    <row r="2402" spans="1:60" x14ac:dyDescent="0.35">
      <c r="A2402" s="4"/>
      <c r="B2402" s="4"/>
      <c r="D2402" s="6" t="str">
        <f t="shared" si="157"/>
        <v/>
      </c>
      <c r="E2402" s="6" t="str">
        <f t="shared" si="158"/>
        <v/>
      </c>
      <c r="F2402" s="6" t="str">
        <f t="shared" si="159"/>
        <v/>
      </c>
      <c r="G2402" s="4"/>
      <c r="H2402" s="4"/>
      <c r="I2402" s="4"/>
      <c r="J2402" s="4"/>
      <c r="K2402" s="4"/>
      <c r="L2402" s="4"/>
      <c r="M2402" s="4"/>
      <c r="N2402" s="4"/>
      <c r="O2402" s="4"/>
      <c r="P2402" s="4"/>
      <c r="Q2402" s="4"/>
      <c r="R2402" s="14"/>
      <c r="S2402" s="14"/>
      <c r="T2402" s="14"/>
      <c r="U2402" s="14"/>
      <c r="V2402" s="14"/>
      <c r="W2402" s="14"/>
      <c r="X2402" s="14"/>
      <c r="Y2402" s="4"/>
      <c r="Z2402" s="4"/>
      <c r="AA2402" s="4"/>
      <c r="AB2402" s="4"/>
      <c r="AC2402" s="4"/>
      <c r="AD2402" s="4"/>
      <c r="AE2402" s="4"/>
      <c r="AF2402" s="4"/>
      <c r="AG2402" s="4"/>
      <c r="AH2402" s="4"/>
      <c r="AI2402" s="4"/>
      <c r="AJ2402" s="4"/>
      <c r="AK2402" s="4"/>
      <c r="AL2402" s="4"/>
      <c r="AM2402" s="4"/>
      <c r="AN2402" s="4"/>
      <c r="AO2402" s="4"/>
      <c r="AP2402" s="4"/>
      <c r="AQ2402" s="4"/>
      <c r="AR2402" s="4"/>
      <c r="AS2402" s="4"/>
      <c r="AT2402" s="4"/>
      <c r="AU2402" s="4"/>
      <c r="AV2402" s="4"/>
      <c r="AW2402" s="4"/>
      <c r="AX2402" s="4"/>
      <c r="AY2402" s="4"/>
      <c r="AZ2402" s="4"/>
      <c r="BA2402" s="4"/>
      <c r="BB2402" s="4"/>
      <c r="BC2402" s="4"/>
      <c r="BD2402" s="4"/>
      <c r="BE2402" s="4"/>
      <c r="BG2402" s="4"/>
      <c r="BH2402" s="4"/>
    </row>
    <row r="2403" spans="1:60" x14ac:dyDescent="0.35">
      <c r="A2403" s="4"/>
      <c r="B2403" s="4"/>
      <c r="D2403" s="6" t="str">
        <f t="shared" si="157"/>
        <v/>
      </c>
      <c r="E2403" s="6" t="str">
        <f t="shared" si="158"/>
        <v/>
      </c>
      <c r="F2403" s="6" t="str">
        <f t="shared" si="159"/>
        <v/>
      </c>
      <c r="G2403" s="4"/>
      <c r="H2403" s="4"/>
      <c r="I2403" s="4"/>
      <c r="J2403" s="4"/>
      <c r="K2403" s="4"/>
      <c r="L2403" s="4"/>
      <c r="M2403" s="4"/>
      <c r="N2403" s="4"/>
      <c r="O2403" s="4"/>
      <c r="P2403" s="4"/>
      <c r="Q2403" s="4"/>
      <c r="R2403" s="14"/>
      <c r="S2403" s="14"/>
      <c r="T2403" s="14"/>
      <c r="U2403" s="14"/>
      <c r="V2403" s="14"/>
      <c r="W2403" s="14"/>
      <c r="X2403" s="14"/>
      <c r="Y2403" s="4"/>
      <c r="Z2403" s="4"/>
      <c r="AA2403" s="4"/>
      <c r="AB2403" s="4"/>
      <c r="AC2403" s="4"/>
      <c r="AD2403" s="4"/>
      <c r="AE2403" s="4"/>
      <c r="AF2403" s="4"/>
      <c r="AG2403" s="4"/>
      <c r="AH2403" s="4"/>
      <c r="AI2403" s="4"/>
      <c r="AJ2403" s="4"/>
      <c r="AK2403" s="4"/>
      <c r="AL2403" s="4"/>
      <c r="AM2403" s="4"/>
      <c r="AN2403" s="4"/>
      <c r="AO2403" s="4"/>
      <c r="AP2403" s="4"/>
      <c r="AQ2403" s="4"/>
      <c r="AR2403" s="4"/>
      <c r="AS2403" s="4"/>
      <c r="AT2403" s="4"/>
      <c r="AU2403" s="4"/>
      <c r="AV2403" s="4"/>
      <c r="AW2403" s="4"/>
      <c r="AX2403" s="4"/>
      <c r="AY2403" s="4"/>
      <c r="AZ2403" s="4"/>
      <c r="BA2403" s="4"/>
      <c r="BB2403" s="4"/>
      <c r="BC2403" s="4"/>
      <c r="BD2403" s="4"/>
      <c r="BE2403" s="4"/>
      <c r="BG2403" s="4"/>
      <c r="BH2403" s="4"/>
    </row>
    <row r="2404" spans="1:60" x14ac:dyDescent="0.35">
      <c r="A2404" s="4"/>
      <c r="B2404" s="4"/>
      <c r="D2404" s="6" t="str">
        <f t="shared" si="157"/>
        <v/>
      </c>
      <c r="E2404" s="6" t="str">
        <f t="shared" si="158"/>
        <v/>
      </c>
      <c r="F2404" s="6" t="str">
        <f t="shared" si="159"/>
        <v/>
      </c>
      <c r="G2404" s="4"/>
      <c r="H2404" s="4"/>
      <c r="I2404" s="4"/>
      <c r="J2404" s="4"/>
      <c r="K2404" s="4"/>
      <c r="L2404" s="4"/>
      <c r="M2404" s="4"/>
      <c r="N2404" s="4"/>
      <c r="O2404" s="4"/>
      <c r="P2404" s="4"/>
      <c r="Q2404" s="4"/>
      <c r="R2404" s="14"/>
      <c r="S2404" s="14"/>
      <c r="T2404" s="14"/>
      <c r="U2404" s="14"/>
      <c r="V2404" s="14"/>
      <c r="W2404" s="14"/>
      <c r="X2404" s="1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4"/>
      <c r="AU2404" s="4"/>
      <c r="AV2404" s="4"/>
      <c r="AW2404" s="4"/>
      <c r="AX2404" s="4"/>
      <c r="AY2404" s="4"/>
      <c r="AZ2404" s="4"/>
      <c r="BA2404" s="4"/>
      <c r="BB2404" s="4"/>
      <c r="BC2404" s="4"/>
      <c r="BD2404" s="4"/>
      <c r="BE2404" s="4"/>
      <c r="BG2404" s="4"/>
      <c r="BH2404" s="4"/>
    </row>
    <row r="2405" spans="1:60" x14ac:dyDescent="0.35">
      <c r="A2405" s="4"/>
      <c r="B2405" s="4"/>
      <c r="D2405" s="6" t="str">
        <f t="shared" si="157"/>
        <v/>
      </c>
      <c r="E2405" s="6" t="str">
        <f t="shared" si="158"/>
        <v/>
      </c>
      <c r="F2405" s="6" t="str">
        <f t="shared" si="159"/>
        <v/>
      </c>
      <c r="G2405" s="4"/>
      <c r="H2405" s="4"/>
      <c r="I2405" s="4"/>
      <c r="J2405" s="4"/>
      <c r="K2405" s="4"/>
      <c r="L2405" s="4"/>
      <c r="M2405" s="4"/>
      <c r="N2405" s="4"/>
      <c r="O2405" s="4"/>
      <c r="P2405" s="4"/>
      <c r="Q2405" s="4"/>
      <c r="R2405" s="14"/>
      <c r="S2405" s="14"/>
      <c r="T2405" s="14"/>
      <c r="U2405" s="14"/>
      <c r="V2405" s="14"/>
      <c r="W2405" s="14"/>
      <c r="X2405" s="1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4"/>
      <c r="AU2405" s="4"/>
      <c r="AV2405" s="4"/>
      <c r="AW2405" s="4"/>
      <c r="AX2405" s="4"/>
      <c r="AY2405" s="4"/>
      <c r="AZ2405" s="4"/>
      <c r="BA2405" s="4"/>
      <c r="BB2405" s="4"/>
      <c r="BC2405" s="4"/>
      <c r="BD2405" s="4"/>
      <c r="BE2405" s="4"/>
      <c r="BG2405" s="4"/>
      <c r="BH2405" s="4"/>
    </row>
    <row r="2406" spans="1:60" x14ac:dyDescent="0.35">
      <c r="A2406" s="4"/>
      <c r="B2406" s="4"/>
      <c r="D2406" s="6" t="str">
        <f t="shared" si="157"/>
        <v/>
      </c>
      <c r="E2406" s="6" t="str">
        <f t="shared" si="158"/>
        <v/>
      </c>
      <c r="F2406" s="6" t="str">
        <f t="shared" si="159"/>
        <v/>
      </c>
      <c r="G2406" s="4"/>
      <c r="H2406" s="4"/>
      <c r="I2406" s="4"/>
      <c r="J2406" s="4"/>
      <c r="K2406" s="4"/>
      <c r="L2406" s="4"/>
      <c r="M2406" s="4"/>
      <c r="N2406" s="4"/>
      <c r="O2406" s="4"/>
      <c r="P2406" s="4"/>
      <c r="Q2406" s="4"/>
      <c r="R2406" s="14"/>
      <c r="S2406" s="14"/>
      <c r="T2406" s="14"/>
      <c r="U2406" s="14"/>
      <c r="V2406" s="14"/>
      <c r="W2406" s="14"/>
      <c r="X2406" s="1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4"/>
      <c r="AU2406" s="4"/>
      <c r="AV2406" s="4"/>
      <c r="AW2406" s="4"/>
      <c r="AX2406" s="4"/>
      <c r="AY2406" s="4"/>
      <c r="AZ2406" s="4"/>
      <c r="BA2406" s="4"/>
      <c r="BB2406" s="4"/>
      <c r="BC2406" s="4"/>
      <c r="BD2406" s="4"/>
      <c r="BE2406" s="4"/>
      <c r="BG2406" s="4"/>
      <c r="BH2406" s="4"/>
    </row>
    <row r="2407" spans="1:60" x14ac:dyDescent="0.35">
      <c r="A2407" s="4"/>
      <c r="B2407" s="4"/>
      <c r="D2407" s="6" t="str">
        <f t="shared" si="157"/>
        <v/>
      </c>
      <c r="E2407" s="6" t="str">
        <f t="shared" si="158"/>
        <v/>
      </c>
      <c r="F2407" s="6" t="str">
        <f t="shared" si="159"/>
        <v/>
      </c>
      <c r="G2407" s="4"/>
      <c r="H2407" s="4"/>
      <c r="I2407" s="4"/>
      <c r="J2407" s="4"/>
      <c r="K2407" s="4"/>
      <c r="L2407" s="4"/>
      <c r="M2407" s="4"/>
      <c r="N2407" s="4"/>
      <c r="O2407" s="4"/>
      <c r="P2407" s="4"/>
      <c r="Q2407" s="4"/>
      <c r="R2407" s="14"/>
      <c r="S2407" s="14"/>
      <c r="T2407" s="14"/>
      <c r="U2407" s="14"/>
      <c r="V2407" s="14"/>
      <c r="W2407" s="14"/>
      <c r="X2407" s="14"/>
      <c r="Y2407" s="4"/>
      <c r="Z2407" s="4"/>
      <c r="AA2407" s="4"/>
      <c r="AB2407" s="4"/>
      <c r="AC2407" s="4"/>
      <c r="AD2407" s="4"/>
      <c r="AE2407" s="4"/>
      <c r="AF2407" s="4"/>
      <c r="AG2407" s="4"/>
      <c r="AH2407" s="4"/>
      <c r="AI2407" s="4"/>
      <c r="AJ2407" s="4"/>
      <c r="AK2407" s="4"/>
      <c r="AL2407" s="4"/>
      <c r="AM2407" s="4"/>
      <c r="AN2407" s="4"/>
      <c r="AO2407" s="4"/>
      <c r="AP2407" s="4"/>
      <c r="AQ2407" s="4"/>
      <c r="AR2407" s="4"/>
      <c r="AS2407" s="4"/>
      <c r="AT2407" s="4"/>
      <c r="AU2407" s="4"/>
      <c r="AV2407" s="4"/>
      <c r="AW2407" s="4"/>
      <c r="AX2407" s="4"/>
      <c r="AY2407" s="4"/>
      <c r="AZ2407" s="4"/>
      <c r="BA2407" s="4"/>
      <c r="BB2407" s="4"/>
      <c r="BC2407" s="4"/>
      <c r="BD2407" s="4"/>
      <c r="BE2407" s="4"/>
      <c r="BG2407" s="4"/>
      <c r="BH2407" s="4"/>
    </row>
    <row r="2408" spans="1:60" x14ac:dyDescent="0.35">
      <c r="A2408" s="4"/>
      <c r="B2408" s="4"/>
      <c r="D2408" s="6" t="str">
        <f t="shared" si="157"/>
        <v/>
      </c>
      <c r="E2408" s="6" t="str">
        <f t="shared" si="158"/>
        <v/>
      </c>
      <c r="F2408" s="6" t="str">
        <f t="shared" si="159"/>
        <v/>
      </c>
      <c r="G2408" s="4"/>
      <c r="H2408" s="4"/>
      <c r="I2408" s="4"/>
      <c r="J2408" s="4"/>
      <c r="K2408" s="4"/>
      <c r="L2408" s="4"/>
      <c r="M2408" s="4"/>
      <c r="N2408" s="4"/>
      <c r="O2408" s="4"/>
      <c r="P2408" s="4"/>
      <c r="Q2408" s="4"/>
      <c r="R2408" s="14"/>
      <c r="S2408" s="14"/>
      <c r="T2408" s="14"/>
      <c r="U2408" s="14"/>
      <c r="V2408" s="14"/>
      <c r="W2408" s="14"/>
      <c r="X2408" s="1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4"/>
      <c r="AU2408" s="4"/>
      <c r="AV2408" s="4"/>
      <c r="AW2408" s="4"/>
      <c r="AX2408" s="4"/>
      <c r="AY2408" s="4"/>
      <c r="AZ2408" s="4"/>
      <c r="BA2408" s="4"/>
      <c r="BB2408" s="4"/>
      <c r="BC2408" s="4"/>
      <c r="BD2408" s="4"/>
      <c r="BE2408" s="4"/>
      <c r="BG2408" s="4"/>
      <c r="BH2408" s="4"/>
    </row>
    <row r="2409" spans="1:60" x14ac:dyDescent="0.35">
      <c r="A2409" s="4"/>
      <c r="B2409" s="4"/>
      <c r="D2409" s="6" t="str">
        <f t="shared" si="157"/>
        <v/>
      </c>
      <c r="E2409" s="6" t="str">
        <f t="shared" si="158"/>
        <v/>
      </c>
      <c r="F2409" s="6" t="str">
        <f t="shared" si="159"/>
        <v/>
      </c>
      <c r="G2409" s="4"/>
      <c r="H2409" s="4"/>
      <c r="I2409" s="4"/>
      <c r="J2409" s="4"/>
      <c r="K2409" s="4"/>
      <c r="L2409" s="4"/>
      <c r="M2409" s="4"/>
      <c r="N2409" s="4"/>
      <c r="O2409" s="4"/>
      <c r="P2409" s="4"/>
      <c r="Q2409" s="4"/>
      <c r="R2409" s="14"/>
      <c r="S2409" s="14"/>
      <c r="T2409" s="14"/>
      <c r="U2409" s="14"/>
      <c r="V2409" s="14"/>
      <c r="W2409" s="14"/>
      <c r="X2409" s="1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4"/>
      <c r="AU2409" s="4"/>
      <c r="AV2409" s="4"/>
      <c r="AW2409" s="4"/>
      <c r="AX2409" s="4"/>
      <c r="AY2409" s="4"/>
      <c r="AZ2409" s="4"/>
      <c r="BA2409" s="4"/>
      <c r="BB2409" s="4"/>
      <c r="BC2409" s="4"/>
      <c r="BD2409" s="4"/>
      <c r="BE2409" s="4"/>
      <c r="BG2409" s="4"/>
      <c r="BH2409" s="4"/>
    </row>
    <row r="2410" spans="1:60" x14ac:dyDescent="0.35">
      <c r="A2410" s="4"/>
      <c r="B2410" s="4"/>
      <c r="D2410" s="6" t="str">
        <f t="shared" si="157"/>
        <v/>
      </c>
      <c r="E2410" s="6" t="str">
        <f t="shared" si="158"/>
        <v/>
      </c>
      <c r="F2410" s="6" t="str">
        <f t="shared" si="159"/>
        <v/>
      </c>
      <c r="G2410" s="4"/>
      <c r="H2410" s="4"/>
      <c r="I2410" s="4"/>
      <c r="J2410" s="4"/>
      <c r="K2410" s="4"/>
      <c r="L2410" s="4"/>
      <c r="M2410" s="4"/>
      <c r="N2410" s="4"/>
      <c r="O2410" s="4"/>
      <c r="P2410" s="4"/>
      <c r="Q2410" s="4"/>
      <c r="R2410" s="14"/>
      <c r="S2410" s="14"/>
      <c r="T2410" s="14"/>
      <c r="U2410" s="14"/>
      <c r="V2410" s="14"/>
      <c r="W2410" s="14"/>
      <c r="X2410" s="1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4"/>
      <c r="AU2410" s="4"/>
      <c r="AV2410" s="4"/>
      <c r="AW2410" s="4"/>
      <c r="AX2410" s="4"/>
      <c r="AY2410" s="4"/>
      <c r="AZ2410" s="4"/>
      <c r="BA2410" s="4"/>
      <c r="BB2410" s="4"/>
      <c r="BC2410" s="4"/>
      <c r="BD2410" s="4"/>
      <c r="BE2410" s="4"/>
      <c r="BG2410" s="4"/>
      <c r="BH2410" s="4"/>
    </row>
    <row r="2411" spans="1:60" x14ac:dyDescent="0.35">
      <c r="A2411" s="4"/>
      <c r="B2411" s="4"/>
      <c r="D2411" s="6" t="str">
        <f t="shared" si="157"/>
        <v/>
      </c>
      <c r="E2411" s="6" t="str">
        <f t="shared" si="158"/>
        <v/>
      </c>
      <c r="F2411" s="6" t="str">
        <f t="shared" si="159"/>
        <v/>
      </c>
      <c r="G2411" s="4"/>
      <c r="H2411" s="4"/>
      <c r="I2411" s="4"/>
      <c r="J2411" s="4"/>
      <c r="K2411" s="4"/>
      <c r="L2411" s="4"/>
      <c r="M2411" s="4"/>
      <c r="N2411" s="4"/>
      <c r="O2411" s="4"/>
      <c r="P2411" s="4"/>
      <c r="Q2411" s="4"/>
      <c r="R2411" s="14"/>
      <c r="S2411" s="14"/>
      <c r="T2411" s="14"/>
      <c r="U2411" s="14"/>
      <c r="V2411" s="14"/>
      <c r="W2411" s="14"/>
      <c r="X2411" s="1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4"/>
      <c r="AU2411" s="4"/>
      <c r="AV2411" s="4"/>
      <c r="AW2411" s="4"/>
      <c r="AX2411" s="4"/>
      <c r="AY2411" s="4"/>
      <c r="AZ2411" s="4"/>
      <c r="BA2411" s="4"/>
      <c r="BB2411" s="4"/>
      <c r="BC2411" s="4"/>
      <c r="BD2411" s="4"/>
      <c r="BE2411" s="4"/>
      <c r="BG2411" s="4"/>
      <c r="BH2411" s="4"/>
    </row>
    <row r="2412" spans="1:60" x14ac:dyDescent="0.35">
      <c r="A2412" s="4"/>
      <c r="B2412" s="4"/>
      <c r="D2412" s="6" t="str">
        <f t="shared" si="157"/>
        <v/>
      </c>
      <c r="E2412" s="6" t="str">
        <f t="shared" si="158"/>
        <v/>
      </c>
      <c r="F2412" s="6" t="str">
        <f t="shared" si="159"/>
        <v/>
      </c>
      <c r="G2412" s="4"/>
      <c r="H2412" s="4"/>
      <c r="I2412" s="4"/>
      <c r="J2412" s="4"/>
      <c r="K2412" s="4"/>
      <c r="L2412" s="4"/>
      <c r="M2412" s="4"/>
      <c r="N2412" s="4"/>
      <c r="O2412" s="4"/>
      <c r="P2412" s="4"/>
      <c r="Q2412" s="4"/>
      <c r="R2412" s="14"/>
      <c r="S2412" s="14"/>
      <c r="T2412" s="14"/>
      <c r="U2412" s="14"/>
      <c r="V2412" s="14"/>
      <c r="W2412" s="14"/>
      <c r="X2412" s="1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4"/>
      <c r="AU2412" s="4"/>
      <c r="AV2412" s="4"/>
      <c r="AW2412" s="4"/>
      <c r="AX2412" s="4"/>
      <c r="AY2412" s="4"/>
      <c r="AZ2412" s="4"/>
      <c r="BA2412" s="4"/>
      <c r="BB2412" s="4"/>
      <c r="BC2412" s="4"/>
      <c r="BD2412" s="4"/>
      <c r="BE2412" s="4"/>
      <c r="BG2412" s="4"/>
      <c r="BH2412" s="4"/>
    </row>
    <row r="2413" spans="1:60" x14ac:dyDescent="0.35">
      <c r="A2413" s="4"/>
      <c r="B2413" s="4"/>
      <c r="D2413" s="6" t="str">
        <f t="shared" si="157"/>
        <v/>
      </c>
      <c r="E2413" s="6" t="str">
        <f t="shared" si="158"/>
        <v/>
      </c>
      <c r="F2413" s="6" t="str">
        <f t="shared" si="159"/>
        <v/>
      </c>
      <c r="G2413" s="4"/>
      <c r="H2413" s="4"/>
      <c r="I2413" s="4"/>
      <c r="J2413" s="4"/>
      <c r="K2413" s="4"/>
      <c r="L2413" s="4"/>
      <c r="M2413" s="4"/>
      <c r="N2413" s="4"/>
      <c r="O2413" s="4"/>
      <c r="P2413" s="4"/>
      <c r="Q2413" s="4"/>
      <c r="R2413" s="14"/>
      <c r="S2413" s="14"/>
      <c r="T2413" s="14"/>
      <c r="U2413" s="14"/>
      <c r="V2413" s="14"/>
      <c r="W2413" s="14"/>
      <c r="X2413" s="14"/>
      <c r="Y2413" s="4"/>
      <c r="Z2413" s="4"/>
      <c r="AA2413" s="4"/>
      <c r="AB2413" s="4"/>
      <c r="AC2413" s="4"/>
      <c r="AD2413" s="4"/>
      <c r="AE2413" s="4"/>
      <c r="AF2413" s="4"/>
      <c r="AG2413" s="4"/>
      <c r="AH2413" s="4"/>
      <c r="AI2413" s="4"/>
      <c r="AJ2413" s="4"/>
      <c r="AK2413" s="4"/>
      <c r="AL2413" s="4"/>
      <c r="AM2413" s="4"/>
      <c r="AN2413" s="4"/>
      <c r="AO2413" s="4"/>
      <c r="AP2413" s="4"/>
      <c r="AQ2413" s="4"/>
      <c r="AR2413" s="4"/>
      <c r="AS2413" s="4"/>
      <c r="AT2413" s="4"/>
      <c r="AU2413" s="4"/>
      <c r="AV2413" s="4"/>
      <c r="AW2413" s="4"/>
      <c r="AX2413" s="4"/>
      <c r="AY2413" s="4"/>
      <c r="AZ2413" s="4"/>
      <c r="BA2413" s="4"/>
      <c r="BB2413" s="4"/>
      <c r="BC2413" s="4"/>
      <c r="BD2413" s="4"/>
      <c r="BE2413" s="4"/>
      <c r="BG2413" s="4"/>
      <c r="BH2413" s="4"/>
    </row>
    <row r="2414" spans="1:60" x14ac:dyDescent="0.35">
      <c r="A2414" s="4"/>
      <c r="B2414" s="4"/>
      <c r="D2414" s="6" t="str">
        <f t="shared" si="157"/>
        <v/>
      </c>
      <c r="E2414" s="6" t="str">
        <f t="shared" si="158"/>
        <v/>
      </c>
      <c r="F2414" s="6" t="str">
        <f t="shared" si="159"/>
        <v/>
      </c>
      <c r="G2414" s="4"/>
      <c r="H2414" s="4"/>
      <c r="I2414" s="4"/>
      <c r="J2414" s="4"/>
      <c r="K2414" s="4"/>
      <c r="L2414" s="4"/>
      <c r="M2414" s="4"/>
      <c r="N2414" s="4"/>
      <c r="O2414" s="4"/>
      <c r="P2414" s="4"/>
      <c r="Q2414" s="4"/>
      <c r="R2414" s="14"/>
      <c r="S2414" s="14"/>
      <c r="T2414" s="14"/>
      <c r="U2414" s="14"/>
      <c r="V2414" s="14"/>
      <c r="W2414" s="14"/>
      <c r="X2414" s="1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4"/>
      <c r="AU2414" s="4"/>
      <c r="AV2414" s="4"/>
      <c r="AW2414" s="4"/>
      <c r="AX2414" s="4"/>
      <c r="AY2414" s="4"/>
      <c r="AZ2414" s="4"/>
      <c r="BA2414" s="4"/>
      <c r="BB2414" s="4"/>
      <c r="BC2414" s="4"/>
      <c r="BD2414" s="4"/>
      <c r="BE2414" s="4"/>
      <c r="BG2414" s="4"/>
      <c r="BH2414" s="4"/>
    </row>
    <row r="2415" spans="1:60" x14ac:dyDescent="0.35">
      <c r="A2415" s="4"/>
      <c r="B2415" s="4"/>
      <c r="D2415" s="6" t="str">
        <f t="shared" si="157"/>
        <v/>
      </c>
      <c r="E2415" s="6" t="str">
        <f t="shared" si="158"/>
        <v/>
      </c>
      <c r="F2415" s="6" t="str">
        <f t="shared" si="159"/>
        <v/>
      </c>
      <c r="G2415" s="4"/>
      <c r="H2415" s="4"/>
      <c r="I2415" s="4"/>
      <c r="J2415" s="4"/>
      <c r="K2415" s="4"/>
      <c r="L2415" s="4"/>
      <c r="M2415" s="4"/>
      <c r="N2415" s="4"/>
      <c r="O2415" s="4"/>
      <c r="P2415" s="4"/>
      <c r="Q2415" s="4"/>
      <c r="R2415" s="14"/>
      <c r="S2415" s="14"/>
      <c r="T2415" s="14"/>
      <c r="U2415" s="14"/>
      <c r="V2415" s="14"/>
      <c r="W2415" s="14"/>
      <c r="X2415" s="1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4"/>
      <c r="AU2415" s="4"/>
      <c r="AV2415" s="4"/>
      <c r="AW2415" s="4"/>
      <c r="AX2415" s="4"/>
      <c r="AY2415" s="4"/>
      <c r="AZ2415" s="4"/>
      <c r="BA2415" s="4"/>
      <c r="BB2415" s="4"/>
      <c r="BC2415" s="4"/>
      <c r="BD2415" s="4"/>
      <c r="BE2415" s="4"/>
      <c r="BG2415" s="4"/>
      <c r="BH2415" s="4"/>
    </row>
    <row r="2416" spans="1:60" x14ac:dyDescent="0.35">
      <c r="A2416" s="4"/>
      <c r="B2416" s="4"/>
      <c r="D2416" s="6" t="str">
        <f t="shared" si="157"/>
        <v/>
      </c>
      <c r="E2416" s="6" t="str">
        <f t="shared" si="158"/>
        <v/>
      </c>
      <c r="F2416" s="6" t="str">
        <f t="shared" si="159"/>
        <v/>
      </c>
      <c r="G2416" s="4"/>
      <c r="H2416" s="4"/>
      <c r="I2416" s="4"/>
      <c r="J2416" s="4"/>
      <c r="K2416" s="4"/>
      <c r="L2416" s="4"/>
      <c r="M2416" s="4"/>
      <c r="N2416" s="4"/>
      <c r="O2416" s="4"/>
      <c r="P2416" s="4"/>
      <c r="Q2416" s="4"/>
      <c r="R2416" s="14"/>
      <c r="S2416" s="14"/>
      <c r="T2416" s="14"/>
      <c r="U2416" s="14"/>
      <c r="V2416" s="14"/>
      <c r="W2416" s="14"/>
      <c r="X2416" s="1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4"/>
      <c r="AU2416" s="4"/>
      <c r="AV2416" s="4"/>
      <c r="AW2416" s="4"/>
      <c r="AX2416" s="4"/>
      <c r="AY2416" s="4"/>
      <c r="AZ2416" s="4"/>
      <c r="BA2416" s="4"/>
      <c r="BB2416" s="4"/>
      <c r="BC2416" s="4"/>
      <c r="BD2416" s="4"/>
      <c r="BE2416" s="4"/>
      <c r="BG2416" s="4"/>
      <c r="BH2416" s="4"/>
    </row>
    <row r="2417" spans="1:60" x14ac:dyDescent="0.35">
      <c r="A2417" s="4"/>
      <c r="B2417" s="4"/>
      <c r="D2417" s="6" t="str">
        <f t="shared" si="157"/>
        <v/>
      </c>
      <c r="E2417" s="6" t="str">
        <f t="shared" si="158"/>
        <v/>
      </c>
      <c r="F2417" s="6" t="str">
        <f t="shared" si="159"/>
        <v/>
      </c>
      <c r="G2417" s="4"/>
      <c r="H2417" s="4"/>
      <c r="I2417" s="4"/>
      <c r="J2417" s="4"/>
      <c r="K2417" s="4"/>
      <c r="L2417" s="4"/>
      <c r="M2417" s="4"/>
      <c r="N2417" s="4"/>
      <c r="O2417" s="4"/>
      <c r="P2417" s="4"/>
      <c r="Q2417" s="4"/>
      <c r="R2417" s="14"/>
      <c r="S2417" s="14"/>
      <c r="T2417" s="14"/>
      <c r="U2417" s="14"/>
      <c r="V2417" s="14"/>
      <c r="W2417" s="14"/>
      <c r="X2417" s="1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4"/>
      <c r="AU2417" s="4"/>
      <c r="AV2417" s="4"/>
      <c r="AW2417" s="4"/>
      <c r="AX2417" s="4"/>
      <c r="AY2417" s="4"/>
      <c r="AZ2417" s="4"/>
      <c r="BA2417" s="4"/>
      <c r="BB2417" s="4"/>
      <c r="BC2417" s="4"/>
      <c r="BD2417" s="4"/>
      <c r="BE2417" s="4"/>
      <c r="BG2417" s="4"/>
      <c r="BH2417" s="4"/>
    </row>
    <row r="2418" spans="1:60" x14ac:dyDescent="0.35">
      <c r="A2418" s="4"/>
      <c r="B2418" s="4"/>
      <c r="D2418" s="6" t="str">
        <f t="shared" si="157"/>
        <v/>
      </c>
      <c r="E2418" s="6" t="str">
        <f t="shared" si="158"/>
        <v/>
      </c>
      <c r="F2418" s="6" t="str">
        <f t="shared" si="159"/>
        <v/>
      </c>
      <c r="G2418" s="4"/>
      <c r="H2418" s="4"/>
      <c r="I2418" s="4"/>
      <c r="J2418" s="4"/>
      <c r="K2418" s="4"/>
      <c r="L2418" s="4"/>
      <c r="M2418" s="4"/>
      <c r="N2418" s="4"/>
      <c r="O2418" s="4"/>
      <c r="P2418" s="4"/>
      <c r="Q2418" s="4"/>
      <c r="R2418" s="14"/>
      <c r="S2418" s="14"/>
      <c r="T2418" s="14"/>
      <c r="U2418" s="14"/>
      <c r="V2418" s="14"/>
      <c r="W2418" s="14"/>
      <c r="X2418" s="14"/>
      <c r="Y2418" s="4"/>
      <c r="Z2418" s="4"/>
      <c r="AA2418" s="4"/>
      <c r="AB2418" s="4"/>
      <c r="AC2418" s="4"/>
      <c r="AD2418" s="4"/>
      <c r="AE2418" s="4"/>
      <c r="AF2418" s="4"/>
      <c r="AG2418" s="4"/>
      <c r="AH2418" s="4"/>
      <c r="AI2418" s="4"/>
      <c r="AJ2418" s="4"/>
      <c r="AK2418" s="4"/>
      <c r="AL2418" s="4"/>
      <c r="AM2418" s="4"/>
      <c r="AN2418" s="4"/>
      <c r="AO2418" s="4"/>
      <c r="AP2418" s="4"/>
      <c r="AQ2418" s="4"/>
      <c r="AR2418" s="4"/>
      <c r="AS2418" s="4"/>
      <c r="AT2418" s="4"/>
      <c r="AU2418" s="4"/>
      <c r="AV2418" s="4"/>
      <c r="AW2418" s="4"/>
      <c r="AX2418" s="4"/>
      <c r="AY2418" s="4"/>
      <c r="AZ2418" s="4"/>
      <c r="BA2418" s="4"/>
      <c r="BB2418" s="4"/>
      <c r="BC2418" s="4"/>
      <c r="BD2418" s="4"/>
      <c r="BE2418" s="4"/>
      <c r="BG2418" s="4"/>
      <c r="BH2418" s="4"/>
    </row>
    <row r="2419" spans="1:60" x14ac:dyDescent="0.35">
      <c r="A2419" s="4"/>
      <c r="B2419" s="4"/>
      <c r="D2419" s="6" t="str">
        <f t="shared" si="157"/>
        <v/>
      </c>
      <c r="E2419" s="6" t="str">
        <f t="shared" si="158"/>
        <v/>
      </c>
      <c r="F2419" s="6" t="str">
        <f t="shared" si="159"/>
        <v/>
      </c>
      <c r="G2419" s="4"/>
      <c r="H2419" s="4"/>
      <c r="I2419" s="4"/>
      <c r="J2419" s="4"/>
      <c r="K2419" s="4"/>
      <c r="L2419" s="4"/>
      <c r="M2419" s="4"/>
      <c r="N2419" s="4"/>
      <c r="O2419" s="4"/>
      <c r="P2419" s="4"/>
      <c r="Q2419" s="4"/>
      <c r="R2419" s="14"/>
      <c r="S2419" s="14"/>
      <c r="T2419" s="14"/>
      <c r="U2419" s="14"/>
      <c r="V2419" s="14"/>
      <c r="W2419" s="14"/>
      <c r="X2419" s="1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4"/>
      <c r="AU2419" s="4"/>
      <c r="AV2419" s="4"/>
      <c r="AW2419" s="4"/>
      <c r="AX2419" s="4"/>
      <c r="AY2419" s="4"/>
      <c r="AZ2419" s="4"/>
      <c r="BA2419" s="4"/>
      <c r="BB2419" s="4"/>
      <c r="BC2419" s="4"/>
      <c r="BD2419" s="4"/>
      <c r="BE2419" s="4"/>
      <c r="BG2419" s="4"/>
      <c r="BH2419" s="4"/>
    </row>
    <row r="2420" spans="1:60" x14ac:dyDescent="0.35">
      <c r="A2420" s="4"/>
      <c r="B2420" s="4"/>
      <c r="D2420" s="6" t="str">
        <f t="shared" si="157"/>
        <v/>
      </c>
      <c r="E2420" s="6" t="str">
        <f t="shared" si="158"/>
        <v/>
      </c>
      <c r="F2420" s="6" t="str">
        <f t="shared" si="159"/>
        <v/>
      </c>
      <c r="G2420" s="4"/>
      <c r="H2420" s="4"/>
      <c r="I2420" s="4"/>
      <c r="J2420" s="4"/>
      <c r="K2420" s="4"/>
      <c r="L2420" s="4"/>
      <c r="M2420" s="4"/>
      <c r="N2420" s="4"/>
      <c r="O2420" s="4"/>
      <c r="P2420" s="4"/>
      <c r="Q2420" s="4"/>
      <c r="R2420" s="14"/>
      <c r="S2420" s="14"/>
      <c r="T2420" s="14"/>
      <c r="U2420" s="14"/>
      <c r="V2420" s="14"/>
      <c r="W2420" s="14"/>
      <c r="X2420" s="1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4"/>
      <c r="AU2420" s="4"/>
      <c r="AV2420" s="4"/>
      <c r="AW2420" s="4"/>
      <c r="AX2420" s="4"/>
      <c r="AY2420" s="4"/>
      <c r="AZ2420" s="4"/>
      <c r="BA2420" s="4"/>
      <c r="BB2420" s="4"/>
      <c r="BC2420" s="4"/>
      <c r="BD2420" s="4"/>
      <c r="BE2420" s="4"/>
      <c r="BG2420" s="4"/>
      <c r="BH2420" s="4"/>
    </row>
    <row r="2421" spans="1:60" x14ac:dyDescent="0.35">
      <c r="A2421" s="4"/>
      <c r="B2421" s="4"/>
      <c r="D2421" s="6" t="str">
        <f t="shared" si="157"/>
        <v/>
      </c>
      <c r="E2421" s="6" t="str">
        <f t="shared" si="158"/>
        <v/>
      </c>
      <c r="F2421" s="6" t="str">
        <f t="shared" si="159"/>
        <v/>
      </c>
      <c r="G2421" s="4"/>
      <c r="H2421" s="4"/>
      <c r="I2421" s="4"/>
      <c r="J2421" s="4"/>
      <c r="K2421" s="4"/>
      <c r="L2421" s="4"/>
      <c r="M2421" s="4"/>
      <c r="N2421" s="4"/>
      <c r="O2421" s="4"/>
      <c r="P2421" s="4"/>
      <c r="Q2421" s="4"/>
      <c r="R2421" s="14"/>
      <c r="S2421" s="14"/>
      <c r="T2421" s="14"/>
      <c r="U2421" s="14"/>
      <c r="V2421" s="14"/>
      <c r="W2421" s="14"/>
      <c r="X2421" s="1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4"/>
      <c r="AU2421" s="4"/>
      <c r="AV2421" s="4"/>
      <c r="AW2421" s="4"/>
      <c r="AX2421" s="4"/>
      <c r="AY2421" s="4"/>
      <c r="AZ2421" s="4"/>
      <c r="BA2421" s="4"/>
      <c r="BB2421" s="4"/>
      <c r="BC2421" s="4"/>
      <c r="BD2421" s="4"/>
      <c r="BE2421" s="4"/>
      <c r="BG2421" s="4"/>
      <c r="BH2421" s="4"/>
    </row>
    <row r="2422" spans="1:60" x14ac:dyDescent="0.35">
      <c r="A2422" s="4"/>
      <c r="B2422" s="4"/>
      <c r="D2422" s="6" t="str">
        <f t="shared" si="157"/>
        <v/>
      </c>
      <c r="E2422" s="6" t="str">
        <f t="shared" si="158"/>
        <v/>
      </c>
      <c r="F2422" s="6" t="str">
        <f t="shared" si="159"/>
        <v/>
      </c>
      <c r="G2422" s="4"/>
      <c r="H2422" s="4"/>
      <c r="I2422" s="4"/>
      <c r="J2422" s="4"/>
      <c r="K2422" s="4"/>
      <c r="L2422" s="4"/>
      <c r="M2422" s="4"/>
      <c r="N2422" s="4"/>
      <c r="O2422" s="4"/>
      <c r="P2422" s="4"/>
      <c r="Q2422" s="4"/>
      <c r="R2422" s="14"/>
      <c r="S2422" s="14"/>
      <c r="T2422" s="14"/>
      <c r="U2422" s="14"/>
      <c r="V2422" s="14"/>
      <c r="W2422" s="14"/>
      <c r="X2422" s="1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4"/>
      <c r="AU2422" s="4"/>
      <c r="AV2422" s="4"/>
      <c r="AW2422" s="4"/>
      <c r="AX2422" s="4"/>
      <c r="AY2422" s="4"/>
      <c r="AZ2422" s="4"/>
      <c r="BA2422" s="4"/>
      <c r="BB2422" s="4"/>
      <c r="BC2422" s="4"/>
      <c r="BD2422" s="4"/>
      <c r="BE2422" s="4"/>
      <c r="BG2422" s="4"/>
      <c r="BH2422" s="4"/>
    </row>
    <row r="2423" spans="1:60" x14ac:dyDescent="0.35">
      <c r="A2423" s="4"/>
      <c r="B2423" s="4"/>
      <c r="D2423" s="6" t="str">
        <f t="shared" si="157"/>
        <v/>
      </c>
      <c r="E2423" s="6" t="str">
        <f t="shared" si="158"/>
        <v/>
      </c>
      <c r="F2423" s="6" t="str">
        <f t="shared" si="159"/>
        <v/>
      </c>
      <c r="G2423" s="4"/>
      <c r="H2423" s="4"/>
      <c r="I2423" s="4"/>
      <c r="J2423" s="4"/>
      <c r="K2423" s="4"/>
      <c r="L2423" s="4"/>
      <c r="M2423" s="4"/>
      <c r="N2423" s="4"/>
      <c r="O2423" s="4"/>
      <c r="P2423" s="4"/>
      <c r="Q2423" s="4"/>
      <c r="R2423" s="14"/>
      <c r="S2423" s="14"/>
      <c r="T2423" s="14"/>
      <c r="U2423" s="14"/>
      <c r="V2423" s="14"/>
      <c r="W2423" s="14"/>
      <c r="X2423" s="14"/>
      <c r="Y2423" s="4"/>
      <c r="Z2423" s="4"/>
      <c r="AA2423" s="4"/>
      <c r="AB2423" s="4"/>
      <c r="AC2423" s="4"/>
      <c r="AD2423" s="4"/>
      <c r="AE2423" s="4"/>
      <c r="AF2423" s="4"/>
      <c r="AG2423" s="4"/>
      <c r="AH2423" s="4"/>
      <c r="AI2423" s="4"/>
      <c r="AJ2423" s="4"/>
      <c r="AK2423" s="4"/>
      <c r="AL2423" s="4"/>
      <c r="AM2423" s="4"/>
      <c r="AN2423" s="4"/>
      <c r="AO2423" s="4"/>
      <c r="AP2423" s="4"/>
      <c r="AQ2423" s="4"/>
      <c r="AR2423" s="4"/>
      <c r="AS2423" s="4"/>
      <c r="AT2423" s="4"/>
      <c r="AU2423" s="4"/>
      <c r="AV2423" s="4"/>
      <c r="AW2423" s="4"/>
      <c r="AX2423" s="4"/>
      <c r="AY2423" s="4"/>
      <c r="AZ2423" s="4"/>
      <c r="BA2423" s="4"/>
      <c r="BB2423" s="4"/>
      <c r="BC2423" s="4"/>
      <c r="BD2423" s="4"/>
      <c r="BE2423" s="4"/>
      <c r="BG2423" s="4"/>
      <c r="BH2423" s="4"/>
    </row>
    <row r="2424" spans="1:60" x14ac:dyDescent="0.35">
      <c r="A2424" s="4"/>
      <c r="B2424" s="4"/>
      <c r="D2424" s="6" t="str">
        <f t="shared" si="157"/>
        <v/>
      </c>
      <c r="E2424" s="6" t="str">
        <f t="shared" si="158"/>
        <v/>
      </c>
      <c r="F2424" s="6" t="str">
        <f t="shared" si="159"/>
        <v/>
      </c>
      <c r="G2424" s="4"/>
      <c r="H2424" s="4"/>
      <c r="I2424" s="4"/>
      <c r="J2424" s="4"/>
      <c r="K2424" s="4"/>
      <c r="L2424" s="4"/>
      <c r="M2424" s="4"/>
      <c r="N2424" s="4"/>
      <c r="O2424" s="4"/>
      <c r="P2424" s="4"/>
      <c r="Q2424" s="4"/>
      <c r="R2424" s="14"/>
      <c r="S2424" s="14"/>
      <c r="T2424" s="14"/>
      <c r="U2424" s="14"/>
      <c r="V2424" s="14"/>
      <c r="W2424" s="14"/>
      <c r="X2424" s="1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4"/>
      <c r="AU2424" s="4"/>
      <c r="AV2424" s="4"/>
      <c r="AW2424" s="4"/>
      <c r="AX2424" s="4"/>
      <c r="AY2424" s="4"/>
      <c r="AZ2424" s="4"/>
      <c r="BA2424" s="4"/>
      <c r="BB2424" s="4"/>
      <c r="BC2424" s="4"/>
      <c r="BD2424" s="4"/>
      <c r="BE2424" s="4"/>
      <c r="BG2424" s="4"/>
      <c r="BH2424" s="4"/>
    </row>
    <row r="2425" spans="1:60" x14ac:dyDescent="0.35">
      <c r="A2425" s="4"/>
      <c r="B2425" s="4"/>
      <c r="D2425" s="6" t="str">
        <f t="shared" si="157"/>
        <v/>
      </c>
      <c r="E2425" s="6" t="str">
        <f t="shared" si="158"/>
        <v/>
      </c>
      <c r="F2425" s="6" t="str">
        <f t="shared" si="159"/>
        <v/>
      </c>
      <c r="G2425" s="4"/>
      <c r="H2425" s="4"/>
      <c r="I2425" s="4"/>
      <c r="J2425" s="4"/>
      <c r="K2425" s="4"/>
      <c r="L2425" s="4"/>
      <c r="M2425" s="4"/>
      <c r="N2425" s="4"/>
      <c r="O2425" s="4"/>
      <c r="P2425" s="4"/>
      <c r="Q2425" s="4"/>
      <c r="R2425" s="14"/>
      <c r="S2425" s="14"/>
      <c r="T2425" s="14"/>
      <c r="U2425" s="14"/>
      <c r="V2425" s="14"/>
      <c r="W2425" s="14"/>
      <c r="X2425" s="1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4"/>
      <c r="AU2425" s="4"/>
      <c r="AV2425" s="4"/>
      <c r="AW2425" s="4"/>
      <c r="AX2425" s="4"/>
      <c r="AY2425" s="4"/>
      <c r="AZ2425" s="4"/>
      <c r="BA2425" s="4"/>
      <c r="BB2425" s="4"/>
      <c r="BC2425" s="4"/>
      <c r="BD2425" s="4"/>
      <c r="BE2425" s="4"/>
      <c r="BG2425" s="4"/>
      <c r="BH2425" s="4"/>
    </row>
    <row r="2426" spans="1:60" x14ac:dyDescent="0.35">
      <c r="A2426" s="4"/>
      <c r="B2426" s="4"/>
      <c r="D2426" s="6" t="str">
        <f t="shared" si="157"/>
        <v/>
      </c>
      <c r="E2426" s="6" t="str">
        <f t="shared" si="158"/>
        <v/>
      </c>
      <c r="F2426" s="6" t="str">
        <f t="shared" si="159"/>
        <v/>
      </c>
      <c r="G2426" s="4"/>
      <c r="H2426" s="4"/>
      <c r="I2426" s="4"/>
      <c r="J2426" s="4"/>
      <c r="K2426" s="4"/>
      <c r="L2426" s="4"/>
      <c r="M2426" s="4"/>
      <c r="N2426" s="4"/>
      <c r="O2426" s="4"/>
      <c r="P2426" s="4"/>
      <c r="Q2426" s="4"/>
      <c r="R2426" s="14"/>
      <c r="S2426" s="14"/>
      <c r="T2426" s="14"/>
      <c r="U2426" s="14"/>
      <c r="V2426" s="14"/>
      <c r="W2426" s="14"/>
      <c r="X2426" s="14"/>
      <c r="Y2426" s="4"/>
      <c r="Z2426" s="4"/>
      <c r="AA2426" s="4"/>
      <c r="AB2426" s="4"/>
      <c r="AC2426" s="4"/>
      <c r="AD2426" s="4"/>
      <c r="AE2426" s="4"/>
      <c r="AF2426" s="4"/>
      <c r="AG2426" s="4"/>
      <c r="AH2426" s="4"/>
      <c r="AI2426" s="4"/>
      <c r="AJ2426" s="4"/>
      <c r="AK2426" s="4"/>
      <c r="AL2426" s="4"/>
      <c r="AM2426" s="4"/>
      <c r="AN2426" s="4"/>
      <c r="AO2426" s="4"/>
      <c r="AP2426" s="4"/>
      <c r="AQ2426" s="4"/>
      <c r="AR2426" s="4"/>
      <c r="AS2426" s="4"/>
      <c r="AT2426" s="4"/>
      <c r="AU2426" s="4"/>
      <c r="AV2426" s="4"/>
      <c r="AW2426" s="4"/>
      <c r="AX2426" s="4"/>
      <c r="AY2426" s="4"/>
      <c r="AZ2426" s="4"/>
      <c r="BA2426" s="4"/>
      <c r="BB2426" s="4"/>
      <c r="BC2426" s="4"/>
      <c r="BD2426" s="4"/>
      <c r="BE2426" s="4"/>
      <c r="BG2426" s="4"/>
      <c r="BH2426" s="4"/>
    </row>
    <row r="2427" spans="1:60" x14ac:dyDescent="0.35">
      <c r="A2427" s="4"/>
      <c r="B2427" s="4"/>
      <c r="D2427" s="6" t="str">
        <f t="shared" si="157"/>
        <v/>
      </c>
      <c r="E2427" s="6" t="str">
        <f t="shared" si="158"/>
        <v/>
      </c>
      <c r="F2427" s="6" t="str">
        <f t="shared" si="159"/>
        <v/>
      </c>
      <c r="G2427" s="4"/>
      <c r="H2427" s="4"/>
      <c r="I2427" s="4"/>
      <c r="J2427" s="4"/>
      <c r="K2427" s="4"/>
      <c r="L2427" s="4"/>
      <c r="M2427" s="4"/>
      <c r="N2427" s="4"/>
      <c r="O2427" s="4"/>
      <c r="P2427" s="4"/>
      <c r="Q2427" s="4"/>
      <c r="R2427" s="14"/>
      <c r="S2427" s="14"/>
      <c r="T2427" s="14"/>
      <c r="U2427" s="14"/>
      <c r="V2427" s="14"/>
      <c r="W2427" s="14"/>
      <c r="X2427" s="14"/>
      <c r="Y2427" s="4"/>
      <c r="Z2427" s="4"/>
      <c r="AA2427" s="4"/>
      <c r="AB2427" s="4"/>
      <c r="AC2427" s="4"/>
      <c r="AD2427" s="4"/>
      <c r="AE2427" s="4"/>
      <c r="AF2427" s="4"/>
      <c r="AG2427" s="4"/>
      <c r="AH2427" s="4"/>
      <c r="AI2427" s="4"/>
      <c r="AJ2427" s="4"/>
      <c r="AK2427" s="4"/>
      <c r="AL2427" s="4"/>
      <c r="AM2427" s="4"/>
      <c r="AN2427" s="4"/>
      <c r="AO2427" s="4"/>
      <c r="AP2427" s="4"/>
      <c r="AQ2427" s="4"/>
      <c r="AR2427" s="4"/>
      <c r="AS2427" s="4"/>
      <c r="AT2427" s="4"/>
      <c r="AU2427" s="4"/>
      <c r="AV2427" s="4"/>
      <c r="AW2427" s="4"/>
      <c r="AX2427" s="4"/>
      <c r="AY2427" s="4"/>
      <c r="AZ2427" s="4"/>
      <c r="BA2427" s="4"/>
      <c r="BB2427" s="4"/>
      <c r="BC2427" s="4"/>
      <c r="BD2427" s="4"/>
      <c r="BE2427" s="4"/>
      <c r="BG2427" s="4"/>
      <c r="BH2427" s="4"/>
    </row>
    <row r="2428" spans="1:60" x14ac:dyDescent="0.35">
      <c r="A2428" s="4"/>
      <c r="B2428" s="4"/>
      <c r="D2428" s="6" t="str">
        <f t="shared" si="157"/>
        <v/>
      </c>
      <c r="E2428" s="6" t="str">
        <f t="shared" si="158"/>
        <v/>
      </c>
      <c r="F2428" s="6" t="str">
        <f t="shared" si="159"/>
        <v/>
      </c>
      <c r="G2428" s="4"/>
      <c r="H2428" s="4"/>
      <c r="I2428" s="4"/>
      <c r="J2428" s="4"/>
      <c r="K2428" s="4"/>
      <c r="L2428" s="4"/>
      <c r="M2428" s="4"/>
      <c r="N2428" s="4"/>
      <c r="O2428" s="4"/>
      <c r="P2428" s="4"/>
      <c r="Q2428" s="4"/>
      <c r="R2428" s="14"/>
      <c r="S2428" s="14"/>
      <c r="T2428" s="14"/>
      <c r="U2428" s="14"/>
      <c r="V2428" s="14"/>
      <c r="W2428" s="14"/>
      <c r="X2428" s="1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4"/>
      <c r="AU2428" s="4"/>
      <c r="AV2428" s="4"/>
      <c r="AW2428" s="4"/>
      <c r="AX2428" s="4"/>
      <c r="AY2428" s="4"/>
      <c r="AZ2428" s="4"/>
      <c r="BA2428" s="4"/>
      <c r="BB2428" s="4"/>
      <c r="BC2428" s="4"/>
      <c r="BD2428" s="4"/>
      <c r="BE2428" s="4"/>
      <c r="BG2428" s="4"/>
      <c r="BH2428" s="4"/>
    </row>
    <row r="2429" spans="1:60" x14ac:dyDescent="0.35">
      <c r="A2429" s="4"/>
      <c r="B2429" s="4"/>
      <c r="D2429" s="6" t="str">
        <f t="shared" ref="D2429:D2492" si="160">IF(C2429="","",VLOOKUP(C2429,district_region,2,FALSE))</f>
        <v/>
      </c>
      <c r="E2429" s="6" t="str">
        <f t="shared" ref="E2429:E2492" si="161">IF(C2429="","",VLOOKUP(C2429,liste_pop,3,FALSE))</f>
        <v/>
      </c>
      <c r="F2429" s="6" t="str">
        <f t="shared" ref="F2429:F2492" si="162">IF(D2429="","",IF(D2429="Dakar",4042240,VLOOKUP(D2429,liste_pop,4,FALSE)))</f>
        <v/>
      </c>
      <c r="G2429" s="4"/>
      <c r="H2429" s="4"/>
      <c r="I2429" s="4"/>
      <c r="J2429" s="4"/>
      <c r="K2429" s="4"/>
      <c r="L2429" s="4"/>
      <c r="M2429" s="4"/>
      <c r="N2429" s="4"/>
      <c r="O2429" s="4"/>
      <c r="P2429" s="4"/>
      <c r="Q2429" s="4"/>
      <c r="R2429" s="14"/>
      <c r="S2429" s="14"/>
      <c r="T2429" s="14"/>
      <c r="U2429" s="14"/>
      <c r="V2429" s="14"/>
      <c r="W2429" s="14"/>
      <c r="X2429" s="1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4"/>
      <c r="AU2429" s="4"/>
      <c r="AV2429" s="4"/>
      <c r="AW2429" s="4"/>
      <c r="AX2429" s="4"/>
      <c r="AY2429" s="4"/>
      <c r="AZ2429" s="4"/>
      <c r="BA2429" s="4"/>
      <c r="BB2429" s="4"/>
      <c r="BC2429" s="4"/>
      <c r="BD2429" s="4"/>
      <c r="BE2429" s="4"/>
      <c r="BG2429" s="4"/>
      <c r="BH2429" s="4"/>
    </row>
    <row r="2430" spans="1:60" x14ac:dyDescent="0.35">
      <c r="A2430" s="4"/>
      <c r="B2430" s="4"/>
      <c r="D2430" s="6" t="str">
        <f t="shared" si="160"/>
        <v/>
      </c>
      <c r="E2430" s="6" t="str">
        <f t="shared" si="161"/>
        <v/>
      </c>
      <c r="F2430" s="6" t="str">
        <f t="shared" si="162"/>
        <v/>
      </c>
      <c r="G2430" s="4"/>
      <c r="H2430" s="4"/>
      <c r="I2430" s="4"/>
      <c r="J2430" s="4"/>
      <c r="K2430" s="4"/>
      <c r="L2430" s="4"/>
      <c r="M2430" s="4"/>
      <c r="N2430" s="4"/>
      <c r="O2430" s="4"/>
      <c r="P2430" s="4"/>
      <c r="Q2430" s="4"/>
      <c r="R2430" s="14"/>
      <c r="S2430" s="14"/>
      <c r="T2430" s="14"/>
      <c r="U2430" s="14"/>
      <c r="V2430" s="14"/>
      <c r="W2430" s="14"/>
      <c r="X2430" s="1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4"/>
      <c r="AU2430" s="4"/>
      <c r="AV2430" s="4"/>
      <c r="AW2430" s="4"/>
      <c r="AX2430" s="4"/>
      <c r="AY2430" s="4"/>
      <c r="AZ2430" s="4"/>
      <c r="BA2430" s="4"/>
      <c r="BB2430" s="4"/>
      <c r="BC2430" s="4"/>
      <c r="BD2430" s="4"/>
      <c r="BE2430" s="4"/>
      <c r="BG2430" s="4"/>
      <c r="BH2430" s="4"/>
    </row>
    <row r="2431" spans="1:60" x14ac:dyDescent="0.35">
      <c r="A2431" s="4"/>
      <c r="B2431" s="4"/>
      <c r="D2431" s="6" t="str">
        <f t="shared" si="160"/>
        <v/>
      </c>
      <c r="E2431" s="6" t="str">
        <f t="shared" si="161"/>
        <v/>
      </c>
      <c r="F2431" s="6" t="str">
        <f t="shared" si="162"/>
        <v/>
      </c>
      <c r="G2431" s="4"/>
      <c r="H2431" s="4"/>
      <c r="I2431" s="4"/>
      <c r="J2431" s="4"/>
      <c r="K2431" s="4"/>
      <c r="L2431" s="4"/>
      <c r="M2431" s="4"/>
      <c r="N2431" s="4"/>
      <c r="O2431" s="4"/>
      <c r="P2431" s="4"/>
      <c r="Q2431" s="4"/>
      <c r="R2431" s="14"/>
      <c r="S2431" s="14"/>
      <c r="T2431" s="14"/>
      <c r="U2431" s="14"/>
      <c r="V2431" s="14"/>
      <c r="W2431" s="14"/>
      <c r="X2431" s="1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4"/>
      <c r="AU2431" s="4"/>
      <c r="AV2431" s="4"/>
      <c r="AW2431" s="4"/>
      <c r="AX2431" s="4"/>
      <c r="AY2431" s="4"/>
      <c r="AZ2431" s="4"/>
      <c r="BA2431" s="4"/>
      <c r="BB2431" s="4"/>
      <c r="BC2431" s="4"/>
      <c r="BD2431" s="4"/>
      <c r="BE2431" s="4"/>
      <c r="BG2431" s="4"/>
      <c r="BH2431" s="4"/>
    </row>
    <row r="2432" spans="1:60" x14ac:dyDescent="0.35">
      <c r="A2432" s="4"/>
      <c r="B2432" s="4"/>
      <c r="D2432" s="6" t="str">
        <f t="shared" si="160"/>
        <v/>
      </c>
      <c r="E2432" s="6" t="str">
        <f t="shared" si="161"/>
        <v/>
      </c>
      <c r="F2432" s="6" t="str">
        <f t="shared" si="162"/>
        <v/>
      </c>
      <c r="G2432" s="4"/>
      <c r="H2432" s="4"/>
      <c r="I2432" s="4"/>
      <c r="J2432" s="4"/>
      <c r="K2432" s="4"/>
      <c r="L2432" s="4"/>
      <c r="M2432" s="4"/>
      <c r="N2432" s="4"/>
      <c r="O2432" s="4"/>
      <c r="P2432" s="4"/>
      <c r="Q2432" s="4"/>
      <c r="R2432" s="14"/>
      <c r="S2432" s="14"/>
      <c r="T2432" s="14"/>
      <c r="U2432" s="14"/>
      <c r="V2432" s="14"/>
      <c r="W2432" s="14"/>
      <c r="X2432" s="1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4"/>
      <c r="AU2432" s="4"/>
      <c r="AV2432" s="4"/>
      <c r="AW2432" s="4"/>
      <c r="AX2432" s="4"/>
      <c r="AY2432" s="4"/>
      <c r="AZ2432" s="4"/>
      <c r="BA2432" s="4"/>
      <c r="BB2432" s="4"/>
      <c r="BC2432" s="4"/>
      <c r="BD2432" s="4"/>
      <c r="BE2432" s="4"/>
      <c r="BG2432" s="4"/>
      <c r="BH2432" s="4"/>
    </row>
    <row r="2433" spans="1:60" x14ac:dyDescent="0.35">
      <c r="A2433" s="4"/>
      <c r="B2433" s="4"/>
      <c r="D2433" s="6" t="str">
        <f t="shared" si="160"/>
        <v/>
      </c>
      <c r="E2433" s="6" t="str">
        <f t="shared" si="161"/>
        <v/>
      </c>
      <c r="F2433" s="6" t="str">
        <f t="shared" si="162"/>
        <v/>
      </c>
      <c r="G2433" s="4"/>
      <c r="H2433" s="4"/>
      <c r="I2433" s="4"/>
      <c r="J2433" s="4"/>
      <c r="K2433" s="4"/>
      <c r="L2433" s="4"/>
      <c r="M2433" s="4"/>
      <c r="N2433" s="4"/>
      <c r="O2433" s="4"/>
      <c r="P2433" s="4"/>
      <c r="Q2433" s="4"/>
      <c r="R2433" s="14"/>
      <c r="S2433" s="14"/>
      <c r="T2433" s="14"/>
      <c r="U2433" s="14"/>
      <c r="V2433" s="14"/>
      <c r="W2433" s="14"/>
      <c r="X2433" s="1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4"/>
      <c r="AU2433" s="4"/>
      <c r="AV2433" s="4"/>
      <c r="AW2433" s="4"/>
      <c r="AX2433" s="4"/>
      <c r="AY2433" s="4"/>
      <c r="AZ2433" s="4"/>
      <c r="BA2433" s="4"/>
      <c r="BB2433" s="4"/>
      <c r="BC2433" s="4"/>
      <c r="BD2433" s="4"/>
      <c r="BE2433" s="4"/>
      <c r="BG2433" s="4"/>
      <c r="BH2433" s="4"/>
    </row>
    <row r="2434" spans="1:60" x14ac:dyDescent="0.35">
      <c r="A2434" s="4"/>
      <c r="B2434" s="4"/>
      <c r="D2434" s="6" t="str">
        <f t="shared" si="160"/>
        <v/>
      </c>
      <c r="E2434" s="6" t="str">
        <f t="shared" si="161"/>
        <v/>
      </c>
      <c r="F2434" s="6" t="str">
        <f t="shared" si="162"/>
        <v/>
      </c>
      <c r="G2434" s="4"/>
      <c r="H2434" s="4"/>
      <c r="I2434" s="4"/>
      <c r="J2434" s="4"/>
      <c r="K2434" s="4"/>
      <c r="L2434" s="4"/>
      <c r="M2434" s="4"/>
      <c r="N2434" s="4"/>
      <c r="O2434" s="4"/>
      <c r="P2434" s="4"/>
      <c r="Q2434" s="4"/>
      <c r="R2434" s="14"/>
      <c r="S2434" s="14"/>
      <c r="T2434" s="14"/>
      <c r="U2434" s="14"/>
      <c r="V2434" s="14"/>
      <c r="W2434" s="14"/>
      <c r="X2434" s="1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4"/>
      <c r="AU2434" s="4"/>
      <c r="AV2434" s="4"/>
      <c r="AW2434" s="4"/>
      <c r="AX2434" s="4"/>
      <c r="AY2434" s="4"/>
      <c r="AZ2434" s="4"/>
      <c r="BA2434" s="4"/>
      <c r="BB2434" s="4"/>
      <c r="BC2434" s="4"/>
      <c r="BD2434" s="4"/>
      <c r="BE2434" s="4"/>
      <c r="BG2434" s="4"/>
      <c r="BH2434" s="4"/>
    </row>
    <row r="2435" spans="1:60" x14ac:dyDescent="0.35">
      <c r="A2435" s="4"/>
      <c r="B2435" s="4"/>
      <c r="D2435" s="6" t="str">
        <f t="shared" si="160"/>
        <v/>
      </c>
      <c r="E2435" s="6" t="str">
        <f t="shared" si="161"/>
        <v/>
      </c>
      <c r="F2435" s="6" t="str">
        <f t="shared" si="162"/>
        <v/>
      </c>
      <c r="G2435" s="4"/>
      <c r="H2435" s="4"/>
      <c r="I2435" s="4"/>
      <c r="J2435" s="4"/>
      <c r="K2435" s="4"/>
      <c r="L2435" s="4"/>
      <c r="M2435" s="4"/>
      <c r="N2435" s="4"/>
      <c r="O2435" s="4"/>
      <c r="P2435" s="4"/>
      <c r="Q2435" s="4"/>
      <c r="R2435" s="14"/>
      <c r="S2435" s="14"/>
      <c r="T2435" s="14"/>
      <c r="U2435" s="14"/>
      <c r="V2435" s="14"/>
      <c r="W2435" s="14"/>
      <c r="X2435" s="1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4"/>
      <c r="AU2435" s="4"/>
      <c r="AV2435" s="4"/>
      <c r="AW2435" s="4"/>
      <c r="AX2435" s="4"/>
      <c r="AY2435" s="4"/>
      <c r="AZ2435" s="4"/>
      <c r="BA2435" s="4"/>
      <c r="BB2435" s="4"/>
      <c r="BC2435" s="4"/>
      <c r="BD2435" s="4"/>
      <c r="BE2435" s="4"/>
      <c r="BG2435" s="4"/>
      <c r="BH2435" s="4"/>
    </row>
    <row r="2436" spans="1:60" x14ac:dyDescent="0.35">
      <c r="A2436" s="4"/>
      <c r="B2436" s="4"/>
      <c r="D2436" s="6" t="str">
        <f t="shared" si="160"/>
        <v/>
      </c>
      <c r="E2436" s="6" t="str">
        <f t="shared" si="161"/>
        <v/>
      </c>
      <c r="F2436" s="6" t="str">
        <f t="shared" si="162"/>
        <v/>
      </c>
      <c r="G2436" s="4"/>
      <c r="H2436" s="4"/>
      <c r="I2436" s="4"/>
      <c r="J2436" s="4"/>
      <c r="K2436" s="4"/>
      <c r="L2436" s="4"/>
      <c r="M2436" s="4"/>
      <c r="N2436" s="4"/>
      <c r="O2436" s="4"/>
      <c r="P2436" s="4"/>
      <c r="Q2436" s="4"/>
      <c r="R2436" s="14"/>
      <c r="S2436" s="14"/>
      <c r="T2436" s="14"/>
      <c r="U2436" s="14"/>
      <c r="V2436" s="14"/>
      <c r="W2436" s="14"/>
      <c r="X2436" s="1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4"/>
      <c r="AU2436" s="4"/>
      <c r="AV2436" s="4"/>
      <c r="AW2436" s="4"/>
      <c r="AX2436" s="4"/>
      <c r="AY2436" s="4"/>
      <c r="AZ2436" s="4"/>
      <c r="BA2436" s="4"/>
      <c r="BB2436" s="4"/>
      <c r="BC2436" s="4"/>
      <c r="BD2436" s="4"/>
      <c r="BE2436" s="4"/>
      <c r="BG2436" s="4"/>
      <c r="BH2436" s="4"/>
    </row>
    <row r="2437" spans="1:60" x14ac:dyDescent="0.35">
      <c r="A2437" s="4"/>
      <c r="B2437" s="4"/>
      <c r="D2437" s="6" t="str">
        <f t="shared" si="160"/>
        <v/>
      </c>
      <c r="E2437" s="6" t="str">
        <f t="shared" si="161"/>
        <v/>
      </c>
      <c r="F2437" s="6" t="str">
        <f t="shared" si="162"/>
        <v/>
      </c>
      <c r="G2437" s="4"/>
      <c r="H2437" s="4"/>
      <c r="I2437" s="4"/>
      <c r="J2437" s="4"/>
      <c r="K2437" s="4"/>
      <c r="L2437" s="4"/>
      <c r="M2437" s="4"/>
      <c r="N2437" s="4"/>
      <c r="O2437" s="4"/>
      <c r="P2437" s="4"/>
      <c r="Q2437" s="4"/>
      <c r="R2437" s="14"/>
      <c r="S2437" s="14"/>
      <c r="T2437" s="14"/>
      <c r="U2437" s="14"/>
      <c r="V2437" s="14"/>
      <c r="W2437" s="14"/>
      <c r="X2437" s="1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4"/>
      <c r="AU2437" s="4"/>
      <c r="AV2437" s="4"/>
      <c r="AW2437" s="4"/>
      <c r="AX2437" s="4"/>
      <c r="AY2437" s="4"/>
      <c r="AZ2437" s="4"/>
      <c r="BA2437" s="4"/>
      <c r="BB2437" s="4"/>
      <c r="BC2437" s="4"/>
      <c r="BD2437" s="4"/>
      <c r="BE2437" s="4"/>
      <c r="BG2437" s="4"/>
      <c r="BH2437" s="4"/>
    </row>
    <row r="2438" spans="1:60" x14ac:dyDescent="0.35">
      <c r="A2438" s="4"/>
      <c r="B2438" s="4"/>
      <c r="D2438" s="6" t="str">
        <f t="shared" si="160"/>
        <v/>
      </c>
      <c r="E2438" s="6" t="str">
        <f t="shared" si="161"/>
        <v/>
      </c>
      <c r="F2438" s="6" t="str">
        <f t="shared" si="162"/>
        <v/>
      </c>
      <c r="G2438" s="4"/>
      <c r="H2438" s="4"/>
      <c r="I2438" s="4"/>
      <c r="J2438" s="4"/>
      <c r="K2438" s="4"/>
      <c r="L2438" s="4"/>
      <c r="M2438" s="4"/>
      <c r="N2438" s="4"/>
      <c r="O2438" s="4"/>
      <c r="P2438" s="4"/>
      <c r="Q2438" s="4"/>
      <c r="R2438" s="14"/>
      <c r="S2438" s="14"/>
      <c r="T2438" s="14"/>
      <c r="U2438" s="14"/>
      <c r="V2438" s="14"/>
      <c r="W2438" s="14"/>
      <c r="X2438" s="14"/>
      <c r="Y2438" s="4"/>
      <c r="Z2438" s="4"/>
      <c r="AA2438" s="4"/>
      <c r="AB2438" s="4"/>
      <c r="AC2438" s="4"/>
      <c r="AD2438" s="4"/>
      <c r="AE2438" s="4"/>
      <c r="AF2438" s="4"/>
      <c r="AG2438" s="4"/>
      <c r="AH2438" s="4"/>
      <c r="AI2438" s="4"/>
      <c r="AJ2438" s="4"/>
      <c r="AK2438" s="4"/>
      <c r="AL2438" s="4"/>
      <c r="AM2438" s="4"/>
      <c r="AN2438" s="4"/>
      <c r="AO2438" s="4"/>
      <c r="AP2438" s="4"/>
      <c r="AQ2438" s="4"/>
      <c r="AR2438" s="4"/>
      <c r="AS2438" s="4"/>
      <c r="AT2438" s="4"/>
      <c r="AU2438" s="4"/>
      <c r="AV2438" s="4"/>
      <c r="AW2438" s="4"/>
      <c r="AX2438" s="4"/>
      <c r="AY2438" s="4"/>
      <c r="AZ2438" s="4"/>
      <c r="BA2438" s="4"/>
      <c r="BB2438" s="4"/>
      <c r="BC2438" s="4"/>
      <c r="BD2438" s="4"/>
      <c r="BE2438" s="4"/>
      <c r="BG2438" s="4"/>
      <c r="BH2438" s="4"/>
    </row>
    <row r="2439" spans="1:60" x14ac:dyDescent="0.35">
      <c r="A2439" s="4"/>
      <c r="B2439" s="4"/>
      <c r="D2439" s="6" t="str">
        <f t="shared" si="160"/>
        <v/>
      </c>
      <c r="E2439" s="6" t="str">
        <f t="shared" si="161"/>
        <v/>
      </c>
      <c r="F2439" s="6" t="str">
        <f t="shared" si="162"/>
        <v/>
      </c>
      <c r="G2439" s="4"/>
      <c r="H2439" s="4"/>
      <c r="I2439" s="4"/>
      <c r="J2439" s="4"/>
      <c r="K2439" s="4"/>
      <c r="L2439" s="4"/>
      <c r="M2439" s="4"/>
      <c r="N2439" s="4"/>
      <c r="O2439" s="4"/>
      <c r="P2439" s="4"/>
      <c r="Q2439" s="4"/>
      <c r="R2439" s="14"/>
      <c r="S2439" s="14"/>
      <c r="T2439" s="14"/>
      <c r="U2439" s="14"/>
      <c r="V2439" s="14"/>
      <c r="W2439" s="14"/>
      <c r="X2439" s="1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4"/>
      <c r="AU2439" s="4"/>
      <c r="AV2439" s="4"/>
      <c r="AW2439" s="4"/>
      <c r="AX2439" s="4"/>
      <c r="AY2439" s="4"/>
      <c r="AZ2439" s="4"/>
      <c r="BA2439" s="4"/>
      <c r="BB2439" s="4"/>
      <c r="BC2439" s="4"/>
      <c r="BD2439" s="4"/>
      <c r="BE2439" s="4"/>
      <c r="BG2439" s="4"/>
      <c r="BH2439" s="4"/>
    </row>
    <row r="2440" spans="1:60" x14ac:dyDescent="0.35">
      <c r="A2440" s="4"/>
      <c r="B2440" s="4"/>
      <c r="D2440" s="6" t="str">
        <f t="shared" si="160"/>
        <v/>
      </c>
      <c r="E2440" s="6" t="str">
        <f t="shared" si="161"/>
        <v/>
      </c>
      <c r="F2440" s="6" t="str">
        <f t="shared" si="162"/>
        <v/>
      </c>
      <c r="G2440" s="4"/>
      <c r="H2440" s="4"/>
      <c r="I2440" s="4"/>
      <c r="J2440" s="4"/>
      <c r="K2440" s="4"/>
      <c r="L2440" s="4"/>
      <c r="M2440" s="4"/>
      <c r="N2440" s="4"/>
      <c r="O2440" s="4"/>
      <c r="P2440" s="4"/>
      <c r="Q2440" s="4"/>
      <c r="R2440" s="14"/>
      <c r="S2440" s="14"/>
      <c r="T2440" s="14"/>
      <c r="U2440" s="14"/>
      <c r="V2440" s="14"/>
      <c r="W2440" s="14"/>
      <c r="X2440" s="1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4"/>
      <c r="AU2440" s="4"/>
      <c r="AV2440" s="4"/>
      <c r="AW2440" s="4"/>
      <c r="AX2440" s="4"/>
      <c r="AY2440" s="4"/>
      <c r="AZ2440" s="4"/>
      <c r="BA2440" s="4"/>
      <c r="BB2440" s="4"/>
      <c r="BC2440" s="4"/>
      <c r="BD2440" s="4"/>
      <c r="BE2440" s="4"/>
      <c r="BG2440" s="4"/>
      <c r="BH2440" s="4"/>
    </row>
    <row r="2441" spans="1:60" x14ac:dyDescent="0.35">
      <c r="A2441" s="4"/>
      <c r="B2441" s="4"/>
      <c r="D2441" s="6" t="str">
        <f t="shared" si="160"/>
        <v/>
      </c>
      <c r="E2441" s="6" t="str">
        <f t="shared" si="161"/>
        <v/>
      </c>
      <c r="F2441" s="6" t="str">
        <f t="shared" si="162"/>
        <v/>
      </c>
      <c r="G2441" s="4"/>
      <c r="H2441" s="4"/>
      <c r="I2441" s="4"/>
      <c r="J2441" s="4"/>
      <c r="K2441" s="4"/>
      <c r="L2441" s="4"/>
      <c r="M2441" s="4"/>
      <c r="N2441" s="4"/>
      <c r="O2441" s="4"/>
      <c r="P2441" s="4"/>
      <c r="Q2441" s="4"/>
      <c r="R2441" s="14"/>
      <c r="S2441" s="14"/>
      <c r="T2441" s="14"/>
      <c r="U2441" s="14"/>
      <c r="V2441" s="14"/>
      <c r="W2441" s="14"/>
      <c r="X2441" s="1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4"/>
      <c r="AU2441" s="4"/>
      <c r="AV2441" s="4"/>
      <c r="AW2441" s="4"/>
      <c r="AX2441" s="4"/>
      <c r="AY2441" s="4"/>
      <c r="AZ2441" s="4"/>
      <c r="BA2441" s="4"/>
      <c r="BB2441" s="4"/>
      <c r="BC2441" s="4"/>
      <c r="BD2441" s="4"/>
      <c r="BE2441" s="4"/>
      <c r="BG2441" s="4"/>
      <c r="BH2441" s="4"/>
    </row>
    <row r="2442" spans="1:60" x14ac:dyDescent="0.35">
      <c r="A2442" s="4"/>
      <c r="B2442" s="4"/>
      <c r="D2442" s="6" t="str">
        <f t="shared" si="160"/>
        <v/>
      </c>
      <c r="E2442" s="6" t="str">
        <f t="shared" si="161"/>
        <v/>
      </c>
      <c r="F2442" s="6" t="str">
        <f t="shared" si="162"/>
        <v/>
      </c>
      <c r="G2442" s="4"/>
      <c r="H2442" s="4"/>
      <c r="I2442" s="4"/>
      <c r="J2442" s="4"/>
      <c r="K2442" s="4"/>
      <c r="L2442" s="4"/>
      <c r="M2442" s="4"/>
      <c r="N2442" s="4"/>
      <c r="O2442" s="4"/>
      <c r="P2442" s="4"/>
      <c r="Q2442" s="4"/>
      <c r="R2442" s="14"/>
      <c r="S2442" s="14"/>
      <c r="T2442" s="14"/>
      <c r="U2442" s="14"/>
      <c r="V2442" s="14"/>
      <c r="W2442" s="14"/>
      <c r="X2442" s="1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4"/>
      <c r="AU2442" s="4"/>
      <c r="AV2442" s="4"/>
      <c r="AW2442" s="4"/>
      <c r="AX2442" s="4"/>
      <c r="AY2442" s="4"/>
      <c r="AZ2442" s="4"/>
      <c r="BA2442" s="4"/>
      <c r="BB2442" s="4"/>
      <c r="BC2442" s="4"/>
      <c r="BD2442" s="4"/>
      <c r="BE2442" s="4"/>
      <c r="BG2442" s="4"/>
      <c r="BH2442" s="4"/>
    </row>
    <row r="2443" spans="1:60" x14ac:dyDescent="0.35">
      <c r="A2443" s="4"/>
      <c r="B2443" s="4"/>
      <c r="D2443" s="6" t="str">
        <f t="shared" si="160"/>
        <v/>
      </c>
      <c r="E2443" s="6" t="str">
        <f t="shared" si="161"/>
        <v/>
      </c>
      <c r="F2443" s="6" t="str">
        <f t="shared" si="162"/>
        <v/>
      </c>
      <c r="G2443" s="4"/>
      <c r="H2443" s="4"/>
      <c r="I2443" s="4"/>
      <c r="J2443" s="4"/>
      <c r="K2443" s="4"/>
      <c r="L2443" s="4"/>
      <c r="M2443" s="4"/>
      <c r="N2443" s="4"/>
      <c r="O2443" s="4"/>
      <c r="P2443" s="4"/>
      <c r="Q2443" s="4"/>
      <c r="R2443" s="14"/>
      <c r="S2443" s="14"/>
      <c r="T2443" s="14"/>
      <c r="U2443" s="14"/>
      <c r="V2443" s="14"/>
      <c r="W2443" s="14"/>
      <c r="X2443" s="14"/>
      <c r="Y2443" s="4"/>
      <c r="Z2443" s="4"/>
      <c r="AA2443" s="4"/>
      <c r="AB2443" s="4"/>
      <c r="AC2443" s="4"/>
      <c r="AD2443" s="4"/>
      <c r="AE2443" s="4"/>
      <c r="AF2443" s="4"/>
      <c r="AG2443" s="4"/>
      <c r="AH2443" s="4"/>
      <c r="AI2443" s="4"/>
      <c r="AJ2443" s="4"/>
      <c r="AK2443" s="4"/>
      <c r="AL2443" s="4"/>
      <c r="AM2443" s="4"/>
      <c r="AN2443" s="4"/>
      <c r="AO2443" s="4"/>
      <c r="AP2443" s="4"/>
      <c r="AQ2443" s="4"/>
      <c r="AR2443" s="4"/>
      <c r="AS2443" s="4"/>
      <c r="AT2443" s="4"/>
      <c r="AU2443" s="4"/>
      <c r="AV2443" s="4"/>
      <c r="AW2443" s="4"/>
      <c r="AX2443" s="4"/>
      <c r="AY2443" s="4"/>
      <c r="AZ2443" s="4"/>
      <c r="BA2443" s="4"/>
      <c r="BB2443" s="4"/>
      <c r="BC2443" s="4"/>
      <c r="BD2443" s="4"/>
      <c r="BE2443" s="4"/>
      <c r="BG2443" s="4"/>
      <c r="BH2443" s="4"/>
    </row>
    <row r="2444" spans="1:60" x14ac:dyDescent="0.35">
      <c r="A2444" s="4"/>
      <c r="B2444" s="4"/>
      <c r="D2444" s="6" t="str">
        <f t="shared" si="160"/>
        <v/>
      </c>
      <c r="E2444" s="6" t="str">
        <f t="shared" si="161"/>
        <v/>
      </c>
      <c r="F2444" s="6" t="str">
        <f t="shared" si="162"/>
        <v/>
      </c>
      <c r="G2444" s="4"/>
      <c r="H2444" s="4"/>
      <c r="I2444" s="4"/>
      <c r="J2444" s="4"/>
      <c r="K2444" s="4"/>
      <c r="L2444" s="4"/>
      <c r="M2444" s="4"/>
      <c r="N2444" s="4"/>
      <c r="O2444" s="4"/>
      <c r="P2444" s="4"/>
      <c r="Q2444" s="4"/>
      <c r="R2444" s="14"/>
      <c r="S2444" s="14"/>
      <c r="T2444" s="14"/>
      <c r="U2444" s="14"/>
      <c r="V2444" s="14"/>
      <c r="W2444" s="14"/>
      <c r="X2444" s="1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4"/>
      <c r="AU2444" s="4"/>
      <c r="AV2444" s="4"/>
      <c r="AW2444" s="4"/>
      <c r="AX2444" s="4"/>
      <c r="AY2444" s="4"/>
      <c r="AZ2444" s="4"/>
      <c r="BA2444" s="4"/>
      <c r="BB2444" s="4"/>
      <c r="BC2444" s="4"/>
      <c r="BD2444" s="4"/>
      <c r="BE2444" s="4"/>
      <c r="BG2444" s="4"/>
      <c r="BH2444" s="4"/>
    </row>
    <row r="2445" spans="1:60" x14ac:dyDescent="0.35">
      <c r="A2445" s="4"/>
      <c r="B2445" s="4"/>
      <c r="D2445" s="6" t="str">
        <f t="shared" si="160"/>
        <v/>
      </c>
      <c r="E2445" s="6" t="str">
        <f t="shared" si="161"/>
        <v/>
      </c>
      <c r="F2445" s="6" t="str">
        <f t="shared" si="162"/>
        <v/>
      </c>
      <c r="G2445" s="4"/>
      <c r="H2445" s="4"/>
      <c r="I2445" s="4"/>
      <c r="J2445" s="4"/>
      <c r="K2445" s="4"/>
      <c r="L2445" s="4"/>
      <c r="M2445" s="4"/>
      <c r="N2445" s="4"/>
      <c r="O2445" s="4"/>
      <c r="P2445" s="4"/>
      <c r="Q2445" s="4"/>
      <c r="R2445" s="14"/>
      <c r="S2445" s="14"/>
      <c r="T2445" s="14"/>
      <c r="U2445" s="14"/>
      <c r="V2445" s="14"/>
      <c r="W2445" s="14"/>
      <c r="X2445" s="1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4"/>
      <c r="AU2445" s="4"/>
      <c r="AV2445" s="4"/>
      <c r="AW2445" s="4"/>
      <c r="AX2445" s="4"/>
      <c r="AY2445" s="4"/>
      <c r="AZ2445" s="4"/>
      <c r="BA2445" s="4"/>
      <c r="BB2445" s="4"/>
      <c r="BC2445" s="4"/>
      <c r="BD2445" s="4"/>
      <c r="BE2445" s="4"/>
      <c r="BG2445" s="4"/>
      <c r="BH2445" s="4"/>
    </row>
    <row r="2446" spans="1:60" x14ac:dyDescent="0.35">
      <c r="A2446" s="4"/>
      <c r="B2446" s="4"/>
      <c r="D2446" s="6" t="str">
        <f t="shared" si="160"/>
        <v/>
      </c>
      <c r="E2446" s="6" t="str">
        <f t="shared" si="161"/>
        <v/>
      </c>
      <c r="F2446" s="6" t="str">
        <f t="shared" si="162"/>
        <v/>
      </c>
      <c r="G2446" s="4"/>
      <c r="H2446" s="4"/>
      <c r="I2446" s="4"/>
      <c r="J2446" s="4"/>
      <c r="K2446" s="4"/>
      <c r="L2446" s="4"/>
      <c r="M2446" s="4"/>
      <c r="N2446" s="4"/>
      <c r="O2446" s="4"/>
      <c r="P2446" s="4"/>
      <c r="Q2446" s="4"/>
      <c r="R2446" s="14"/>
      <c r="S2446" s="14"/>
      <c r="T2446" s="14"/>
      <c r="U2446" s="14"/>
      <c r="V2446" s="14"/>
      <c r="W2446" s="14"/>
      <c r="X2446" s="1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4"/>
      <c r="AU2446" s="4"/>
      <c r="AV2446" s="4"/>
      <c r="AW2446" s="4"/>
      <c r="AX2446" s="4"/>
      <c r="AY2446" s="4"/>
      <c r="AZ2446" s="4"/>
      <c r="BA2446" s="4"/>
      <c r="BB2446" s="4"/>
      <c r="BC2446" s="4"/>
      <c r="BD2446" s="4"/>
      <c r="BE2446" s="4"/>
      <c r="BG2446" s="4"/>
      <c r="BH2446" s="4"/>
    </row>
    <row r="2447" spans="1:60" x14ac:dyDescent="0.35">
      <c r="A2447" s="4"/>
      <c r="B2447" s="4"/>
      <c r="D2447" s="6" t="str">
        <f t="shared" si="160"/>
        <v/>
      </c>
      <c r="E2447" s="6" t="str">
        <f t="shared" si="161"/>
        <v/>
      </c>
      <c r="F2447" s="6" t="str">
        <f t="shared" si="162"/>
        <v/>
      </c>
      <c r="G2447" s="4"/>
      <c r="H2447" s="4"/>
      <c r="I2447" s="4"/>
      <c r="J2447" s="4"/>
      <c r="K2447" s="4"/>
      <c r="L2447" s="4"/>
      <c r="M2447" s="4"/>
      <c r="N2447" s="4"/>
      <c r="O2447" s="4"/>
      <c r="P2447" s="4"/>
      <c r="Q2447" s="4"/>
      <c r="R2447" s="14"/>
      <c r="S2447" s="14"/>
      <c r="T2447" s="14"/>
      <c r="U2447" s="14"/>
      <c r="V2447" s="14"/>
      <c r="W2447" s="14"/>
      <c r="X2447" s="1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4"/>
      <c r="AU2447" s="4"/>
      <c r="AV2447" s="4"/>
      <c r="AW2447" s="4"/>
      <c r="AX2447" s="4"/>
      <c r="AY2447" s="4"/>
      <c r="AZ2447" s="4"/>
      <c r="BA2447" s="4"/>
      <c r="BB2447" s="4"/>
      <c r="BC2447" s="4"/>
      <c r="BD2447" s="4"/>
      <c r="BE2447" s="4"/>
      <c r="BG2447" s="4"/>
      <c r="BH2447" s="4"/>
    </row>
    <row r="2448" spans="1:60" x14ac:dyDescent="0.35">
      <c r="A2448" s="4"/>
      <c r="B2448" s="4"/>
      <c r="D2448" s="6" t="str">
        <f t="shared" si="160"/>
        <v/>
      </c>
      <c r="E2448" s="6" t="str">
        <f t="shared" si="161"/>
        <v/>
      </c>
      <c r="F2448" s="6" t="str">
        <f t="shared" si="162"/>
        <v/>
      </c>
      <c r="G2448" s="4"/>
      <c r="H2448" s="4"/>
      <c r="I2448" s="4"/>
      <c r="J2448" s="4"/>
      <c r="K2448" s="4"/>
      <c r="L2448" s="4"/>
      <c r="M2448" s="4"/>
      <c r="N2448" s="4"/>
      <c r="O2448" s="4"/>
      <c r="P2448" s="4"/>
      <c r="Q2448" s="4"/>
      <c r="R2448" s="14"/>
      <c r="S2448" s="14"/>
      <c r="T2448" s="14"/>
      <c r="U2448" s="14"/>
      <c r="V2448" s="14"/>
      <c r="W2448" s="14"/>
      <c r="X2448" s="14"/>
      <c r="Y2448" s="4"/>
      <c r="Z2448" s="4"/>
      <c r="AA2448" s="4"/>
      <c r="AB2448" s="4"/>
      <c r="AC2448" s="4"/>
      <c r="AD2448" s="4"/>
      <c r="AE2448" s="4"/>
      <c r="AF2448" s="4"/>
      <c r="AG2448" s="4"/>
      <c r="AH2448" s="4"/>
      <c r="AI2448" s="4"/>
      <c r="AJ2448" s="4"/>
      <c r="AK2448" s="4"/>
      <c r="AL2448" s="4"/>
      <c r="AM2448" s="4"/>
      <c r="AN2448" s="4"/>
      <c r="AO2448" s="4"/>
      <c r="AP2448" s="4"/>
      <c r="AQ2448" s="4"/>
      <c r="AR2448" s="4"/>
      <c r="AS2448" s="4"/>
      <c r="AT2448" s="4"/>
      <c r="AU2448" s="4"/>
      <c r="AV2448" s="4"/>
      <c r="AW2448" s="4"/>
      <c r="AX2448" s="4"/>
      <c r="AY2448" s="4"/>
      <c r="AZ2448" s="4"/>
      <c r="BA2448" s="4"/>
      <c r="BB2448" s="4"/>
      <c r="BC2448" s="4"/>
      <c r="BD2448" s="4"/>
      <c r="BE2448" s="4"/>
      <c r="BG2448" s="4"/>
      <c r="BH2448" s="4"/>
    </row>
    <row r="2449" spans="1:60" x14ac:dyDescent="0.35">
      <c r="A2449" s="4"/>
      <c r="B2449" s="4"/>
      <c r="D2449" s="6" t="str">
        <f t="shared" si="160"/>
        <v/>
      </c>
      <c r="E2449" s="6" t="str">
        <f t="shared" si="161"/>
        <v/>
      </c>
      <c r="F2449" s="6" t="str">
        <f t="shared" si="162"/>
        <v/>
      </c>
      <c r="G2449" s="4"/>
      <c r="H2449" s="4"/>
      <c r="I2449" s="4"/>
      <c r="J2449" s="4"/>
      <c r="K2449" s="4"/>
      <c r="L2449" s="4"/>
      <c r="M2449" s="4"/>
      <c r="N2449" s="4"/>
      <c r="O2449" s="4"/>
      <c r="P2449" s="4"/>
      <c r="Q2449" s="4"/>
      <c r="R2449" s="14"/>
      <c r="S2449" s="14"/>
      <c r="T2449" s="14"/>
      <c r="U2449" s="14"/>
      <c r="V2449" s="14"/>
      <c r="W2449" s="14"/>
      <c r="X2449" s="1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4"/>
      <c r="AU2449" s="4"/>
      <c r="AV2449" s="4"/>
      <c r="AW2449" s="4"/>
      <c r="AX2449" s="4"/>
      <c r="AY2449" s="4"/>
      <c r="AZ2449" s="4"/>
      <c r="BA2449" s="4"/>
      <c r="BB2449" s="4"/>
      <c r="BC2449" s="4"/>
      <c r="BD2449" s="4"/>
      <c r="BE2449" s="4"/>
      <c r="BG2449" s="4"/>
      <c r="BH2449" s="4"/>
    </row>
    <row r="2450" spans="1:60" x14ac:dyDescent="0.35">
      <c r="A2450" s="4"/>
      <c r="B2450" s="4"/>
      <c r="D2450" s="6" t="str">
        <f t="shared" si="160"/>
        <v/>
      </c>
      <c r="E2450" s="6" t="str">
        <f t="shared" si="161"/>
        <v/>
      </c>
      <c r="F2450" s="6" t="str">
        <f t="shared" si="162"/>
        <v/>
      </c>
      <c r="G2450" s="4"/>
      <c r="H2450" s="4"/>
      <c r="I2450" s="4"/>
      <c r="J2450" s="4"/>
      <c r="K2450" s="4"/>
      <c r="L2450" s="4"/>
      <c r="M2450" s="4"/>
      <c r="N2450" s="4"/>
      <c r="O2450" s="4"/>
      <c r="P2450" s="4"/>
      <c r="Q2450" s="4"/>
      <c r="R2450" s="14"/>
      <c r="S2450" s="14"/>
      <c r="T2450" s="14"/>
      <c r="U2450" s="14"/>
      <c r="V2450" s="14"/>
      <c r="W2450" s="14"/>
      <c r="X2450" s="1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4"/>
      <c r="AU2450" s="4"/>
      <c r="AV2450" s="4"/>
      <c r="AW2450" s="4"/>
      <c r="AX2450" s="4"/>
      <c r="AY2450" s="4"/>
      <c r="AZ2450" s="4"/>
      <c r="BA2450" s="4"/>
      <c r="BB2450" s="4"/>
      <c r="BC2450" s="4"/>
      <c r="BD2450" s="4"/>
      <c r="BE2450" s="4"/>
      <c r="BG2450" s="4"/>
      <c r="BH2450" s="4"/>
    </row>
    <row r="2451" spans="1:60" x14ac:dyDescent="0.35">
      <c r="A2451" s="4"/>
      <c r="B2451" s="4"/>
      <c r="D2451" s="6" t="str">
        <f t="shared" si="160"/>
        <v/>
      </c>
      <c r="E2451" s="6" t="str">
        <f t="shared" si="161"/>
        <v/>
      </c>
      <c r="F2451" s="6" t="str">
        <f t="shared" si="162"/>
        <v/>
      </c>
      <c r="G2451" s="4"/>
      <c r="H2451" s="4"/>
      <c r="I2451" s="4"/>
      <c r="J2451" s="4"/>
      <c r="K2451" s="4"/>
      <c r="L2451" s="4"/>
      <c r="M2451" s="4"/>
      <c r="N2451" s="4"/>
      <c r="O2451" s="4"/>
      <c r="P2451" s="4"/>
      <c r="Q2451" s="4"/>
      <c r="R2451" s="14"/>
      <c r="S2451" s="14"/>
      <c r="T2451" s="14"/>
      <c r="U2451" s="14"/>
      <c r="V2451" s="14"/>
      <c r="W2451" s="14"/>
      <c r="X2451" s="1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c r="AV2451" s="4"/>
      <c r="AW2451" s="4"/>
      <c r="AX2451" s="4"/>
      <c r="AY2451" s="4"/>
      <c r="AZ2451" s="4"/>
      <c r="BA2451" s="4"/>
      <c r="BB2451" s="4"/>
      <c r="BC2451" s="4"/>
      <c r="BD2451" s="4"/>
      <c r="BE2451" s="4"/>
      <c r="BG2451" s="4"/>
      <c r="BH2451" s="4"/>
    </row>
    <row r="2452" spans="1:60" x14ac:dyDescent="0.35">
      <c r="A2452" s="4"/>
      <c r="B2452" s="4"/>
      <c r="D2452" s="6" t="str">
        <f t="shared" si="160"/>
        <v/>
      </c>
      <c r="E2452" s="6" t="str">
        <f t="shared" si="161"/>
        <v/>
      </c>
      <c r="F2452" s="6" t="str">
        <f t="shared" si="162"/>
        <v/>
      </c>
      <c r="G2452" s="4"/>
      <c r="H2452" s="4"/>
      <c r="I2452" s="4"/>
      <c r="J2452" s="4"/>
      <c r="K2452" s="4"/>
      <c r="L2452" s="4"/>
      <c r="M2452" s="4"/>
      <c r="N2452" s="4"/>
      <c r="O2452" s="4"/>
      <c r="P2452" s="4"/>
      <c r="Q2452" s="4"/>
      <c r="R2452" s="14"/>
      <c r="S2452" s="14"/>
      <c r="T2452" s="14"/>
      <c r="U2452" s="14"/>
      <c r="V2452" s="14"/>
      <c r="W2452" s="14"/>
      <c r="X2452" s="1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c r="AV2452" s="4"/>
      <c r="AW2452" s="4"/>
      <c r="AX2452" s="4"/>
      <c r="AY2452" s="4"/>
      <c r="AZ2452" s="4"/>
      <c r="BA2452" s="4"/>
      <c r="BB2452" s="4"/>
      <c r="BC2452" s="4"/>
      <c r="BD2452" s="4"/>
      <c r="BE2452" s="4"/>
      <c r="BG2452" s="4"/>
      <c r="BH2452" s="4"/>
    </row>
    <row r="2453" spans="1:60" x14ac:dyDescent="0.35">
      <c r="A2453" s="4"/>
      <c r="B2453" s="4"/>
      <c r="D2453" s="6" t="str">
        <f t="shared" si="160"/>
        <v/>
      </c>
      <c r="E2453" s="6" t="str">
        <f t="shared" si="161"/>
        <v/>
      </c>
      <c r="F2453" s="6" t="str">
        <f t="shared" si="162"/>
        <v/>
      </c>
      <c r="G2453" s="4"/>
      <c r="H2453" s="4"/>
      <c r="I2453" s="4"/>
      <c r="J2453" s="4"/>
      <c r="K2453" s="4"/>
      <c r="L2453" s="4"/>
      <c r="M2453" s="4"/>
      <c r="N2453" s="4"/>
      <c r="O2453" s="4"/>
      <c r="P2453" s="4"/>
      <c r="Q2453" s="4"/>
      <c r="R2453" s="14"/>
      <c r="S2453" s="14"/>
      <c r="T2453" s="14"/>
      <c r="U2453" s="14"/>
      <c r="V2453" s="14"/>
      <c r="W2453" s="14"/>
      <c r="X2453" s="1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4"/>
      <c r="AU2453" s="4"/>
      <c r="AV2453" s="4"/>
      <c r="AW2453" s="4"/>
      <c r="AX2453" s="4"/>
      <c r="AY2453" s="4"/>
      <c r="AZ2453" s="4"/>
      <c r="BA2453" s="4"/>
      <c r="BB2453" s="4"/>
      <c r="BC2453" s="4"/>
      <c r="BD2453" s="4"/>
      <c r="BE2453" s="4"/>
      <c r="BG2453" s="4"/>
      <c r="BH2453" s="4"/>
    </row>
    <row r="2454" spans="1:60" x14ac:dyDescent="0.35">
      <c r="A2454" s="4"/>
      <c r="B2454" s="4"/>
      <c r="D2454" s="6" t="str">
        <f t="shared" si="160"/>
        <v/>
      </c>
      <c r="E2454" s="6" t="str">
        <f t="shared" si="161"/>
        <v/>
      </c>
      <c r="F2454" s="6" t="str">
        <f t="shared" si="162"/>
        <v/>
      </c>
      <c r="G2454" s="4"/>
      <c r="H2454" s="4"/>
      <c r="I2454" s="4"/>
      <c r="J2454" s="4"/>
      <c r="K2454" s="4"/>
      <c r="L2454" s="4"/>
      <c r="M2454" s="4"/>
      <c r="N2454" s="4"/>
      <c r="O2454" s="4"/>
      <c r="P2454" s="4"/>
      <c r="Q2454" s="4"/>
      <c r="R2454" s="14"/>
      <c r="S2454" s="14"/>
      <c r="T2454" s="14"/>
      <c r="U2454" s="14"/>
      <c r="V2454" s="14"/>
      <c r="W2454" s="14"/>
      <c r="X2454" s="1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4"/>
      <c r="AU2454" s="4"/>
      <c r="AV2454" s="4"/>
      <c r="AW2454" s="4"/>
      <c r="AX2454" s="4"/>
      <c r="AY2454" s="4"/>
      <c r="AZ2454" s="4"/>
      <c r="BA2454" s="4"/>
      <c r="BB2454" s="4"/>
      <c r="BC2454" s="4"/>
      <c r="BD2454" s="4"/>
      <c r="BE2454" s="4"/>
      <c r="BG2454" s="4"/>
      <c r="BH2454" s="4"/>
    </row>
    <row r="2455" spans="1:60" x14ac:dyDescent="0.35">
      <c r="A2455" s="4"/>
      <c r="B2455" s="4"/>
      <c r="D2455" s="6" t="str">
        <f t="shared" si="160"/>
        <v/>
      </c>
      <c r="E2455" s="6" t="str">
        <f t="shared" si="161"/>
        <v/>
      </c>
      <c r="F2455" s="6" t="str">
        <f t="shared" si="162"/>
        <v/>
      </c>
      <c r="G2455" s="4"/>
      <c r="H2455" s="4"/>
      <c r="I2455" s="4"/>
      <c r="J2455" s="4"/>
      <c r="K2455" s="4"/>
      <c r="L2455" s="4"/>
      <c r="M2455" s="4"/>
      <c r="N2455" s="4"/>
      <c r="O2455" s="4"/>
      <c r="P2455" s="4"/>
      <c r="Q2455" s="4"/>
      <c r="R2455" s="14"/>
      <c r="S2455" s="14"/>
      <c r="T2455" s="14"/>
      <c r="U2455" s="14"/>
      <c r="V2455" s="14"/>
      <c r="W2455" s="14"/>
      <c r="X2455" s="1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4"/>
      <c r="AU2455" s="4"/>
      <c r="AV2455" s="4"/>
      <c r="AW2455" s="4"/>
      <c r="AX2455" s="4"/>
      <c r="AY2455" s="4"/>
      <c r="AZ2455" s="4"/>
      <c r="BA2455" s="4"/>
      <c r="BB2455" s="4"/>
      <c r="BC2455" s="4"/>
      <c r="BD2455" s="4"/>
      <c r="BE2455" s="4"/>
      <c r="BG2455" s="4"/>
      <c r="BH2455" s="4"/>
    </row>
    <row r="2456" spans="1:60" x14ac:dyDescent="0.35">
      <c r="A2456" s="4"/>
      <c r="B2456" s="4"/>
      <c r="D2456" s="6" t="str">
        <f t="shared" si="160"/>
        <v/>
      </c>
      <c r="E2456" s="6" t="str">
        <f t="shared" si="161"/>
        <v/>
      </c>
      <c r="F2456" s="6" t="str">
        <f t="shared" si="162"/>
        <v/>
      </c>
      <c r="G2456" s="4"/>
      <c r="H2456" s="4"/>
      <c r="I2456" s="4"/>
      <c r="J2456" s="4"/>
      <c r="K2456" s="4"/>
      <c r="L2456" s="4"/>
      <c r="M2456" s="4"/>
      <c r="N2456" s="4"/>
      <c r="O2456" s="4"/>
      <c r="P2456" s="4"/>
      <c r="Q2456" s="4"/>
      <c r="R2456" s="14"/>
      <c r="S2456" s="14"/>
      <c r="T2456" s="14"/>
      <c r="U2456" s="14"/>
      <c r="V2456" s="14"/>
      <c r="W2456" s="14"/>
      <c r="X2456" s="1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4"/>
      <c r="AU2456" s="4"/>
      <c r="AV2456" s="4"/>
      <c r="AW2456" s="4"/>
      <c r="AX2456" s="4"/>
      <c r="AY2456" s="4"/>
      <c r="AZ2456" s="4"/>
      <c r="BA2456" s="4"/>
      <c r="BB2456" s="4"/>
      <c r="BC2456" s="4"/>
      <c r="BD2456" s="4"/>
      <c r="BE2456" s="4"/>
      <c r="BG2456" s="4"/>
      <c r="BH2456" s="4"/>
    </row>
    <row r="2457" spans="1:60" x14ac:dyDescent="0.35">
      <c r="A2457" s="4"/>
      <c r="B2457" s="4"/>
      <c r="D2457" s="6" t="str">
        <f t="shared" si="160"/>
        <v/>
      </c>
      <c r="E2457" s="6" t="str">
        <f t="shared" si="161"/>
        <v/>
      </c>
      <c r="F2457" s="6" t="str">
        <f t="shared" si="162"/>
        <v/>
      </c>
      <c r="G2457" s="4"/>
      <c r="H2457" s="4"/>
      <c r="I2457" s="4"/>
      <c r="J2457" s="4"/>
      <c r="K2457" s="4"/>
      <c r="L2457" s="4"/>
      <c r="M2457" s="4"/>
      <c r="N2457" s="4"/>
      <c r="O2457" s="4"/>
      <c r="P2457" s="4"/>
      <c r="Q2457" s="4"/>
      <c r="R2457" s="14"/>
      <c r="S2457" s="14"/>
      <c r="T2457" s="14"/>
      <c r="U2457" s="14"/>
      <c r="V2457" s="14"/>
      <c r="W2457" s="14"/>
      <c r="X2457" s="14"/>
      <c r="Y2457" s="4"/>
      <c r="Z2457" s="4"/>
      <c r="AA2457" s="4"/>
      <c r="AB2457" s="4"/>
      <c r="AC2457" s="4"/>
      <c r="AD2457" s="4"/>
      <c r="AE2457" s="4"/>
      <c r="AF2457" s="4"/>
      <c r="AG2457" s="4"/>
      <c r="AH2457" s="4"/>
      <c r="AI2457" s="4"/>
      <c r="AJ2457" s="4"/>
      <c r="AK2457" s="4"/>
      <c r="AL2457" s="4"/>
      <c r="AM2457" s="4"/>
      <c r="AN2457" s="4"/>
      <c r="AO2457" s="4"/>
      <c r="AP2457" s="4"/>
      <c r="AQ2457" s="4"/>
      <c r="AR2457" s="4"/>
      <c r="AS2457" s="4"/>
      <c r="AT2457" s="4"/>
      <c r="AU2457" s="4"/>
      <c r="AV2457" s="4"/>
      <c r="AW2457" s="4"/>
      <c r="AX2457" s="4"/>
      <c r="AY2457" s="4"/>
      <c r="AZ2457" s="4"/>
      <c r="BA2457" s="4"/>
      <c r="BB2457" s="4"/>
      <c r="BC2457" s="4"/>
      <c r="BD2457" s="4"/>
      <c r="BE2457" s="4"/>
      <c r="BG2457" s="4"/>
      <c r="BH2457" s="4"/>
    </row>
    <row r="2458" spans="1:60" x14ac:dyDescent="0.35">
      <c r="A2458" s="4"/>
      <c r="B2458" s="4"/>
      <c r="D2458" s="6" t="str">
        <f t="shared" si="160"/>
        <v/>
      </c>
      <c r="E2458" s="6" t="str">
        <f t="shared" si="161"/>
        <v/>
      </c>
      <c r="F2458" s="6" t="str">
        <f t="shared" si="162"/>
        <v/>
      </c>
      <c r="G2458" s="4"/>
      <c r="H2458" s="4"/>
      <c r="I2458" s="4"/>
      <c r="J2458" s="4"/>
      <c r="K2458" s="4"/>
      <c r="L2458" s="4"/>
      <c r="M2458" s="4"/>
      <c r="N2458" s="4"/>
      <c r="O2458" s="4"/>
      <c r="P2458" s="4"/>
      <c r="Q2458" s="4"/>
      <c r="R2458" s="14"/>
      <c r="S2458" s="14"/>
      <c r="T2458" s="14"/>
      <c r="U2458" s="14"/>
      <c r="V2458" s="14"/>
      <c r="W2458" s="14"/>
      <c r="X2458" s="1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4"/>
      <c r="AU2458" s="4"/>
      <c r="AV2458" s="4"/>
      <c r="AW2458" s="4"/>
      <c r="AX2458" s="4"/>
      <c r="AY2458" s="4"/>
      <c r="AZ2458" s="4"/>
      <c r="BA2458" s="4"/>
      <c r="BB2458" s="4"/>
      <c r="BC2458" s="4"/>
      <c r="BD2458" s="4"/>
      <c r="BE2458" s="4"/>
      <c r="BG2458" s="4"/>
      <c r="BH2458" s="4"/>
    </row>
    <row r="2459" spans="1:60" x14ac:dyDescent="0.35">
      <c r="A2459" s="4"/>
      <c r="B2459" s="4"/>
      <c r="D2459" s="6" t="str">
        <f t="shared" si="160"/>
        <v/>
      </c>
      <c r="E2459" s="6" t="str">
        <f t="shared" si="161"/>
        <v/>
      </c>
      <c r="F2459" s="6" t="str">
        <f t="shared" si="162"/>
        <v/>
      </c>
      <c r="G2459" s="4"/>
      <c r="H2459" s="4"/>
      <c r="I2459" s="4"/>
      <c r="J2459" s="4"/>
      <c r="K2459" s="4"/>
      <c r="L2459" s="4"/>
      <c r="M2459" s="4"/>
      <c r="N2459" s="4"/>
      <c r="O2459" s="4"/>
      <c r="P2459" s="4"/>
      <c r="Q2459" s="4"/>
      <c r="R2459" s="14"/>
      <c r="S2459" s="14"/>
      <c r="T2459" s="14"/>
      <c r="U2459" s="14"/>
      <c r="V2459" s="14"/>
      <c r="W2459" s="14"/>
      <c r="X2459" s="1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4"/>
      <c r="AU2459" s="4"/>
      <c r="AV2459" s="4"/>
      <c r="AW2459" s="4"/>
      <c r="AX2459" s="4"/>
      <c r="AY2459" s="4"/>
      <c r="AZ2459" s="4"/>
      <c r="BA2459" s="4"/>
      <c r="BB2459" s="4"/>
      <c r="BC2459" s="4"/>
      <c r="BD2459" s="4"/>
      <c r="BE2459" s="4"/>
      <c r="BG2459" s="4"/>
      <c r="BH2459" s="4"/>
    </row>
    <row r="2460" spans="1:60" x14ac:dyDescent="0.35">
      <c r="A2460" s="4"/>
      <c r="B2460" s="4"/>
      <c r="D2460" s="6" t="str">
        <f t="shared" si="160"/>
        <v/>
      </c>
      <c r="E2460" s="6" t="str">
        <f t="shared" si="161"/>
        <v/>
      </c>
      <c r="F2460" s="6" t="str">
        <f t="shared" si="162"/>
        <v/>
      </c>
      <c r="G2460" s="4"/>
      <c r="H2460" s="4"/>
      <c r="I2460" s="4"/>
      <c r="J2460" s="4"/>
      <c r="K2460" s="4"/>
      <c r="L2460" s="4"/>
      <c r="M2460" s="4"/>
      <c r="N2460" s="4"/>
      <c r="O2460" s="4"/>
      <c r="P2460" s="4"/>
      <c r="Q2460" s="4"/>
      <c r="R2460" s="14"/>
      <c r="S2460" s="14"/>
      <c r="T2460" s="14"/>
      <c r="U2460" s="14"/>
      <c r="V2460" s="14"/>
      <c r="W2460" s="14"/>
      <c r="X2460" s="1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4"/>
      <c r="AU2460" s="4"/>
      <c r="AV2460" s="4"/>
      <c r="AW2460" s="4"/>
      <c r="AX2460" s="4"/>
      <c r="AY2460" s="4"/>
      <c r="AZ2460" s="4"/>
      <c r="BA2460" s="4"/>
      <c r="BB2460" s="4"/>
      <c r="BC2460" s="4"/>
      <c r="BD2460" s="4"/>
      <c r="BE2460" s="4"/>
      <c r="BG2460" s="4"/>
      <c r="BH2460" s="4"/>
    </row>
    <row r="2461" spans="1:60" x14ac:dyDescent="0.35">
      <c r="A2461" s="4"/>
      <c r="B2461" s="4"/>
      <c r="D2461" s="6" t="str">
        <f t="shared" si="160"/>
        <v/>
      </c>
      <c r="E2461" s="6" t="str">
        <f t="shared" si="161"/>
        <v/>
      </c>
      <c r="F2461" s="6" t="str">
        <f t="shared" si="162"/>
        <v/>
      </c>
      <c r="G2461" s="4"/>
      <c r="H2461" s="4"/>
      <c r="I2461" s="4"/>
      <c r="J2461" s="4"/>
      <c r="K2461" s="4"/>
      <c r="L2461" s="4"/>
      <c r="M2461" s="4"/>
      <c r="N2461" s="4"/>
      <c r="O2461" s="4"/>
      <c r="P2461" s="4"/>
      <c r="Q2461" s="4"/>
      <c r="R2461" s="14"/>
      <c r="S2461" s="14"/>
      <c r="T2461" s="14"/>
      <c r="U2461" s="14"/>
      <c r="V2461" s="14"/>
      <c r="W2461" s="14"/>
      <c r="X2461" s="1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4"/>
      <c r="AU2461" s="4"/>
      <c r="AV2461" s="4"/>
      <c r="AW2461" s="4"/>
      <c r="AX2461" s="4"/>
      <c r="AY2461" s="4"/>
      <c r="AZ2461" s="4"/>
      <c r="BA2461" s="4"/>
      <c r="BB2461" s="4"/>
      <c r="BC2461" s="4"/>
      <c r="BD2461" s="4"/>
      <c r="BE2461" s="4"/>
      <c r="BG2461" s="4"/>
      <c r="BH2461" s="4"/>
    </row>
    <row r="2462" spans="1:60" x14ac:dyDescent="0.35">
      <c r="A2462" s="4"/>
      <c r="B2462" s="4"/>
      <c r="D2462" s="6" t="str">
        <f t="shared" si="160"/>
        <v/>
      </c>
      <c r="E2462" s="6" t="str">
        <f t="shared" si="161"/>
        <v/>
      </c>
      <c r="F2462" s="6" t="str">
        <f t="shared" si="162"/>
        <v/>
      </c>
      <c r="G2462" s="4"/>
      <c r="H2462" s="4"/>
      <c r="I2462" s="4"/>
      <c r="J2462" s="4"/>
      <c r="K2462" s="4"/>
      <c r="L2462" s="4"/>
      <c r="M2462" s="4"/>
      <c r="N2462" s="4"/>
      <c r="O2462" s="4"/>
      <c r="P2462" s="4"/>
      <c r="Q2462" s="4"/>
      <c r="R2462" s="14"/>
      <c r="S2462" s="14"/>
      <c r="T2462" s="14"/>
      <c r="U2462" s="14"/>
      <c r="V2462" s="14"/>
      <c r="W2462" s="14"/>
      <c r="X2462" s="14"/>
      <c r="Y2462" s="4"/>
      <c r="Z2462" s="4"/>
      <c r="AA2462" s="4"/>
      <c r="AB2462" s="4"/>
      <c r="AC2462" s="4"/>
      <c r="AD2462" s="4"/>
      <c r="AE2462" s="4"/>
      <c r="AF2462" s="4"/>
      <c r="AG2462" s="4"/>
      <c r="AH2462" s="4"/>
      <c r="AI2462" s="4"/>
      <c r="AJ2462" s="4"/>
      <c r="AK2462" s="4"/>
      <c r="AL2462" s="4"/>
      <c r="AM2462" s="4"/>
      <c r="AN2462" s="4"/>
      <c r="AO2462" s="4"/>
      <c r="AP2462" s="4"/>
      <c r="AQ2462" s="4"/>
      <c r="AR2462" s="4"/>
      <c r="AS2462" s="4"/>
      <c r="AT2462" s="4"/>
      <c r="AU2462" s="4"/>
      <c r="AV2462" s="4"/>
      <c r="AW2462" s="4"/>
      <c r="AX2462" s="4"/>
      <c r="AY2462" s="4"/>
      <c r="AZ2462" s="4"/>
      <c r="BA2462" s="4"/>
      <c r="BB2462" s="4"/>
      <c r="BC2462" s="4"/>
      <c r="BD2462" s="4"/>
      <c r="BE2462" s="4"/>
      <c r="BG2462" s="4"/>
      <c r="BH2462" s="4"/>
    </row>
    <row r="2463" spans="1:60" x14ac:dyDescent="0.35">
      <c r="A2463" s="4"/>
      <c r="B2463" s="4"/>
      <c r="D2463" s="6" t="str">
        <f t="shared" si="160"/>
        <v/>
      </c>
      <c r="E2463" s="6" t="str">
        <f t="shared" si="161"/>
        <v/>
      </c>
      <c r="F2463" s="6" t="str">
        <f t="shared" si="162"/>
        <v/>
      </c>
      <c r="G2463" s="4"/>
      <c r="H2463" s="4"/>
      <c r="I2463" s="4"/>
      <c r="J2463" s="4"/>
      <c r="K2463" s="4"/>
      <c r="L2463" s="4"/>
      <c r="M2463" s="4"/>
      <c r="N2463" s="4"/>
      <c r="O2463" s="4"/>
      <c r="P2463" s="4"/>
      <c r="Q2463" s="4"/>
      <c r="R2463" s="14"/>
      <c r="S2463" s="14"/>
      <c r="T2463" s="14"/>
      <c r="U2463" s="14"/>
      <c r="V2463" s="14"/>
      <c r="W2463" s="14"/>
      <c r="X2463" s="1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4"/>
      <c r="AU2463" s="4"/>
      <c r="AV2463" s="4"/>
      <c r="AW2463" s="4"/>
      <c r="AX2463" s="4"/>
      <c r="AY2463" s="4"/>
      <c r="AZ2463" s="4"/>
      <c r="BA2463" s="4"/>
      <c r="BB2463" s="4"/>
      <c r="BC2463" s="4"/>
      <c r="BD2463" s="4"/>
      <c r="BE2463" s="4"/>
      <c r="BG2463" s="4"/>
      <c r="BH2463" s="4"/>
    </row>
    <row r="2464" spans="1:60" x14ac:dyDescent="0.35">
      <c r="A2464" s="4"/>
      <c r="B2464" s="4"/>
      <c r="D2464" s="6" t="str">
        <f t="shared" si="160"/>
        <v/>
      </c>
      <c r="E2464" s="6" t="str">
        <f t="shared" si="161"/>
        <v/>
      </c>
      <c r="F2464" s="6" t="str">
        <f t="shared" si="162"/>
        <v/>
      </c>
      <c r="G2464" s="4"/>
      <c r="H2464" s="4"/>
      <c r="I2464" s="4"/>
      <c r="J2464" s="4"/>
      <c r="K2464" s="4"/>
      <c r="L2464" s="4"/>
      <c r="M2464" s="4"/>
      <c r="N2464" s="4"/>
      <c r="O2464" s="4"/>
      <c r="P2464" s="4"/>
      <c r="Q2464" s="4"/>
      <c r="R2464" s="14"/>
      <c r="S2464" s="14"/>
      <c r="T2464" s="14"/>
      <c r="U2464" s="14"/>
      <c r="V2464" s="14"/>
      <c r="W2464" s="14"/>
      <c r="X2464" s="1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4"/>
      <c r="AU2464" s="4"/>
      <c r="AV2464" s="4"/>
      <c r="AW2464" s="4"/>
      <c r="AX2464" s="4"/>
      <c r="AY2464" s="4"/>
      <c r="AZ2464" s="4"/>
      <c r="BA2464" s="4"/>
      <c r="BB2464" s="4"/>
      <c r="BC2464" s="4"/>
      <c r="BD2464" s="4"/>
      <c r="BE2464" s="4"/>
      <c r="BG2464" s="4"/>
      <c r="BH2464" s="4"/>
    </row>
    <row r="2465" spans="1:60" x14ac:dyDescent="0.35">
      <c r="A2465" s="4"/>
      <c r="B2465" s="4"/>
      <c r="D2465" s="6" t="str">
        <f t="shared" si="160"/>
        <v/>
      </c>
      <c r="E2465" s="6" t="str">
        <f t="shared" si="161"/>
        <v/>
      </c>
      <c r="F2465" s="6" t="str">
        <f t="shared" si="162"/>
        <v/>
      </c>
      <c r="G2465" s="4"/>
      <c r="H2465" s="4"/>
      <c r="I2465" s="4"/>
      <c r="J2465" s="4"/>
      <c r="K2465" s="4"/>
      <c r="L2465" s="4"/>
      <c r="M2465" s="4"/>
      <c r="N2465" s="4"/>
      <c r="O2465" s="4"/>
      <c r="P2465" s="4"/>
      <c r="Q2465" s="4"/>
      <c r="R2465" s="14"/>
      <c r="S2465" s="14"/>
      <c r="T2465" s="14"/>
      <c r="U2465" s="14"/>
      <c r="V2465" s="14"/>
      <c r="W2465" s="14"/>
      <c r="X2465" s="1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4"/>
      <c r="AU2465" s="4"/>
      <c r="AV2465" s="4"/>
      <c r="AW2465" s="4"/>
      <c r="AX2465" s="4"/>
      <c r="AY2465" s="4"/>
      <c r="AZ2465" s="4"/>
      <c r="BA2465" s="4"/>
      <c r="BB2465" s="4"/>
      <c r="BC2465" s="4"/>
      <c r="BD2465" s="4"/>
      <c r="BE2465" s="4"/>
      <c r="BG2465" s="4"/>
      <c r="BH2465" s="4"/>
    </row>
    <row r="2466" spans="1:60" x14ac:dyDescent="0.35">
      <c r="A2466" s="4"/>
      <c r="B2466" s="4"/>
      <c r="D2466" s="6" t="str">
        <f t="shared" si="160"/>
        <v/>
      </c>
      <c r="E2466" s="6" t="str">
        <f t="shared" si="161"/>
        <v/>
      </c>
      <c r="F2466" s="6" t="str">
        <f t="shared" si="162"/>
        <v/>
      </c>
      <c r="G2466" s="4"/>
      <c r="H2466" s="4"/>
      <c r="I2466" s="4"/>
      <c r="J2466" s="4"/>
      <c r="K2466" s="4"/>
      <c r="L2466" s="4"/>
      <c r="M2466" s="4"/>
      <c r="N2466" s="4"/>
      <c r="O2466" s="4"/>
      <c r="P2466" s="4"/>
      <c r="Q2466" s="4"/>
      <c r="R2466" s="14"/>
      <c r="S2466" s="14"/>
      <c r="T2466" s="14"/>
      <c r="U2466" s="14"/>
      <c r="V2466" s="14"/>
      <c r="W2466" s="14"/>
      <c r="X2466" s="1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4"/>
      <c r="AU2466" s="4"/>
      <c r="AV2466" s="4"/>
      <c r="AW2466" s="4"/>
      <c r="AX2466" s="4"/>
      <c r="AY2466" s="4"/>
      <c r="AZ2466" s="4"/>
      <c r="BA2466" s="4"/>
      <c r="BB2466" s="4"/>
      <c r="BC2466" s="4"/>
      <c r="BD2466" s="4"/>
      <c r="BE2466" s="4"/>
      <c r="BG2466" s="4"/>
      <c r="BH2466" s="4"/>
    </row>
    <row r="2467" spans="1:60" x14ac:dyDescent="0.35">
      <c r="A2467" s="4"/>
      <c r="B2467" s="4"/>
      <c r="D2467" s="6" t="str">
        <f t="shared" si="160"/>
        <v/>
      </c>
      <c r="E2467" s="6" t="str">
        <f t="shared" si="161"/>
        <v/>
      </c>
      <c r="F2467" s="6" t="str">
        <f t="shared" si="162"/>
        <v/>
      </c>
      <c r="G2467" s="4"/>
      <c r="H2467" s="4"/>
      <c r="I2467" s="4"/>
      <c r="J2467" s="4"/>
      <c r="K2467" s="4"/>
      <c r="L2467" s="4"/>
      <c r="M2467" s="4"/>
      <c r="N2467" s="4"/>
      <c r="O2467" s="4"/>
      <c r="P2467" s="4"/>
      <c r="Q2467" s="4"/>
      <c r="R2467" s="14"/>
      <c r="S2467" s="14"/>
      <c r="T2467" s="14"/>
      <c r="U2467" s="14"/>
      <c r="V2467" s="14"/>
      <c r="W2467" s="14"/>
      <c r="X2467" s="14"/>
      <c r="Y2467" s="4"/>
      <c r="Z2467" s="4"/>
      <c r="AA2467" s="4"/>
      <c r="AB2467" s="4"/>
      <c r="AC2467" s="4"/>
      <c r="AD2467" s="4"/>
      <c r="AE2467" s="4"/>
      <c r="AF2467" s="4"/>
      <c r="AG2467" s="4"/>
      <c r="AH2467" s="4"/>
      <c r="AI2467" s="4"/>
      <c r="AJ2467" s="4"/>
      <c r="AK2467" s="4"/>
      <c r="AL2467" s="4"/>
      <c r="AM2467" s="4"/>
      <c r="AN2467" s="4"/>
      <c r="AO2467" s="4"/>
      <c r="AP2467" s="4"/>
      <c r="AQ2467" s="4"/>
      <c r="AR2467" s="4"/>
      <c r="AS2467" s="4"/>
      <c r="AT2467" s="4"/>
      <c r="AU2467" s="4"/>
      <c r="AV2467" s="4"/>
      <c r="AW2467" s="4"/>
      <c r="AX2467" s="4"/>
      <c r="AY2467" s="4"/>
      <c r="AZ2467" s="4"/>
      <c r="BA2467" s="4"/>
      <c r="BB2467" s="4"/>
      <c r="BC2467" s="4"/>
      <c r="BD2467" s="4"/>
      <c r="BE2467" s="4"/>
      <c r="BG2467" s="4"/>
      <c r="BH2467" s="4"/>
    </row>
    <row r="2468" spans="1:60" x14ac:dyDescent="0.35">
      <c r="A2468" s="4"/>
      <c r="B2468" s="4"/>
      <c r="D2468" s="6" t="str">
        <f t="shared" si="160"/>
        <v/>
      </c>
      <c r="E2468" s="6" t="str">
        <f t="shared" si="161"/>
        <v/>
      </c>
      <c r="F2468" s="6" t="str">
        <f t="shared" si="162"/>
        <v/>
      </c>
      <c r="G2468" s="4"/>
      <c r="H2468" s="4"/>
      <c r="I2468" s="4"/>
      <c r="J2468" s="4"/>
      <c r="K2468" s="4"/>
      <c r="L2468" s="4"/>
      <c r="M2468" s="4"/>
      <c r="N2468" s="4"/>
      <c r="O2468" s="4"/>
      <c r="P2468" s="4"/>
      <c r="Q2468" s="4"/>
      <c r="R2468" s="14"/>
      <c r="S2468" s="14"/>
      <c r="T2468" s="14"/>
      <c r="U2468" s="14"/>
      <c r="V2468" s="14"/>
      <c r="W2468" s="14"/>
      <c r="X2468" s="14"/>
      <c r="Y2468" s="4"/>
      <c r="Z2468" s="4"/>
      <c r="AA2468" s="4"/>
      <c r="AB2468" s="4"/>
      <c r="AC2468" s="4"/>
      <c r="AD2468" s="4"/>
      <c r="AE2468" s="4"/>
      <c r="AF2468" s="4"/>
      <c r="AG2468" s="4"/>
      <c r="AH2468" s="4"/>
      <c r="AI2468" s="4"/>
      <c r="AJ2468" s="4"/>
      <c r="AK2468" s="4"/>
      <c r="AL2468" s="4"/>
      <c r="AM2468" s="4"/>
      <c r="AN2468" s="4"/>
      <c r="AO2468" s="4"/>
      <c r="AP2468" s="4"/>
      <c r="AQ2468" s="4"/>
      <c r="AR2468" s="4"/>
      <c r="AS2468" s="4"/>
      <c r="AT2468" s="4"/>
      <c r="AU2468" s="4"/>
      <c r="AV2468" s="4"/>
      <c r="AW2468" s="4"/>
      <c r="AX2468" s="4"/>
      <c r="AY2468" s="4"/>
      <c r="AZ2468" s="4"/>
      <c r="BA2468" s="4"/>
      <c r="BB2468" s="4"/>
      <c r="BC2468" s="4"/>
      <c r="BD2468" s="4"/>
      <c r="BE2468" s="4"/>
      <c r="BG2468" s="4"/>
      <c r="BH2468" s="4"/>
    </row>
    <row r="2469" spans="1:60" x14ac:dyDescent="0.35">
      <c r="A2469" s="4"/>
      <c r="B2469" s="4"/>
      <c r="D2469" s="6" t="str">
        <f t="shared" si="160"/>
        <v/>
      </c>
      <c r="E2469" s="6" t="str">
        <f t="shared" si="161"/>
        <v/>
      </c>
      <c r="F2469" s="6" t="str">
        <f t="shared" si="162"/>
        <v/>
      </c>
      <c r="G2469" s="4"/>
      <c r="H2469" s="4"/>
      <c r="I2469" s="4"/>
      <c r="J2469" s="4"/>
      <c r="K2469" s="4"/>
      <c r="L2469" s="4"/>
      <c r="M2469" s="4"/>
      <c r="N2469" s="4"/>
      <c r="O2469" s="4"/>
      <c r="P2469" s="4"/>
      <c r="Q2469" s="4"/>
      <c r="R2469" s="14"/>
      <c r="S2469" s="14"/>
      <c r="T2469" s="14"/>
      <c r="U2469" s="14"/>
      <c r="V2469" s="14"/>
      <c r="W2469" s="14"/>
      <c r="X2469" s="1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4"/>
      <c r="AU2469" s="4"/>
      <c r="AV2469" s="4"/>
      <c r="AW2469" s="4"/>
      <c r="AX2469" s="4"/>
      <c r="AY2469" s="4"/>
      <c r="AZ2469" s="4"/>
      <c r="BA2469" s="4"/>
      <c r="BB2469" s="4"/>
      <c r="BC2469" s="4"/>
      <c r="BD2469" s="4"/>
      <c r="BE2469" s="4"/>
      <c r="BG2469" s="4"/>
      <c r="BH2469" s="4"/>
    </row>
    <row r="2470" spans="1:60" x14ac:dyDescent="0.35">
      <c r="A2470" s="4"/>
      <c r="B2470" s="4"/>
      <c r="D2470" s="6" t="str">
        <f t="shared" si="160"/>
        <v/>
      </c>
      <c r="E2470" s="6" t="str">
        <f t="shared" si="161"/>
        <v/>
      </c>
      <c r="F2470" s="6" t="str">
        <f t="shared" si="162"/>
        <v/>
      </c>
      <c r="G2470" s="4"/>
      <c r="H2470" s="4"/>
      <c r="I2470" s="4"/>
      <c r="J2470" s="4"/>
      <c r="K2470" s="4"/>
      <c r="L2470" s="4"/>
      <c r="M2470" s="4"/>
      <c r="N2470" s="4"/>
      <c r="O2470" s="4"/>
      <c r="P2470" s="4"/>
      <c r="Q2470" s="4"/>
      <c r="R2470" s="14"/>
      <c r="S2470" s="14"/>
      <c r="T2470" s="14"/>
      <c r="U2470" s="14"/>
      <c r="V2470" s="14"/>
      <c r="W2470" s="14"/>
      <c r="X2470" s="1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4"/>
      <c r="AU2470" s="4"/>
      <c r="AV2470" s="4"/>
      <c r="AW2470" s="4"/>
      <c r="AX2470" s="4"/>
      <c r="AY2470" s="4"/>
      <c r="AZ2470" s="4"/>
      <c r="BA2470" s="4"/>
      <c r="BB2470" s="4"/>
      <c r="BC2470" s="4"/>
      <c r="BD2470" s="4"/>
      <c r="BE2470" s="4"/>
      <c r="BG2470" s="4"/>
      <c r="BH2470" s="4"/>
    </row>
    <row r="2471" spans="1:60" x14ac:dyDescent="0.35">
      <c r="A2471" s="4"/>
      <c r="B2471" s="4"/>
      <c r="D2471" s="6" t="str">
        <f t="shared" si="160"/>
        <v/>
      </c>
      <c r="E2471" s="6" t="str">
        <f t="shared" si="161"/>
        <v/>
      </c>
      <c r="F2471" s="6" t="str">
        <f t="shared" si="162"/>
        <v/>
      </c>
      <c r="G2471" s="4"/>
      <c r="H2471" s="4"/>
      <c r="I2471" s="4"/>
      <c r="J2471" s="4"/>
      <c r="K2471" s="4"/>
      <c r="L2471" s="4"/>
      <c r="M2471" s="4"/>
      <c r="N2471" s="4"/>
      <c r="O2471" s="4"/>
      <c r="P2471" s="4"/>
      <c r="Q2471" s="4"/>
      <c r="R2471" s="14"/>
      <c r="S2471" s="14"/>
      <c r="T2471" s="14"/>
      <c r="U2471" s="14"/>
      <c r="V2471" s="14"/>
      <c r="W2471" s="14"/>
      <c r="X2471" s="1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4"/>
      <c r="AU2471" s="4"/>
      <c r="AV2471" s="4"/>
      <c r="AW2471" s="4"/>
      <c r="AX2471" s="4"/>
      <c r="AY2471" s="4"/>
      <c r="AZ2471" s="4"/>
      <c r="BA2471" s="4"/>
      <c r="BB2471" s="4"/>
      <c r="BC2471" s="4"/>
      <c r="BD2471" s="4"/>
      <c r="BE2471" s="4"/>
      <c r="BG2471" s="4"/>
      <c r="BH2471" s="4"/>
    </row>
    <row r="2472" spans="1:60" x14ac:dyDescent="0.35">
      <c r="A2472" s="4"/>
      <c r="B2472" s="4"/>
      <c r="D2472" s="6" t="str">
        <f t="shared" si="160"/>
        <v/>
      </c>
      <c r="E2472" s="6" t="str">
        <f t="shared" si="161"/>
        <v/>
      </c>
      <c r="F2472" s="6" t="str">
        <f t="shared" si="162"/>
        <v/>
      </c>
      <c r="G2472" s="4"/>
      <c r="H2472" s="4"/>
      <c r="I2472" s="4"/>
      <c r="J2472" s="4"/>
      <c r="K2472" s="4"/>
      <c r="L2472" s="4"/>
      <c r="M2472" s="4"/>
      <c r="N2472" s="4"/>
      <c r="O2472" s="4"/>
      <c r="P2472" s="4"/>
      <c r="Q2472" s="4"/>
      <c r="R2472" s="14"/>
      <c r="S2472" s="14"/>
      <c r="T2472" s="14"/>
      <c r="U2472" s="14"/>
      <c r="V2472" s="14"/>
      <c r="W2472" s="14"/>
      <c r="X2472" s="1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4"/>
      <c r="AU2472" s="4"/>
      <c r="AV2472" s="4"/>
      <c r="AW2472" s="4"/>
      <c r="AX2472" s="4"/>
      <c r="AY2472" s="4"/>
      <c r="AZ2472" s="4"/>
      <c r="BA2472" s="4"/>
      <c r="BB2472" s="4"/>
      <c r="BC2472" s="4"/>
      <c r="BD2472" s="4"/>
      <c r="BE2472" s="4"/>
      <c r="BG2472" s="4"/>
      <c r="BH2472" s="4"/>
    </row>
    <row r="2473" spans="1:60" x14ac:dyDescent="0.35">
      <c r="A2473" s="4"/>
      <c r="B2473" s="4"/>
      <c r="D2473" s="6" t="str">
        <f t="shared" si="160"/>
        <v/>
      </c>
      <c r="E2473" s="6" t="str">
        <f t="shared" si="161"/>
        <v/>
      </c>
      <c r="F2473" s="6" t="str">
        <f t="shared" si="162"/>
        <v/>
      </c>
      <c r="G2473" s="4"/>
      <c r="H2473" s="4"/>
      <c r="I2473" s="4"/>
      <c r="J2473" s="4"/>
      <c r="K2473" s="4"/>
      <c r="L2473" s="4"/>
      <c r="M2473" s="4"/>
      <c r="N2473" s="4"/>
      <c r="O2473" s="4"/>
      <c r="P2473" s="4"/>
      <c r="Q2473" s="4"/>
      <c r="R2473" s="14"/>
      <c r="S2473" s="14"/>
      <c r="T2473" s="14"/>
      <c r="U2473" s="14"/>
      <c r="V2473" s="14"/>
      <c r="W2473" s="14"/>
      <c r="X2473" s="14"/>
      <c r="Y2473" s="4"/>
      <c r="Z2473" s="4"/>
      <c r="AA2473" s="4"/>
      <c r="AB2473" s="4"/>
      <c r="AC2473" s="4"/>
      <c r="AD2473" s="4"/>
      <c r="AE2473" s="4"/>
      <c r="AF2473" s="4"/>
      <c r="AG2473" s="4"/>
      <c r="AH2473" s="4"/>
      <c r="AI2473" s="4"/>
      <c r="AJ2473" s="4"/>
      <c r="AK2473" s="4"/>
      <c r="AL2473" s="4"/>
      <c r="AM2473" s="4"/>
      <c r="AN2473" s="4"/>
      <c r="AO2473" s="4"/>
      <c r="AP2473" s="4"/>
      <c r="AQ2473" s="4"/>
      <c r="AR2473" s="4"/>
      <c r="AS2473" s="4"/>
      <c r="AT2473" s="4"/>
      <c r="AU2473" s="4"/>
      <c r="AV2473" s="4"/>
      <c r="AW2473" s="4"/>
      <c r="AX2473" s="4"/>
      <c r="AY2473" s="4"/>
      <c r="AZ2473" s="4"/>
      <c r="BA2473" s="4"/>
      <c r="BB2473" s="4"/>
      <c r="BC2473" s="4"/>
      <c r="BD2473" s="4"/>
      <c r="BE2473" s="4"/>
      <c r="BG2473" s="4"/>
      <c r="BH2473" s="4"/>
    </row>
    <row r="2474" spans="1:60" x14ac:dyDescent="0.35">
      <c r="A2474" s="4"/>
      <c r="B2474" s="4"/>
      <c r="D2474" s="6" t="str">
        <f t="shared" si="160"/>
        <v/>
      </c>
      <c r="E2474" s="6" t="str">
        <f t="shared" si="161"/>
        <v/>
      </c>
      <c r="F2474" s="6" t="str">
        <f t="shared" si="162"/>
        <v/>
      </c>
      <c r="G2474" s="4"/>
      <c r="H2474" s="4"/>
      <c r="I2474" s="4"/>
      <c r="J2474" s="4"/>
      <c r="K2474" s="4"/>
      <c r="L2474" s="4"/>
      <c r="M2474" s="4"/>
      <c r="N2474" s="4"/>
      <c r="O2474" s="4"/>
      <c r="P2474" s="4"/>
      <c r="Q2474" s="4"/>
      <c r="R2474" s="14"/>
      <c r="S2474" s="14"/>
      <c r="T2474" s="14"/>
      <c r="U2474" s="14"/>
      <c r="V2474" s="14"/>
      <c r="W2474" s="14"/>
      <c r="X2474" s="1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4"/>
      <c r="AU2474" s="4"/>
      <c r="AV2474" s="4"/>
      <c r="AW2474" s="4"/>
      <c r="AX2474" s="4"/>
      <c r="AY2474" s="4"/>
      <c r="AZ2474" s="4"/>
      <c r="BA2474" s="4"/>
      <c r="BB2474" s="4"/>
      <c r="BC2474" s="4"/>
      <c r="BD2474" s="4"/>
      <c r="BE2474" s="4"/>
      <c r="BG2474" s="4"/>
      <c r="BH2474" s="4"/>
    </row>
    <row r="2475" spans="1:60" x14ac:dyDescent="0.35">
      <c r="A2475" s="4"/>
      <c r="B2475" s="4"/>
      <c r="D2475" s="6" t="str">
        <f t="shared" si="160"/>
        <v/>
      </c>
      <c r="E2475" s="6" t="str">
        <f t="shared" si="161"/>
        <v/>
      </c>
      <c r="F2475" s="6" t="str">
        <f t="shared" si="162"/>
        <v/>
      </c>
      <c r="G2475" s="4"/>
      <c r="H2475" s="4"/>
      <c r="I2475" s="4"/>
      <c r="J2475" s="4"/>
      <c r="K2475" s="4"/>
      <c r="L2475" s="4"/>
      <c r="M2475" s="4"/>
      <c r="N2475" s="4"/>
      <c r="O2475" s="4"/>
      <c r="P2475" s="4"/>
      <c r="Q2475" s="4"/>
      <c r="R2475" s="14"/>
      <c r="S2475" s="14"/>
      <c r="T2475" s="14"/>
      <c r="U2475" s="14"/>
      <c r="V2475" s="14"/>
      <c r="W2475" s="14"/>
      <c r="X2475" s="1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4"/>
      <c r="AU2475" s="4"/>
      <c r="AV2475" s="4"/>
      <c r="AW2475" s="4"/>
      <c r="AX2475" s="4"/>
      <c r="AY2475" s="4"/>
      <c r="AZ2475" s="4"/>
      <c r="BA2475" s="4"/>
      <c r="BB2475" s="4"/>
      <c r="BC2475" s="4"/>
      <c r="BD2475" s="4"/>
      <c r="BE2475" s="4"/>
      <c r="BG2475" s="4"/>
      <c r="BH2475" s="4"/>
    </row>
    <row r="2476" spans="1:60" x14ac:dyDescent="0.35">
      <c r="A2476" s="4"/>
      <c r="B2476" s="4"/>
      <c r="D2476" s="6" t="str">
        <f t="shared" si="160"/>
        <v/>
      </c>
      <c r="E2476" s="6" t="str">
        <f t="shared" si="161"/>
        <v/>
      </c>
      <c r="F2476" s="6" t="str">
        <f t="shared" si="162"/>
        <v/>
      </c>
      <c r="G2476" s="4"/>
      <c r="H2476" s="4"/>
      <c r="I2476" s="4"/>
      <c r="J2476" s="4"/>
      <c r="K2476" s="4"/>
      <c r="L2476" s="4"/>
      <c r="M2476" s="4"/>
      <c r="N2476" s="4"/>
      <c r="O2476" s="4"/>
      <c r="P2476" s="4"/>
      <c r="Q2476" s="4"/>
      <c r="R2476" s="14"/>
      <c r="S2476" s="14"/>
      <c r="T2476" s="14"/>
      <c r="U2476" s="14"/>
      <c r="V2476" s="14"/>
      <c r="W2476" s="14"/>
      <c r="X2476" s="1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4"/>
      <c r="AU2476" s="4"/>
      <c r="AV2476" s="4"/>
      <c r="AW2476" s="4"/>
      <c r="AX2476" s="4"/>
      <c r="AY2476" s="4"/>
      <c r="AZ2476" s="4"/>
      <c r="BA2476" s="4"/>
      <c r="BB2476" s="4"/>
      <c r="BC2476" s="4"/>
      <c r="BD2476" s="4"/>
      <c r="BE2476" s="4"/>
      <c r="BG2476" s="4"/>
      <c r="BH2476" s="4"/>
    </row>
    <row r="2477" spans="1:60" x14ac:dyDescent="0.35">
      <c r="A2477" s="4"/>
      <c r="B2477" s="4"/>
      <c r="D2477" s="6" t="str">
        <f t="shared" si="160"/>
        <v/>
      </c>
      <c r="E2477" s="6" t="str">
        <f t="shared" si="161"/>
        <v/>
      </c>
      <c r="F2477" s="6" t="str">
        <f t="shared" si="162"/>
        <v/>
      </c>
      <c r="G2477" s="4"/>
      <c r="H2477" s="4"/>
      <c r="I2477" s="4"/>
      <c r="J2477" s="4"/>
      <c r="K2477" s="4"/>
      <c r="L2477" s="4"/>
      <c r="M2477" s="4"/>
      <c r="N2477" s="4"/>
      <c r="O2477" s="4"/>
      <c r="P2477" s="4"/>
      <c r="Q2477" s="4"/>
      <c r="R2477" s="14"/>
      <c r="S2477" s="14"/>
      <c r="T2477" s="14"/>
      <c r="U2477" s="14"/>
      <c r="V2477" s="14"/>
      <c r="W2477" s="14"/>
      <c r="X2477" s="1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4"/>
      <c r="AU2477" s="4"/>
      <c r="AV2477" s="4"/>
      <c r="AW2477" s="4"/>
      <c r="AX2477" s="4"/>
      <c r="AY2477" s="4"/>
      <c r="AZ2477" s="4"/>
      <c r="BA2477" s="4"/>
      <c r="BB2477" s="4"/>
      <c r="BC2477" s="4"/>
      <c r="BD2477" s="4"/>
      <c r="BE2477" s="4"/>
      <c r="BG2477" s="4"/>
      <c r="BH2477" s="4"/>
    </row>
    <row r="2478" spans="1:60" x14ac:dyDescent="0.35">
      <c r="A2478" s="4"/>
      <c r="B2478" s="4"/>
      <c r="D2478" s="6" t="str">
        <f t="shared" si="160"/>
        <v/>
      </c>
      <c r="E2478" s="6" t="str">
        <f t="shared" si="161"/>
        <v/>
      </c>
      <c r="F2478" s="6" t="str">
        <f t="shared" si="162"/>
        <v/>
      </c>
      <c r="G2478" s="4"/>
      <c r="H2478" s="4"/>
      <c r="I2478" s="4"/>
      <c r="J2478" s="4"/>
      <c r="K2478" s="4"/>
      <c r="L2478" s="4"/>
      <c r="M2478" s="4"/>
      <c r="N2478" s="4"/>
      <c r="O2478" s="4"/>
      <c r="P2478" s="4"/>
      <c r="Q2478" s="4"/>
      <c r="R2478" s="14"/>
      <c r="S2478" s="14"/>
      <c r="T2478" s="14"/>
      <c r="U2478" s="14"/>
      <c r="V2478" s="14"/>
      <c r="W2478" s="14"/>
      <c r="X2478" s="14"/>
      <c r="Y2478" s="4"/>
      <c r="Z2478" s="4"/>
      <c r="AA2478" s="4"/>
      <c r="AB2478" s="4"/>
      <c r="AC2478" s="4"/>
      <c r="AD2478" s="4"/>
      <c r="AE2478" s="4"/>
      <c r="AF2478" s="4"/>
      <c r="AG2478" s="4"/>
      <c r="AH2478" s="4"/>
      <c r="AI2478" s="4"/>
      <c r="AJ2478" s="4"/>
      <c r="AK2478" s="4"/>
      <c r="AL2478" s="4"/>
      <c r="AM2478" s="4"/>
      <c r="AN2478" s="4"/>
      <c r="AO2478" s="4"/>
      <c r="AP2478" s="4"/>
      <c r="AQ2478" s="4"/>
      <c r="AR2478" s="4"/>
      <c r="AS2478" s="4"/>
      <c r="AT2478" s="4"/>
      <c r="AU2478" s="4"/>
      <c r="AV2478" s="4"/>
      <c r="AW2478" s="4"/>
      <c r="AX2478" s="4"/>
      <c r="AY2478" s="4"/>
      <c r="AZ2478" s="4"/>
      <c r="BA2478" s="4"/>
      <c r="BB2478" s="4"/>
      <c r="BC2478" s="4"/>
      <c r="BD2478" s="4"/>
      <c r="BE2478" s="4"/>
      <c r="BG2478" s="4"/>
      <c r="BH2478" s="4"/>
    </row>
    <row r="2479" spans="1:60" x14ac:dyDescent="0.35">
      <c r="A2479" s="4"/>
      <c r="B2479" s="4"/>
      <c r="D2479" s="6" t="str">
        <f t="shared" si="160"/>
        <v/>
      </c>
      <c r="E2479" s="6" t="str">
        <f t="shared" si="161"/>
        <v/>
      </c>
      <c r="F2479" s="6" t="str">
        <f t="shared" si="162"/>
        <v/>
      </c>
      <c r="G2479" s="4"/>
      <c r="H2479" s="4"/>
      <c r="I2479" s="4"/>
      <c r="J2479" s="4"/>
      <c r="K2479" s="4"/>
      <c r="L2479" s="4"/>
      <c r="M2479" s="4"/>
      <c r="N2479" s="4"/>
      <c r="O2479" s="4"/>
      <c r="P2479" s="4"/>
      <c r="Q2479" s="4"/>
      <c r="R2479" s="14"/>
      <c r="S2479" s="14"/>
      <c r="T2479" s="14"/>
      <c r="U2479" s="14"/>
      <c r="V2479" s="14"/>
      <c r="W2479" s="14"/>
      <c r="X2479" s="1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4"/>
      <c r="AU2479" s="4"/>
      <c r="AV2479" s="4"/>
      <c r="AW2479" s="4"/>
      <c r="AX2479" s="4"/>
      <c r="AY2479" s="4"/>
      <c r="AZ2479" s="4"/>
      <c r="BA2479" s="4"/>
      <c r="BB2479" s="4"/>
      <c r="BC2479" s="4"/>
      <c r="BD2479" s="4"/>
      <c r="BE2479" s="4"/>
      <c r="BG2479" s="4"/>
      <c r="BH2479" s="4"/>
    </row>
    <row r="2480" spans="1:60" x14ac:dyDescent="0.35">
      <c r="A2480" s="4"/>
      <c r="B2480" s="4"/>
      <c r="D2480" s="6" t="str">
        <f t="shared" si="160"/>
        <v/>
      </c>
      <c r="E2480" s="6" t="str">
        <f t="shared" si="161"/>
        <v/>
      </c>
      <c r="F2480" s="6" t="str">
        <f t="shared" si="162"/>
        <v/>
      </c>
      <c r="G2480" s="4"/>
      <c r="H2480" s="4"/>
      <c r="I2480" s="4"/>
      <c r="J2480" s="4"/>
      <c r="K2480" s="4"/>
      <c r="L2480" s="4"/>
      <c r="M2480" s="4"/>
      <c r="N2480" s="4"/>
      <c r="O2480" s="4"/>
      <c r="P2480" s="4"/>
      <c r="Q2480" s="4"/>
      <c r="R2480" s="14"/>
      <c r="S2480" s="14"/>
      <c r="T2480" s="14"/>
      <c r="U2480" s="14"/>
      <c r="V2480" s="14"/>
      <c r="W2480" s="14"/>
      <c r="X2480" s="1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4"/>
      <c r="AU2480" s="4"/>
      <c r="AV2480" s="4"/>
      <c r="AW2480" s="4"/>
      <c r="AX2480" s="4"/>
      <c r="AY2480" s="4"/>
      <c r="AZ2480" s="4"/>
      <c r="BA2480" s="4"/>
      <c r="BB2480" s="4"/>
      <c r="BC2480" s="4"/>
      <c r="BD2480" s="4"/>
      <c r="BE2480" s="4"/>
      <c r="BG2480" s="4"/>
      <c r="BH2480" s="4"/>
    </row>
    <row r="2481" spans="1:60" x14ac:dyDescent="0.35">
      <c r="A2481" s="4"/>
      <c r="B2481" s="4"/>
      <c r="D2481" s="6" t="str">
        <f t="shared" si="160"/>
        <v/>
      </c>
      <c r="E2481" s="6" t="str">
        <f t="shared" si="161"/>
        <v/>
      </c>
      <c r="F2481" s="6" t="str">
        <f t="shared" si="162"/>
        <v/>
      </c>
      <c r="G2481" s="4"/>
      <c r="H2481" s="4"/>
      <c r="I2481" s="4"/>
      <c r="J2481" s="4"/>
      <c r="K2481" s="4"/>
      <c r="L2481" s="4"/>
      <c r="M2481" s="4"/>
      <c r="N2481" s="4"/>
      <c r="O2481" s="4"/>
      <c r="P2481" s="4"/>
      <c r="Q2481" s="4"/>
      <c r="R2481" s="14"/>
      <c r="S2481" s="14"/>
      <c r="T2481" s="14"/>
      <c r="U2481" s="14"/>
      <c r="V2481" s="14"/>
      <c r="W2481" s="14"/>
      <c r="X2481" s="1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4"/>
      <c r="AU2481" s="4"/>
      <c r="AV2481" s="4"/>
      <c r="AW2481" s="4"/>
      <c r="AX2481" s="4"/>
      <c r="AY2481" s="4"/>
      <c r="AZ2481" s="4"/>
      <c r="BA2481" s="4"/>
      <c r="BB2481" s="4"/>
      <c r="BC2481" s="4"/>
      <c r="BD2481" s="4"/>
      <c r="BE2481" s="4"/>
      <c r="BG2481" s="4"/>
      <c r="BH2481" s="4"/>
    </row>
    <row r="2482" spans="1:60" x14ac:dyDescent="0.35">
      <c r="A2482" s="4"/>
      <c r="B2482" s="4"/>
      <c r="D2482" s="6" t="str">
        <f t="shared" si="160"/>
        <v/>
      </c>
      <c r="E2482" s="6" t="str">
        <f t="shared" si="161"/>
        <v/>
      </c>
      <c r="F2482" s="6" t="str">
        <f t="shared" si="162"/>
        <v/>
      </c>
      <c r="G2482" s="4"/>
      <c r="H2482" s="4"/>
      <c r="I2482" s="4"/>
      <c r="J2482" s="4"/>
      <c r="K2482" s="4"/>
      <c r="L2482" s="4"/>
      <c r="M2482" s="4"/>
      <c r="N2482" s="4"/>
      <c r="O2482" s="4"/>
      <c r="P2482" s="4"/>
      <c r="Q2482" s="4"/>
      <c r="R2482" s="14"/>
      <c r="S2482" s="14"/>
      <c r="T2482" s="14"/>
      <c r="U2482" s="14"/>
      <c r="V2482" s="14"/>
      <c r="W2482" s="14"/>
      <c r="X2482" s="1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c r="AV2482" s="4"/>
      <c r="AW2482" s="4"/>
      <c r="AX2482" s="4"/>
      <c r="AY2482" s="4"/>
      <c r="AZ2482" s="4"/>
      <c r="BA2482" s="4"/>
      <c r="BB2482" s="4"/>
      <c r="BC2482" s="4"/>
      <c r="BD2482" s="4"/>
      <c r="BE2482" s="4"/>
      <c r="BG2482" s="4"/>
      <c r="BH2482" s="4"/>
    </row>
    <row r="2483" spans="1:60" x14ac:dyDescent="0.35">
      <c r="A2483" s="4"/>
      <c r="B2483" s="4"/>
      <c r="D2483" s="6" t="str">
        <f t="shared" si="160"/>
        <v/>
      </c>
      <c r="E2483" s="6" t="str">
        <f t="shared" si="161"/>
        <v/>
      </c>
      <c r="F2483" s="6" t="str">
        <f t="shared" si="162"/>
        <v/>
      </c>
      <c r="G2483" s="4"/>
      <c r="H2483" s="4"/>
      <c r="I2483" s="4"/>
      <c r="J2483" s="4"/>
      <c r="K2483" s="4"/>
      <c r="L2483" s="4"/>
      <c r="M2483" s="4"/>
      <c r="N2483" s="4"/>
      <c r="O2483" s="4"/>
      <c r="P2483" s="4"/>
      <c r="Q2483" s="4"/>
      <c r="R2483" s="14"/>
      <c r="S2483" s="14"/>
      <c r="T2483" s="14"/>
      <c r="U2483" s="14"/>
      <c r="V2483" s="14"/>
      <c r="W2483" s="14"/>
      <c r="X2483" s="14"/>
      <c r="Y2483" s="4"/>
      <c r="Z2483" s="4"/>
      <c r="AA2483" s="4"/>
      <c r="AB2483" s="4"/>
      <c r="AC2483" s="4"/>
      <c r="AD2483" s="4"/>
      <c r="AE2483" s="4"/>
      <c r="AF2483" s="4"/>
      <c r="AG2483" s="4"/>
      <c r="AH2483" s="4"/>
      <c r="AI2483" s="4"/>
      <c r="AJ2483" s="4"/>
      <c r="AK2483" s="4"/>
      <c r="AL2483" s="4"/>
      <c r="AM2483" s="4"/>
      <c r="AN2483" s="4"/>
      <c r="AO2483" s="4"/>
      <c r="AP2483" s="4"/>
      <c r="AQ2483" s="4"/>
      <c r="AR2483" s="4"/>
      <c r="AS2483" s="4"/>
      <c r="AT2483" s="4"/>
      <c r="AU2483" s="4"/>
      <c r="AV2483" s="4"/>
      <c r="AW2483" s="4"/>
      <c r="AX2483" s="4"/>
      <c r="AY2483" s="4"/>
      <c r="AZ2483" s="4"/>
      <c r="BA2483" s="4"/>
      <c r="BB2483" s="4"/>
      <c r="BC2483" s="4"/>
      <c r="BD2483" s="4"/>
      <c r="BE2483" s="4"/>
      <c r="BG2483" s="4"/>
      <c r="BH2483" s="4"/>
    </row>
    <row r="2484" spans="1:60" x14ac:dyDescent="0.35">
      <c r="A2484" s="4"/>
      <c r="B2484" s="4"/>
      <c r="D2484" s="6" t="str">
        <f t="shared" si="160"/>
        <v/>
      </c>
      <c r="E2484" s="6" t="str">
        <f t="shared" si="161"/>
        <v/>
      </c>
      <c r="F2484" s="6" t="str">
        <f t="shared" si="162"/>
        <v/>
      </c>
      <c r="G2484" s="4"/>
      <c r="H2484" s="4"/>
      <c r="I2484" s="4"/>
      <c r="J2484" s="4"/>
      <c r="K2484" s="4"/>
      <c r="L2484" s="4"/>
      <c r="M2484" s="4"/>
      <c r="N2484" s="4"/>
      <c r="O2484" s="4"/>
      <c r="P2484" s="4"/>
      <c r="Q2484" s="4"/>
      <c r="R2484" s="14"/>
      <c r="S2484" s="14"/>
      <c r="T2484" s="14"/>
      <c r="U2484" s="14"/>
      <c r="V2484" s="14"/>
      <c r="W2484" s="14"/>
      <c r="X2484" s="1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4"/>
      <c r="AU2484" s="4"/>
      <c r="AV2484" s="4"/>
      <c r="AW2484" s="4"/>
      <c r="AX2484" s="4"/>
      <c r="AY2484" s="4"/>
      <c r="AZ2484" s="4"/>
      <c r="BA2484" s="4"/>
      <c r="BB2484" s="4"/>
      <c r="BC2484" s="4"/>
      <c r="BD2484" s="4"/>
      <c r="BE2484" s="4"/>
      <c r="BG2484" s="4"/>
      <c r="BH2484" s="4"/>
    </row>
    <row r="2485" spans="1:60" x14ac:dyDescent="0.35">
      <c r="A2485" s="4"/>
      <c r="B2485" s="4"/>
      <c r="D2485" s="6" t="str">
        <f t="shared" si="160"/>
        <v/>
      </c>
      <c r="E2485" s="6" t="str">
        <f t="shared" si="161"/>
        <v/>
      </c>
      <c r="F2485" s="6" t="str">
        <f t="shared" si="162"/>
        <v/>
      </c>
      <c r="G2485" s="4"/>
      <c r="H2485" s="4"/>
      <c r="I2485" s="4"/>
      <c r="J2485" s="4"/>
      <c r="K2485" s="4"/>
      <c r="L2485" s="4"/>
      <c r="M2485" s="4"/>
      <c r="N2485" s="4"/>
      <c r="O2485" s="4"/>
      <c r="P2485" s="4"/>
      <c r="Q2485" s="4"/>
      <c r="R2485" s="14"/>
      <c r="S2485" s="14"/>
      <c r="T2485" s="14"/>
      <c r="U2485" s="14"/>
      <c r="V2485" s="14"/>
      <c r="W2485" s="14"/>
      <c r="X2485" s="1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4"/>
      <c r="AU2485" s="4"/>
      <c r="AV2485" s="4"/>
      <c r="AW2485" s="4"/>
      <c r="AX2485" s="4"/>
      <c r="AY2485" s="4"/>
      <c r="AZ2485" s="4"/>
      <c r="BA2485" s="4"/>
      <c r="BB2485" s="4"/>
      <c r="BC2485" s="4"/>
      <c r="BD2485" s="4"/>
      <c r="BE2485" s="4"/>
      <c r="BG2485" s="4"/>
      <c r="BH2485" s="4"/>
    </row>
    <row r="2486" spans="1:60" x14ac:dyDescent="0.35">
      <c r="A2486" s="4"/>
      <c r="B2486" s="4"/>
      <c r="D2486" s="6" t="str">
        <f t="shared" si="160"/>
        <v/>
      </c>
      <c r="E2486" s="6" t="str">
        <f t="shared" si="161"/>
        <v/>
      </c>
      <c r="F2486" s="6" t="str">
        <f t="shared" si="162"/>
        <v/>
      </c>
      <c r="G2486" s="4"/>
      <c r="H2486" s="4"/>
      <c r="I2486" s="4"/>
      <c r="J2486" s="4"/>
      <c r="K2486" s="4"/>
      <c r="L2486" s="4"/>
      <c r="M2486" s="4"/>
      <c r="N2486" s="4"/>
      <c r="O2486" s="4"/>
      <c r="P2486" s="4"/>
      <c r="Q2486" s="4"/>
      <c r="R2486" s="14"/>
      <c r="S2486" s="14"/>
      <c r="T2486" s="14"/>
      <c r="U2486" s="14"/>
      <c r="V2486" s="14"/>
      <c r="W2486" s="14"/>
      <c r="X2486" s="1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4"/>
      <c r="AU2486" s="4"/>
      <c r="AV2486" s="4"/>
      <c r="AW2486" s="4"/>
      <c r="AX2486" s="4"/>
      <c r="AY2486" s="4"/>
      <c r="AZ2486" s="4"/>
      <c r="BA2486" s="4"/>
      <c r="BB2486" s="4"/>
      <c r="BC2486" s="4"/>
      <c r="BD2486" s="4"/>
      <c r="BE2486" s="4"/>
      <c r="BG2486" s="4"/>
      <c r="BH2486" s="4"/>
    </row>
    <row r="2487" spans="1:60" x14ac:dyDescent="0.35">
      <c r="A2487" s="4"/>
      <c r="B2487" s="4"/>
      <c r="D2487" s="6" t="str">
        <f t="shared" si="160"/>
        <v/>
      </c>
      <c r="E2487" s="6" t="str">
        <f t="shared" si="161"/>
        <v/>
      </c>
      <c r="F2487" s="6" t="str">
        <f t="shared" si="162"/>
        <v/>
      </c>
      <c r="G2487" s="4"/>
      <c r="H2487" s="4"/>
      <c r="I2487" s="4"/>
      <c r="J2487" s="4"/>
      <c r="K2487" s="4"/>
      <c r="L2487" s="4"/>
      <c r="M2487" s="4"/>
      <c r="N2487" s="4"/>
      <c r="O2487" s="4"/>
      <c r="P2487" s="4"/>
      <c r="Q2487" s="4"/>
      <c r="R2487" s="14"/>
      <c r="S2487" s="14"/>
      <c r="T2487" s="14"/>
      <c r="U2487" s="14"/>
      <c r="V2487" s="14"/>
      <c r="W2487" s="14"/>
      <c r="X2487" s="1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4"/>
      <c r="AU2487" s="4"/>
      <c r="AV2487" s="4"/>
      <c r="AW2487" s="4"/>
      <c r="AX2487" s="4"/>
      <c r="AY2487" s="4"/>
      <c r="AZ2487" s="4"/>
      <c r="BA2487" s="4"/>
      <c r="BB2487" s="4"/>
      <c r="BC2487" s="4"/>
      <c r="BD2487" s="4"/>
      <c r="BE2487" s="4"/>
      <c r="BG2487" s="4"/>
      <c r="BH2487" s="4"/>
    </row>
    <row r="2488" spans="1:60" x14ac:dyDescent="0.35">
      <c r="A2488" s="4"/>
      <c r="B2488" s="4"/>
      <c r="D2488" s="6" t="str">
        <f t="shared" si="160"/>
        <v/>
      </c>
      <c r="E2488" s="6" t="str">
        <f t="shared" si="161"/>
        <v/>
      </c>
      <c r="F2488" s="6" t="str">
        <f t="shared" si="162"/>
        <v/>
      </c>
      <c r="G2488" s="4"/>
      <c r="H2488" s="4"/>
      <c r="I2488" s="4"/>
      <c r="J2488" s="4"/>
      <c r="K2488" s="4"/>
      <c r="L2488" s="4"/>
      <c r="M2488" s="4"/>
      <c r="N2488" s="4"/>
      <c r="O2488" s="4"/>
      <c r="P2488" s="4"/>
      <c r="Q2488" s="4"/>
      <c r="R2488" s="14"/>
      <c r="S2488" s="14"/>
      <c r="T2488" s="14"/>
      <c r="U2488" s="14"/>
      <c r="V2488" s="14"/>
      <c r="W2488" s="14"/>
      <c r="X2488" s="14"/>
      <c r="Y2488" s="4"/>
      <c r="Z2488" s="4"/>
      <c r="AA2488" s="4"/>
      <c r="AB2488" s="4"/>
      <c r="AC2488" s="4"/>
      <c r="AD2488" s="4"/>
      <c r="AE2488" s="4"/>
      <c r="AF2488" s="4"/>
      <c r="AG2488" s="4"/>
      <c r="AH2488" s="4"/>
      <c r="AI2488" s="4"/>
      <c r="AJ2488" s="4"/>
      <c r="AK2488" s="4"/>
      <c r="AL2488" s="4"/>
      <c r="AM2488" s="4"/>
      <c r="AN2488" s="4"/>
      <c r="AO2488" s="4"/>
      <c r="AP2488" s="4"/>
      <c r="AQ2488" s="4"/>
      <c r="AR2488" s="4"/>
      <c r="AS2488" s="4"/>
      <c r="AT2488" s="4"/>
      <c r="AU2488" s="4"/>
      <c r="AV2488" s="4"/>
      <c r="AW2488" s="4"/>
      <c r="AX2488" s="4"/>
      <c r="AY2488" s="4"/>
      <c r="AZ2488" s="4"/>
      <c r="BA2488" s="4"/>
      <c r="BB2488" s="4"/>
      <c r="BC2488" s="4"/>
      <c r="BD2488" s="4"/>
      <c r="BE2488" s="4"/>
      <c r="BG2488" s="4"/>
      <c r="BH2488" s="4"/>
    </row>
    <row r="2489" spans="1:60" x14ac:dyDescent="0.35">
      <c r="A2489" s="4"/>
      <c r="B2489" s="4"/>
      <c r="D2489" s="6" t="str">
        <f t="shared" si="160"/>
        <v/>
      </c>
      <c r="E2489" s="6" t="str">
        <f t="shared" si="161"/>
        <v/>
      </c>
      <c r="F2489" s="6" t="str">
        <f t="shared" si="162"/>
        <v/>
      </c>
      <c r="G2489" s="4"/>
      <c r="H2489" s="4"/>
      <c r="I2489" s="4"/>
      <c r="J2489" s="4"/>
      <c r="K2489" s="4"/>
      <c r="L2489" s="4"/>
      <c r="M2489" s="4"/>
      <c r="N2489" s="4"/>
      <c r="O2489" s="4"/>
      <c r="P2489" s="4"/>
      <c r="Q2489" s="4"/>
      <c r="R2489" s="14"/>
      <c r="S2489" s="14"/>
      <c r="T2489" s="14"/>
      <c r="U2489" s="14"/>
      <c r="V2489" s="14"/>
      <c r="W2489" s="14"/>
      <c r="X2489" s="1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4"/>
      <c r="AU2489" s="4"/>
      <c r="AV2489" s="4"/>
      <c r="AW2489" s="4"/>
      <c r="AX2489" s="4"/>
      <c r="AY2489" s="4"/>
      <c r="AZ2489" s="4"/>
      <c r="BA2489" s="4"/>
      <c r="BB2489" s="4"/>
      <c r="BC2489" s="4"/>
      <c r="BD2489" s="4"/>
      <c r="BE2489" s="4"/>
      <c r="BG2489" s="4"/>
      <c r="BH2489" s="4"/>
    </row>
    <row r="2490" spans="1:60" x14ac:dyDescent="0.35">
      <c r="A2490" s="4"/>
      <c r="B2490" s="4"/>
      <c r="D2490" s="6" t="str">
        <f t="shared" si="160"/>
        <v/>
      </c>
      <c r="E2490" s="6" t="str">
        <f t="shared" si="161"/>
        <v/>
      </c>
      <c r="F2490" s="6" t="str">
        <f t="shared" si="162"/>
        <v/>
      </c>
      <c r="G2490" s="4"/>
      <c r="H2490" s="4"/>
      <c r="I2490" s="4"/>
      <c r="J2490" s="4"/>
      <c r="K2490" s="4"/>
      <c r="L2490" s="4"/>
      <c r="M2490" s="4"/>
      <c r="N2490" s="4"/>
      <c r="O2490" s="4"/>
      <c r="P2490" s="4"/>
      <c r="Q2490" s="4"/>
      <c r="R2490" s="14"/>
      <c r="S2490" s="14"/>
      <c r="T2490" s="14"/>
      <c r="U2490" s="14"/>
      <c r="V2490" s="14"/>
      <c r="W2490" s="14"/>
      <c r="X2490" s="1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c r="AV2490" s="4"/>
      <c r="AW2490" s="4"/>
      <c r="AX2490" s="4"/>
      <c r="AY2490" s="4"/>
      <c r="AZ2490" s="4"/>
      <c r="BA2490" s="4"/>
      <c r="BB2490" s="4"/>
      <c r="BC2490" s="4"/>
      <c r="BD2490" s="4"/>
      <c r="BE2490" s="4"/>
      <c r="BG2490" s="4"/>
      <c r="BH2490" s="4"/>
    </row>
    <row r="2491" spans="1:60" x14ac:dyDescent="0.35">
      <c r="A2491" s="4"/>
      <c r="B2491" s="4"/>
      <c r="D2491" s="6" t="str">
        <f t="shared" si="160"/>
        <v/>
      </c>
      <c r="E2491" s="6" t="str">
        <f t="shared" si="161"/>
        <v/>
      </c>
      <c r="F2491" s="6" t="str">
        <f t="shared" si="162"/>
        <v/>
      </c>
      <c r="G2491" s="4"/>
      <c r="H2491" s="4"/>
      <c r="I2491" s="4"/>
      <c r="J2491" s="4"/>
      <c r="K2491" s="4"/>
      <c r="L2491" s="4"/>
      <c r="M2491" s="4"/>
      <c r="N2491" s="4"/>
      <c r="O2491" s="4"/>
      <c r="P2491" s="4"/>
      <c r="Q2491" s="4"/>
      <c r="R2491" s="14"/>
      <c r="S2491" s="14"/>
      <c r="T2491" s="14"/>
      <c r="U2491" s="14"/>
      <c r="V2491" s="14"/>
      <c r="W2491" s="14"/>
      <c r="X2491" s="1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4"/>
      <c r="AU2491" s="4"/>
      <c r="AV2491" s="4"/>
      <c r="AW2491" s="4"/>
      <c r="AX2491" s="4"/>
      <c r="AY2491" s="4"/>
      <c r="AZ2491" s="4"/>
      <c r="BA2491" s="4"/>
      <c r="BB2491" s="4"/>
      <c r="BC2491" s="4"/>
      <c r="BD2491" s="4"/>
      <c r="BE2491" s="4"/>
      <c r="BG2491" s="4"/>
      <c r="BH2491" s="4"/>
    </row>
    <row r="2492" spans="1:60" x14ac:dyDescent="0.35">
      <c r="A2492" s="4"/>
      <c r="B2492" s="4"/>
      <c r="D2492" s="6" t="str">
        <f t="shared" si="160"/>
        <v/>
      </c>
      <c r="E2492" s="6" t="str">
        <f t="shared" si="161"/>
        <v/>
      </c>
      <c r="F2492" s="6" t="str">
        <f t="shared" si="162"/>
        <v/>
      </c>
      <c r="G2492" s="4"/>
      <c r="H2492" s="4"/>
      <c r="I2492" s="4"/>
      <c r="J2492" s="4"/>
      <c r="K2492" s="4"/>
      <c r="L2492" s="4"/>
      <c r="M2492" s="4"/>
      <c r="N2492" s="4"/>
      <c r="O2492" s="4"/>
      <c r="P2492" s="4"/>
      <c r="Q2492" s="4"/>
      <c r="R2492" s="14"/>
      <c r="S2492" s="14"/>
      <c r="T2492" s="14"/>
      <c r="U2492" s="14"/>
      <c r="V2492" s="14"/>
      <c r="W2492" s="14"/>
      <c r="X2492" s="1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4"/>
      <c r="AU2492" s="4"/>
      <c r="AV2492" s="4"/>
      <c r="AW2492" s="4"/>
      <c r="AX2492" s="4"/>
      <c r="AY2492" s="4"/>
      <c r="AZ2492" s="4"/>
      <c r="BA2492" s="4"/>
      <c r="BB2492" s="4"/>
      <c r="BC2492" s="4"/>
      <c r="BD2492" s="4"/>
      <c r="BE2492" s="4"/>
      <c r="BG2492" s="4"/>
      <c r="BH2492" s="4"/>
    </row>
    <row r="2493" spans="1:60" x14ac:dyDescent="0.35">
      <c r="A2493" s="4"/>
      <c r="B2493" s="4"/>
      <c r="D2493" s="6" t="str">
        <f t="shared" ref="D2493:D2556" si="163">IF(C2493="","",VLOOKUP(C2493,district_region,2,FALSE))</f>
        <v/>
      </c>
      <c r="E2493" s="6" t="str">
        <f t="shared" ref="E2493:E2556" si="164">IF(C2493="","",VLOOKUP(C2493,liste_pop,3,FALSE))</f>
        <v/>
      </c>
      <c r="F2493" s="6" t="str">
        <f t="shared" ref="F2493:F2556" si="165">IF(D2493="","",IF(D2493="Dakar",4042240,VLOOKUP(D2493,liste_pop,4,FALSE)))</f>
        <v/>
      </c>
      <c r="G2493" s="4"/>
      <c r="H2493" s="4"/>
      <c r="I2493" s="4"/>
      <c r="J2493" s="4"/>
      <c r="K2493" s="4"/>
      <c r="L2493" s="4"/>
      <c r="M2493" s="4"/>
      <c r="N2493" s="4"/>
      <c r="O2493" s="4"/>
      <c r="P2493" s="4"/>
      <c r="Q2493" s="4"/>
      <c r="R2493" s="14"/>
      <c r="S2493" s="14"/>
      <c r="T2493" s="14"/>
      <c r="U2493" s="14"/>
      <c r="V2493" s="14"/>
      <c r="W2493" s="14"/>
      <c r="X2493" s="14"/>
      <c r="Y2493" s="4"/>
      <c r="Z2493" s="4"/>
      <c r="AA2493" s="4"/>
      <c r="AB2493" s="4"/>
      <c r="AC2493" s="4"/>
      <c r="AD2493" s="4"/>
      <c r="AE2493" s="4"/>
      <c r="AF2493" s="4"/>
      <c r="AG2493" s="4"/>
      <c r="AH2493" s="4"/>
      <c r="AI2493" s="4"/>
      <c r="AJ2493" s="4"/>
      <c r="AK2493" s="4"/>
      <c r="AL2493" s="4"/>
      <c r="AM2493" s="4"/>
      <c r="AN2493" s="4"/>
      <c r="AO2493" s="4"/>
      <c r="AP2493" s="4"/>
      <c r="AQ2493" s="4"/>
      <c r="AR2493" s="4"/>
      <c r="AS2493" s="4"/>
      <c r="AT2493" s="4"/>
      <c r="AU2493" s="4"/>
      <c r="AV2493" s="4"/>
      <c r="AW2493" s="4"/>
      <c r="AX2493" s="4"/>
      <c r="AY2493" s="4"/>
      <c r="AZ2493" s="4"/>
      <c r="BA2493" s="4"/>
      <c r="BB2493" s="4"/>
      <c r="BC2493" s="4"/>
      <c r="BD2493" s="4"/>
      <c r="BE2493" s="4"/>
      <c r="BG2493" s="4"/>
      <c r="BH2493" s="4"/>
    </row>
    <row r="2494" spans="1:60" x14ac:dyDescent="0.35">
      <c r="A2494" s="4"/>
      <c r="B2494" s="4"/>
      <c r="D2494" s="6" t="str">
        <f t="shared" si="163"/>
        <v/>
      </c>
      <c r="E2494" s="6" t="str">
        <f t="shared" si="164"/>
        <v/>
      </c>
      <c r="F2494" s="6" t="str">
        <f t="shared" si="165"/>
        <v/>
      </c>
      <c r="G2494" s="4"/>
      <c r="H2494" s="4"/>
      <c r="I2494" s="4"/>
      <c r="J2494" s="4"/>
      <c r="K2494" s="4"/>
      <c r="L2494" s="4"/>
      <c r="M2494" s="4"/>
      <c r="N2494" s="4"/>
      <c r="O2494" s="4"/>
      <c r="P2494" s="4"/>
      <c r="Q2494" s="4"/>
      <c r="R2494" s="14"/>
      <c r="S2494" s="14"/>
      <c r="T2494" s="14"/>
      <c r="U2494" s="14"/>
      <c r="V2494" s="14"/>
      <c r="W2494" s="14"/>
      <c r="X2494" s="1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4"/>
      <c r="AU2494" s="4"/>
      <c r="AV2494" s="4"/>
      <c r="AW2494" s="4"/>
      <c r="AX2494" s="4"/>
      <c r="AY2494" s="4"/>
      <c r="AZ2494" s="4"/>
      <c r="BA2494" s="4"/>
      <c r="BB2494" s="4"/>
      <c r="BC2494" s="4"/>
      <c r="BD2494" s="4"/>
      <c r="BE2494" s="4"/>
      <c r="BG2494" s="4"/>
      <c r="BH2494" s="4"/>
    </row>
    <row r="2495" spans="1:60" x14ac:dyDescent="0.35">
      <c r="A2495" s="4"/>
      <c r="B2495" s="4"/>
      <c r="D2495" s="6" t="str">
        <f t="shared" si="163"/>
        <v/>
      </c>
      <c r="E2495" s="6" t="str">
        <f t="shared" si="164"/>
        <v/>
      </c>
      <c r="F2495" s="6" t="str">
        <f t="shared" si="165"/>
        <v/>
      </c>
      <c r="G2495" s="4"/>
      <c r="H2495" s="4"/>
      <c r="I2495" s="4"/>
      <c r="J2495" s="4"/>
      <c r="K2495" s="4"/>
      <c r="L2495" s="4"/>
      <c r="M2495" s="4"/>
      <c r="N2495" s="4"/>
      <c r="O2495" s="4"/>
      <c r="P2495" s="4"/>
      <c r="Q2495" s="4"/>
      <c r="R2495" s="14"/>
      <c r="S2495" s="14"/>
      <c r="T2495" s="14"/>
      <c r="U2495" s="14"/>
      <c r="V2495" s="14"/>
      <c r="W2495" s="14"/>
      <c r="X2495" s="1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4"/>
      <c r="AU2495" s="4"/>
      <c r="AV2495" s="4"/>
      <c r="AW2495" s="4"/>
      <c r="AX2495" s="4"/>
      <c r="AY2495" s="4"/>
      <c r="AZ2495" s="4"/>
      <c r="BA2495" s="4"/>
      <c r="BB2495" s="4"/>
      <c r="BC2495" s="4"/>
      <c r="BD2495" s="4"/>
      <c r="BE2495" s="4"/>
      <c r="BG2495" s="4"/>
      <c r="BH2495" s="4"/>
    </row>
    <row r="2496" spans="1:60" x14ac:dyDescent="0.35">
      <c r="A2496" s="4"/>
      <c r="B2496" s="4"/>
      <c r="D2496" s="6" t="str">
        <f t="shared" si="163"/>
        <v/>
      </c>
      <c r="E2496" s="6" t="str">
        <f t="shared" si="164"/>
        <v/>
      </c>
      <c r="F2496" s="6" t="str">
        <f t="shared" si="165"/>
        <v/>
      </c>
      <c r="G2496" s="4"/>
      <c r="H2496" s="4"/>
      <c r="I2496" s="4"/>
      <c r="J2496" s="4"/>
      <c r="K2496" s="4"/>
      <c r="L2496" s="4"/>
      <c r="M2496" s="4"/>
      <c r="N2496" s="4"/>
      <c r="O2496" s="4"/>
      <c r="P2496" s="4"/>
      <c r="Q2496" s="4"/>
      <c r="R2496" s="14"/>
      <c r="S2496" s="14"/>
      <c r="T2496" s="14"/>
      <c r="U2496" s="14"/>
      <c r="V2496" s="14"/>
      <c r="W2496" s="14"/>
      <c r="X2496" s="1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4"/>
      <c r="AU2496" s="4"/>
      <c r="AV2496" s="4"/>
      <c r="AW2496" s="4"/>
      <c r="AX2496" s="4"/>
      <c r="AY2496" s="4"/>
      <c r="AZ2496" s="4"/>
      <c r="BA2496" s="4"/>
      <c r="BB2496" s="4"/>
      <c r="BC2496" s="4"/>
      <c r="BD2496" s="4"/>
      <c r="BE2496" s="4"/>
      <c r="BG2496" s="4"/>
      <c r="BH2496" s="4"/>
    </row>
    <row r="2497" spans="1:60" x14ac:dyDescent="0.35">
      <c r="A2497" s="4"/>
      <c r="B2497" s="4"/>
      <c r="D2497" s="6" t="str">
        <f t="shared" si="163"/>
        <v/>
      </c>
      <c r="E2497" s="6" t="str">
        <f t="shared" si="164"/>
        <v/>
      </c>
      <c r="F2497" s="6" t="str">
        <f t="shared" si="165"/>
        <v/>
      </c>
      <c r="G2497" s="4"/>
      <c r="H2497" s="4"/>
      <c r="I2497" s="4"/>
      <c r="J2497" s="4"/>
      <c r="K2497" s="4"/>
      <c r="L2497" s="4"/>
      <c r="M2497" s="4"/>
      <c r="N2497" s="4"/>
      <c r="O2497" s="4"/>
      <c r="P2497" s="4"/>
      <c r="Q2497" s="4"/>
      <c r="R2497" s="14"/>
      <c r="S2497" s="14"/>
      <c r="T2497" s="14"/>
      <c r="U2497" s="14"/>
      <c r="V2497" s="14"/>
      <c r="W2497" s="14"/>
      <c r="X2497" s="1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4"/>
      <c r="AU2497" s="4"/>
      <c r="AV2497" s="4"/>
      <c r="AW2497" s="4"/>
      <c r="AX2497" s="4"/>
      <c r="AY2497" s="4"/>
      <c r="AZ2497" s="4"/>
      <c r="BA2497" s="4"/>
      <c r="BB2497" s="4"/>
      <c r="BC2497" s="4"/>
      <c r="BD2497" s="4"/>
      <c r="BE2497" s="4"/>
      <c r="BG2497" s="4"/>
      <c r="BH2497" s="4"/>
    </row>
    <row r="2498" spans="1:60" x14ac:dyDescent="0.35">
      <c r="A2498" s="4"/>
      <c r="B2498" s="4"/>
      <c r="D2498" s="6" t="str">
        <f t="shared" si="163"/>
        <v/>
      </c>
      <c r="E2498" s="6" t="str">
        <f t="shared" si="164"/>
        <v/>
      </c>
      <c r="F2498" s="6" t="str">
        <f t="shared" si="165"/>
        <v/>
      </c>
      <c r="G2498" s="4"/>
      <c r="H2498" s="4"/>
      <c r="I2498" s="4"/>
      <c r="J2498" s="4"/>
      <c r="K2498" s="4"/>
      <c r="L2498" s="4"/>
      <c r="M2498" s="4"/>
      <c r="N2498" s="4"/>
      <c r="O2498" s="4"/>
      <c r="P2498" s="4"/>
      <c r="Q2498" s="4"/>
      <c r="R2498" s="14"/>
      <c r="S2498" s="14"/>
      <c r="T2498" s="14"/>
      <c r="U2498" s="14"/>
      <c r="V2498" s="14"/>
      <c r="W2498" s="14"/>
      <c r="X2498" s="14"/>
      <c r="Y2498" s="4"/>
      <c r="Z2498" s="4"/>
      <c r="AA2498" s="4"/>
      <c r="AB2498" s="4"/>
      <c r="AC2498" s="4"/>
      <c r="AD2498" s="4"/>
      <c r="AE2498" s="4"/>
      <c r="AF2498" s="4"/>
      <c r="AG2498" s="4"/>
      <c r="AH2498" s="4"/>
      <c r="AI2498" s="4"/>
      <c r="AJ2498" s="4"/>
      <c r="AK2498" s="4"/>
      <c r="AL2498" s="4"/>
      <c r="AM2498" s="4"/>
      <c r="AN2498" s="4"/>
      <c r="AO2498" s="4"/>
      <c r="AP2498" s="4"/>
      <c r="AQ2498" s="4"/>
      <c r="AR2498" s="4"/>
      <c r="AS2498" s="4"/>
      <c r="AT2498" s="4"/>
      <c r="AU2498" s="4"/>
      <c r="AV2498" s="4"/>
      <c r="AW2498" s="4"/>
      <c r="AX2498" s="4"/>
      <c r="AY2498" s="4"/>
      <c r="AZ2498" s="4"/>
      <c r="BA2498" s="4"/>
      <c r="BB2498" s="4"/>
      <c r="BC2498" s="4"/>
      <c r="BD2498" s="4"/>
      <c r="BE2498" s="4"/>
      <c r="BG2498" s="4"/>
      <c r="BH2498" s="4"/>
    </row>
    <row r="2499" spans="1:60" x14ac:dyDescent="0.35">
      <c r="A2499" s="4"/>
      <c r="B2499" s="4"/>
      <c r="D2499" s="6" t="str">
        <f t="shared" si="163"/>
        <v/>
      </c>
      <c r="E2499" s="6" t="str">
        <f t="shared" si="164"/>
        <v/>
      </c>
      <c r="F2499" s="6" t="str">
        <f t="shared" si="165"/>
        <v/>
      </c>
      <c r="G2499" s="4"/>
      <c r="H2499" s="4"/>
      <c r="I2499" s="4"/>
      <c r="J2499" s="4"/>
      <c r="K2499" s="4"/>
      <c r="L2499" s="4"/>
      <c r="M2499" s="4"/>
      <c r="N2499" s="4"/>
      <c r="O2499" s="4"/>
      <c r="P2499" s="4"/>
      <c r="Q2499" s="4"/>
      <c r="R2499" s="14"/>
      <c r="S2499" s="14"/>
      <c r="T2499" s="14"/>
      <c r="U2499" s="14"/>
      <c r="V2499" s="14"/>
      <c r="W2499" s="14"/>
      <c r="X2499" s="1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4"/>
      <c r="AU2499" s="4"/>
      <c r="AV2499" s="4"/>
      <c r="AW2499" s="4"/>
      <c r="AX2499" s="4"/>
      <c r="AY2499" s="4"/>
      <c r="AZ2499" s="4"/>
      <c r="BA2499" s="4"/>
      <c r="BB2499" s="4"/>
      <c r="BC2499" s="4"/>
      <c r="BD2499" s="4"/>
      <c r="BE2499" s="4"/>
      <c r="BG2499" s="4"/>
      <c r="BH2499" s="4"/>
    </row>
    <row r="2500" spans="1:60" x14ac:dyDescent="0.35">
      <c r="A2500" s="4"/>
      <c r="B2500" s="4"/>
      <c r="D2500" s="6" t="str">
        <f t="shared" si="163"/>
        <v/>
      </c>
      <c r="E2500" s="6" t="str">
        <f t="shared" si="164"/>
        <v/>
      </c>
      <c r="F2500" s="6" t="str">
        <f t="shared" si="165"/>
        <v/>
      </c>
      <c r="G2500" s="4"/>
      <c r="H2500" s="4"/>
      <c r="I2500" s="4"/>
      <c r="J2500" s="4"/>
      <c r="K2500" s="4"/>
      <c r="L2500" s="4"/>
      <c r="M2500" s="4"/>
      <c r="N2500" s="4"/>
      <c r="O2500" s="4"/>
      <c r="P2500" s="4"/>
      <c r="Q2500" s="4"/>
      <c r="R2500" s="14"/>
      <c r="S2500" s="14"/>
      <c r="T2500" s="14"/>
      <c r="U2500" s="14"/>
      <c r="V2500" s="14"/>
      <c r="W2500" s="14"/>
      <c r="X2500" s="1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4"/>
      <c r="AU2500" s="4"/>
      <c r="AV2500" s="4"/>
      <c r="AW2500" s="4"/>
      <c r="AX2500" s="4"/>
      <c r="AY2500" s="4"/>
      <c r="AZ2500" s="4"/>
      <c r="BA2500" s="4"/>
      <c r="BB2500" s="4"/>
      <c r="BC2500" s="4"/>
      <c r="BD2500" s="4"/>
      <c r="BE2500" s="4"/>
      <c r="BG2500" s="4"/>
      <c r="BH2500" s="4"/>
    </row>
    <row r="2501" spans="1:60" x14ac:dyDescent="0.35">
      <c r="A2501" s="4"/>
      <c r="B2501" s="4"/>
      <c r="D2501" s="6" t="str">
        <f t="shared" si="163"/>
        <v/>
      </c>
      <c r="E2501" s="6" t="str">
        <f t="shared" si="164"/>
        <v/>
      </c>
      <c r="F2501" s="6" t="str">
        <f t="shared" si="165"/>
        <v/>
      </c>
      <c r="G2501" s="4"/>
      <c r="H2501" s="4"/>
      <c r="I2501" s="4"/>
      <c r="J2501" s="4"/>
      <c r="K2501" s="4"/>
      <c r="L2501" s="4"/>
      <c r="M2501" s="4"/>
      <c r="N2501" s="4"/>
      <c r="O2501" s="4"/>
      <c r="P2501" s="4"/>
      <c r="Q2501" s="4"/>
      <c r="R2501" s="14"/>
      <c r="S2501" s="14"/>
      <c r="T2501" s="14"/>
      <c r="U2501" s="14"/>
      <c r="V2501" s="14"/>
      <c r="W2501" s="14"/>
      <c r="X2501" s="1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4"/>
      <c r="AU2501" s="4"/>
      <c r="AV2501" s="4"/>
      <c r="AW2501" s="4"/>
      <c r="AX2501" s="4"/>
      <c r="AY2501" s="4"/>
      <c r="AZ2501" s="4"/>
      <c r="BA2501" s="4"/>
      <c r="BB2501" s="4"/>
      <c r="BC2501" s="4"/>
      <c r="BD2501" s="4"/>
      <c r="BE2501" s="4"/>
      <c r="BG2501" s="4"/>
      <c r="BH2501" s="4"/>
    </row>
    <row r="2502" spans="1:60" x14ac:dyDescent="0.35">
      <c r="A2502" s="4"/>
      <c r="B2502" s="4"/>
      <c r="D2502" s="6" t="str">
        <f t="shared" si="163"/>
        <v/>
      </c>
      <c r="E2502" s="6" t="str">
        <f t="shared" si="164"/>
        <v/>
      </c>
      <c r="F2502" s="6" t="str">
        <f t="shared" si="165"/>
        <v/>
      </c>
      <c r="G2502" s="4"/>
      <c r="H2502" s="4"/>
      <c r="I2502" s="4"/>
      <c r="J2502" s="4"/>
      <c r="K2502" s="4"/>
      <c r="L2502" s="4"/>
      <c r="M2502" s="4"/>
      <c r="N2502" s="4"/>
      <c r="O2502" s="4"/>
      <c r="P2502" s="4"/>
      <c r="Q2502" s="4"/>
      <c r="R2502" s="14"/>
      <c r="S2502" s="14"/>
      <c r="T2502" s="14"/>
      <c r="U2502" s="14"/>
      <c r="V2502" s="14"/>
      <c r="W2502" s="14"/>
      <c r="X2502" s="1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4"/>
      <c r="AU2502" s="4"/>
      <c r="AV2502" s="4"/>
      <c r="AW2502" s="4"/>
      <c r="AX2502" s="4"/>
      <c r="AY2502" s="4"/>
      <c r="AZ2502" s="4"/>
      <c r="BA2502" s="4"/>
      <c r="BB2502" s="4"/>
      <c r="BC2502" s="4"/>
      <c r="BD2502" s="4"/>
      <c r="BE2502" s="4"/>
      <c r="BG2502" s="4"/>
      <c r="BH2502" s="4"/>
    </row>
    <row r="2503" spans="1:60" x14ac:dyDescent="0.35">
      <c r="A2503" s="4"/>
      <c r="B2503" s="4"/>
      <c r="D2503" s="6" t="str">
        <f t="shared" si="163"/>
        <v/>
      </c>
      <c r="E2503" s="6" t="str">
        <f t="shared" si="164"/>
        <v/>
      </c>
      <c r="F2503" s="6" t="str">
        <f t="shared" si="165"/>
        <v/>
      </c>
      <c r="G2503" s="4"/>
      <c r="H2503" s="4"/>
      <c r="I2503" s="4"/>
      <c r="J2503" s="4"/>
      <c r="K2503" s="4"/>
      <c r="L2503" s="4"/>
      <c r="M2503" s="4"/>
      <c r="N2503" s="4"/>
      <c r="O2503" s="4"/>
      <c r="P2503" s="4"/>
      <c r="Q2503" s="4"/>
      <c r="R2503" s="14"/>
      <c r="S2503" s="14"/>
      <c r="T2503" s="14"/>
      <c r="U2503" s="14"/>
      <c r="V2503" s="14"/>
      <c r="W2503" s="14"/>
      <c r="X2503" s="14"/>
      <c r="Y2503" s="4"/>
      <c r="Z2503" s="4"/>
      <c r="AA2503" s="4"/>
      <c r="AB2503" s="4"/>
      <c r="AC2503" s="4"/>
      <c r="AD2503" s="4"/>
      <c r="AE2503" s="4"/>
      <c r="AF2503" s="4"/>
      <c r="AG2503" s="4"/>
      <c r="AH2503" s="4"/>
      <c r="AI2503" s="4"/>
      <c r="AJ2503" s="4"/>
      <c r="AK2503" s="4"/>
      <c r="AL2503" s="4"/>
      <c r="AM2503" s="4"/>
      <c r="AN2503" s="4"/>
      <c r="AO2503" s="4"/>
      <c r="AP2503" s="4"/>
      <c r="AQ2503" s="4"/>
      <c r="AR2503" s="4"/>
      <c r="AS2503" s="4"/>
      <c r="AT2503" s="4"/>
      <c r="AU2503" s="4"/>
      <c r="AV2503" s="4"/>
      <c r="AW2503" s="4"/>
      <c r="AX2503" s="4"/>
      <c r="AY2503" s="4"/>
      <c r="AZ2503" s="4"/>
      <c r="BA2503" s="4"/>
      <c r="BB2503" s="4"/>
      <c r="BC2503" s="4"/>
      <c r="BD2503" s="4"/>
      <c r="BE2503" s="4"/>
      <c r="BG2503" s="4"/>
      <c r="BH2503" s="4"/>
    </row>
    <row r="2504" spans="1:60" x14ac:dyDescent="0.35">
      <c r="A2504" s="4"/>
      <c r="B2504" s="4"/>
      <c r="D2504" s="6" t="str">
        <f t="shared" si="163"/>
        <v/>
      </c>
      <c r="E2504" s="6" t="str">
        <f t="shared" si="164"/>
        <v/>
      </c>
      <c r="F2504" s="6" t="str">
        <f t="shared" si="165"/>
        <v/>
      </c>
      <c r="G2504" s="4"/>
      <c r="H2504" s="4"/>
      <c r="I2504" s="4"/>
      <c r="J2504" s="4"/>
      <c r="K2504" s="4"/>
      <c r="L2504" s="4"/>
      <c r="M2504" s="4"/>
      <c r="N2504" s="4"/>
      <c r="O2504" s="4"/>
      <c r="P2504" s="4"/>
      <c r="Q2504" s="4"/>
      <c r="R2504" s="14"/>
      <c r="S2504" s="14"/>
      <c r="T2504" s="14"/>
      <c r="U2504" s="14"/>
      <c r="V2504" s="14"/>
      <c r="W2504" s="14"/>
      <c r="X2504" s="1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4"/>
      <c r="AU2504" s="4"/>
      <c r="AV2504" s="4"/>
      <c r="AW2504" s="4"/>
      <c r="AX2504" s="4"/>
      <c r="AY2504" s="4"/>
      <c r="AZ2504" s="4"/>
      <c r="BA2504" s="4"/>
      <c r="BB2504" s="4"/>
      <c r="BC2504" s="4"/>
      <c r="BD2504" s="4"/>
      <c r="BE2504" s="4"/>
      <c r="BG2504" s="4"/>
      <c r="BH2504" s="4"/>
    </row>
    <row r="2505" spans="1:60" x14ac:dyDescent="0.35">
      <c r="A2505" s="4"/>
      <c r="B2505" s="4"/>
      <c r="D2505" s="6" t="str">
        <f t="shared" si="163"/>
        <v/>
      </c>
      <c r="E2505" s="6" t="str">
        <f t="shared" si="164"/>
        <v/>
      </c>
      <c r="F2505" s="6" t="str">
        <f t="shared" si="165"/>
        <v/>
      </c>
      <c r="G2505" s="4"/>
      <c r="H2505" s="4"/>
      <c r="I2505" s="4"/>
      <c r="J2505" s="4"/>
      <c r="K2505" s="4"/>
      <c r="L2505" s="4"/>
      <c r="M2505" s="4"/>
      <c r="N2505" s="4"/>
      <c r="O2505" s="4"/>
      <c r="P2505" s="4"/>
      <c r="Q2505" s="4"/>
      <c r="R2505" s="14"/>
      <c r="S2505" s="14"/>
      <c r="T2505" s="14"/>
      <c r="U2505" s="14"/>
      <c r="V2505" s="14"/>
      <c r="W2505" s="14"/>
      <c r="X2505" s="1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4"/>
      <c r="AU2505" s="4"/>
      <c r="AV2505" s="4"/>
      <c r="AW2505" s="4"/>
      <c r="AX2505" s="4"/>
      <c r="AY2505" s="4"/>
      <c r="AZ2505" s="4"/>
      <c r="BA2505" s="4"/>
      <c r="BB2505" s="4"/>
      <c r="BC2505" s="4"/>
      <c r="BD2505" s="4"/>
      <c r="BE2505" s="4"/>
      <c r="BG2505" s="4"/>
      <c r="BH2505" s="4"/>
    </row>
    <row r="2506" spans="1:60" x14ac:dyDescent="0.35">
      <c r="A2506" s="4"/>
      <c r="B2506" s="4"/>
      <c r="D2506" s="6" t="str">
        <f t="shared" si="163"/>
        <v/>
      </c>
      <c r="E2506" s="6" t="str">
        <f t="shared" si="164"/>
        <v/>
      </c>
      <c r="F2506" s="6" t="str">
        <f t="shared" si="165"/>
        <v/>
      </c>
      <c r="G2506" s="4"/>
      <c r="H2506" s="4"/>
      <c r="I2506" s="4"/>
      <c r="J2506" s="4"/>
      <c r="K2506" s="4"/>
      <c r="L2506" s="4"/>
      <c r="M2506" s="4"/>
      <c r="N2506" s="4"/>
      <c r="O2506" s="4"/>
      <c r="P2506" s="4"/>
      <c r="Q2506" s="4"/>
      <c r="R2506" s="14"/>
      <c r="S2506" s="14"/>
      <c r="T2506" s="14"/>
      <c r="U2506" s="14"/>
      <c r="V2506" s="14"/>
      <c r="W2506" s="14"/>
      <c r="X2506" s="1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4"/>
      <c r="AU2506" s="4"/>
      <c r="AV2506" s="4"/>
      <c r="AW2506" s="4"/>
      <c r="AX2506" s="4"/>
      <c r="AY2506" s="4"/>
      <c r="AZ2506" s="4"/>
      <c r="BA2506" s="4"/>
      <c r="BB2506" s="4"/>
      <c r="BC2506" s="4"/>
      <c r="BD2506" s="4"/>
      <c r="BE2506" s="4"/>
      <c r="BG2506" s="4"/>
      <c r="BH2506" s="4"/>
    </row>
    <row r="2507" spans="1:60" x14ac:dyDescent="0.35">
      <c r="A2507" s="4"/>
      <c r="B2507" s="4"/>
      <c r="D2507" s="6" t="str">
        <f t="shared" si="163"/>
        <v/>
      </c>
      <c r="E2507" s="6" t="str">
        <f t="shared" si="164"/>
        <v/>
      </c>
      <c r="F2507" s="6" t="str">
        <f t="shared" si="165"/>
        <v/>
      </c>
      <c r="G2507" s="4"/>
      <c r="H2507" s="4"/>
      <c r="I2507" s="4"/>
      <c r="J2507" s="4"/>
      <c r="K2507" s="4"/>
      <c r="L2507" s="4"/>
      <c r="M2507" s="4"/>
      <c r="N2507" s="4"/>
      <c r="O2507" s="4"/>
      <c r="P2507" s="4"/>
      <c r="Q2507" s="4"/>
      <c r="R2507" s="14"/>
      <c r="S2507" s="14"/>
      <c r="T2507" s="14"/>
      <c r="U2507" s="14"/>
      <c r="V2507" s="14"/>
      <c r="W2507" s="14"/>
      <c r="X2507" s="1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4"/>
      <c r="AU2507" s="4"/>
      <c r="AV2507" s="4"/>
      <c r="AW2507" s="4"/>
      <c r="AX2507" s="4"/>
      <c r="AY2507" s="4"/>
      <c r="AZ2507" s="4"/>
      <c r="BA2507" s="4"/>
      <c r="BB2507" s="4"/>
      <c r="BC2507" s="4"/>
      <c r="BD2507" s="4"/>
      <c r="BE2507" s="4"/>
      <c r="BG2507" s="4"/>
      <c r="BH2507" s="4"/>
    </row>
    <row r="2508" spans="1:60" x14ac:dyDescent="0.35">
      <c r="A2508" s="4"/>
      <c r="B2508" s="4"/>
      <c r="D2508" s="6" t="str">
        <f t="shared" si="163"/>
        <v/>
      </c>
      <c r="E2508" s="6" t="str">
        <f t="shared" si="164"/>
        <v/>
      </c>
      <c r="F2508" s="6" t="str">
        <f t="shared" si="165"/>
        <v/>
      </c>
      <c r="G2508" s="4"/>
      <c r="H2508" s="4"/>
      <c r="I2508" s="4"/>
      <c r="J2508" s="4"/>
      <c r="K2508" s="4"/>
      <c r="L2508" s="4"/>
      <c r="M2508" s="4"/>
      <c r="N2508" s="4"/>
      <c r="O2508" s="4"/>
      <c r="P2508" s="4"/>
      <c r="Q2508" s="4"/>
      <c r="R2508" s="14"/>
      <c r="S2508" s="14"/>
      <c r="T2508" s="14"/>
      <c r="U2508" s="14"/>
      <c r="V2508" s="14"/>
      <c r="W2508" s="14"/>
      <c r="X2508" s="14"/>
      <c r="Y2508" s="4"/>
      <c r="Z2508" s="4"/>
      <c r="AA2508" s="4"/>
      <c r="AB2508" s="4"/>
      <c r="AC2508" s="4"/>
      <c r="AD2508" s="4"/>
      <c r="AE2508" s="4"/>
      <c r="AF2508" s="4"/>
      <c r="AG2508" s="4"/>
      <c r="AH2508" s="4"/>
      <c r="AI2508" s="4"/>
      <c r="AJ2508" s="4"/>
      <c r="AK2508" s="4"/>
      <c r="AL2508" s="4"/>
      <c r="AM2508" s="4"/>
      <c r="AN2508" s="4"/>
      <c r="AO2508" s="4"/>
      <c r="AP2508" s="4"/>
      <c r="AQ2508" s="4"/>
      <c r="AR2508" s="4"/>
      <c r="AS2508" s="4"/>
      <c r="AT2508" s="4"/>
      <c r="AU2508" s="4"/>
      <c r="AV2508" s="4"/>
      <c r="AW2508" s="4"/>
      <c r="AX2508" s="4"/>
      <c r="AY2508" s="4"/>
      <c r="AZ2508" s="4"/>
      <c r="BA2508" s="4"/>
      <c r="BB2508" s="4"/>
      <c r="BC2508" s="4"/>
      <c r="BD2508" s="4"/>
      <c r="BE2508" s="4"/>
      <c r="BG2508" s="4"/>
      <c r="BH2508" s="4"/>
    </row>
    <row r="2509" spans="1:60" x14ac:dyDescent="0.35">
      <c r="A2509" s="4"/>
      <c r="B2509" s="4"/>
      <c r="D2509" s="6" t="str">
        <f t="shared" si="163"/>
        <v/>
      </c>
      <c r="E2509" s="6" t="str">
        <f t="shared" si="164"/>
        <v/>
      </c>
      <c r="F2509" s="6" t="str">
        <f t="shared" si="165"/>
        <v/>
      </c>
      <c r="G2509" s="4"/>
      <c r="H2509" s="4"/>
      <c r="I2509" s="4"/>
      <c r="J2509" s="4"/>
      <c r="K2509" s="4"/>
      <c r="L2509" s="4"/>
      <c r="M2509" s="4"/>
      <c r="N2509" s="4"/>
      <c r="O2509" s="4"/>
      <c r="P2509" s="4"/>
      <c r="Q2509" s="4"/>
      <c r="R2509" s="14"/>
      <c r="S2509" s="14"/>
      <c r="T2509" s="14"/>
      <c r="U2509" s="14"/>
      <c r="V2509" s="14"/>
      <c r="W2509" s="14"/>
      <c r="X2509" s="1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4"/>
      <c r="AU2509" s="4"/>
      <c r="AV2509" s="4"/>
      <c r="AW2509" s="4"/>
      <c r="AX2509" s="4"/>
      <c r="AY2509" s="4"/>
      <c r="AZ2509" s="4"/>
      <c r="BA2509" s="4"/>
      <c r="BB2509" s="4"/>
      <c r="BC2509" s="4"/>
      <c r="BD2509" s="4"/>
      <c r="BE2509" s="4"/>
      <c r="BG2509" s="4"/>
      <c r="BH2509" s="4"/>
    </row>
    <row r="2510" spans="1:60" x14ac:dyDescent="0.35">
      <c r="A2510" s="4"/>
      <c r="B2510" s="4"/>
      <c r="D2510" s="6" t="str">
        <f t="shared" si="163"/>
        <v/>
      </c>
      <c r="E2510" s="6" t="str">
        <f t="shared" si="164"/>
        <v/>
      </c>
      <c r="F2510" s="6" t="str">
        <f t="shared" si="165"/>
        <v/>
      </c>
      <c r="G2510" s="4"/>
      <c r="H2510" s="4"/>
      <c r="I2510" s="4"/>
      <c r="J2510" s="4"/>
      <c r="K2510" s="4"/>
      <c r="L2510" s="4"/>
      <c r="M2510" s="4"/>
      <c r="N2510" s="4"/>
      <c r="O2510" s="4"/>
      <c r="P2510" s="4"/>
      <c r="Q2510" s="4"/>
      <c r="R2510" s="14"/>
      <c r="S2510" s="14"/>
      <c r="T2510" s="14"/>
      <c r="U2510" s="14"/>
      <c r="V2510" s="14"/>
      <c r="W2510" s="14"/>
      <c r="X2510" s="1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4"/>
      <c r="AU2510" s="4"/>
      <c r="AV2510" s="4"/>
      <c r="AW2510" s="4"/>
      <c r="AX2510" s="4"/>
      <c r="AY2510" s="4"/>
      <c r="AZ2510" s="4"/>
      <c r="BA2510" s="4"/>
      <c r="BB2510" s="4"/>
      <c r="BC2510" s="4"/>
      <c r="BD2510" s="4"/>
      <c r="BE2510" s="4"/>
      <c r="BG2510" s="4"/>
      <c r="BH2510" s="4"/>
    </row>
    <row r="2511" spans="1:60" x14ac:dyDescent="0.35">
      <c r="A2511" s="4"/>
      <c r="B2511" s="4"/>
      <c r="D2511" s="6" t="str">
        <f t="shared" si="163"/>
        <v/>
      </c>
      <c r="E2511" s="6" t="str">
        <f t="shared" si="164"/>
        <v/>
      </c>
      <c r="F2511" s="6" t="str">
        <f t="shared" si="165"/>
        <v/>
      </c>
      <c r="G2511" s="4"/>
      <c r="H2511" s="4"/>
      <c r="I2511" s="4"/>
      <c r="J2511" s="4"/>
      <c r="K2511" s="4"/>
      <c r="L2511" s="4"/>
      <c r="M2511" s="4"/>
      <c r="N2511" s="4"/>
      <c r="O2511" s="4"/>
      <c r="P2511" s="4"/>
      <c r="Q2511" s="4"/>
      <c r="R2511" s="14"/>
      <c r="S2511" s="14"/>
      <c r="T2511" s="14"/>
      <c r="U2511" s="14"/>
      <c r="V2511" s="14"/>
      <c r="W2511" s="14"/>
      <c r="X2511" s="1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4"/>
      <c r="AU2511" s="4"/>
      <c r="AV2511" s="4"/>
      <c r="AW2511" s="4"/>
      <c r="AX2511" s="4"/>
      <c r="AY2511" s="4"/>
      <c r="AZ2511" s="4"/>
      <c r="BA2511" s="4"/>
      <c r="BB2511" s="4"/>
      <c r="BC2511" s="4"/>
      <c r="BD2511" s="4"/>
      <c r="BE2511" s="4"/>
      <c r="BG2511" s="4"/>
      <c r="BH2511" s="4"/>
    </row>
    <row r="2512" spans="1:60" x14ac:dyDescent="0.35">
      <c r="A2512" s="4"/>
      <c r="B2512" s="4"/>
      <c r="D2512" s="6" t="str">
        <f t="shared" si="163"/>
        <v/>
      </c>
      <c r="E2512" s="6" t="str">
        <f t="shared" si="164"/>
        <v/>
      </c>
      <c r="F2512" s="6" t="str">
        <f t="shared" si="165"/>
        <v/>
      </c>
      <c r="G2512" s="4"/>
      <c r="H2512" s="4"/>
      <c r="I2512" s="4"/>
      <c r="J2512" s="4"/>
      <c r="K2512" s="4"/>
      <c r="L2512" s="4"/>
      <c r="M2512" s="4"/>
      <c r="N2512" s="4"/>
      <c r="O2512" s="4"/>
      <c r="P2512" s="4"/>
      <c r="Q2512" s="4"/>
      <c r="R2512" s="14"/>
      <c r="S2512" s="14"/>
      <c r="T2512" s="14"/>
      <c r="U2512" s="14"/>
      <c r="V2512" s="14"/>
      <c r="W2512" s="14"/>
      <c r="X2512" s="1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4"/>
      <c r="AU2512" s="4"/>
      <c r="AV2512" s="4"/>
      <c r="AW2512" s="4"/>
      <c r="AX2512" s="4"/>
      <c r="AY2512" s="4"/>
      <c r="AZ2512" s="4"/>
      <c r="BA2512" s="4"/>
      <c r="BB2512" s="4"/>
      <c r="BC2512" s="4"/>
      <c r="BD2512" s="4"/>
      <c r="BE2512" s="4"/>
      <c r="BG2512" s="4"/>
      <c r="BH2512" s="4"/>
    </row>
    <row r="2513" spans="1:60" x14ac:dyDescent="0.35">
      <c r="A2513" s="4"/>
      <c r="B2513" s="4"/>
      <c r="D2513" s="6" t="str">
        <f t="shared" si="163"/>
        <v/>
      </c>
      <c r="E2513" s="6" t="str">
        <f t="shared" si="164"/>
        <v/>
      </c>
      <c r="F2513" s="6" t="str">
        <f t="shared" si="165"/>
        <v/>
      </c>
      <c r="G2513" s="4"/>
      <c r="H2513" s="4"/>
      <c r="I2513" s="4"/>
      <c r="J2513" s="4"/>
      <c r="K2513" s="4"/>
      <c r="L2513" s="4"/>
      <c r="M2513" s="4"/>
      <c r="N2513" s="4"/>
      <c r="O2513" s="4"/>
      <c r="P2513" s="4"/>
      <c r="Q2513" s="4"/>
      <c r="R2513" s="14"/>
      <c r="S2513" s="14"/>
      <c r="T2513" s="14"/>
      <c r="U2513" s="14"/>
      <c r="V2513" s="14"/>
      <c r="W2513" s="14"/>
      <c r="X2513" s="14"/>
      <c r="Y2513" s="4"/>
      <c r="Z2513" s="4"/>
      <c r="AA2513" s="4"/>
      <c r="AB2513" s="4"/>
      <c r="AC2513" s="4"/>
      <c r="AD2513" s="4"/>
      <c r="AE2513" s="4"/>
      <c r="AF2513" s="4"/>
      <c r="AG2513" s="4"/>
      <c r="AH2513" s="4"/>
      <c r="AI2513" s="4"/>
      <c r="AJ2513" s="4"/>
      <c r="AK2513" s="4"/>
      <c r="AL2513" s="4"/>
      <c r="AM2513" s="4"/>
      <c r="AN2513" s="4"/>
      <c r="AO2513" s="4"/>
      <c r="AP2513" s="4"/>
      <c r="AQ2513" s="4"/>
      <c r="AR2513" s="4"/>
      <c r="AS2513" s="4"/>
      <c r="AT2513" s="4"/>
      <c r="AU2513" s="4"/>
      <c r="AV2513" s="4"/>
      <c r="AW2513" s="4"/>
      <c r="AX2513" s="4"/>
      <c r="AY2513" s="4"/>
      <c r="AZ2513" s="4"/>
      <c r="BA2513" s="4"/>
      <c r="BB2513" s="4"/>
      <c r="BC2513" s="4"/>
      <c r="BD2513" s="4"/>
      <c r="BE2513" s="4"/>
      <c r="BG2513" s="4"/>
      <c r="BH2513" s="4"/>
    </row>
    <row r="2514" spans="1:60" x14ac:dyDescent="0.35">
      <c r="A2514" s="4"/>
      <c r="B2514" s="4"/>
      <c r="D2514" s="6" t="str">
        <f t="shared" si="163"/>
        <v/>
      </c>
      <c r="E2514" s="6" t="str">
        <f t="shared" si="164"/>
        <v/>
      </c>
      <c r="F2514" s="6" t="str">
        <f t="shared" si="165"/>
        <v/>
      </c>
      <c r="G2514" s="4"/>
      <c r="H2514" s="4"/>
      <c r="I2514" s="4"/>
      <c r="J2514" s="4"/>
      <c r="K2514" s="4"/>
      <c r="L2514" s="4"/>
      <c r="M2514" s="4"/>
      <c r="N2514" s="4"/>
      <c r="O2514" s="4"/>
      <c r="P2514" s="4"/>
      <c r="Q2514" s="4"/>
      <c r="R2514" s="14"/>
      <c r="S2514" s="14"/>
      <c r="T2514" s="14"/>
      <c r="U2514" s="14"/>
      <c r="V2514" s="14"/>
      <c r="W2514" s="14"/>
      <c r="X2514" s="14"/>
      <c r="Y2514" s="4"/>
      <c r="Z2514" s="4"/>
      <c r="AA2514" s="4"/>
      <c r="AB2514" s="4"/>
      <c r="AC2514" s="4"/>
      <c r="AD2514" s="4"/>
      <c r="AE2514" s="4"/>
      <c r="AF2514" s="4"/>
      <c r="AG2514" s="4"/>
      <c r="AH2514" s="4"/>
      <c r="AI2514" s="4"/>
      <c r="AJ2514" s="4"/>
      <c r="AK2514" s="4"/>
      <c r="AL2514" s="4"/>
      <c r="AM2514" s="4"/>
      <c r="AN2514" s="4"/>
      <c r="AO2514" s="4"/>
      <c r="AP2514" s="4"/>
      <c r="AQ2514" s="4"/>
      <c r="AR2514" s="4"/>
      <c r="AS2514" s="4"/>
      <c r="AT2514" s="4"/>
      <c r="AU2514" s="4"/>
      <c r="AV2514" s="4"/>
      <c r="AW2514" s="4"/>
      <c r="AX2514" s="4"/>
      <c r="AY2514" s="4"/>
      <c r="AZ2514" s="4"/>
      <c r="BA2514" s="4"/>
      <c r="BB2514" s="4"/>
      <c r="BC2514" s="4"/>
      <c r="BD2514" s="4"/>
      <c r="BE2514" s="4"/>
      <c r="BG2514" s="4"/>
      <c r="BH2514" s="4"/>
    </row>
    <row r="2515" spans="1:60" x14ac:dyDescent="0.35">
      <c r="A2515" s="4"/>
      <c r="B2515" s="4"/>
      <c r="D2515" s="6" t="str">
        <f t="shared" si="163"/>
        <v/>
      </c>
      <c r="E2515" s="6" t="str">
        <f t="shared" si="164"/>
        <v/>
      </c>
      <c r="F2515" s="6" t="str">
        <f t="shared" si="165"/>
        <v/>
      </c>
      <c r="G2515" s="4"/>
      <c r="H2515" s="4"/>
      <c r="I2515" s="4"/>
      <c r="J2515" s="4"/>
      <c r="K2515" s="4"/>
      <c r="L2515" s="4"/>
      <c r="M2515" s="4"/>
      <c r="N2515" s="4"/>
      <c r="O2515" s="4"/>
      <c r="P2515" s="4"/>
      <c r="Q2515" s="4"/>
      <c r="R2515" s="14"/>
      <c r="S2515" s="14"/>
      <c r="T2515" s="14"/>
      <c r="U2515" s="14"/>
      <c r="V2515" s="14"/>
      <c r="W2515" s="14"/>
      <c r="X2515" s="1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4"/>
      <c r="AU2515" s="4"/>
      <c r="AV2515" s="4"/>
      <c r="AW2515" s="4"/>
      <c r="AX2515" s="4"/>
      <c r="AY2515" s="4"/>
      <c r="AZ2515" s="4"/>
      <c r="BA2515" s="4"/>
      <c r="BB2515" s="4"/>
      <c r="BC2515" s="4"/>
      <c r="BD2515" s="4"/>
      <c r="BE2515" s="4"/>
      <c r="BG2515" s="4"/>
      <c r="BH2515" s="4"/>
    </row>
    <row r="2516" spans="1:60" x14ac:dyDescent="0.35">
      <c r="A2516" s="4"/>
      <c r="B2516" s="4"/>
      <c r="D2516" s="6" t="str">
        <f t="shared" si="163"/>
        <v/>
      </c>
      <c r="E2516" s="6" t="str">
        <f t="shared" si="164"/>
        <v/>
      </c>
      <c r="F2516" s="6" t="str">
        <f t="shared" si="165"/>
        <v/>
      </c>
      <c r="G2516" s="4"/>
      <c r="H2516" s="4"/>
      <c r="I2516" s="4"/>
      <c r="J2516" s="4"/>
      <c r="K2516" s="4"/>
      <c r="L2516" s="4"/>
      <c r="M2516" s="4"/>
      <c r="N2516" s="4"/>
      <c r="O2516" s="4"/>
      <c r="P2516" s="4"/>
      <c r="Q2516" s="4"/>
      <c r="R2516" s="14"/>
      <c r="S2516" s="14"/>
      <c r="T2516" s="14"/>
      <c r="U2516" s="14"/>
      <c r="V2516" s="14"/>
      <c r="W2516" s="14"/>
      <c r="X2516" s="1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4"/>
      <c r="AU2516" s="4"/>
      <c r="AV2516" s="4"/>
      <c r="AW2516" s="4"/>
      <c r="AX2516" s="4"/>
      <c r="AY2516" s="4"/>
      <c r="AZ2516" s="4"/>
      <c r="BA2516" s="4"/>
      <c r="BB2516" s="4"/>
      <c r="BC2516" s="4"/>
      <c r="BD2516" s="4"/>
      <c r="BE2516" s="4"/>
      <c r="BG2516" s="4"/>
      <c r="BH2516" s="4"/>
    </row>
    <row r="2517" spans="1:60" x14ac:dyDescent="0.35">
      <c r="A2517" s="4"/>
      <c r="B2517" s="4"/>
      <c r="D2517" s="6" t="str">
        <f t="shared" si="163"/>
        <v/>
      </c>
      <c r="E2517" s="6" t="str">
        <f t="shared" si="164"/>
        <v/>
      </c>
      <c r="F2517" s="6" t="str">
        <f t="shared" si="165"/>
        <v/>
      </c>
      <c r="G2517" s="4"/>
      <c r="H2517" s="4"/>
      <c r="I2517" s="4"/>
      <c r="J2517" s="4"/>
      <c r="K2517" s="4"/>
      <c r="L2517" s="4"/>
      <c r="M2517" s="4"/>
      <c r="N2517" s="4"/>
      <c r="O2517" s="4"/>
      <c r="P2517" s="4"/>
      <c r="Q2517" s="4"/>
      <c r="R2517" s="14"/>
      <c r="S2517" s="14"/>
      <c r="T2517" s="14"/>
      <c r="U2517" s="14"/>
      <c r="V2517" s="14"/>
      <c r="W2517" s="14"/>
      <c r="X2517" s="1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c r="AV2517" s="4"/>
      <c r="AW2517" s="4"/>
      <c r="AX2517" s="4"/>
      <c r="AY2517" s="4"/>
      <c r="AZ2517" s="4"/>
      <c r="BA2517" s="4"/>
      <c r="BB2517" s="4"/>
      <c r="BC2517" s="4"/>
      <c r="BD2517" s="4"/>
      <c r="BE2517" s="4"/>
      <c r="BG2517" s="4"/>
      <c r="BH2517" s="4"/>
    </row>
    <row r="2518" spans="1:60" x14ac:dyDescent="0.35">
      <c r="A2518" s="4"/>
      <c r="B2518" s="4"/>
      <c r="D2518" s="6" t="str">
        <f t="shared" si="163"/>
        <v/>
      </c>
      <c r="E2518" s="6" t="str">
        <f t="shared" si="164"/>
        <v/>
      </c>
      <c r="F2518" s="6" t="str">
        <f t="shared" si="165"/>
        <v/>
      </c>
      <c r="G2518" s="4"/>
      <c r="H2518" s="4"/>
      <c r="I2518" s="4"/>
      <c r="J2518" s="4"/>
      <c r="K2518" s="4"/>
      <c r="L2518" s="4"/>
      <c r="M2518" s="4"/>
      <c r="N2518" s="4"/>
      <c r="O2518" s="4"/>
      <c r="P2518" s="4"/>
      <c r="Q2518" s="4"/>
      <c r="R2518" s="14"/>
      <c r="S2518" s="14"/>
      <c r="T2518" s="14"/>
      <c r="U2518" s="14"/>
      <c r="V2518" s="14"/>
      <c r="W2518" s="14"/>
      <c r="X2518" s="1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4"/>
      <c r="AU2518" s="4"/>
      <c r="AV2518" s="4"/>
      <c r="AW2518" s="4"/>
      <c r="AX2518" s="4"/>
      <c r="AY2518" s="4"/>
      <c r="AZ2518" s="4"/>
      <c r="BA2518" s="4"/>
      <c r="BB2518" s="4"/>
      <c r="BC2518" s="4"/>
      <c r="BD2518" s="4"/>
      <c r="BE2518" s="4"/>
      <c r="BG2518" s="4"/>
      <c r="BH2518" s="4"/>
    </row>
    <row r="2519" spans="1:60" x14ac:dyDescent="0.35">
      <c r="A2519" s="4"/>
      <c r="B2519" s="4"/>
      <c r="D2519" s="6" t="str">
        <f t="shared" si="163"/>
        <v/>
      </c>
      <c r="E2519" s="6" t="str">
        <f t="shared" si="164"/>
        <v/>
      </c>
      <c r="F2519" s="6" t="str">
        <f t="shared" si="165"/>
        <v/>
      </c>
      <c r="G2519" s="4"/>
      <c r="H2519" s="4"/>
      <c r="I2519" s="4"/>
      <c r="J2519" s="4"/>
      <c r="K2519" s="4"/>
      <c r="L2519" s="4"/>
      <c r="M2519" s="4"/>
      <c r="N2519" s="4"/>
      <c r="O2519" s="4"/>
      <c r="P2519" s="4"/>
      <c r="Q2519" s="4"/>
      <c r="R2519" s="14"/>
      <c r="S2519" s="14"/>
      <c r="T2519" s="14"/>
      <c r="U2519" s="14"/>
      <c r="V2519" s="14"/>
      <c r="W2519" s="14"/>
      <c r="X2519" s="14"/>
      <c r="Y2519" s="4"/>
      <c r="Z2519" s="4"/>
      <c r="AA2519" s="4"/>
      <c r="AB2519" s="4"/>
      <c r="AC2519" s="4"/>
      <c r="AD2519" s="4"/>
      <c r="AE2519" s="4"/>
      <c r="AF2519" s="4"/>
      <c r="AG2519" s="4"/>
      <c r="AH2519" s="4"/>
      <c r="AI2519" s="4"/>
      <c r="AJ2519" s="4"/>
      <c r="AK2519" s="4"/>
      <c r="AL2519" s="4"/>
      <c r="AM2519" s="4"/>
      <c r="AN2519" s="4"/>
      <c r="AO2519" s="4"/>
      <c r="AP2519" s="4"/>
      <c r="AQ2519" s="4"/>
      <c r="AR2519" s="4"/>
      <c r="AS2519" s="4"/>
      <c r="AT2519" s="4"/>
      <c r="AU2519" s="4"/>
      <c r="AV2519" s="4"/>
      <c r="AW2519" s="4"/>
      <c r="AX2519" s="4"/>
      <c r="AY2519" s="4"/>
      <c r="AZ2519" s="4"/>
      <c r="BA2519" s="4"/>
      <c r="BB2519" s="4"/>
      <c r="BC2519" s="4"/>
      <c r="BD2519" s="4"/>
      <c r="BE2519" s="4"/>
      <c r="BG2519" s="4"/>
      <c r="BH2519" s="4"/>
    </row>
    <row r="2520" spans="1:60" x14ac:dyDescent="0.35">
      <c r="A2520" s="4"/>
      <c r="B2520" s="4"/>
      <c r="D2520" s="6" t="str">
        <f t="shared" si="163"/>
        <v/>
      </c>
      <c r="E2520" s="6" t="str">
        <f t="shared" si="164"/>
        <v/>
      </c>
      <c r="F2520" s="6" t="str">
        <f t="shared" si="165"/>
        <v/>
      </c>
      <c r="G2520" s="4"/>
      <c r="H2520" s="4"/>
      <c r="I2520" s="4"/>
      <c r="J2520" s="4"/>
      <c r="K2520" s="4"/>
      <c r="L2520" s="4"/>
      <c r="M2520" s="4"/>
      <c r="N2520" s="4"/>
      <c r="O2520" s="4"/>
      <c r="P2520" s="4"/>
      <c r="Q2520" s="4"/>
      <c r="R2520" s="14"/>
      <c r="S2520" s="14"/>
      <c r="T2520" s="14"/>
      <c r="U2520" s="14"/>
      <c r="V2520" s="14"/>
      <c r="W2520" s="14"/>
      <c r="X2520" s="1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4"/>
      <c r="AU2520" s="4"/>
      <c r="AV2520" s="4"/>
      <c r="AW2520" s="4"/>
      <c r="AX2520" s="4"/>
      <c r="AY2520" s="4"/>
      <c r="AZ2520" s="4"/>
      <c r="BA2520" s="4"/>
      <c r="BB2520" s="4"/>
      <c r="BC2520" s="4"/>
      <c r="BD2520" s="4"/>
      <c r="BE2520" s="4"/>
      <c r="BG2520" s="4"/>
      <c r="BH2520" s="4"/>
    </row>
    <row r="2521" spans="1:60" x14ac:dyDescent="0.35">
      <c r="A2521" s="4"/>
      <c r="B2521" s="4"/>
      <c r="D2521" s="6" t="str">
        <f t="shared" si="163"/>
        <v/>
      </c>
      <c r="E2521" s="6" t="str">
        <f t="shared" si="164"/>
        <v/>
      </c>
      <c r="F2521" s="6" t="str">
        <f t="shared" si="165"/>
        <v/>
      </c>
      <c r="G2521" s="4"/>
      <c r="H2521" s="4"/>
      <c r="I2521" s="4"/>
      <c r="J2521" s="4"/>
      <c r="K2521" s="4"/>
      <c r="L2521" s="4"/>
      <c r="M2521" s="4"/>
      <c r="N2521" s="4"/>
      <c r="O2521" s="4"/>
      <c r="P2521" s="4"/>
      <c r="Q2521" s="4"/>
      <c r="R2521" s="14"/>
      <c r="S2521" s="14"/>
      <c r="T2521" s="14"/>
      <c r="U2521" s="14"/>
      <c r="V2521" s="14"/>
      <c r="W2521" s="14"/>
      <c r="X2521" s="1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4"/>
      <c r="AU2521" s="4"/>
      <c r="AV2521" s="4"/>
      <c r="AW2521" s="4"/>
      <c r="AX2521" s="4"/>
      <c r="AY2521" s="4"/>
      <c r="AZ2521" s="4"/>
      <c r="BA2521" s="4"/>
      <c r="BB2521" s="4"/>
      <c r="BC2521" s="4"/>
      <c r="BD2521" s="4"/>
      <c r="BE2521" s="4"/>
      <c r="BG2521" s="4"/>
      <c r="BH2521" s="4"/>
    </row>
    <row r="2522" spans="1:60" x14ac:dyDescent="0.35">
      <c r="A2522" s="4"/>
      <c r="B2522" s="4"/>
      <c r="D2522" s="6" t="str">
        <f t="shared" si="163"/>
        <v/>
      </c>
      <c r="E2522" s="6" t="str">
        <f t="shared" si="164"/>
        <v/>
      </c>
      <c r="F2522" s="6" t="str">
        <f t="shared" si="165"/>
        <v/>
      </c>
      <c r="G2522" s="4"/>
      <c r="H2522" s="4"/>
      <c r="I2522" s="4"/>
      <c r="J2522" s="4"/>
      <c r="K2522" s="4"/>
      <c r="L2522" s="4"/>
      <c r="M2522" s="4"/>
      <c r="N2522" s="4"/>
      <c r="O2522" s="4"/>
      <c r="P2522" s="4"/>
      <c r="Q2522" s="4"/>
      <c r="R2522" s="14"/>
      <c r="S2522" s="14"/>
      <c r="T2522" s="14"/>
      <c r="U2522" s="14"/>
      <c r="V2522" s="14"/>
      <c r="W2522" s="14"/>
      <c r="X2522" s="1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4"/>
      <c r="AU2522" s="4"/>
      <c r="AV2522" s="4"/>
      <c r="AW2522" s="4"/>
      <c r="AX2522" s="4"/>
      <c r="AY2522" s="4"/>
      <c r="AZ2522" s="4"/>
      <c r="BA2522" s="4"/>
      <c r="BB2522" s="4"/>
      <c r="BC2522" s="4"/>
      <c r="BD2522" s="4"/>
      <c r="BE2522" s="4"/>
      <c r="BG2522" s="4"/>
      <c r="BH2522" s="4"/>
    </row>
    <row r="2523" spans="1:60" x14ac:dyDescent="0.35">
      <c r="A2523" s="4"/>
      <c r="B2523" s="4"/>
      <c r="D2523" s="6" t="str">
        <f t="shared" si="163"/>
        <v/>
      </c>
      <c r="E2523" s="6" t="str">
        <f t="shared" si="164"/>
        <v/>
      </c>
      <c r="F2523" s="6" t="str">
        <f t="shared" si="165"/>
        <v/>
      </c>
      <c r="G2523" s="4"/>
      <c r="H2523" s="4"/>
      <c r="I2523" s="4"/>
      <c r="J2523" s="4"/>
      <c r="K2523" s="4"/>
      <c r="L2523" s="4"/>
      <c r="M2523" s="4"/>
      <c r="N2523" s="4"/>
      <c r="O2523" s="4"/>
      <c r="P2523" s="4"/>
      <c r="Q2523" s="4"/>
      <c r="R2523" s="14"/>
      <c r="S2523" s="14"/>
      <c r="T2523" s="14"/>
      <c r="U2523" s="14"/>
      <c r="V2523" s="14"/>
      <c r="W2523" s="14"/>
      <c r="X2523" s="1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4"/>
      <c r="AU2523" s="4"/>
      <c r="AV2523" s="4"/>
      <c r="AW2523" s="4"/>
      <c r="AX2523" s="4"/>
      <c r="AY2523" s="4"/>
      <c r="AZ2523" s="4"/>
      <c r="BA2523" s="4"/>
      <c r="BB2523" s="4"/>
      <c r="BC2523" s="4"/>
      <c r="BD2523" s="4"/>
      <c r="BE2523" s="4"/>
      <c r="BG2523" s="4"/>
      <c r="BH2523" s="4"/>
    </row>
    <row r="2524" spans="1:60" x14ac:dyDescent="0.35">
      <c r="A2524" s="4"/>
      <c r="B2524" s="4"/>
      <c r="D2524" s="6" t="str">
        <f t="shared" si="163"/>
        <v/>
      </c>
      <c r="E2524" s="6" t="str">
        <f t="shared" si="164"/>
        <v/>
      </c>
      <c r="F2524" s="6" t="str">
        <f t="shared" si="165"/>
        <v/>
      </c>
      <c r="G2524" s="4"/>
      <c r="H2524" s="4"/>
      <c r="I2524" s="4"/>
      <c r="J2524" s="4"/>
      <c r="K2524" s="4"/>
      <c r="L2524" s="4"/>
      <c r="M2524" s="4"/>
      <c r="N2524" s="4"/>
      <c r="O2524" s="4"/>
      <c r="P2524" s="4"/>
      <c r="Q2524" s="4"/>
      <c r="R2524" s="14"/>
      <c r="S2524" s="14"/>
      <c r="T2524" s="14"/>
      <c r="U2524" s="14"/>
      <c r="V2524" s="14"/>
      <c r="W2524" s="14"/>
      <c r="X2524" s="14"/>
      <c r="Y2524" s="4"/>
      <c r="Z2524" s="4"/>
      <c r="AA2524" s="4"/>
      <c r="AB2524" s="4"/>
      <c r="AC2524" s="4"/>
      <c r="AD2524" s="4"/>
      <c r="AE2524" s="4"/>
      <c r="AF2524" s="4"/>
      <c r="AG2524" s="4"/>
      <c r="AH2524" s="4"/>
      <c r="AI2524" s="4"/>
      <c r="AJ2524" s="4"/>
      <c r="AK2524" s="4"/>
      <c r="AL2524" s="4"/>
      <c r="AM2524" s="4"/>
      <c r="AN2524" s="4"/>
      <c r="AO2524" s="4"/>
      <c r="AP2524" s="4"/>
      <c r="AQ2524" s="4"/>
      <c r="AR2524" s="4"/>
      <c r="AS2524" s="4"/>
      <c r="AT2524" s="4"/>
      <c r="AU2524" s="4"/>
      <c r="AV2524" s="4"/>
      <c r="AW2524" s="4"/>
      <c r="AX2524" s="4"/>
      <c r="AY2524" s="4"/>
      <c r="AZ2524" s="4"/>
      <c r="BA2524" s="4"/>
      <c r="BB2524" s="4"/>
      <c r="BC2524" s="4"/>
      <c r="BD2524" s="4"/>
      <c r="BE2524" s="4"/>
      <c r="BG2524" s="4"/>
      <c r="BH2524" s="4"/>
    </row>
    <row r="2525" spans="1:60" x14ac:dyDescent="0.35">
      <c r="A2525" s="4"/>
      <c r="B2525" s="4"/>
      <c r="D2525" s="6" t="str">
        <f t="shared" si="163"/>
        <v/>
      </c>
      <c r="E2525" s="6" t="str">
        <f t="shared" si="164"/>
        <v/>
      </c>
      <c r="F2525" s="6" t="str">
        <f t="shared" si="165"/>
        <v/>
      </c>
      <c r="G2525" s="4"/>
      <c r="H2525" s="4"/>
      <c r="I2525" s="4"/>
      <c r="J2525" s="4"/>
      <c r="K2525" s="4"/>
      <c r="L2525" s="4"/>
      <c r="M2525" s="4"/>
      <c r="N2525" s="4"/>
      <c r="O2525" s="4"/>
      <c r="P2525" s="4"/>
      <c r="Q2525" s="4"/>
      <c r="R2525" s="14"/>
      <c r="S2525" s="14"/>
      <c r="T2525" s="14"/>
      <c r="U2525" s="14"/>
      <c r="V2525" s="14"/>
      <c r="W2525" s="14"/>
      <c r="X2525" s="1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4"/>
      <c r="AU2525" s="4"/>
      <c r="AV2525" s="4"/>
      <c r="AW2525" s="4"/>
      <c r="AX2525" s="4"/>
      <c r="AY2525" s="4"/>
      <c r="AZ2525" s="4"/>
      <c r="BA2525" s="4"/>
      <c r="BB2525" s="4"/>
      <c r="BC2525" s="4"/>
      <c r="BD2525" s="4"/>
      <c r="BE2525" s="4"/>
      <c r="BG2525" s="4"/>
      <c r="BH2525" s="4"/>
    </row>
    <row r="2526" spans="1:60" x14ac:dyDescent="0.35">
      <c r="A2526" s="4"/>
      <c r="B2526" s="4"/>
      <c r="D2526" s="6" t="str">
        <f t="shared" si="163"/>
        <v/>
      </c>
      <c r="E2526" s="6" t="str">
        <f t="shared" si="164"/>
        <v/>
      </c>
      <c r="F2526" s="6" t="str">
        <f t="shared" si="165"/>
        <v/>
      </c>
      <c r="G2526" s="4"/>
      <c r="H2526" s="4"/>
      <c r="I2526" s="4"/>
      <c r="J2526" s="4"/>
      <c r="K2526" s="4"/>
      <c r="L2526" s="4"/>
      <c r="M2526" s="4"/>
      <c r="N2526" s="4"/>
      <c r="O2526" s="4"/>
      <c r="P2526" s="4"/>
      <c r="Q2526" s="4"/>
      <c r="R2526" s="14"/>
      <c r="S2526" s="14"/>
      <c r="T2526" s="14"/>
      <c r="U2526" s="14"/>
      <c r="V2526" s="14"/>
      <c r="W2526" s="14"/>
      <c r="X2526" s="1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4"/>
      <c r="AU2526" s="4"/>
      <c r="AV2526" s="4"/>
      <c r="AW2526" s="4"/>
      <c r="AX2526" s="4"/>
      <c r="AY2526" s="4"/>
      <c r="AZ2526" s="4"/>
      <c r="BA2526" s="4"/>
      <c r="BB2526" s="4"/>
      <c r="BC2526" s="4"/>
      <c r="BD2526" s="4"/>
      <c r="BE2526" s="4"/>
      <c r="BG2526" s="4"/>
      <c r="BH2526" s="4"/>
    </row>
    <row r="2527" spans="1:60" x14ac:dyDescent="0.35">
      <c r="A2527" s="4"/>
      <c r="B2527" s="4"/>
      <c r="D2527" s="6" t="str">
        <f t="shared" si="163"/>
        <v/>
      </c>
      <c r="E2527" s="6" t="str">
        <f t="shared" si="164"/>
        <v/>
      </c>
      <c r="F2527" s="6" t="str">
        <f t="shared" si="165"/>
        <v/>
      </c>
      <c r="G2527" s="4"/>
      <c r="H2527" s="4"/>
      <c r="I2527" s="4"/>
      <c r="J2527" s="4"/>
      <c r="K2527" s="4"/>
      <c r="L2527" s="4"/>
      <c r="M2527" s="4"/>
      <c r="N2527" s="4"/>
      <c r="O2527" s="4"/>
      <c r="P2527" s="4"/>
      <c r="Q2527" s="4"/>
      <c r="R2527" s="14"/>
      <c r="S2527" s="14"/>
      <c r="T2527" s="14"/>
      <c r="U2527" s="14"/>
      <c r="V2527" s="14"/>
      <c r="W2527" s="14"/>
      <c r="X2527" s="1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4"/>
      <c r="AU2527" s="4"/>
      <c r="AV2527" s="4"/>
      <c r="AW2527" s="4"/>
      <c r="AX2527" s="4"/>
      <c r="AY2527" s="4"/>
      <c r="AZ2527" s="4"/>
      <c r="BA2527" s="4"/>
      <c r="BB2527" s="4"/>
      <c r="BC2527" s="4"/>
      <c r="BD2527" s="4"/>
      <c r="BE2527" s="4"/>
      <c r="BG2527" s="4"/>
      <c r="BH2527" s="4"/>
    </row>
    <row r="2528" spans="1:60" x14ac:dyDescent="0.35">
      <c r="A2528" s="4"/>
      <c r="B2528" s="4"/>
      <c r="D2528" s="6" t="str">
        <f t="shared" si="163"/>
        <v/>
      </c>
      <c r="E2528" s="6" t="str">
        <f t="shared" si="164"/>
        <v/>
      </c>
      <c r="F2528" s="6" t="str">
        <f t="shared" si="165"/>
        <v/>
      </c>
      <c r="G2528" s="4"/>
      <c r="H2528" s="4"/>
      <c r="I2528" s="4"/>
      <c r="J2528" s="4"/>
      <c r="K2528" s="4"/>
      <c r="L2528" s="4"/>
      <c r="M2528" s="4"/>
      <c r="N2528" s="4"/>
      <c r="O2528" s="4"/>
      <c r="P2528" s="4"/>
      <c r="Q2528" s="4"/>
      <c r="R2528" s="14"/>
      <c r="S2528" s="14"/>
      <c r="T2528" s="14"/>
      <c r="U2528" s="14"/>
      <c r="V2528" s="14"/>
      <c r="W2528" s="14"/>
      <c r="X2528" s="14"/>
      <c r="Y2528" s="4"/>
      <c r="Z2528" s="4"/>
      <c r="AA2528" s="4"/>
      <c r="AB2528" s="4"/>
      <c r="AC2528" s="4"/>
      <c r="AD2528" s="4"/>
      <c r="AE2528" s="4"/>
      <c r="AF2528" s="4"/>
      <c r="AG2528" s="4"/>
      <c r="AH2528" s="4"/>
      <c r="AI2528" s="4"/>
      <c r="AJ2528" s="4"/>
      <c r="AK2528" s="4"/>
      <c r="AL2528" s="4"/>
      <c r="AM2528" s="4"/>
      <c r="AN2528" s="4"/>
      <c r="AO2528" s="4"/>
      <c r="AP2528" s="4"/>
      <c r="AQ2528" s="4"/>
      <c r="AR2528" s="4"/>
      <c r="AS2528" s="4"/>
      <c r="AT2528" s="4"/>
      <c r="AU2528" s="4"/>
      <c r="AV2528" s="4"/>
      <c r="AW2528" s="4"/>
      <c r="AX2528" s="4"/>
      <c r="AY2528" s="4"/>
      <c r="AZ2528" s="4"/>
      <c r="BA2528" s="4"/>
      <c r="BB2528" s="4"/>
      <c r="BC2528" s="4"/>
      <c r="BD2528" s="4"/>
      <c r="BE2528" s="4"/>
      <c r="BG2528" s="4"/>
      <c r="BH2528" s="4"/>
    </row>
    <row r="2529" spans="1:60" x14ac:dyDescent="0.35">
      <c r="A2529" s="4"/>
      <c r="B2529" s="4"/>
      <c r="D2529" s="6" t="str">
        <f t="shared" si="163"/>
        <v/>
      </c>
      <c r="E2529" s="6" t="str">
        <f t="shared" si="164"/>
        <v/>
      </c>
      <c r="F2529" s="6" t="str">
        <f t="shared" si="165"/>
        <v/>
      </c>
      <c r="G2529" s="4"/>
      <c r="H2529" s="4"/>
      <c r="I2529" s="4"/>
      <c r="J2529" s="4"/>
      <c r="K2529" s="4"/>
      <c r="L2529" s="4"/>
      <c r="M2529" s="4"/>
      <c r="N2529" s="4"/>
      <c r="O2529" s="4"/>
      <c r="P2529" s="4"/>
      <c r="Q2529" s="4"/>
      <c r="R2529" s="14"/>
      <c r="S2529" s="14"/>
      <c r="T2529" s="14"/>
      <c r="U2529" s="14"/>
      <c r="V2529" s="14"/>
      <c r="W2529" s="14"/>
      <c r="X2529" s="1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4"/>
      <c r="AU2529" s="4"/>
      <c r="AV2529" s="4"/>
      <c r="AW2529" s="4"/>
      <c r="AX2529" s="4"/>
      <c r="AY2529" s="4"/>
      <c r="AZ2529" s="4"/>
      <c r="BA2529" s="4"/>
      <c r="BB2529" s="4"/>
      <c r="BC2529" s="4"/>
      <c r="BD2529" s="4"/>
      <c r="BE2529" s="4"/>
      <c r="BG2529" s="4"/>
      <c r="BH2529" s="4"/>
    </row>
    <row r="2530" spans="1:60" x14ac:dyDescent="0.35">
      <c r="A2530" s="4"/>
      <c r="B2530" s="4"/>
      <c r="D2530" s="6" t="str">
        <f t="shared" si="163"/>
        <v/>
      </c>
      <c r="E2530" s="6" t="str">
        <f t="shared" si="164"/>
        <v/>
      </c>
      <c r="F2530" s="6" t="str">
        <f t="shared" si="165"/>
        <v/>
      </c>
      <c r="G2530" s="4"/>
      <c r="H2530" s="4"/>
      <c r="I2530" s="4"/>
      <c r="J2530" s="4"/>
      <c r="K2530" s="4"/>
      <c r="L2530" s="4"/>
      <c r="M2530" s="4"/>
      <c r="N2530" s="4"/>
      <c r="O2530" s="4"/>
      <c r="P2530" s="4"/>
      <c r="Q2530" s="4"/>
      <c r="R2530" s="14"/>
      <c r="S2530" s="14"/>
      <c r="T2530" s="14"/>
      <c r="U2530" s="14"/>
      <c r="V2530" s="14"/>
      <c r="W2530" s="14"/>
      <c r="X2530" s="1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4"/>
      <c r="AU2530" s="4"/>
      <c r="AV2530" s="4"/>
      <c r="AW2530" s="4"/>
      <c r="AX2530" s="4"/>
      <c r="AY2530" s="4"/>
      <c r="AZ2530" s="4"/>
      <c r="BA2530" s="4"/>
      <c r="BB2530" s="4"/>
      <c r="BC2530" s="4"/>
      <c r="BD2530" s="4"/>
      <c r="BE2530" s="4"/>
      <c r="BG2530" s="4"/>
      <c r="BH2530" s="4"/>
    </row>
    <row r="2531" spans="1:60" x14ac:dyDescent="0.35">
      <c r="A2531" s="4"/>
      <c r="B2531" s="4"/>
      <c r="D2531" s="6" t="str">
        <f t="shared" si="163"/>
        <v/>
      </c>
      <c r="E2531" s="6" t="str">
        <f t="shared" si="164"/>
        <v/>
      </c>
      <c r="F2531" s="6" t="str">
        <f t="shared" si="165"/>
        <v/>
      </c>
      <c r="G2531" s="4"/>
      <c r="H2531" s="4"/>
      <c r="I2531" s="4"/>
      <c r="J2531" s="4"/>
      <c r="K2531" s="4"/>
      <c r="L2531" s="4"/>
      <c r="M2531" s="4"/>
      <c r="N2531" s="4"/>
      <c r="O2531" s="4"/>
      <c r="P2531" s="4"/>
      <c r="Q2531" s="4"/>
      <c r="R2531" s="14"/>
      <c r="S2531" s="14"/>
      <c r="T2531" s="14"/>
      <c r="U2531" s="14"/>
      <c r="V2531" s="14"/>
      <c r="W2531" s="14"/>
      <c r="X2531" s="1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4"/>
      <c r="AU2531" s="4"/>
      <c r="AV2531" s="4"/>
      <c r="AW2531" s="4"/>
      <c r="AX2531" s="4"/>
      <c r="AY2531" s="4"/>
      <c r="AZ2531" s="4"/>
      <c r="BA2531" s="4"/>
      <c r="BB2531" s="4"/>
      <c r="BC2531" s="4"/>
      <c r="BD2531" s="4"/>
      <c r="BE2531" s="4"/>
      <c r="BG2531" s="4"/>
      <c r="BH2531" s="4"/>
    </row>
    <row r="2532" spans="1:60" x14ac:dyDescent="0.35">
      <c r="A2532" s="4"/>
      <c r="B2532" s="4"/>
      <c r="D2532" s="6" t="str">
        <f t="shared" si="163"/>
        <v/>
      </c>
      <c r="E2532" s="6" t="str">
        <f t="shared" si="164"/>
        <v/>
      </c>
      <c r="F2532" s="6" t="str">
        <f t="shared" si="165"/>
        <v/>
      </c>
      <c r="G2532" s="4"/>
      <c r="H2532" s="4"/>
      <c r="I2532" s="4"/>
      <c r="J2532" s="4"/>
      <c r="K2532" s="4"/>
      <c r="L2532" s="4"/>
      <c r="M2532" s="4"/>
      <c r="N2532" s="4"/>
      <c r="O2532" s="4"/>
      <c r="P2532" s="4"/>
      <c r="Q2532" s="4"/>
      <c r="R2532" s="14"/>
      <c r="S2532" s="14"/>
      <c r="T2532" s="14"/>
      <c r="U2532" s="14"/>
      <c r="V2532" s="14"/>
      <c r="W2532" s="14"/>
      <c r="X2532" s="1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4"/>
      <c r="AU2532" s="4"/>
      <c r="AV2532" s="4"/>
      <c r="AW2532" s="4"/>
      <c r="AX2532" s="4"/>
      <c r="AY2532" s="4"/>
      <c r="AZ2532" s="4"/>
      <c r="BA2532" s="4"/>
      <c r="BB2532" s="4"/>
      <c r="BC2532" s="4"/>
      <c r="BD2532" s="4"/>
      <c r="BE2532" s="4"/>
      <c r="BG2532" s="4"/>
      <c r="BH2532" s="4"/>
    </row>
    <row r="2533" spans="1:60" x14ac:dyDescent="0.35">
      <c r="A2533" s="4"/>
      <c r="B2533" s="4"/>
      <c r="D2533" s="6" t="str">
        <f t="shared" si="163"/>
        <v/>
      </c>
      <c r="E2533" s="6" t="str">
        <f t="shared" si="164"/>
        <v/>
      </c>
      <c r="F2533" s="6" t="str">
        <f t="shared" si="165"/>
        <v/>
      </c>
      <c r="G2533" s="4"/>
      <c r="H2533" s="4"/>
      <c r="I2533" s="4"/>
      <c r="J2533" s="4"/>
      <c r="K2533" s="4"/>
      <c r="L2533" s="4"/>
      <c r="M2533" s="4"/>
      <c r="N2533" s="4"/>
      <c r="O2533" s="4"/>
      <c r="P2533" s="4"/>
      <c r="Q2533" s="4"/>
      <c r="R2533" s="14"/>
      <c r="S2533" s="14"/>
      <c r="T2533" s="14"/>
      <c r="U2533" s="14"/>
      <c r="V2533" s="14"/>
      <c r="W2533" s="14"/>
      <c r="X2533" s="14"/>
      <c r="Y2533" s="4"/>
      <c r="Z2533" s="4"/>
      <c r="AA2533" s="4"/>
      <c r="AB2533" s="4"/>
      <c r="AC2533" s="4"/>
      <c r="AD2533" s="4"/>
      <c r="AE2533" s="4"/>
      <c r="AF2533" s="4"/>
      <c r="AG2533" s="4"/>
      <c r="AH2533" s="4"/>
      <c r="AI2533" s="4"/>
      <c r="AJ2533" s="4"/>
      <c r="AK2533" s="4"/>
      <c r="AL2533" s="4"/>
      <c r="AM2533" s="4"/>
      <c r="AN2533" s="4"/>
      <c r="AO2533" s="4"/>
      <c r="AP2533" s="4"/>
      <c r="AQ2533" s="4"/>
      <c r="AR2533" s="4"/>
      <c r="AS2533" s="4"/>
      <c r="AT2533" s="4"/>
      <c r="AU2533" s="4"/>
      <c r="AV2533" s="4"/>
      <c r="AW2533" s="4"/>
      <c r="AX2533" s="4"/>
      <c r="AY2533" s="4"/>
      <c r="AZ2533" s="4"/>
      <c r="BA2533" s="4"/>
      <c r="BB2533" s="4"/>
      <c r="BC2533" s="4"/>
      <c r="BD2533" s="4"/>
      <c r="BE2533" s="4"/>
      <c r="BG2533" s="4"/>
      <c r="BH2533" s="4"/>
    </row>
    <row r="2534" spans="1:60" x14ac:dyDescent="0.35">
      <c r="A2534" s="4"/>
      <c r="B2534" s="4"/>
      <c r="D2534" s="6" t="str">
        <f t="shared" si="163"/>
        <v/>
      </c>
      <c r="E2534" s="6" t="str">
        <f t="shared" si="164"/>
        <v/>
      </c>
      <c r="F2534" s="6" t="str">
        <f t="shared" si="165"/>
        <v/>
      </c>
      <c r="G2534" s="4"/>
      <c r="H2534" s="4"/>
      <c r="I2534" s="4"/>
      <c r="J2534" s="4"/>
      <c r="K2534" s="4"/>
      <c r="L2534" s="4"/>
      <c r="M2534" s="4"/>
      <c r="N2534" s="4"/>
      <c r="O2534" s="4"/>
      <c r="P2534" s="4"/>
      <c r="Q2534" s="4"/>
      <c r="R2534" s="14"/>
      <c r="S2534" s="14"/>
      <c r="T2534" s="14"/>
      <c r="U2534" s="14"/>
      <c r="V2534" s="14"/>
      <c r="W2534" s="14"/>
      <c r="X2534" s="1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4"/>
      <c r="AU2534" s="4"/>
      <c r="AV2534" s="4"/>
      <c r="AW2534" s="4"/>
      <c r="AX2534" s="4"/>
      <c r="AY2534" s="4"/>
      <c r="AZ2534" s="4"/>
      <c r="BA2534" s="4"/>
      <c r="BB2534" s="4"/>
      <c r="BC2534" s="4"/>
      <c r="BD2534" s="4"/>
      <c r="BE2534" s="4"/>
      <c r="BG2534" s="4"/>
      <c r="BH2534" s="4"/>
    </row>
    <row r="2535" spans="1:60" x14ac:dyDescent="0.35">
      <c r="A2535" s="4"/>
      <c r="B2535" s="4"/>
      <c r="D2535" s="6" t="str">
        <f t="shared" si="163"/>
        <v/>
      </c>
      <c r="E2535" s="6" t="str">
        <f t="shared" si="164"/>
        <v/>
      </c>
      <c r="F2535" s="6" t="str">
        <f t="shared" si="165"/>
        <v/>
      </c>
      <c r="G2535" s="4"/>
      <c r="H2535" s="4"/>
      <c r="I2535" s="4"/>
      <c r="J2535" s="4"/>
      <c r="K2535" s="4"/>
      <c r="L2535" s="4"/>
      <c r="M2535" s="4"/>
      <c r="N2535" s="4"/>
      <c r="O2535" s="4"/>
      <c r="P2535" s="4"/>
      <c r="Q2535" s="4"/>
      <c r="R2535" s="14"/>
      <c r="S2535" s="14"/>
      <c r="T2535" s="14"/>
      <c r="U2535" s="14"/>
      <c r="V2535" s="14"/>
      <c r="W2535" s="14"/>
      <c r="X2535" s="14"/>
      <c r="Y2535" s="4"/>
      <c r="Z2535" s="4"/>
      <c r="AA2535" s="4"/>
      <c r="AB2535" s="4"/>
      <c r="AC2535" s="4"/>
      <c r="AD2535" s="4"/>
      <c r="AE2535" s="4"/>
      <c r="AF2535" s="4"/>
      <c r="AG2535" s="4"/>
      <c r="AH2535" s="4"/>
      <c r="AI2535" s="4"/>
      <c r="AJ2535" s="4"/>
      <c r="AK2535" s="4"/>
      <c r="AL2535" s="4"/>
      <c r="AM2535" s="4"/>
      <c r="AN2535" s="4"/>
      <c r="AO2535" s="4"/>
      <c r="AP2535" s="4"/>
      <c r="AQ2535" s="4"/>
      <c r="AR2535" s="4"/>
      <c r="AS2535" s="4"/>
      <c r="AT2535" s="4"/>
      <c r="AU2535" s="4"/>
      <c r="AV2535" s="4"/>
      <c r="AW2535" s="4"/>
      <c r="AX2535" s="4"/>
      <c r="AY2535" s="4"/>
      <c r="AZ2535" s="4"/>
      <c r="BA2535" s="4"/>
      <c r="BB2535" s="4"/>
      <c r="BC2535" s="4"/>
      <c r="BD2535" s="4"/>
      <c r="BE2535" s="4"/>
      <c r="BG2535" s="4"/>
      <c r="BH2535" s="4"/>
    </row>
    <row r="2536" spans="1:60" x14ac:dyDescent="0.35">
      <c r="A2536" s="4"/>
      <c r="B2536" s="4"/>
      <c r="D2536" s="6" t="str">
        <f t="shared" si="163"/>
        <v/>
      </c>
      <c r="E2536" s="6" t="str">
        <f t="shared" si="164"/>
        <v/>
      </c>
      <c r="F2536" s="6" t="str">
        <f t="shared" si="165"/>
        <v/>
      </c>
      <c r="G2536" s="4"/>
      <c r="H2536" s="4"/>
      <c r="I2536" s="4"/>
      <c r="J2536" s="4"/>
      <c r="K2536" s="4"/>
      <c r="L2536" s="4"/>
      <c r="M2536" s="4"/>
      <c r="N2536" s="4"/>
      <c r="O2536" s="4"/>
      <c r="P2536" s="4"/>
      <c r="Q2536" s="4"/>
      <c r="R2536" s="14"/>
      <c r="S2536" s="14"/>
      <c r="T2536" s="14"/>
      <c r="U2536" s="14"/>
      <c r="V2536" s="14"/>
      <c r="W2536" s="14"/>
      <c r="X2536" s="14"/>
      <c r="Y2536" s="4"/>
      <c r="Z2536" s="4"/>
      <c r="AA2536" s="4"/>
      <c r="AB2536" s="4"/>
      <c r="AC2536" s="4"/>
      <c r="AD2536" s="4"/>
      <c r="AE2536" s="4"/>
      <c r="AF2536" s="4"/>
      <c r="AG2536" s="4"/>
      <c r="AH2536" s="4"/>
      <c r="AI2536" s="4"/>
      <c r="AJ2536" s="4"/>
      <c r="AK2536" s="4"/>
      <c r="AL2536" s="4"/>
      <c r="AM2536" s="4"/>
      <c r="AN2536" s="4"/>
      <c r="AO2536" s="4"/>
      <c r="AP2536" s="4"/>
      <c r="AQ2536" s="4"/>
      <c r="AR2536" s="4"/>
      <c r="AS2536" s="4"/>
      <c r="AT2536" s="4"/>
      <c r="AU2536" s="4"/>
      <c r="AV2536" s="4"/>
      <c r="AW2536" s="4"/>
      <c r="AX2536" s="4"/>
      <c r="AY2536" s="4"/>
      <c r="AZ2536" s="4"/>
      <c r="BA2536" s="4"/>
      <c r="BB2536" s="4"/>
      <c r="BC2536" s="4"/>
      <c r="BD2536" s="4"/>
      <c r="BE2536" s="4"/>
      <c r="BG2536" s="4"/>
      <c r="BH2536" s="4"/>
    </row>
    <row r="2537" spans="1:60" x14ac:dyDescent="0.35">
      <c r="A2537" s="4"/>
      <c r="B2537" s="4"/>
      <c r="D2537" s="6" t="str">
        <f t="shared" si="163"/>
        <v/>
      </c>
      <c r="E2537" s="6" t="str">
        <f t="shared" si="164"/>
        <v/>
      </c>
      <c r="F2537" s="6" t="str">
        <f t="shared" si="165"/>
        <v/>
      </c>
      <c r="G2537" s="4"/>
      <c r="H2537" s="4"/>
      <c r="I2537" s="4"/>
      <c r="J2537" s="4"/>
      <c r="K2537" s="4"/>
      <c r="L2537" s="4"/>
      <c r="M2537" s="4"/>
      <c r="N2537" s="4"/>
      <c r="O2537" s="4"/>
      <c r="P2537" s="4"/>
      <c r="Q2537" s="4"/>
      <c r="R2537" s="14"/>
      <c r="S2537" s="14"/>
      <c r="T2537" s="14"/>
      <c r="U2537" s="14"/>
      <c r="V2537" s="14"/>
      <c r="W2537" s="14"/>
      <c r="X2537" s="1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4"/>
      <c r="AU2537" s="4"/>
      <c r="AV2537" s="4"/>
      <c r="AW2537" s="4"/>
      <c r="AX2537" s="4"/>
      <c r="AY2537" s="4"/>
      <c r="AZ2537" s="4"/>
      <c r="BA2537" s="4"/>
      <c r="BB2537" s="4"/>
      <c r="BC2537" s="4"/>
      <c r="BD2537" s="4"/>
      <c r="BE2537" s="4"/>
      <c r="BG2537" s="4"/>
      <c r="BH2537" s="4"/>
    </row>
    <row r="2538" spans="1:60" x14ac:dyDescent="0.35">
      <c r="A2538" s="4"/>
      <c r="B2538" s="4"/>
      <c r="D2538" s="6" t="str">
        <f t="shared" si="163"/>
        <v/>
      </c>
      <c r="E2538" s="6" t="str">
        <f t="shared" si="164"/>
        <v/>
      </c>
      <c r="F2538" s="6" t="str">
        <f t="shared" si="165"/>
        <v/>
      </c>
      <c r="G2538" s="4"/>
      <c r="H2538" s="4"/>
      <c r="I2538" s="4"/>
      <c r="J2538" s="4"/>
      <c r="K2538" s="4"/>
      <c r="L2538" s="4"/>
      <c r="M2538" s="4"/>
      <c r="N2538" s="4"/>
      <c r="O2538" s="4"/>
      <c r="P2538" s="4"/>
      <c r="Q2538" s="4"/>
      <c r="R2538" s="14"/>
      <c r="S2538" s="14"/>
      <c r="T2538" s="14"/>
      <c r="U2538" s="14"/>
      <c r="V2538" s="14"/>
      <c r="W2538" s="14"/>
      <c r="X2538" s="1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4"/>
      <c r="AU2538" s="4"/>
      <c r="AV2538" s="4"/>
      <c r="AW2538" s="4"/>
      <c r="AX2538" s="4"/>
      <c r="AY2538" s="4"/>
      <c r="AZ2538" s="4"/>
      <c r="BA2538" s="4"/>
      <c r="BB2538" s="4"/>
      <c r="BC2538" s="4"/>
      <c r="BD2538" s="4"/>
      <c r="BE2538" s="4"/>
      <c r="BG2538" s="4"/>
      <c r="BH2538" s="4"/>
    </row>
    <row r="2539" spans="1:60" x14ac:dyDescent="0.35">
      <c r="A2539" s="4"/>
      <c r="B2539" s="4"/>
      <c r="D2539" s="6" t="str">
        <f t="shared" si="163"/>
        <v/>
      </c>
      <c r="E2539" s="6" t="str">
        <f t="shared" si="164"/>
        <v/>
      </c>
      <c r="F2539" s="6" t="str">
        <f t="shared" si="165"/>
        <v/>
      </c>
      <c r="G2539" s="4"/>
      <c r="H2539" s="4"/>
      <c r="I2539" s="4"/>
      <c r="J2539" s="4"/>
      <c r="K2539" s="4"/>
      <c r="L2539" s="4"/>
      <c r="M2539" s="4"/>
      <c r="N2539" s="4"/>
      <c r="O2539" s="4"/>
      <c r="P2539" s="4"/>
      <c r="Q2539" s="4"/>
      <c r="R2539" s="14"/>
      <c r="S2539" s="14"/>
      <c r="T2539" s="14"/>
      <c r="U2539" s="14"/>
      <c r="V2539" s="14"/>
      <c r="W2539" s="14"/>
      <c r="X2539" s="1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4"/>
      <c r="AU2539" s="4"/>
      <c r="AV2539" s="4"/>
      <c r="AW2539" s="4"/>
      <c r="AX2539" s="4"/>
      <c r="AY2539" s="4"/>
      <c r="AZ2539" s="4"/>
      <c r="BA2539" s="4"/>
      <c r="BB2539" s="4"/>
      <c r="BC2539" s="4"/>
      <c r="BD2539" s="4"/>
      <c r="BE2539" s="4"/>
      <c r="BG2539" s="4"/>
      <c r="BH2539" s="4"/>
    </row>
    <row r="2540" spans="1:60" x14ac:dyDescent="0.35">
      <c r="A2540" s="4"/>
      <c r="B2540" s="4"/>
      <c r="D2540" s="6" t="str">
        <f t="shared" si="163"/>
        <v/>
      </c>
      <c r="E2540" s="6" t="str">
        <f t="shared" si="164"/>
        <v/>
      </c>
      <c r="F2540" s="6" t="str">
        <f t="shared" si="165"/>
        <v/>
      </c>
      <c r="G2540" s="4"/>
      <c r="H2540" s="4"/>
      <c r="I2540" s="4"/>
      <c r="J2540" s="4"/>
      <c r="K2540" s="4"/>
      <c r="L2540" s="4"/>
      <c r="M2540" s="4"/>
      <c r="N2540" s="4"/>
      <c r="O2540" s="4"/>
      <c r="P2540" s="4"/>
      <c r="Q2540" s="4"/>
      <c r="R2540" s="14"/>
      <c r="S2540" s="14"/>
      <c r="T2540" s="14"/>
      <c r="U2540" s="14"/>
      <c r="V2540" s="14"/>
      <c r="W2540" s="14"/>
      <c r="X2540" s="14"/>
      <c r="Y2540" s="4"/>
      <c r="Z2540" s="4"/>
      <c r="AA2540" s="4"/>
      <c r="AB2540" s="4"/>
      <c r="AC2540" s="4"/>
      <c r="AD2540" s="4"/>
      <c r="AE2540" s="4"/>
      <c r="AF2540" s="4"/>
      <c r="AG2540" s="4"/>
      <c r="AH2540" s="4"/>
      <c r="AI2540" s="4"/>
      <c r="AJ2540" s="4"/>
      <c r="AK2540" s="4"/>
      <c r="AL2540" s="4"/>
      <c r="AM2540" s="4"/>
      <c r="AN2540" s="4"/>
      <c r="AO2540" s="4"/>
      <c r="AP2540" s="4"/>
      <c r="AQ2540" s="4"/>
      <c r="AR2540" s="4"/>
      <c r="AS2540" s="4"/>
      <c r="AT2540" s="4"/>
      <c r="AU2540" s="4"/>
      <c r="AV2540" s="4"/>
      <c r="AW2540" s="4"/>
      <c r="AX2540" s="4"/>
      <c r="AY2540" s="4"/>
      <c r="AZ2540" s="4"/>
      <c r="BA2540" s="4"/>
      <c r="BB2540" s="4"/>
      <c r="BC2540" s="4"/>
      <c r="BD2540" s="4"/>
      <c r="BE2540" s="4"/>
      <c r="BG2540" s="4"/>
      <c r="BH2540" s="4"/>
    </row>
    <row r="2541" spans="1:60" x14ac:dyDescent="0.35">
      <c r="A2541" s="4"/>
      <c r="B2541" s="4"/>
      <c r="D2541" s="6" t="str">
        <f t="shared" si="163"/>
        <v/>
      </c>
      <c r="E2541" s="6" t="str">
        <f t="shared" si="164"/>
        <v/>
      </c>
      <c r="F2541" s="6" t="str">
        <f t="shared" si="165"/>
        <v/>
      </c>
      <c r="G2541" s="4"/>
      <c r="H2541" s="4"/>
      <c r="I2541" s="4"/>
      <c r="J2541" s="4"/>
      <c r="K2541" s="4"/>
      <c r="L2541" s="4"/>
      <c r="M2541" s="4"/>
      <c r="N2541" s="4"/>
      <c r="O2541" s="4"/>
      <c r="P2541" s="4"/>
      <c r="Q2541" s="4"/>
      <c r="R2541" s="14"/>
      <c r="S2541" s="14"/>
      <c r="T2541" s="14"/>
      <c r="U2541" s="14"/>
      <c r="V2541" s="14"/>
      <c r="W2541" s="14"/>
      <c r="X2541" s="1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4"/>
      <c r="AU2541" s="4"/>
      <c r="AV2541" s="4"/>
      <c r="AW2541" s="4"/>
      <c r="AX2541" s="4"/>
      <c r="AY2541" s="4"/>
      <c r="AZ2541" s="4"/>
      <c r="BA2541" s="4"/>
      <c r="BB2541" s="4"/>
      <c r="BC2541" s="4"/>
      <c r="BD2541" s="4"/>
      <c r="BE2541" s="4"/>
      <c r="BG2541" s="4"/>
      <c r="BH2541" s="4"/>
    </row>
    <row r="2542" spans="1:60" x14ac:dyDescent="0.35">
      <c r="A2542" s="4"/>
      <c r="B2542" s="4"/>
      <c r="D2542" s="6" t="str">
        <f t="shared" si="163"/>
        <v/>
      </c>
      <c r="E2542" s="6" t="str">
        <f t="shared" si="164"/>
        <v/>
      </c>
      <c r="F2542" s="6" t="str">
        <f t="shared" si="165"/>
        <v/>
      </c>
      <c r="G2542" s="4"/>
      <c r="H2542" s="4"/>
      <c r="I2542" s="4"/>
      <c r="J2542" s="4"/>
      <c r="K2542" s="4"/>
      <c r="L2542" s="4"/>
      <c r="M2542" s="4"/>
      <c r="N2542" s="4"/>
      <c r="O2542" s="4"/>
      <c r="P2542" s="4"/>
      <c r="Q2542" s="4"/>
      <c r="R2542" s="14"/>
      <c r="S2542" s="14"/>
      <c r="T2542" s="14"/>
      <c r="U2542" s="14"/>
      <c r="V2542" s="14"/>
      <c r="W2542" s="14"/>
      <c r="X2542" s="1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4"/>
      <c r="AU2542" s="4"/>
      <c r="AV2542" s="4"/>
      <c r="AW2542" s="4"/>
      <c r="AX2542" s="4"/>
      <c r="AY2542" s="4"/>
      <c r="AZ2542" s="4"/>
      <c r="BA2542" s="4"/>
      <c r="BB2542" s="4"/>
      <c r="BC2542" s="4"/>
      <c r="BD2542" s="4"/>
      <c r="BE2542" s="4"/>
      <c r="BG2542" s="4"/>
      <c r="BH2542" s="4"/>
    </row>
    <row r="2543" spans="1:60" x14ac:dyDescent="0.35">
      <c r="A2543" s="4"/>
      <c r="B2543" s="4"/>
      <c r="D2543" s="6" t="str">
        <f t="shared" si="163"/>
        <v/>
      </c>
      <c r="E2543" s="6" t="str">
        <f t="shared" si="164"/>
        <v/>
      </c>
      <c r="F2543" s="6" t="str">
        <f t="shared" si="165"/>
        <v/>
      </c>
      <c r="G2543" s="4"/>
      <c r="H2543" s="4"/>
      <c r="I2543" s="4"/>
      <c r="J2543" s="4"/>
      <c r="K2543" s="4"/>
      <c r="L2543" s="4"/>
      <c r="M2543" s="4"/>
      <c r="N2543" s="4"/>
      <c r="O2543" s="4"/>
      <c r="P2543" s="4"/>
      <c r="Q2543" s="4"/>
      <c r="R2543" s="14"/>
      <c r="S2543" s="14"/>
      <c r="T2543" s="14"/>
      <c r="U2543" s="14"/>
      <c r="V2543" s="14"/>
      <c r="W2543" s="14"/>
      <c r="X2543" s="1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4"/>
      <c r="AU2543" s="4"/>
      <c r="AV2543" s="4"/>
      <c r="AW2543" s="4"/>
      <c r="AX2543" s="4"/>
      <c r="AY2543" s="4"/>
      <c r="AZ2543" s="4"/>
      <c r="BA2543" s="4"/>
      <c r="BB2543" s="4"/>
      <c r="BC2543" s="4"/>
      <c r="BD2543" s="4"/>
      <c r="BE2543" s="4"/>
      <c r="BG2543" s="4"/>
      <c r="BH2543" s="4"/>
    </row>
    <row r="2544" spans="1:60" x14ac:dyDescent="0.35">
      <c r="A2544" s="4"/>
      <c r="B2544" s="4"/>
      <c r="D2544" s="6" t="str">
        <f t="shared" si="163"/>
        <v/>
      </c>
      <c r="E2544" s="6" t="str">
        <f t="shared" si="164"/>
        <v/>
      </c>
      <c r="F2544" s="6" t="str">
        <f t="shared" si="165"/>
        <v/>
      </c>
      <c r="G2544" s="4"/>
      <c r="H2544" s="4"/>
      <c r="I2544" s="4"/>
      <c r="J2544" s="4"/>
      <c r="K2544" s="4"/>
      <c r="L2544" s="4"/>
      <c r="M2544" s="4"/>
      <c r="N2544" s="4"/>
      <c r="O2544" s="4"/>
      <c r="P2544" s="4"/>
      <c r="Q2544" s="4"/>
      <c r="R2544" s="14"/>
      <c r="S2544" s="14"/>
      <c r="T2544" s="14"/>
      <c r="U2544" s="14"/>
      <c r="V2544" s="14"/>
      <c r="W2544" s="14"/>
      <c r="X2544" s="1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4"/>
      <c r="AU2544" s="4"/>
      <c r="AV2544" s="4"/>
      <c r="AW2544" s="4"/>
      <c r="AX2544" s="4"/>
      <c r="AY2544" s="4"/>
      <c r="AZ2544" s="4"/>
      <c r="BA2544" s="4"/>
      <c r="BB2544" s="4"/>
      <c r="BC2544" s="4"/>
      <c r="BD2544" s="4"/>
      <c r="BE2544" s="4"/>
      <c r="BG2544" s="4"/>
      <c r="BH2544" s="4"/>
    </row>
    <row r="2545" spans="1:60" x14ac:dyDescent="0.35">
      <c r="A2545" s="4"/>
      <c r="B2545" s="4"/>
      <c r="D2545" s="6" t="str">
        <f t="shared" si="163"/>
        <v/>
      </c>
      <c r="E2545" s="6" t="str">
        <f t="shared" si="164"/>
        <v/>
      </c>
      <c r="F2545" s="6" t="str">
        <f t="shared" si="165"/>
        <v/>
      </c>
      <c r="G2545" s="4"/>
      <c r="H2545" s="4"/>
      <c r="I2545" s="4"/>
      <c r="J2545" s="4"/>
      <c r="K2545" s="4"/>
      <c r="L2545" s="4"/>
      <c r="M2545" s="4"/>
      <c r="N2545" s="4"/>
      <c r="O2545" s="4"/>
      <c r="P2545" s="4"/>
      <c r="Q2545" s="4"/>
      <c r="R2545" s="14"/>
      <c r="S2545" s="14"/>
      <c r="T2545" s="14"/>
      <c r="U2545" s="14"/>
      <c r="V2545" s="14"/>
      <c r="W2545" s="14"/>
      <c r="X2545" s="1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4"/>
      <c r="AU2545" s="4"/>
      <c r="AV2545" s="4"/>
      <c r="AW2545" s="4"/>
      <c r="AX2545" s="4"/>
      <c r="AY2545" s="4"/>
      <c r="AZ2545" s="4"/>
      <c r="BA2545" s="4"/>
      <c r="BB2545" s="4"/>
      <c r="BC2545" s="4"/>
      <c r="BD2545" s="4"/>
      <c r="BE2545" s="4"/>
      <c r="BG2545" s="4"/>
      <c r="BH2545" s="4"/>
    </row>
    <row r="2546" spans="1:60" x14ac:dyDescent="0.35">
      <c r="A2546" s="4"/>
      <c r="B2546" s="4"/>
      <c r="D2546" s="6" t="str">
        <f t="shared" si="163"/>
        <v/>
      </c>
      <c r="E2546" s="6" t="str">
        <f t="shared" si="164"/>
        <v/>
      </c>
      <c r="F2546" s="6" t="str">
        <f t="shared" si="165"/>
        <v/>
      </c>
      <c r="G2546" s="4"/>
      <c r="H2546" s="4"/>
      <c r="I2546" s="4"/>
      <c r="J2546" s="4"/>
      <c r="K2546" s="4"/>
      <c r="L2546" s="4"/>
      <c r="M2546" s="4"/>
      <c r="N2546" s="4"/>
      <c r="O2546" s="4"/>
      <c r="P2546" s="4"/>
      <c r="Q2546" s="4"/>
      <c r="R2546" s="14"/>
      <c r="S2546" s="14"/>
      <c r="T2546" s="14"/>
      <c r="U2546" s="14"/>
      <c r="V2546" s="14"/>
      <c r="W2546" s="14"/>
      <c r="X2546" s="14"/>
      <c r="Y2546" s="4"/>
      <c r="Z2546" s="4"/>
      <c r="AA2546" s="4"/>
      <c r="AB2546" s="4"/>
      <c r="AC2546" s="4"/>
      <c r="AD2546" s="4"/>
      <c r="AE2546" s="4"/>
      <c r="AF2546" s="4"/>
      <c r="AG2546" s="4"/>
      <c r="AH2546" s="4"/>
      <c r="AI2546" s="4"/>
      <c r="AJ2546" s="4"/>
      <c r="AK2546" s="4"/>
      <c r="AL2546" s="4"/>
      <c r="AM2546" s="4"/>
      <c r="AN2546" s="4"/>
      <c r="AO2546" s="4"/>
      <c r="AP2546" s="4"/>
      <c r="AQ2546" s="4"/>
      <c r="AR2546" s="4"/>
      <c r="AS2546" s="4"/>
      <c r="AT2546" s="4"/>
      <c r="AU2546" s="4"/>
      <c r="AV2546" s="4"/>
      <c r="AW2546" s="4"/>
      <c r="AX2546" s="4"/>
      <c r="AY2546" s="4"/>
      <c r="AZ2546" s="4"/>
      <c r="BA2546" s="4"/>
      <c r="BB2546" s="4"/>
      <c r="BC2546" s="4"/>
      <c r="BD2546" s="4"/>
      <c r="BE2546" s="4"/>
      <c r="BG2546" s="4"/>
      <c r="BH2546" s="4"/>
    </row>
    <row r="2547" spans="1:60" x14ac:dyDescent="0.35">
      <c r="A2547" s="4"/>
      <c r="B2547" s="4"/>
      <c r="D2547" s="6" t="str">
        <f t="shared" si="163"/>
        <v/>
      </c>
      <c r="E2547" s="6" t="str">
        <f t="shared" si="164"/>
        <v/>
      </c>
      <c r="F2547" s="6" t="str">
        <f t="shared" si="165"/>
        <v/>
      </c>
      <c r="G2547" s="4"/>
      <c r="H2547" s="4"/>
      <c r="I2547" s="4"/>
      <c r="J2547" s="4"/>
      <c r="K2547" s="4"/>
      <c r="L2547" s="4"/>
      <c r="M2547" s="4"/>
      <c r="N2547" s="4"/>
      <c r="O2547" s="4"/>
      <c r="P2547" s="4"/>
      <c r="Q2547" s="4"/>
      <c r="R2547" s="14"/>
      <c r="S2547" s="14"/>
      <c r="T2547" s="14"/>
      <c r="U2547" s="14"/>
      <c r="V2547" s="14"/>
      <c r="W2547" s="14"/>
      <c r="X2547" s="1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4"/>
      <c r="AU2547" s="4"/>
      <c r="AV2547" s="4"/>
      <c r="AW2547" s="4"/>
      <c r="AX2547" s="4"/>
      <c r="AY2547" s="4"/>
      <c r="AZ2547" s="4"/>
      <c r="BA2547" s="4"/>
      <c r="BB2547" s="4"/>
      <c r="BC2547" s="4"/>
      <c r="BD2547" s="4"/>
      <c r="BE2547" s="4"/>
      <c r="BG2547" s="4"/>
      <c r="BH2547" s="4"/>
    </row>
    <row r="2548" spans="1:60" x14ac:dyDescent="0.35">
      <c r="A2548" s="4"/>
      <c r="B2548" s="4"/>
      <c r="D2548" s="6" t="str">
        <f t="shared" si="163"/>
        <v/>
      </c>
      <c r="E2548" s="6" t="str">
        <f t="shared" si="164"/>
        <v/>
      </c>
      <c r="F2548" s="6" t="str">
        <f t="shared" si="165"/>
        <v/>
      </c>
      <c r="G2548" s="4"/>
      <c r="H2548" s="4"/>
      <c r="I2548" s="4"/>
      <c r="J2548" s="4"/>
      <c r="K2548" s="4"/>
      <c r="L2548" s="4"/>
      <c r="M2548" s="4"/>
      <c r="N2548" s="4"/>
      <c r="O2548" s="4"/>
      <c r="P2548" s="4"/>
      <c r="Q2548" s="4"/>
      <c r="R2548" s="14"/>
      <c r="S2548" s="14"/>
      <c r="T2548" s="14"/>
      <c r="U2548" s="14"/>
      <c r="V2548" s="14"/>
      <c r="W2548" s="14"/>
      <c r="X2548" s="1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4"/>
      <c r="AU2548" s="4"/>
      <c r="AV2548" s="4"/>
      <c r="AW2548" s="4"/>
      <c r="AX2548" s="4"/>
      <c r="AY2548" s="4"/>
      <c r="AZ2548" s="4"/>
      <c r="BA2548" s="4"/>
      <c r="BB2548" s="4"/>
      <c r="BC2548" s="4"/>
      <c r="BD2548" s="4"/>
      <c r="BE2548" s="4"/>
      <c r="BG2548" s="4"/>
      <c r="BH2548" s="4"/>
    </row>
    <row r="2549" spans="1:60" x14ac:dyDescent="0.35">
      <c r="A2549" s="4"/>
      <c r="B2549" s="4"/>
      <c r="D2549" s="6" t="str">
        <f t="shared" si="163"/>
        <v/>
      </c>
      <c r="E2549" s="6" t="str">
        <f t="shared" si="164"/>
        <v/>
      </c>
      <c r="F2549" s="6" t="str">
        <f t="shared" si="165"/>
        <v/>
      </c>
      <c r="G2549" s="4"/>
      <c r="H2549" s="4"/>
      <c r="I2549" s="4"/>
      <c r="J2549" s="4"/>
      <c r="K2549" s="4"/>
      <c r="L2549" s="4"/>
      <c r="M2549" s="4"/>
      <c r="N2549" s="4"/>
      <c r="O2549" s="4"/>
      <c r="P2549" s="4"/>
      <c r="Q2549" s="4"/>
      <c r="R2549" s="14"/>
      <c r="S2549" s="14"/>
      <c r="T2549" s="14"/>
      <c r="U2549" s="14"/>
      <c r="V2549" s="14"/>
      <c r="W2549" s="14"/>
      <c r="X2549" s="1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4"/>
      <c r="AU2549" s="4"/>
      <c r="AV2549" s="4"/>
      <c r="AW2549" s="4"/>
      <c r="AX2549" s="4"/>
      <c r="AY2549" s="4"/>
      <c r="AZ2549" s="4"/>
      <c r="BA2549" s="4"/>
      <c r="BB2549" s="4"/>
      <c r="BC2549" s="4"/>
      <c r="BD2549" s="4"/>
      <c r="BE2549" s="4"/>
      <c r="BG2549" s="4"/>
      <c r="BH2549" s="4"/>
    </row>
    <row r="2550" spans="1:60" x14ac:dyDescent="0.35">
      <c r="A2550" s="4"/>
      <c r="B2550" s="4"/>
      <c r="D2550" s="6" t="str">
        <f t="shared" si="163"/>
        <v/>
      </c>
      <c r="E2550" s="6" t="str">
        <f t="shared" si="164"/>
        <v/>
      </c>
      <c r="F2550" s="6" t="str">
        <f t="shared" si="165"/>
        <v/>
      </c>
      <c r="G2550" s="4"/>
      <c r="H2550" s="4"/>
      <c r="I2550" s="4"/>
      <c r="J2550" s="4"/>
      <c r="K2550" s="4"/>
      <c r="L2550" s="4"/>
      <c r="M2550" s="4"/>
      <c r="N2550" s="4"/>
      <c r="O2550" s="4"/>
      <c r="P2550" s="4"/>
      <c r="Q2550" s="4"/>
      <c r="R2550" s="14"/>
      <c r="S2550" s="14"/>
      <c r="T2550" s="14"/>
      <c r="U2550" s="14"/>
      <c r="V2550" s="14"/>
      <c r="W2550" s="14"/>
      <c r="X2550" s="1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4"/>
      <c r="AU2550" s="4"/>
      <c r="AV2550" s="4"/>
      <c r="AW2550" s="4"/>
      <c r="AX2550" s="4"/>
      <c r="AY2550" s="4"/>
      <c r="AZ2550" s="4"/>
      <c r="BA2550" s="4"/>
      <c r="BB2550" s="4"/>
      <c r="BC2550" s="4"/>
      <c r="BD2550" s="4"/>
      <c r="BE2550" s="4"/>
      <c r="BG2550" s="4"/>
      <c r="BH2550" s="4"/>
    </row>
    <row r="2551" spans="1:60" x14ac:dyDescent="0.35">
      <c r="A2551" s="4"/>
      <c r="B2551" s="4"/>
      <c r="D2551" s="6" t="str">
        <f t="shared" si="163"/>
        <v/>
      </c>
      <c r="E2551" s="6" t="str">
        <f t="shared" si="164"/>
        <v/>
      </c>
      <c r="F2551" s="6" t="str">
        <f t="shared" si="165"/>
        <v/>
      </c>
      <c r="G2551" s="4"/>
      <c r="H2551" s="4"/>
      <c r="I2551" s="4"/>
      <c r="J2551" s="4"/>
      <c r="K2551" s="4"/>
      <c r="L2551" s="4"/>
      <c r="M2551" s="4"/>
      <c r="N2551" s="4"/>
      <c r="O2551" s="4"/>
      <c r="P2551" s="4"/>
      <c r="Q2551" s="4"/>
      <c r="R2551" s="14"/>
      <c r="S2551" s="14"/>
      <c r="T2551" s="14"/>
      <c r="U2551" s="14"/>
      <c r="V2551" s="14"/>
      <c r="W2551" s="14"/>
      <c r="X2551" s="14"/>
      <c r="Y2551" s="4"/>
      <c r="Z2551" s="4"/>
      <c r="AA2551" s="4"/>
      <c r="AB2551" s="4"/>
      <c r="AC2551" s="4"/>
      <c r="AD2551" s="4"/>
      <c r="AE2551" s="4"/>
      <c r="AF2551" s="4"/>
      <c r="AG2551" s="4"/>
      <c r="AH2551" s="4"/>
      <c r="AI2551" s="4"/>
      <c r="AJ2551" s="4"/>
      <c r="AK2551" s="4"/>
      <c r="AL2551" s="4"/>
      <c r="AM2551" s="4"/>
      <c r="AN2551" s="4"/>
      <c r="AO2551" s="4"/>
      <c r="AP2551" s="4"/>
      <c r="AQ2551" s="4"/>
      <c r="AR2551" s="4"/>
      <c r="AS2551" s="4"/>
      <c r="AT2551" s="4"/>
      <c r="AU2551" s="4"/>
      <c r="AV2551" s="4"/>
      <c r="AW2551" s="4"/>
      <c r="AX2551" s="4"/>
      <c r="AY2551" s="4"/>
      <c r="AZ2551" s="4"/>
      <c r="BA2551" s="4"/>
      <c r="BB2551" s="4"/>
      <c r="BC2551" s="4"/>
      <c r="BD2551" s="4"/>
      <c r="BE2551" s="4"/>
      <c r="BG2551" s="4"/>
      <c r="BH2551" s="4"/>
    </row>
    <row r="2552" spans="1:60" x14ac:dyDescent="0.35">
      <c r="A2552" s="4"/>
      <c r="B2552" s="4"/>
      <c r="D2552" s="6" t="str">
        <f t="shared" si="163"/>
        <v/>
      </c>
      <c r="E2552" s="6" t="str">
        <f t="shared" si="164"/>
        <v/>
      </c>
      <c r="F2552" s="6" t="str">
        <f t="shared" si="165"/>
        <v/>
      </c>
      <c r="G2552" s="4"/>
      <c r="H2552" s="4"/>
      <c r="I2552" s="4"/>
      <c r="J2552" s="4"/>
      <c r="K2552" s="4"/>
      <c r="L2552" s="4"/>
      <c r="M2552" s="4"/>
      <c r="N2552" s="4"/>
      <c r="O2552" s="4"/>
      <c r="P2552" s="4"/>
      <c r="Q2552" s="4"/>
      <c r="R2552" s="14"/>
      <c r="S2552" s="14"/>
      <c r="T2552" s="14"/>
      <c r="U2552" s="14"/>
      <c r="V2552" s="14"/>
      <c r="W2552" s="14"/>
      <c r="X2552" s="1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c r="AV2552" s="4"/>
      <c r="AW2552" s="4"/>
      <c r="AX2552" s="4"/>
      <c r="AY2552" s="4"/>
      <c r="AZ2552" s="4"/>
      <c r="BA2552" s="4"/>
      <c r="BB2552" s="4"/>
      <c r="BC2552" s="4"/>
      <c r="BD2552" s="4"/>
      <c r="BE2552" s="4"/>
      <c r="BG2552" s="4"/>
      <c r="BH2552" s="4"/>
    </row>
    <row r="2553" spans="1:60" x14ac:dyDescent="0.35">
      <c r="A2553" s="4"/>
      <c r="B2553" s="4"/>
      <c r="D2553" s="6" t="str">
        <f t="shared" si="163"/>
        <v/>
      </c>
      <c r="E2553" s="6" t="str">
        <f t="shared" si="164"/>
        <v/>
      </c>
      <c r="F2553" s="6" t="str">
        <f t="shared" si="165"/>
        <v/>
      </c>
      <c r="G2553" s="4"/>
      <c r="H2553" s="4"/>
      <c r="I2553" s="4"/>
      <c r="J2553" s="4"/>
      <c r="K2553" s="4"/>
      <c r="L2553" s="4"/>
      <c r="M2553" s="4"/>
      <c r="N2553" s="4"/>
      <c r="O2553" s="4"/>
      <c r="P2553" s="4"/>
      <c r="Q2553" s="4"/>
      <c r="R2553" s="14"/>
      <c r="S2553" s="14"/>
      <c r="T2553" s="14"/>
      <c r="U2553" s="14"/>
      <c r="V2553" s="14"/>
      <c r="W2553" s="14"/>
      <c r="X2553" s="1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4"/>
      <c r="AU2553" s="4"/>
      <c r="AV2553" s="4"/>
      <c r="AW2553" s="4"/>
      <c r="AX2553" s="4"/>
      <c r="AY2553" s="4"/>
      <c r="AZ2553" s="4"/>
      <c r="BA2553" s="4"/>
      <c r="BB2553" s="4"/>
      <c r="BC2553" s="4"/>
      <c r="BD2553" s="4"/>
      <c r="BE2553" s="4"/>
      <c r="BG2553" s="4"/>
      <c r="BH2553" s="4"/>
    </row>
    <row r="2554" spans="1:60" x14ac:dyDescent="0.35">
      <c r="A2554" s="4"/>
      <c r="B2554" s="4"/>
      <c r="D2554" s="6" t="str">
        <f t="shared" si="163"/>
        <v/>
      </c>
      <c r="E2554" s="6" t="str">
        <f t="shared" si="164"/>
        <v/>
      </c>
      <c r="F2554" s="6" t="str">
        <f t="shared" si="165"/>
        <v/>
      </c>
      <c r="G2554" s="4"/>
      <c r="H2554" s="4"/>
      <c r="I2554" s="4"/>
      <c r="J2554" s="4"/>
      <c r="K2554" s="4"/>
      <c r="L2554" s="4"/>
      <c r="M2554" s="4"/>
      <c r="N2554" s="4"/>
      <c r="O2554" s="4"/>
      <c r="P2554" s="4"/>
      <c r="Q2554" s="4"/>
      <c r="R2554" s="14"/>
      <c r="S2554" s="14"/>
      <c r="T2554" s="14"/>
      <c r="U2554" s="14"/>
      <c r="V2554" s="14"/>
      <c r="W2554" s="14"/>
      <c r="X2554" s="1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4"/>
      <c r="AU2554" s="4"/>
      <c r="AV2554" s="4"/>
      <c r="AW2554" s="4"/>
      <c r="AX2554" s="4"/>
      <c r="AY2554" s="4"/>
      <c r="AZ2554" s="4"/>
      <c r="BA2554" s="4"/>
      <c r="BB2554" s="4"/>
      <c r="BC2554" s="4"/>
      <c r="BD2554" s="4"/>
      <c r="BE2554" s="4"/>
      <c r="BG2554" s="4"/>
      <c r="BH2554" s="4"/>
    </row>
    <row r="2555" spans="1:60" x14ac:dyDescent="0.35">
      <c r="A2555" s="4"/>
      <c r="B2555" s="4"/>
      <c r="D2555" s="6" t="str">
        <f t="shared" si="163"/>
        <v/>
      </c>
      <c r="E2555" s="6" t="str">
        <f t="shared" si="164"/>
        <v/>
      </c>
      <c r="F2555" s="6" t="str">
        <f t="shared" si="165"/>
        <v/>
      </c>
      <c r="G2555" s="4"/>
      <c r="H2555" s="4"/>
      <c r="I2555" s="4"/>
      <c r="J2555" s="4"/>
      <c r="K2555" s="4"/>
      <c r="L2555" s="4"/>
      <c r="M2555" s="4"/>
      <c r="N2555" s="4"/>
      <c r="O2555" s="4"/>
      <c r="P2555" s="4"/>
      <c r="Q2555" s="4"/>
      <c r="R2555" s="14"/>
      <c r="S2555" s="14"/>
      <c r="T2555" s="14"/>
      <c r="U2555" s="14"/>
      <c r="V2555" s="14"/>
      <c r="W2555" s="14"/>
      <c r="X2555" s="14"/>
      <c r="Y2555" s="4"/>
      <c r="Z2555" s="4"/>
      <c r="AA2555" s="4"/>
      <c r="AB2555" s="4"/>
      <c r="AC2555" s="4"/>
      <c r="AD2555" s="4"/>
      <c r="AE2555" s="4"/>
      <c r="AF2555" s="4"/>
      <c r="AG2555" s="4"/>
      <c r="AH2555" s="4"/>
      <c r="AI2555" s="4"/>
      <c r="AJ2555" s="4"/>
      <c r="AK2555" s="4"/>
      <c r="AL2555" s="4"/>
      <c r="AM2555" s="4"/>
      <c r="AN2555" s="4"/>
      <c r="AO2555" s="4"/>
      <c r="AP2555" s="4"/>
      <c r="AQ2555" s="4"/>
      <c r="AR2555" s="4"/>
      <c r="AS2555" s="4"/>
      <c r="AT2555" s="4"/>
      <c r="AU2555" s="4"/>
      <c r="AV2555" s="4"/>
      <c r="AW2555" s="4"/>
      <c r="AX2555" s="4"/>
      <c r="AY2555" s="4"/>
      <c r="AZ2555" s="4"/>
      <c r="BA2555" s="4"/>
      <c r="BB2555" s="4"/>
      <c r="BC2555" s="4"/>
      <c r="BD2555" s="4"/>
      <c r="BE2555" s="4"/>
      <c r="BG2555" s="4"/>
      <c r="BH2555" s="4"/>
    </row>
    <row r="2556" spans="1:60" x14ac:dyDescent="0.35">
      <c r="A2556" s="4"/>
      <c r="B2556" s="4"/>
      <c r="D2556" s="6" t="str">
        <f t="shared" si="163"/>
        <v/>
      </c>
      <c r="E2556" s="6" t="str">
        <f t="shared" si="164"/>
        <v/>
      </c>
      <c r="F2556" s="6" t="str">
        <f t="shared" si="165"/>
        <v/>
      </c>
      <c r="G2556" s="4"/>
      <c r="H2556" s="4"/>
      <c r="I2556" s="4"/>
      <c r="J2556" s="4"/>
      <c r="K2556" s="4"/>
      <c r="L2556" s="4"/>
      <c r="M2556" s="4"/>
      <c r="N2556" s="4"/>
      <c r="O2556" s="4"/>
      <c r="P2556" s="4"/>
      <c r="Q2556" s="4"/>
      <c r="R2556" s="14"/>
      <c r="S2556" s="14"/>
      <c r="T2556" s="14"/>
      <c r="U2556" s="14"/>
      <c r="V2556" s="14"/>
      <c r="W2556" s="14"/>
      <c r="X2556" s="14"/>
      <c r="Y2556" s="4"/>
      <c r="Z2556" s="4"/>
      <c r="AA2556" s="4"/>
      <c r="AB2556" s="4"/>
      <c r="AC2556" s="4"/>
      <c r="AD2556" s="4"/>
      <c r="AE2556" s="4"/>
      <c r="AF2556" s="4"/>
      <c r="AG2556" s="4"/>
      <c r="AH2556" s="4"/>
      <c r="AI2556" s="4"/>
      <c r="AJ2556" s="4"/>
      <c r="AK2556" s="4"/>
      <c r="AL2556" s="4"/>
      <c r="AM2556" s="4"/>
      <c r="AN2556" s="4"/>
      <c r="AO2556" s="4"/>
      <c r="AP2556" s="4"/>
      <c r="AQ2556" s="4"/>
      <c r="AR2556" s="4"/>
      <c r="AS2556" s="4"/>
      <c r="AT2556" s="4"/>
      <c r="AU2556" s="4"/>
      <c r="AV2556" s="4"/>
      <c r="AW2556" s="4"/>
      <c r="AX2556" s="4"/>
      <c r="AY2556" s="4"/>
      <c r="AZ2556" s="4"/>
      <c r="BA2556" s="4"/>
      <c r="BB2556" s="4"/>
      <c r="BC2556" s="4"/>
      <c r="BD2556" s="4"/>
      <c r="BE2556" s="4"/>
      <c r="BG2556" s="4"/>
      <c r="BH2556" s="4"/>
    </row>
    <row r="2557" spans="1:60" x14ac:dyDescent="0.35">
      <c r="A2557" s="4"/>
      <c r="B2557" s="4"/>
      <c r="D2557" s="6" t="str">
        <f t="shared" ref="D2557:D2620" si="166">IF(C2557="","",VLOOKUP(C2557,district_region,2,FALSE))</f>
        <v/>
      </c>
      <c r="E2557" s="6" t="str">
        <f t="shared" ref="E2557:E2620" si="167">IF(C2557="","",VLOOKUP(C2557,liste_pop,3,FALSE))</f>
        <v/>
      </c>
      <c r="F2557" s="6" t="str">
        <f t="shared" ref="F2557:F2620" si="168">IF(D2557="","",IF(D2557="Dakar",4042240,VLOOKUP(D2557,liste_pop,4,FALSE)))</f>
        <v/>
      </c>
      <c r="G2557" s="4"/>
      <c r="H2557" s="4"/>
      <c r="I2557" s="4"/>
      <c r="J2557" s="4"/>
      <c r="K2557" s="4"/>
      <c r="L2557" s="4"/>
      <c r="M2557" s="4"/>
      <c r="N2557" s="4"/>
      <c r="O2557" s="4"/>
      <c r="P2557" s="4"/>
      <c r="Q2557" s="4"/>
      <c r="R2557" s="14"/>
      <c r="S2557" s="14"/>
      <c r="T2557" s="14"/>
      <c r="U2557" s="14"/>
      <c r="V2557" s="14"/>
      <c r="W2557" s="14"/>
      <c r="X2557" s="1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4"/>
      <c r="AU2557" s="4"/>
      <c r="AV2557" s="4"/>
      <c r="AW2557" s="4"/>
      <c r="AX2557" s="4"/>
      <c r="AY2557" s="4"/>
      <c r="AZ2557" s="4"/>
      <c r="BA2557" s="4"/>
      <c r="BB2557" s="4"/>
      <c r="BC2557" s="4"/>
      <c r="BD2557" s="4"/>
      <c r="BE2557" s="4"/>
      <c r="BG2557" s="4"/>
      <c r="BH2557" s="4"/>
    </row>
    <row r="2558" spans="1:60" x14ac:dyDescent="0.35">
      <c r="A2558" s="4"/>
      <c r="B2558" s="4"/>
      <c r="D2558" s="6" t="str">
        <f t="shared" si="166"/>
        <v/>
      </c>
      <c r="E2558" s="6" t="str">
        <f t="shared" si="167"/>
        <v/>
      </c>
      <c r="F2558" s="6" t="str">
        <f t="shared" si="168"/>
        <v/>
      </c>
      <c r="G2558" s="4"/>
      <c r="H2558" s="4"/>
      <c r="I2558" s="4"/>
      <c r="J2558" s="4"/>
      <c r="K2558" s="4"/>
      <c r="L2558" s="4"/>
      <c r="M2558" s="4"/>
      <c r="N2558" s="4"/>
      <c r="O2558" s="4"/>
      <c r="P2558" s="4"/>
      <c r="Q2558" s="4"/>
      <c r="R2558" s="14"/>
      <c r="S2558" s="14"/>
      <c r="T2558" s="14"/>
      <c r="U2558" s="14"/>
      <c r="V2558" s="14"/>
      <c r="W2558" s="14"/>
      <c r="X2558" s="1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4"/>
      <c r="AU2558" s="4"/>
      <c r="AV2558" s="4"/>
      <c r="AW2558" s="4"/>
      <c r="AX2558" s="4"/>
      <c r="AY2558" s="4"/>
      <c r="AZ2558" s="4"/>
      <c r="BA2558" s="4"/>
      <c r="BB2558" s="4"/>
      <c r="BC2558" s="4"/>
      <c r="BD2558" s="4"/>
      <c r="BE2558" s="4"/>
      <c r="BG2558" s="4"/>
      <c r="BH2558" s="4"/>
    </row>
    <row r="2559" spans="1:60" x14ac:dyDescent="0.35">
      <c r="A2559" s="4"/>
      <c r="B2559" s="4"/>
      <c r="D2559" s="6" t="str">
        <f t="shared" si="166"/>
        <v/>
      </c>
      <c r="E2559" s="6" t="str">
        <f t="shared" si="167"/>
        <v/>
      </c>
      <c r="F2559" s="6" t="str">
        <f t="shared" si="168"/>
        <v/>
      </c>
      <c r="G2559" s="4"/>
      <c r="H2559" s="4"/>
      <c r="I2559" s="4"/>
      <c r="J2559" s="4"/>
      <c r="K2559" s="4"/>
      <c r="L2559" s="4"/>
      <c r="M2559" s="4"/>
      <c r="N2559" s="4"/>
      <c r="O2559" s="4"/>
      <c r="P2559" s="4"/>
      <c r="Q2559" s="4"/>
      <c r="R2559" s="14"/>
      <c r="S2559" s="14"/>
      <c r="T2559" s="14"/>
      <c r="U2559" s="14"/>
      <c r="V2559" s="14"/>
      <c r="W2559" s="14"/>
      <c r="X2559" s="1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4"/>
      <c r="AU2559" s="4"/>
      <c r="AV2559" s="4"/>
      <c r="AW2559" s="4"/>
      <c r="AX2559" s="4"/>
      <c r="AY2559" s="4"/>
      <c r="AZ2559" s="4"/>
      <c r="BA2559" s="4"/>
      <c r="BB2559" s="4"/>
      <c r="BC2559" s="4"/>
      <c r="BD2559" s="4"/>
      <c r="BE2559" s="4"/>
      <c r="BG2559" s="4"/>
      <c r="BH2559" s="4"/>
    </row>
    <row r="2560" spans="1:60" x14ac:dyDescent="0.35">
      <c r="A2560" s="4"/>
      <c r="B2560" s="4"/>
      <c r="D2560" s="6" t="str">
        <f t="shared" si="166"/>
        <v/>
      </c>
      <c r="E2560" s="6" t="str">
        <f t="shared" si="167"/>
        <v/>
      </c>
      <c r="F2560" s="6" t="str">
        <f t="shared" si="168"/>
        <v/>
      </c>
      <c r="G2560" s="4"/>
      <c r="H2560" s="4"/>
      <c r="I2560" s="4"/>
      <c r="J2560" s="4"/>
      <c r="K2560" s="4"/>
      <c r="L2560" s="4"/>
      <c r="M2560" s="4"/>
      <c r="N2560" s="4"/>
      <c r="O2560" s="4"/>
      <c r="P2560" s="4"/>
      <c r="Q2560" s="4"/>
      <c r="R2560" s="14"/>
      <c r="S2560" s="14"/>
      <c r="T2560" s="14"/>
      <c r="U2560" s="14"/>
      <c r="V2560" s="14"/>
      <c r="W2560" s="14"/>
      <c r="X2560" s="1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4"/>
      <c r="AU2560" s="4"/>
      <c r="AV2560" s="4"/>
      <c r="AW2560" s="4"/>
      <c r="AX2560" s="4"/>
      <c r="AY2560" s="4"/>
      <c r="AZ2560" s="4"/>
      <c r="BA2560" s="4"/>
      <c r="BB2560" s="4"/>
      <c r="BC2560" s="4"/>
      <c r="BD2560" s="4"/>
      <c r="BE2560" s="4"/>
      <c r="BG2560" s="4"/>
      <c r="BH2560" s="4"/>
    </row>
    <row r="2561" spans="1:60" x14ac:dyDescent="0.35">
      <c r="A2561" s="4"/>
      <c r="B2561" s="4"/>
      <c r="D2561" s="6" t="str">
        <f t="shared" si="166"/>
        <v/>
      </c>
      <c r="E2561" s="6" t="str">
        <f t="shared" si="167"/>
        <v/>
      </c>
      <c r="F2561" s="6" t="str">
        <f t="shared" si="168"/>
        <v/>
      </c>
      <c r="G2561" s="4"/>
      <c r="H2561" s="4"/>
      <c r="I2561" s="4"/>
      <c r="J2561" s="4"/>
      <c r="K2561" s="4"/>
      <c r="L2561" s="4"/>
      <c r="M2561" s="4"/>
      <c r="N2561" s="4"/>
      <c r="O2561" s="4"/>
      <c r="P2561" s="4"/>
      <c r="Q2561" s="4"/>
      <c r="R2561" s="14"/>
      <c r="S2561" s="14"/>
      <c r="T2561" s="14"/>
      <c r="U2561" s="14"/>
      <c r="V2561" s="14"/>
      <c r="W2561" s="14"/>
      <c r="X2561" s="14"/>
      <c r="Y2561" s="4"/>
      <c r="Z2561" s="4"/>
      <c r="AA2561" s="4"/>
      <c r="AB2561" s="4"/>
      <c r="AC2561" s="4"/>
      <c r="AD2561" s="4"/>
      <c r="AE2561" s="4"/>
      <c r="AF2561" s="4"/>
      <c r="AG2561" s="4"/>
      <c r="AH2561" s="4"/>
      <c r="AI2561" s="4"/>
      <c r="AJ2561" s="4"/>
      <c r="AK2561" s="4"/>
      <c r="AL2561" s="4"/>
      <c r="AM2561" s="4"/>
      <c r="AN2561" s="4"/>
      <c r="AO2561" s="4"/>
      <c r="AP2561" s="4"/>
      <c r="AQ2561" s="4"/>
      <c r="AR2561" s="4"/>
      <c r="AS2561" s="4"/>
      <c r="AT2561" s="4"/>
      <c r="AU2561" s="4"/>
      <c r="AV2561" s="4"/>
      <c r="AW2561" s="4"/>
      <c r="AX2561" s="4"/>
      <c r="AY2561" s="4"/>
      <c r="AZ2561" s="4"/>
      <c r="BA2561" s="4"/>
      <c r="BB2561" s="4"/>
      <c r="BC2561" s="4"/>
      <c r="BD2561" s="4"/>
      <c r="BE2561" s="4"/>
      <c r="BG2561" s="4"/>
      <c r="BH2561" s="4"/>
    </row>
    <row r="2562" spans="1:60" x14ac:dyDescent="0.35">
      <c r="A2562" s="4"/>
      <c r="B2562" s="4"/>
      <c r="D2562" s="6" t="str">
        <f t="shared" si="166"/>
        <v/>
      </c>
      <c r="E2562" s="6" t="str">
        <f t="shared" si="167"/>
        <v/>
      </c>
      <c r="F2562" s="6" t="str">
        <f t="shared" si="168"/>
        <v/>
      </c>
      <c r="G2562" s="4"/>
      <c r="H2562" s="4"/>
      <c r="I2562" s="4"/>
      <c r="J2562" s="4"/>
      <c r="K2562" s="4"/>
      <c r="L2562" s="4"/>
      <c r="M2562" s="4"/>
      <c r="N2562" s="4"/>
      <c r="O2562" s="4"/>
      <c r="P2562" s="4"/>
      <c r="Q2562" s="4"/>
      <c r="R2562" s="14"/>
      <c r="S2562" s="14"/>
      <c r="T2562" s="14"/>
      <c r="U2562" s="14"/>
      <c r="V2562" s="14"/>
      <c r="W2562" s="14"/>
      <c r="X2562" s="1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4"/>
      <c r="AU2562" s="4"/>
      <c r="AV2562" s="4"/>
      <c r="AW2562" s="4"/>
      <c r="AX2562" s="4"/>
      <c r="AY2562" s="4"/>
      <c r="AZ2562" s="4"/>
      <c r="BA2562" s="4"/>
      <c r="BB2562" s="4"/>
      <c r="BC2562" s="4"/>
      <c r="BD2562" s="4"/>
      <c r="BE2562" s="4"/>
      <c r="BG2562" s="4"/>
      <c r="BH2562" s="4"/>
    </row>
    <row r="2563" spans="1:60" x14ac:dyDescent="0.35">
      <c r="A2563" s="4"/>
      <c r="B2563" s="4"/>
      <c r="D2563" s="6" t="str">
        <f t="shared" si="166"/>
        <v/>
      </c>
      <c r="E2563" s="6" t="str">
        <f t="shared" si="167"/>
        <v/>
      </c>
      <c r="F2563" s="6" t="str">
        <f t="shared" si="168"/>
        <v/>
      </c>
      <c r="G2563" s="4"/>
      <c r="H2563" s="4"/>
      <c r="I2563" s="4"/>
      <c r="J2563" s="4"/>
      <c r="K2563" s="4"/>
      <c r="L2563" s="4"/>
      <c r="M2563" s="4"/>
      <c r="N2563" s="4"/>
      <c r="O2563" s="4"/>
      <c r="P2563" s="4"/>
      <c r="Q2563" s="4"/>
      <c r="R2563" s="14"/>
      <c r="S2563" s="14"/>
      <c r="T2563" s="14"/>
      <c r="U2563" s="14"/>
      <c r="V2563" s="14"/>
      <c r="W2563" s="14"/>
      <c r="X2563" s="1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c r="AV2563" s="4"/>
      <c r="AW2563" s="4"/>
      <c r="AX2563" s="4"/>
      <c r="AY2563" s="4"/>
      <c r="AZ2563" s="4"/>
      <c r="BA2563" s="4"/>
      <c r="BB2563" s="4"/>
      <c r="BC2563" s="4"/>
      <c r="BD2563" s="4"/>
      <c r="BE2563" s="4"/>
      <c r="BG2563" s="4"/>
      <c r="BH2563" s="4"/>
    </row>
    <row r="2564" spans="1:60" x14ac:dyDescent="0.35">
      <c r="A2564" s="4"/>
      <c r="B2564" s="4"/>
      <c r="D2564" s="6" t="str">
        <f t="shared" si="166"/>
        <v/>
      </c>
      <c r="E2564" s="6" t="str">
        <f t="shared" si="167"/>
        <v/>
      </c>
      <c r="F2564" s="6" t="str">
        <f t="shared" si="168"/>
        <v/>
      </c>
      <c r="G2564" s="4"/>
      <c r="H2564" s="4"/>
      <c r="I2564" s="4"/>
      <c r="J2564" s="4"/>
      <c r="K2564" s="4"/>
      <c r="L2564" s="4"/>
      <c r="M2564" s="4"/>
      <c r="N2564" s="4"/>
      <c r="O2564" s="4"/>
      <c r="P2564" s="4"/>
      <c r="Q2564" s="4"/>
      <c r="R2564" s="14"/>
      <c r="S2564" s="14"/>
      <c r="T2564" s="14"/>
      <c r="U2564" s="14"/>
      <c r="V2564" s="14"/>
      <c r="W2564" s="14"/>
      <c r="X2564" s="1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c r="AV2564" s="4"/>
      <c r="AW2564" s="4"/>
      <c r="AX2564" s="4"/>
      <c r="AY2564" s="4"/>
      <c r="AZ2564" s="4"/>
      <c r="BA2564" s="4"/>
      <c r="BB2564" s="4"/>
      <c r="BC2564" s="4"/>
      <c r="BD2564" s="4"/>
      <c r="BE2564" s="4"/>
      <c r="BG2564" s="4"/>
      <c r="BH2564" s="4"/>
    </row>
    <row r="2565" spans="1:60" x14ac:dyDescent="0.35">
      <c r="A2565" s="4"/>
      <c r="B2565" s="4"/>
      <c r="D2565" s="6" t="str">
        <f t="shared" si="166"/>
        <v/>
      </c>
      <c r="E2565" s="6" t="str">
        <f t="shared" si="167"/>
        <v/>
      </c>
      <c r="F2565" s="6" t="str">
        <f t="shared" si="168"/>
        <v/>
      </c>
      <c r="G2565" s="4"/>
      <c r="H2565" s="4"/>
      <c r="I2565" s="4"/>
      <c r="J2565" s="4"/>
      <c r="K2565" s="4"/>
      <c r="L2565" s="4"/>
      <c r="M2565" s="4"/>
      <c r="N2565" s="4"/>
      <c r="O2565" s="4"/>
      <c r="P2565" s="4"/>
      <c r="Q2565" s="4"/>
      <c r="R2565" s="14"/>
      <c r="S2565" s="14"/>
      <c r="T2565" s="14"/>
      <c r="U2565" s="14"/>
      <c r="V2565" s="14"/>
      <c r="W2565" s="14"/>
      <c r="X2565" s="1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c r="AV2565" s="4"/>
      <c r="AW2565" s="4"/>
      <c r="AX2565" s="4"/>
      <c r="AY2565" s="4"/>
      <c r="AZ2565" s="4"/>
      <c r="BA2565" s="4"/>
      <c r="BB2565" s="4"/>
      <c r="BC2565" s="4"/>
      <c r="BD2565" s="4"/>
      <c r="BE2565" s="4"/>
      <c r="BG2565" s="4"/>
      <c r="BH2565" s="4"/>
    </row>
    <row r="2566" spans="1:60" x14ac:dyDescent="0.35">
      <c r="A2566" s="4"/>
      <c r="B2566" s="4"/>
      <c r="D2566" s="6" t="str">
        <f t="shared" si="166"/>
        <v/>
      </c>
      <c r="E2566" s="6" t="str">
        <f t="shared" si="167"/>
        <v/>
      </c>
      <c r="F2566" s="6" t="str">
        <f t="shared" si="168"/>
        <v/>
      </c>
      <c r="G2566" s="4"/>
      <c r="H2566" s="4"/>
      <c r="I2566" s="4"/>
      <c r="J2566" s="4"/>
      <c r="K2566" s="4"/>
      <c r="L2566" s="4"/>
      <c r="M2566" s="4"/>
      <c r="N2566" s="4"/>
      <c r="O2566" s="4"/>
      <c r="P2566" s="4"/>
      <c r="Q2566" s="4"/>
      <c r="R2566" s="14"/>
      <c r="S2566" s="14"/>
      <c r="T2566" s="14"/>
      <c r="U2566" s="14"/>
      <c r="V2566" s="14"/>
      <c r="W2566" s="14"/>
      <c r="X2566" s="1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4"/>
      <c r="AU2566" s="4"/>
      <c r="AV2566" s="4"/>
      <c r="AW2566" s="4"/>
      <c r="AX2566" s="4"/>
      <c r="AY2566" s="4"/>
      <c r="AZ2566" s="4"/>
      <c r="BA2566" s="4"/>
      <c r="BB2566" s="4"/>
      <c r="BC2566" s="4"/>
      <c r="BD2566" s="4"/>
      <c r="BE2566" s="4"/>
      <c r="BG2566" s="4"/>
      <c r="BH2566" s="4"/>
    </row>
    <row r="2567" spans="1:60" x14ac:dyDescent="0.35">
      <c r="A2567" s="4"/>
      <c r="B2567" s="4"/>
      <c r="D2567" s="6" t="str">
        <f t="shared" si="166"/>
        <v/>
      </c>
      <c r="E2567" s="6" t="str">
        <f t="shared" si="167"/>
        <v/>
      </c>
      <c r="F2567" s="6" t="str">
        <f t="shared" si="168"/>
        <v/>
      </c>
      <c r="G2567" s="4"/>
      <c r="H2567" s="4"/>
      <c r="I2567" s="4"/>
      <c r="J2567" s="4"/>
      <c r="K2567" s="4"/>
      <c r="L2567" s="4"/>
      <c r="M2567" s="4"/>
      <c r="N2567" s="4"/>
      <c r="O2567" s="4"/>
      <c r="P2567" s="4"/>
      <c r="Q2567" s="4"/>
      <c r="R2567" s="14"/>
      <c r="S2567" s="14"/>
      <c r="T2567" s="14"/>
      <c r="U2567" s="14"/>
      <c r="V2567" s="14"/>
      <c r="W2567" s="14"/>
      <c r="X2567" s="1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c r="AV2567" s="4"/>
      <c r="AW2567" s="4"/>
      <c r="AX2567" s="4"/>
      <c r="AY2567" s="4"/>
      <c r="AZ2567" s="4"/>
      <c r="BA2567" s="4"/>
      <c r="BB2567" s="4"/>
      <c r="BC2567" s="4"/>
      <c r="BD2567" s="4"/>
      <c r="BE2567" s="4"/>
      <c r="BG2567" s="4"/>
      <c r="BH2567" s="4"/>
    </row>
    <row r="2568" spans="1:60" x14ac:dyDescent="0.35">
      <c r="A2568" s="4"/>
      <c r="B2568" s="4"/>
      <c r="D2568" s="6" t="str">
        <f t="shared" si="166"/>
        <v/>
      </c>
      <c r="E2568" s="6" t="str">
        <f t="shared" si="167"/>
        <v/>
      </c>
      <c r="F2568" s="6" t="str">
        <f t="shared" si="168"/>
        <v/>
      </c>
      <c r="G2568" s="4"/>
      <c r="H2568" s="4"/>
      <c r="I2568" s="4"/>
      <c r="J2568" s="4"/>
      <c r="K2568" s="4"/>
      <c r="L2568" s="4"/>
      <c r="M2568" s="4"/>
      <c r="N2568" s="4"/>
      <c r="O2568" s="4"/>
      <c r="P2568" s="4"/>
      <c r="Q2568" s="4"/>
      <c r="R2568" s="14"/>
      <c r="S2568" s="14"/>
      <c r="T2568" s="14"/>
      <c r="U2568" s="14"/>
      <c r="V2568" s="14"/>
      <c r="W2568" s="14"/>
      <c r="X2568" s="1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c r="AV2568" s="4"/>
      <c r="AW2568" s="4"/>
      <c r="AX2568" s="4"/>
      <c r="AY2568" s="4"/>
      <c r="AZ2568" s="4"/>
      <c r="BA2568" s="4"/>
      <c r="BB2568" s="4"/>
      <c r="BC2568" s="4"/>
      <c r="BD2568" s="4"/>
      <c r="BE2568" s="4"/>
      <c r="BG2568" s="4"/>
      <c r="BH2568" s="4"/>
    </row>
    <row r="2569" spans="1:60" x14ac:dyDescent="0.35">
      <c r="A2569" s="4"/>
      <c r="B2569" s="4"/>
      <c r="D2569" s="6" t="str">
        <f t="shared" si="166"/>
        <v/>
      </c>
      <c r="E2569" s="6" t="str">
        <f t="shared" si="167"/>
        <v/>
      </c>
      <c r="F2569" s="6" t="str">
        <f t="shared" si="168"/>
        <v/>
      </c>
      <c r="G2569" s="4"/>
      <c r="H2569" s="4"/>
      <c r="I2569" s="4"/>
      <c r="J2569" s="4"/>
      <c r="K2569" s="4"/>
      <c r="L2569" s="4"/>
      <c r="M2569" s="4"/>
      <c r="N2569" s="4"/>
      <c r="O2569" s="4"/>
      <c r="P2569" s="4"/>
      <c r="Q2569" s="4"/>
      <c r="R2569" s="14"/>
      <c r="S2569" s="14"/>
      <c r="T2569" s="14"/>
      <c r="U2569" s="14"/>
      <c r="V2569" s="14"/>
      <c r="W2569" s="14"/>
      <c r="X2569" s="1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4"/>
      <c r="AU2569" s="4"/>
      <c r="AV2569" s="4"/>
      <c r="AW2569" s="4"/>
      <c r="AX2569" s="4"/>
      <c r="AY2569" s="4"/>
      <c r="AZ2569" s="4"/>
      <c r="BA2569" s="4"/>
      <c r="BB2569" s="4"/>
      <c r="BC2569" s="4"/>
      <c r="BD2569" s="4"/>
      <c r="BE2569" s="4"/>
      <c r="BG2569" s="4"/>
      <c r="BH2569" s="4"/>
    </row>
    <row r="2570" spans="1:60" x14ac:dyDescent="0.35">
      <c r="A2570" s="4"/>
      <c r="B2570" s="4"/>
      <c r="D2570" s="6" t="str">
        <f t="shared" si="166"/>
        <v/>
      </c>
      <c r="E2570" s="6" t="str">
        <f t="shared" si="167"/>
        <v/>
      </c>
      <c r="F2570" s="6" t="str">
        <f t="shared" si="168"/>
        <v/>
      </c>
      <c r="G2570" s="4"/>
      <c r="H2570" s="4"/>
      <c r="I2570" s="4"/>
      <c r="J2570" s="4"/>
      <c r="K2570" s="4"/>
      <c r="L2570" s="4"/>
      <c r="M2570" s="4"/>
      <c r="N2570" s="4"/>
      <c r="O2570" s="4"/>
      <c r="P2570" s="4"/>
      <c r="Q2570" s="4"/>
      <c r="R2570" s="14"/>
      <c r="S2570" s="14"/>
      <c r="T2570" s="14"/>
      <c r="U2570" s="14"/>
      <c r="V2570" s="14"/>
      <c r="W2570" s="14"/>
      <c r="X2570" s="1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4"/>
      <c r="AU2570" s="4"/>
      <c r="AV2570" s="4"/>
      <c r="AW2570" s="4"/>
      <c r="AX2570" s="4"/>
      <c r="AY2570" s="4"/>
      <c r="AZ2570" s="4"/>
      <c r="BA2570" s="4"/>
      <c r="BB2570" s="4"/>
      <c r="BC2570" s="4"/>
      <c r="BD2570" s="4"/>
      <c r="BE2570" s="4"/>
      <c r="BG2570" s="4"/>
      <c r="BH2570" s="4"/>
    </row>
    <row r="2571" spans="1:60" x14ac:dyDescent="0.35">
      <c r="A2571" s="4"/>
      <c r="B2571" s="4"/>
      <c r="D2571" s="6" t="str">
        <f t="shared" si="166"/>
        <v/>
      </c>
      <c r="E2571" s="6" t="str">
        <f t="shared" si="167"/>
        <v/>
      </c>
      <c r="F2571" s="6" t="str">
        <f t="shared" si="168"/>
        <v/>
      </c>
      <c r="G2571" s="4"/>
      <c r="H2571" s="4"/>
      <c r="I2571" s="4"/>
      <c r="J2571" s="4"/>
      <c r="K2571" s="4"/>
      <c r="L2571" s="4"/>
      <c r="M2571" s="4"/>
      <c r="N2571" s="4"/>
      <c r="O2571" s="4"/>
      <c r="P2571" s="4"/>
      <c r="Q2571" s="4"/>
      <c r="R2571" s="14"/>
      <c r="S2571" s="14"/>
      <c r="T2571" s="14"/>
      <c r="U2571" s="14"/>
      <c r="V2571" s="14"/>
      <c r="W2571" s="14"/>
      <c r="X2571" s="14"/>
      <c r="Y2571" s="4"/>
      <c r="Z2571" s="4"/>
      <c r="AA2571" s="4"/>
      <c r="AB2571" s="4"/>
      <c r="AC2571" s="4"/>
      <c r="AD2571" s="4"/>
      <c r="AE2571" s="4"/>
      <c r="AF2571" s="4"/>
      <c r="AG2571" s="4"/>
      <c r="AH2571" s="4"/>
      <c r="AI2571" s="4"/>
      <c r="AJ2571" s="4"/>
      <c r="AK2571" s="4"/>
      <c r="AL2571" s="4"/>
      <c r="AM2571" s="4"/>
      <c r="AN2571" s="4"/>
      <c r="AO2571" s="4"/>
      <c r="AP2571" s="4"/>
      <c r="AQ2571" s="4"/>
      <c r="AR2571" s="4"/>
      <c r="AS2571" s="4"/>
      <c r="AT2571" s="4"/>
      <c r="AU2571" s="4"/>
      <c r="AV2571" s="4"/>
      <c r="AW2571" s="4"/>
      <c r="AX2571" s="4"/>
      <c r="AY2571" s="4"/>
      <c r="AZ2571" s="4"/>
      <c r="BA2571" s="4"/>
      <c r="BB2571" s="4"/>
      <c r="BC2571" s="4"/>
      <c r="BD2571" s="4"/>
      <c r="BE2571" s="4"/>
      <c r="BG2571" s="4"/>
      <c r="BH2571" s="4"/>
    </row>
    <row r="2572" spans="1:60" x14ac:dyDescent="0.35">
      <c r="A2572" s="4"/>
      <c r="B2572" s="4"/>
      <c r="D2572" s="6" t="str">
        <f t="shared" si="166"/>
        <v/>
      </c>
      <c r="E2572" s="6" t="str">
        <f t="shared" si="167"/>
        <v/>
      </c>
      <c r="F2572" s="6" t="str">
        <f t="shared" si="168"/>
        <v/>
      </c>
      <c r="G2572" s="4"/>
      <c r="H2572" s="4"/>
      <c r="I2572" s="4"/>
      <c r="J2572" s="4"/>
      <c r="K2572" s="4"/>
      <c r="L2572" s="4"/>
      <c r="M2572" s="4"/>
      <c r="N2572" s="4"/>
      <c r="O2572" s="4"/>
      <c r="P2572" s="4"/>
      <c r="Q2572" s="4"/>
      <c r="R2572" s="14"/>
      <c r="S2572" s="14"/>
      <c r="T2572" s="14"/>
      <c r="U2572" s="14"/>
      <c r="V2572" s="14"/>
      <c r="W2572" s="14"/>
      <c r="X2572" s="1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4"/>
      <c r="AU2572" s="4"/>
      <c r="AV2572" s="4"/>
      <c r="AW2572" s="4"/>
      <c r="AX2572" s="4"/>
      <c r="AY2572" s="4"/>
      <c r="AZ2572" s="4"/>
      <c r="BA2572" s="4"/>
      <c r="BB2572" s="4"/>
      <c r="BC2572" s="4"/>
      <c r="BD2572" s="4"/>
      <c r="BE2572" s="4"/>
      <c r="BG2572" s="4"/>
      <c r="BH2572" s="4"/>
    </row>
    <row r="2573" spans="1:60" x14ac:dyDescent="0.35">
      <c r="A2573" s="4"/>
      <c r="B2573" s="4"/>
      <c r="D2573" s="6" t="str">
        <f t="shared" si="166"/>
        <v/>
      </c>
      <c r="E2573" s="6" t="str">
        <f t="shared" si="167"/>
        <v/>
      </c>
      <c r="F2573" s="6" t="str">
        <f t="shared" si="168"/>
        <v/>
      </c>
      <c r="G2573" s="4"/>
      <c r="H2573" s="4"/>
      <c r="I2573" s="4"/>
      <c r="J2573" s="4"/>
      <c r="K2573" s="4"/>
      <c r="L2573" s="4"/>
      <c r="M2573" s="4"/>
      <c r="N2573" s="4"/>
      <c r="O2573" s="4"/>
      <c r="P2573" s="4"/>
      <c r="Q2573" s="4"/>
      <c r="R2573" s="14"/>
      <c r="S2573" s="14"/>
      <c r="T2573" s="14"/>
      <c r="U2573" s="14"/>
      <c r="V2573" s="14"/>
      <c r="W2573" s="14"/>
      <c r="X2573" s="1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4"/>
      <c r="AU2573" s="4"/>
      <c r="AV2573" s="4"/>
      <c r="AW2573" s="4"/>
      <c r="AX2573" s="4"/>
      <c r="AY2573" s="4"/>
      <c r="AZ2573" s="4"/>
      <c r="BA2573" s="4"/>
      <c r="BB2573" s="4"/>
      <c r="BC2573" s="4"/>
      <c r="BD2573" s="4"/>
      <c r="BE2573" s="4"/>
      <c r="BG2573" s="4"/>
      <c r="BH2573" s="4"/>
    </row>
    <row r="2574" spans="1:60" x14ac:dyDescent="0.35">
      <c r="A2574" s="4"/>
      <c r="B2574" s="4"/>
      <c r="D2574" s="6" t="str">
        <f t="shared" si="166"/>
        <v/>
      </c>
      <c r="E2574" s="6" t="str">
        <f t="shared" si="167"/>
        <v/>
      </c>
      <c r="F2574" s="6" t="str">
        <f t="shared" si="168"/>
        <v/>
      </c>
      <c r="G2574" s="4"/>
      <c r="H2574" s="4"/>
      <c r="I2574" s="4"/>
      <c r="J2574" s="4"/>
      <c r="K2574" s="4"/>
      <c r="L2574" s="4"/>
      <c r="M2574" s="4"/>
      <c r="N2574" s="4"/>
      <c r="O2574" s="4"/>
      <c r="P2574" s="4"/>
      <c r="Q2574" s="4"/>
      <c r="R2574" s="14"/>
      <c r="S2574" s="14"/>
      <c r="T2574" s="14"/>
      <c r="U2574" s="14"/>
      <c r="V2574" s="14"/>
      <c r="W2574" s="14"/>
      <c r="X2574" s="1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4"/>
      <c r="AU2574" s="4"/>
      <c r="AV2574" s="4"/>
      <c r="AW2574" s="4"/>
      <c r="AX2574" s="4"/>
      <c r="AY2574" s="4"/>
      <c r="AZ2574" s="4"/>
      <c r="BA2574" s="4"/>
      <c r="BB2574" s="4"/>
      <c r="BC2574" s="4"/>
      <c r="BD2574" s="4"/>
      <c r="BE2574" s="4"/>
      <c r="BG2574" s="4"/>
      <c r="BH2574" s="4"/>
    </row>
    <row r="2575" spans="1:60" x14ac:dyDescent="0.35">
      <c r="A2575" s="4"/>
      <c r="B2575" s="4"/>
      <c r="D2575" s="6" t="str">
        <f t="shared" si="166"/>
        <v/>
      </c>
      <c r="E2575" s="6" t="str">
        <f t="shared" si="167"/>
        <v/>
      </c>
      <c r="F2575" s="6" t="str">
        <f t="shared" si="168"/>
        <v/>
      </c>
      <c r="G2575" s="4"/>
      <c r="H2575" s="4"/>
      <c r="I2575" s="4"/>
      <c r="J2575" s="4"/>
      <c r="K2575" s="4"/>
      <c r="L2575" s="4"/>
      <c r="M2575" s="4"/>
      <c r="N2575" s="4"/>
      <c r="O2575" s="4"/>
      <c r="P2575" s="4"/>
      <c r="Q2575" s="4"/>
      <c r="R2575" s="14"/>
      <c r="S2575" s="14"/>
      <c r="T2575" s="14"/>
      <c r="U2575" s="14"/>
      <c r="V2575" s="14"/>
      <c r="W2575" s="14"/>
      <c r="X2575" s="1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4"/>
      <c r="AU2575" s="4"/>
      <c r="AV2575" s="4"/>
      <c r="AW2575" s="4"/>
      <c r="AX2575" s="4"/>
      <c r="AY2575" s="4"/>
      <c r="AZ2575" s="4"/>
      <c r="BA2575" s="4"/>
      <c r="BB2575" s="4"/>
      <c r="BC2575" s="4"/>
      <c r="BD2575" s="4"/>
      <c r="BE2575" s="4"/>
      <c r="BG2575" s="4"/>
      <c r="BH2575" s="4"/>
    </row>
    <row r="2576" spans="1:60" x14ac:dyDescent="0.35">
      <c r="A2576" s="4"/>
      <c r="B2576" s="4"/>
      <c r="D2576" s="6" t="str">
        <f t="shared" si="166"/>
        <v/>
      </c>
      <c r="E2576" s="6" t="str">
        <f t="shared" si="167"/>
        <v/>
      </c>
      <c r="F2576" s="6" t="str">
        <f t="shared" si="168"/>
        <v/>
      </c>
      <c r="G2576" s="4"/>
      <c r="H2576" s="4"/>
      <c r="I2576" s="4"/>
      <c r="J2576" s="4"/>
      <c r="K2576" s="4"/>
      <c r="L2576" s="4"/>
      <c r="M2576" s="4"/>
      <c r="N2576" s="4"/>
      <c r="O2576" s="4"/>
      <c r="P2576" s="4"/>
      <c r="Q2576" s="4"/>
      <c r="R2576" s="14"/>
      <c r="S2576" s="14"/>
      <c r="T2576" s="14"/>
      <c r="U2576" s="14"/>
      <c r="V2576" s="14"/>
      <c r="W2576" s="14"/>
      <c r="X2576" s="14"/>
      <c r="Y2576" s="4"/>
      <c r="Z2576" s="4"/>
      <c r="AA2576" s="4"/>
      <c r="AB2576" s="4"/>
      <c r="AC2576" s="4"/>
      <c r="AD2576" s="4"/>
      <c r="AE2576" s="4"/>
      <c r="AF2576" s="4"/>
      <c r="AG2576" s="4"/>
      <c r="AH2576" s="4"/>
      <c r="AI2576" s="4"/>
      <c r="AJ2576" s="4"/>
      <c r="AK2576" s="4"/>
      <c r="AL2576" s="4"/>
      <c r="AM2576" s="4"/>
      <c r="AN2576" s="4"/>
      <c r="AO2576" s="4"/>
      <c r="AP2576" s="4"/>
      <c r="AQ2576" s="4"/>
      <c r="AR2576" s="4"/>
      <c r="AS2576" s="4"/>
      <c r="AT2576" s="4"/>
      <c r="AU2576" s="4"/>
      <c r="AV2576" s="4"/>
      <c r="AW2576" s="4"/>
      <c r="AX2576" s="4"/>
      <c r="AY2576" s="4"/>
      <c r="AZ2576" s="4"/>
      <c r="BA2576" s="4"/>
      <c r="BB2576" s="4"/>
      <c r="BC2576" s="4"/>
      <c r="BD2576" s="4"/>
      <c r="BE2576" s="4"/>
      <c r="BG2576" s="4"/>
      <c r="BH2576" s="4"/>
    </row>
    <row r="2577" spans="1:60" x14ac:dyDescent="0.35">
      <c r="A2577" s="4"/>
      <c r="B2577" s="4"/>
      <c r="D2577" s="6" t="str">
        <f t="shared" si="166"/>
        <v/>
      </c>
      <c r="E2577" s="6" t="str">
        <f t="shared" si="167"/>
        <v/>
      </c>
      <c r="F2577" s="6" t="str">
        <f t="shared" si="168"/>
        <v/>
      </c>
      <c r="G2577" s="4"/>
      <c r="H2577" s="4"/>
      <c r="I2577" s="4"/>
      <c r="J2577" s="4"/>
      <c r="K2577" s="4"/>
      <c r="L2577" s="4"/>
      <c r="M2577" s="4"/>
      <c r="N2577" s="4"/>
      <c r="O2577" s="4"/>
      <c r="P2577" s="4"/>
      <c r="Q2577" s="4"/>
      <c r="R2577" s="14"/>
      <c r="S2577" s="14"/>
      <c r="T2577" s="14"/>
      <c r="U2577" s="14"/>
      <c r="V2577" s="14"/>
      <c r="W2577" s="14"/>
      <c r="X2577" s="14"/>
      <c r="Y2577" s="4"/>
      <c r="Z2577" s="4"/>
      <c r="AA2577" s="4"/>
      <c r="AB2577" s="4"/>
      <c r="AC2577" s="4"/>
      <c r="AD2577" s="4"/>
      <c r="AE2577" s="4"/>
      <c r="AF2577" s="4"/>
      <c r="AG2577" s="4"/>
      <c r="AH2577" s="4"/>
      <c r="AI2577" s="4"/>
      <c r="AJ2577" s="4"/>
      <c r="AK2577" s="4"/>
      <c r="AL2577" s="4"/>
      <c r="AM2577" s="4"/>
      <c r="AN2577" s="4"/>
      <c r="AO2577" s="4"/>
      <c r="AP2577" s="4"/>
      <c r="AQ2577" s="4"/>
      <c r="AR2577" s="4"/>
      <c r="AS2577" s="4"/>
      <c r="AT2577" s="4"/>
      <c r="AU2577" s="4"/>
      <c r="AV2577" s="4"/>
      <c r="AW2577" s="4"/>
      <c r="AX2577" s="4"/>
      <c r="AY2577" s="4"/>
      <c r="AZ2577" s="4"/>
      <c r="BA2577" s="4"/>
      <c r="BB2577" s="4"/>
      <c r="BC2577" s="4"/>
      <c r="BD2577" s="4"/>
      <c r="BE2577" s="4"/>
      <c r="BG2577" s="4"/>
      <c r="BH2577" s="4"/>
    </row>
    <row r="2578" spans="1:60" x14ac:dyDescent="0.35">
      <c r="A2578" s="4"/>
      <c r="B2578" s="4"/>
      <c r="D2578" s="6" t="str">
        <f t="shared" si="166"/>
        <v/>
      </c>
      <c r="E2578" s="6" t="str">
        <f t="shared" si="167"/>
        <v/>
      </c>
      <c r="F2578" s="6" t="str">
        <f t="shared" si="168"/>
        <v/>
      </c>
      <c r="G2578" s="4"/>
      <c r="H2578" s="4"/>
      <c r="I2578" s="4"/>
      <c r="J2578" s="4"/>
      <c r="K2578" s="4"/>
      <c r="L2578" s="4"/>
      <c r="M2578" s="4"/>
      <c r="N2578" s="4"/>
      <c r="O2578" s="4"/>
      <c r="P2578" s="4"/>
      <c r="Q2578" s="4"/>
      <c r="R2578" s="14"/>
      <c r="S2578" s="14"/>
      <c r="T2578" s="14"/>
      <c r="U2578" s="14"/>
      <c r="V2578" s="14"/>
      <c r="W2578" s="14"/>
      <c r="X2578" s="1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4"/>
      <c r="AU2578" s="4"/>
      <c r="AV2578" s="4"/>
      <c r="AW2578" s="4"/>
      <c r="AX2578" s="4"/>
      <c r="AY2578" s="4"/>
      <c r="AZ2578" s="4"/>
      <c r="BA2578" s="4"/>
      <c r="BB2578" s="4"/>
      <c r="BC2578" s="4"/>
      <c r="BD2578" s="4"/>
      <c r="BE2578" s="4"/>
      <c r="BG2578" s="4"/>
      <c r="BH2578" s="4"/>
    </row>
    <row r="2579" spans="1:60" x14ac:dyDescent="0.35">
      <c r="A2579" s="4"/>
      <c r="B2579" s="4"/>
      <c r="D2579" s="6" t="str">
        <f t="shared" si="166"/>
        <v/>
      </c>
      <c r="E2579" s="6" t="str">
        <f t="shared" si="167"/>
        <v/>
      </c>
      <c r="F2579" s="6" t="str">
        <f t="shared" si="168"/>
        <v/>
      </c>
      <c r="G2579" s="4"/>
      <c r="H2579" s="4"/>
      <c r="I2579" s="4"/>
      <c r="J2579" s="4"/>
      <c r="K2579" s="4"/>
      <c r="L2579" s="4"/>
      <c r="M2579" s="4"/>
      <c r="N2579" s="4"/>
      <c r="O2579" s="4"/>
      <c r="P2579" s="4"/>
      <c r="Q2579" s="4"/>
      <c r="R2579" s="14"/>
      <c r="S2579" s="14"/>
      <c r="T2579" s="14"/>
      <c r="U2579" s="14"/>
      <c r="V2579" s="14"/>
      <c r="W2579" s="14"/>
      <c r="X2579" s="1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4"/>
      <c r="AU2579" s="4"/>
      <c r="AV2579" s="4"/>
      <c r="AW2579" s="4"/>
      <c r="AX2579" s="4"/>
      <c r="AY2579" s="4"/>
      <c r="AZ2579" s="4"/>
      <c r="BA2579" s="4"/>
      <c r="BB2579" s="4"/>
      <c r="BC2579" s="4"/>
      <c r="BD2579" s="4"/>
      <c r="BE2579" s="4"/>
      <c r="BG2579" s="4"/>
      <c r="BH2579" s="4"/>
    </row>
    <row r="2580" spans="1:60" x14ac:dyDescent="0.35">
      <c r="A2580" s="4"/>
      <c r="B2580" s="4"/>
      <c r="D2580" s="6" t="str">
        <f t="shared" si="166"/>
        <v/>
      </c>
      <c r="E2580" s="6" t="str">
        <f t="shared" si="167"/>
        <v/>
      </c>
      <c r="F2580" s="6" t="str">
        <f t="shared" si="168"/>
        <v/>
      </c>
      <c r="G2580" s="4"/>
      <c r="H2580" s="4"/>
      <c r="I2580" s="4"/>
      <c r="J2580" s="4"/>
      <c r="K2580" s="4"/>
      <c r="L2580" s="4"/>
      <c r="M2580" s="4"/>
      <c r="N2580" s="4"/>
      <c r="O2580" s="4"/>
      <c r="P2580" s="4"/>
      <c r="Q2580" s="4"/>
      <c r="R2580" s="14"/>
      <c r="S2580" s="14"/>
      <c r="T2580" s="14"/>
      <c r="U2580" s="14"/>
      <c r="V2580" s="14"/>
      <c r="W2580" s="14"/>
      <c r="X2580" s="1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4"/>
      <c r="AU2580" s="4"/>
      <c r="AV2580" s="4"/>
      <c r="AW2580" s="4"/>
      <c r="AX2580" s="4"/>
      <c r="AY2580" s="4"/>
      <c r="AZ2580" s="4"/>
      <c r="BA2580" s="4"/>
      <c r="BB2580" s="4"/>
      <c r="BC2580" s="4"/>
      <c r="BD2580" s="4"/>
      <c r="BE2580" s="4"/>
      <c r="BG2580" s="4"/>
      <c r="BH2580" s="4"/>
    </row>
    <row r="2581" spans="1:60" x14ac:dyDescent="0.35">
      <c r="A2581" s="4"/>
      <c r="B2581" s="4"/>
      <c r="D2581" s="6" t="str">
        <f t="shared" si="166"/>
        <v/>
      </c>
      <c r="E2581" s="6" t="str">
        <f t="shared" si="167"/>
        <v/>
      </c>
      <c r="F2581" s="6" t="str">
        <f t="shared" si="168"/>
        <v/>
      </c>
      <c r="G2581" s="4"/>
      <c r="H2581" s="4"/>
      <c r="I2581" s="4"/>
      <c r="J2581" s="4"/>
      <c r="K2581" s="4"/>
      <c r="L2581" s="4"/>
      <c r="M2581" s="4"/>
      <c r="N2581" s="4"/>
      <c r="O2581" s="4"/>
      <c r="P2581" s="4"/>
      <c r="Q2581" s="4"/>
      <c r="R2581" s="14"/>
      <c r="S2581" s="14"/>
      <c r="T2581" s="14"/>
      <c r="U2581" s="14"/>
      <c r="V2581" s="14"/>
      <c r="W2581" s="14"/>
      <c r="X2581" s="1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4"/>
      <c r="AU2581" s="4"/>
      <c r="AV2581" s="4"/>
      <c r="AW2581" s="4"/>
      <c r="AX2581" s="4"/>
      <c r="AY2581" s="4"/>
      <c r="AZ2581" s="4"/>
      <c r="BA2581" s="4"/>
      <c r="BB2581" s="4"/>
      <c r="BC2581" s="4"/>
      <c r="BD2581" s="4"/>
      <c r="BE2581" s="4"/>
      <c r="BG2581" s="4"/>
      <c r="BH2581" s="4"/>
    </row>
    <row r="2582" spans="1:60" x14ac:dyDescent="0.35">
      <c r="A2582" s="4"/>
      <c r="B2582" s="4"/>
      <c r="D2582" s="6" t="str">
        <f t="shared" si="166"/>
        <v/>
      </c>
      <c r="E2582" s="6" t="str">
        <f t="shared" si="167"/>
        <v/>
      </c>
      <c r="F2582" s="6" t="str">
        <f t="shared" si="168"/>
        <v/>
      </c>
      <c r="G2582" s="4"/>
      <c r="H2582" s="4"/>
      <c r="I2582" s="4"/>
      <c r="J2582" s="4"/>
      <c r="K2582" s="4"/>
      <c r="L2582" s="4"/>
      <c r="M2582" s="4"/>
      <c r="N2582" s="4"/>
      <c r="O2582" s="4"/>
      <c r="P2582" s="4"/>
      <c r="Q2582" s="4"/>
      <c r="R2582" s="14"/>
      <c r="S2582" s="14"/>
      <c r="T2582" s="14"/>
      <c r="U2582" s="14"/>
      <c r="V2582" s="14"/>
      <c r="W2582" s="14"/>
      <c r="X2582" s="14"/>
      <c r="Y2582" s="4"/>
      <c r="Z2582" s="4"/>
      <c r="AA2582" s="4"/>
      <c r="AB2582" s="4"/>
      <c r="AC2582" s="4"/>
      <c r="AD2582" s="4"/>
      <c r="AE2582" s="4"/>
      <c r="AF2582" s="4"/>
      <c r="AG2582" s="4"/>
      <c r="AH2582" s="4"/>
      <c r="AI2582" s="4"/>
      <c r="AJ2582" s="4"/>
      <c r="AK2582" s="4"/>
      <c r="AL2582" s="4"/>
      <c r="AM2582" s="4"/>
      <c r="AN2582" s="4"/>
      <c r="AO2582" s="4"/>
      <c r="AP2582" s="4"/>
      <c r="AQ2582" s="4"/>
      <c r="AR2582" s="4"/>
      <c r="AS2582" s="4"/>
      <c r="AT2582" s="4"/>
      <c r="AU2582" s="4"/>
      <c r="AV2582" s="4"/>
      <c r="AW2582" s="4"/>
      <c r="AX2582" s="4"/>
      <c r="AY2582" s="4"/>
      <c r="AZ2582" s="4"/>
      <c r="BA2582" s="4"/>
      <c r="BB2582" s="4"/>
      <c r="BC2582" s="4"/>
      <c r="BD2582" s="4"/>
      <c r="BE2582" s="4"/>
      <c r="BG2582" s="4"/>
      <c r="BH2582" s="4"/>
    </row>
    <row r="2583" spans="1:60" x14ac:dyDescent="0.35">
      <c r="A2583" s="4"/>
      <c r="B2583" s="4"/>
      <c r="D2583" s="6" t="str">
        <f t="shared" si="166"/>
        <v/>
      </c>
      <c r="E2583" s="6" t="str">
        <f t="shared" si="167"/>
        <v/>
      </c>
      <c r="F2583" s="6" t="str">
        <f t="shared" si="168"/>
        <v/>
      </c>
      <c r="G2583" s="4"/>
      <c r="H2583" s="4"/>
      <c r="I2583" s="4"/>
      <c r="J2583" s="4"/>
      <c r="K2583" s="4"/>
      <c r="L2583" s="4"/>
      <c r="M2583" s="4"/>
      <c r="N2583" s="4"/>
      <c r="O2583" s="4"/>
      <c r="P2583" s="4"/>
      <c r="Q2583" s="4"/>
      <c r="R2583" s="14"/>
      <c r="S2583" s="14"/>
      <c r="T2583" s="14"/>
      <c r="U2583" s="14"/>
      <c r="V2583" s="14"/>
      <c r="W2583" s="14"/>
      <c r="X2583" s="1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4"/>
      <c r="AU2583" s="4"/>
      <c r="AV2583" s="4"/>
      <c r="AW2583" s="4"/>
      <c r="AX2583" s="4"/>
      <c r="AY2583" s="4"/>
      <c r="AZ2583" s="4"/>
      <c r="BA2583" s="4"/>
      <c r="BB2583" s="4"/>
      <c r="BC2583" s="4"/>
      <c r="BD2583" s="4"/>
      <c r="BE2583" s="4"/>
      <c r="BG2583" s="4"/>
      <c r="BH2583" s="4"/>
    </row>
    <row r="2584" spans="1:60" x14ac:dyDescent="0.35">
      <c r="A2584" s="4"/>
      <c r="B2584" s="4"/>
      <c r="D2584" s="6" t="str">
        <f t="shared" si="166"/>
        <v/>
      </c>
      <c r="E2584" s="6" t="str">
        <f t="shared" si="167"/>
        <v/>
      </c>
      <c r="F2584" s="6" t="str">
        <f t="shared" si="168"/>
        <v/>
      </c>
      <c r="G2584" s="4"/>
      <c r="H2584" s="4"/>
      <c r="I2584" s="4"/>
      <c r="J2584" s="4"/>
      <c r="K2584" s="4"/>
      <c r="L2584" s="4"/>
      <c r="M2584" s="4"/>
      <c r="N2584" s="4"/>
      <c r="O2584" s="4"/>
      <c r="P2584" s="4"/>
      <c r="Q2584" s="4"/>
      <c r="R2584" s="14"/>
      <c r="S2584" s="14"/>
      <c r="T2584" s="14"/>
      <c r="U2584" s="14"/>
      <c r="V2584" s="14"/>
      <c r="W2584" s="14"/>
      <c r="X2584" s="1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4"/>
      <c r="AU2584" s="4"/>
      <c r="AV2584" s="4"/>
      <c r="AW2584" s="4"/>
      <c r="AX2584" s="4"/>
      <c r="AY2584" s="4"/>
      <c r="AZ2584" s="4"/>
      <c r="BA2584" s="4"/>
      <c r="BB2584" s="4"/>
      <c r="BC2584" s="4"/>
      <c r="BD2584" s="4"/>
      <c r="BE2584" s="4"/>
      <c r="BG2584" s="4"/>
      <c r="BH2584" s="4"/>
    </row>
    <row r="2585" spans="1:60" x14ac:dyDescent="0.35">
      <c r="A2585" s="4"/>
      <c r="B2585" s="4"/>
      <c r="D2585" s="6" t="str">
        <f t="shared" si="166"/>
        <v/>
      </c>
      <c r="E2585" s="6" t="str">
        <f t="shared" si="167"/>
        <v/>
      </c>
      <c r="F2585" s="6" t="str">
        <f t="shared" si="168"/>
        <v/>
      </c>
      <c r="G2585" s="4"/>
      <c r="H2585" s="4"/>
      <c r="I2585" s="4"/>
      <c r="J2585" s="4"/>
      <c r="K2585" s="4"/>
      <c r="L2585" s="4"/>
      <c r="M2585" s="4"/>
      <c r="N2585" s="4"/>
      <c r="O2585" s="4"/>
      <c r="P2585" s="4"/>
      <c r="Q2585" s="4"/>
      <c r="R2585" s="14"/>
      <c r="S2585" s="14"/>
      <c r="T2585" s="14"/>
      <c r="U2585" s="14"/>
      <c r="V2585" s="14"/>
      <c r="W2585" s="14"/>
      <c r="X2585" s="1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4"/>
      <c r="AU2585" s="4"/>
      <c r="AV2585" s="4"/>
      <c r="AW2585" s="4"/>
      <c r="AX2585" s="4"/>
      <c r="AY2585" s="4"/>
      <c r="AZ2585" s="4"/>
      <c r="BA2585" s="4"/>
      <c r="BB2585" s="4"/>
      <c r="BC2585" s="4"/>
      <c r="BD2585" s="4"/>
      <c r="BE2585" s="4"/>
      <c r="BG2585" s="4"/>
      <c r="BH2585" s="4"/>
    </row>
    <row r="2586" spans="1:60" x14ac:dyDescent="0.35">
      <c r="A2586" s="4"/>
      <c r="B2586" s="4"/>
      <c r="D2586" s="6" t="str">
        <f t="shared" si="166"/>
        <v/>
      </c>
      <c r="E2586" s="6" t="str">
        <f t="shared" si="167"/>
        <v/>
      </c>
      <c r="F2586" s="6" t="str">
        <f t="shared" si="168"/>
        <v/>
      </c>
      <c r="G2586" s="4"/>
      <c r="H2586" s="4"/>
      <c r="I2586" s="4"/>
      <c r="J2586" s="4"/>
      <c r="K2586" s="4"/>
      <c r="L2586" s="4"/>
      <c r="M2586" s="4"/>
      <c r="N2586" s="4"/>
      <c r="O2586" s="4"/>
      <c r="P2586" s="4"/>
      <c r="Q2586" s="4"/>
      <c r="R2586" s="14"/>
      <c r="S2586" s="14"/>
      <c r="T2586" s="14"/>
      <c r="U2586" s="14"/>
      <c r="V2586" s="14"/>
      <c r="W2586" s="14"/>
      <c r="X2586" s="1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4"/>
      <c r="AU2586" s="4"/>
      <c r="AV2586" s="4"/>
      <c r="AW2586" s="4"/>
      <c r="AX2586" s="4"/>
      <c r="AY2586" s="4"/>
      <c r="AZ2586" s="4"/>
      <c r="BA2586" s="4"/>
      <c r="BB2586" s="4"/>
      <c r="BC2586" s="4"/>
      <c r="BD2586" s="4"/>
      <c r="BE2586" s="4"/>
      <c r="BG2586" s="4"/>
      <c r="BH2586" s="4"/>
    </row>
    <row r="2587" spans="1:60" x14ac:dyDescent="0.35">
      <c r="A2587" s="4"/>
      <c r="B2587" s="4"/>
      <c r="D2587" s="6" t="str">
        <f t="shared" si="166"/>
        <v/>
      </c>
      <c r="E2587" s="6" t="str">
        <f t="shared" si="167"/>
        <v/>
      </c>
      <c r="F2587" s="6" t="str">
        <f t="shared" si="168"/>
        <v/>
      </c>
      <c r="G2587" s="4"/>
      <c r="H2587" s="4"/>
      <c r="I2587" s="4"/>
      <c r="J2587" s="4"/>
      <c r="K2587" s="4"/>
      <c r="L2587" s="4"/>
      <c r="M2587" s="4"/>
      <c r="N2587" s="4"/>
      <c r="O2587" s="4"/>
      <c r="P2587" s="4"/>
      <c r="Q2587" s="4"/>
      <c r="R2587" s="14"/>
      <c r="S2587" s="14"/>
      <c r="T2587" s="14"/>
      <c r="U2587" s="14"/>
      <c r="V2587" s="14"/>
      <c r="W2587" s="14"/>
      <c r="X2587" s="1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4"/>
      <c r="AU2587" s="4"/>
      <c r="AV2587" s="4"/>
      <c r="AW2587" s="4"/>
      <c r="AX2587" s="4"/>
      <c r="AY2587" s="4"/>
      <c r="AZ2587" s="4"/>
      <c r="BA2587" s="4"/>
      <c r="BB2587" s="4"/>
      <c r="BC2587" s="4"/>
      <c r="BD2587" s="4"/>
      <c r="BE2587" s="4"/>
      <c r="BG2587" s="4"/>
      <c r="BH2587" s="4"/>
    </row>
    <row r="2588" spans="1:60" x14ac:dyDescent="0.35">
      <c r="A2588" s="4"/>
      <c r="B2588" s="4"/>
      <c r="D2588" s="6" t="str">
        <f t="shared" si="166"/>
        <v/>
      </c>
      <c r="E2588" s="6" t="str">
        <f t="shared" si="167"/>
        <v/>
      </c>
      <c r="F2588" s="6" t="str">
        <f t="shared" si="168"/>
        <v/>
      </c>
      <c r="G2588" s="4"/>
      <c r="H2588" s="4"/>
      <c r="I2588" s="4"/>
      <c r="J2588" s="4"/>
      <c r="K2588" s="4"/>
      <c r="L2588" s="4"/>
      <c r="M2588" s="4"/>
      <c r="N2588" s="4"/>
      <c r="O2588" s="4"/>
      <c r="P2588" s="4"/>
      <c r="Q2588" s="4"/>
      <c r="R2588" s="14"/>
      <c r="S2588" s="14"/>
      <c r="T2588" s="14"/>
      <c r="U2588" s="14"/>
      <c r="V2588" s="14"/>
      <c r="W2588" s="14"/>
      <c r="X2588" s="1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4"/>
      <c r="AU2588" s="4"/>
      <c r="AV2588" s="4"/>
      <c r="AW2588" s="4"/>
      <c r="AX2588" s="4"/>
      <c r="AY2588" s="4"/>
      <c r="AZ2588" s="4"/>
      <c r="BA2588" s="4"/>
      <c r="BB2588" s="4"/>
      <c r="BC2588" s="4"/>
      <c r="BD2588" s="4"/>
      <c r="BE2588" s="4"/>
      <c r="BG2588" s="4"/>
      <c r="BH2588" s="4"/>
    </row>
    <row r="2589" spans="1:60" x14ac:dyDescent="0.35">
      <c r="A2589" s="4"/>
      <c r="B2589" s="4"/>
      <c r="D2589" s="6" t="str">
        <f t="shared" si="166"/>
        <v/>
      </c>
      <c r="E2589" s="6" t="str">
        <f t="shared" si="167"/>
        <v/>
      </c>
      <c r="F2589" s="6" t="str">
        <f t="shared" si="168"/>
        <v/>
      </c>
      <c r="G2589" s="4"/>
      <c r="H2589" s="4"/>
      <c r="I2589" s="4"/>
      <c r="J2589" s="4"/>
      <c r="K2589" s="4"/>
      <c r="L2589" s="4"/>
      <c r="M2589" s="4"/>
      <c r="N2589" s="4"/>
      <c r="O2589" s="4"/>
      <c r="P2589" s="4"/>
      <c r="Q2589" s="4"/>
      <c r="R2589" s="14"/>
      <c r="S2589" s="14"/>
      <c r="T2589" s="14"/>
      <c r="U2589" s="14"/>
      <c r="V2589" s="14"/>
      <c r="W2589" s="14"/>
      <c r="X2589" s="1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4"/>
      <c r="AU2589" s="4"/>
      <c r="AV2589" s="4"/>
      <c r="AW2589" s="4"/>
      <c r="AX2589" s="4"/>
      <c r="AY2589" s="4"/>
      <c r="AZ2589" s="4"/>
      <c r="BA2589" s="4"/>
      <c r="BB2589" s="4"/>
      <c r="BC2589" s="4"/>
      <c r="BD2589" s="4"/>
      <c r="BE2589" s="4"/>
      <c r="BG2589" s="4"/>
      <c r="BH2589" s="4"/>
    </row>
    <row r="2590" spans="1:60" x14ac:dyDescent="0.35">
      <c r="A2590" s="4"/>
      <c r="B2590" s="4"/>
      <c r="D2590" s="6" t="str">
        <f t="shared" si="166"/>
        <v/>
      </c>
      <c r="E2590" s="6" t="str">
        <f t="shared" si="167"/>
        <v/>
      </c>
      <c r="F2590" s="6" t="str">
        <f t="shared" si="168"/>
        <v/>
      </c>
      <c r="G2590" s="4"/>
      <c r="H2590" s="4"/>
      <c r="I2590" s="4"/>
      <c r="J2590" s="4"/>
      <c r="K2590" s="4"/>
      <c r="L2590" s="4"/>
      <c r="M2590" s="4"/>
      <c r="N2590" s="4"/>
      <c r="O2590" s="4"/>
      <c r="P2590" s="4"/>
      <c r="Q2590" s="4"/>
      <c r="R2590" s="14"/>
      <c r="S2590" s="14"/>
      <c r="T2590" s="14"/>
      <c r="U2590" s="14"/>
      <c r="V2590" s="14"/>
      <c r="W2590" s="14"/>
      <c r="X2590" s="1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4"/>
      <c r="AU2590" s="4"/>
      <c r="AV2590" s="4"/>
      <c r="AW2590" s="4"/>
      <c r="AX2590" s="4"/>
      <c r="AY2590" s="4"/>
      <c r="AZ2590" s="4"/>
      <c r="BA2590" s="4"/>
      <c r="BB2590" s="4"/>
      <c r="BC2590" s="4"/>
      <c r="BD2590" s="4"/>
      <c r="BE2590" s="4"/>
      <c r="BG2590" s="4"/>
      <c r="BH2590" s="4"/>
    </row>
    <row r="2591" spans="1:60" x14ac:dyDescent="0.35">
      <c r="A2591" s="4"/>
      <c r="B2591" s="4"/>
      <c r="D2591" s="6" t="str">
        <f t="shared" si="166"/>
        <v/>
      </c>
      <c r="E2591" s="6" t="str">
        <f t="shared" si="167"/>
        <v/>
      </c>
      <c r="F2591" s="6" t="str">
        <f t="shared" si="168"/>
        <v/>
      </c>
      <c r="G2591" s="4"/>
      <c r="H2591" s="4"/>
      <c r="I2591" s="4"/>
      <c r="J2591" s="4"/>
      <c r="K2591" s="4"/>
      <c r="L2591" s="4"/>
      <c r="M2591" s="4"/>
      <c r="N2591" s="4"/>
      <c r="O2591" s="4"/>
      <c r="P2591" s="4"/>
      <c r="Q2591" s="4"/>
      <c r="R2591" s="14"/>
      <c r="S2591" s="14"/>
      <c r="T2591" s="14"/>
      <c r="U2591" s="14"/>
      <c r="V2591" s="14"/>
      <c r="W2591" s="14"/>
      <c r="X2591" s="1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4"/>
      <c r="AU2591" s="4"/>
      <c r="AV2591" s="4"/>
      <c r="AW2591" s="4"/>
      <c r="AX2591" s="4"/>
      <c r="AY2591" s="4"/>
      <c r="AZ2591" s="4"/>
      <c r="BA2591" s="4"/>
      <c r="BB2591" s="4"/>
      <c r="BC2591" s="4"/>
      <c r="BD2591" s="4"/>
      <c r="BE2591" s="4"/>
      <c r="BG2591" s="4"/>
      <c r="BH2591" s="4"/>
    </row>
    <row r="2592" spans="1:60" x14ac:dyDescent="0.35">
      <c r="A2592" s="4"/>
      <c r="B2592" s="4"/>
      <c r="D2592" s="6" t="str">
        <f t="shared" si="166"/>
        <v/>
      </c>
      <c r="E2592" s="6" t="str">
        <f t="shared" si="167"/>
        <v/>
      </c>
      <c r="F2592" s="6" t="str">
        <f t="shared" si="168"/>
        <v/>
      </c>
      <c r="G2592" s="4"/>
      <c r="H2592" s="4"/>
      <c r="I2592" s="4"/>
      <c r="J2592" s="4"/>
      <c r="K2592" s="4"/>
      <c r="L2592" s="4"/>
      <c r="M2592" s="4"/>
      <c r="N2592" s="4"/>
      <c r="O2592" s="4"/>
      <c r="P2592" s="4"/>
      <c r="Q2592" s="4"/>
      <c r="R2592" s="14"/>
      <c r="S2592" s="14"/>
      <c r="T2592" s="14"/>
      <c r="U2592" s="14"/>
      <c r="V2592" s="14"/>
      <c r="W2592" s="14"/>
      <c r="X2592" s="14"/>
      <c r="Y2592" s="4"/>
      <c r="Z2592" s="4"/>
      <c r="AA2592" s="4"/>
      <c r="AB2592" s="4"/>
      <c r="AC2592" s="4"/>
      <c r="AD2592" s="4"/>
      <c r="AE2592" s="4"/>
      <c r="AF2592" s="4"/>
      <c r="AG2592" s="4"/>
      <c r="AH2592" s="4"/>
      <c r="AI2592" s="4"/>
      <c r="AJ2592" s="4"/>
      <c r="AK2592" s="4"/>
      <c r="AL2592" s="4"/>
      <c r="AM2592" s="4"/>
      <c r="AN2592" s="4"/>
      <c r="AO2592" s="4"/>
      <c r="AP2592" s="4"/>
      <c r="AQ2592" s="4"/>
      <c r="AR2592" s="4"/>
      <c r="AS2592" s="4"/>
      <c r="AT2592" s="4"/>
      <c r="AU2592" s="4"/>
      <c r="AV2592" s="4"/>
      <c r="AW2592" s="4"/>
      <c r="AX2592" s="4"/>
      <c r="AY2592" s="4"/>
      <c r="AZ2592" s="4"/>
      <c r="BA2592" s="4"/>
      <c r="BB2592" s="4"/>
      <c r="BC2592" s="4"/>
      <c r="BD2592" s="4"/>
      <c r="BE2592" s="4"/>
      <c r="BG2592" s="4"/>
      <c r="BH2592" s="4"/>
    </row>
    <row r="2593" spans="1:60" x14ac:dyDescent="0.35">
      <c r="A2593" s="4"/>
      <c r="B2593" s="4"/>
      <c r="D2593" s="6" t="str">
        <f t="shared" si="166"/>
        <v/>
      </c>
      <c r="E2593" s="6" t="str">
        <f t="shared" si="167"/>
        <v/>
      </c>
      <c r="F2593" s="6" t="str">
        <f t="shared" si="168"/>
        <v/>
      </c>
      <c r="G2593" s="4"/>
      <c r="H2593" s="4"/>
      <c r="I2593" s="4"/>
      <c r="J2593" s="4"/>
      <c r="K2593" s="4"/>
      <c r="L2593" s="4"/>
      <c r="M2593" s="4"/>
      <c r="N2593" s="4"/>
      <c r="O2593" s="4"/>
      <c r="P2593" s="4"/>
      <c r="Q2593" s="4"/>
      <c r="R2593" s="14"/>
      <c r="S2593" s="14"/>
      <c r="T2593" s="14"/>
      <c r="U2593" s="14"/>
      <c r="V2593" s="14"/>
      <c r="W2593" s="14"/>
      <c r="X2593" s="1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4"/>
      <c r="AU2593" s="4"/>
      <c r="AV2593" s="4"/>
      <c r="AW2593" s="4"/>
      <c r="AX2593" s="4"/>
      <c r="AY2593" s="4"/>
      <c r="AZ2593" s="4"/>
      <c r="BA2593" s="4"/>
      <c r="BB2593" s="4"/>
      <c r="BC2593" s="4"/>
      <c r="BD2593" s="4"/>
      <c r="BE2593" s="4"/>
      <c r="BG2593" s="4"/>
      <c r="BH2593" s="4"/>
    </row>
    <row r="2594" spans="1:60" x14ac:dyDescent="0.35">
      <c r="A2594" s="4"/>
      <c r="B2594" s="4"/>
      <c r="D2594" s="6" t="str">
        <f t="shared" si="166"/>
        <v/>
      </c>
      <c r="E2594" s="6" t="str">
        <f t="shared" si="167"/>
        <v/>
      </c>
      <c r="F2594" s="6" t="str">
        <f t="shared" si="168"/>
        <v/>
      </c>
      <c r="G2594" s="4"/>
      <c r="H2594" s="4"/>
      <c r="I2594" s="4"/>
      <c r="J2594" s="4"/>
      <c r="K2594" s="4"/>
      <c r="L2594" s="4"/>
      <c r="M2594" s="4"/>
      <c r="N2594" s="4"/>
      <c r="O2594" s="4"/>
      <c r="P2594" s="4"/>
      <c r="Q2594" s="4"/>
      <c r="R2594" s="14"/>
      <c r="S2594" s="14"/>
      <c r="T2594" s="14"/>
      <c r="U2594" s="14"/>
      <c r="V2594" s="14"/>
      <c r="W2594" s="14"/>
      <c r="X2594" s="1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4"/>
      <c r="AU2594" s="4"/>
      <c r="AV2594" s="4"/>
      <c r="AW2594" s="4"/>
      <c r="AX2594" s="4"/>
      <c r="AY2594" s="4"/>
      <c r="AZ2594" s="4"/>
      <c r="BA2594" s="4"/>
      <c r="BB2594" s="4"/>
      <c r="BC2594" s="4"/>
      <c r="BD2594" s="4"/>
      <c r="BE2594" s="4"/>
      <c r="BG2594" s="4"/>
      <c r="BH2594" s="4"/>
    </row>
    <row r="2595" spans="1:60" x14ac:dyDescent="0.35">
      <c r="A2595" s="4"/>
      <c r="B2595" s="4"/>
      <c r="D2595" s="6" t="str">
        <f t="shared" si="166"/>
        <v/>
      </c>
      <c r="E2595" s="6" t="str">
        <f t="shared" si="167"/>
        <v/>
      </c>
      <c r="F2595" s="6" t="str">
        <f t="shared" si="168"/>
        <v/>
      </c>
      <c r="G2595" s="4"/>
      <c r="H2595" s="4"/>
      <c r="I2595" s="4"/>
      <c r="J2595" s="4"/>
      <c r="K2595" s="4"/>
      <c r="L2595" s="4"/>
      <c r="M2595" s="4"/>
      <c r="N2595" s="4"/>
      <c r="O2595" s="4"/>
      <c r="P2595" s="4"/>
      <c r="Q2595" s="4"/>
      <c r="R2595" s="14"/>
      <c r="S2595" s="14"/>
      <c r="T2595" s="14"/>
      <c r="U2595" s="14"/>
      <c r="V2595" s="14"/>
      <c r="W2595" s="14"/>
      <c r="X2595" s="1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4"/>
      <c r="AU2595" s="4"/>
      <c r="AV2595" s="4"/>
      <c r="AW2595" s="4"/>
      <c r="AX2595" s="4"/>
      <c r="AY2595" s="4"/>
      <c r="AZ2595" s="4"/>
      <c r="BA2595" s="4"/>
      <c r="BB2595" s="4"/>
      <c r="BC2595" s="4"/>
      <c r="BD2595" s="4"/>
      <c r="BE2595" s="4"/>
      <c r="BG2595" s="4"/>
      <c r="BH2595" s="4"/>
    </row>
    <row r="2596" spans="1:60" x14ac:dyDescent="0.35">
      <c r="A2596" s="4"/>
      <c r="B2596" s="4"/>
      <c r="D2596" s="6" t="str">
        <f t="shared" si="166"/>
        <v/>
      </c>
      <c r="E2596" s="6" t="str">
        <f t="shared" si="167"/>
        <v/>
      </c>
      <c r="F2596" s="6" t="str">
        <f t="shared" si="168"/>
        <v/>
      </c>
      <c r="G2596" s="4"/>
      <c r="H2596" s="4"/>
      <c r="I2596" s="4"/>
      <c r="J2596" s="4"/>
      <c r="K2596" s="4"/>
      <c r="L2596" s="4"/>
      <c r="M2596" s="4"/>
      <c r="N2596" s="4"/>
      <c r="O2596" s="4"/>
      <c r="P2596" s="4"/>
      <c r="Q2596" s="4"/>
      <c r="R2596" s="14"/>
      <c r="S2596" s="14"/>
      <c r="T2596" s="14"/>
      <c r="U2596" s="14"/>
      <c r="V2596" s="14"/>
      <c r="W2596" s="14"/>
      <c r="X2596" s="1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4"/>
      <c r="AU2596" s="4"/>
      <c r="AV2596" s="4"/>
      <c r="AW2596" s="4"/>
      <c r="AX2596" s="4"/>
      <c r="AY2596" s="4"/>
      <c r="AZ2596" s="4"/>
      <c r="BA2596" s="4"/>
      <c r="BB2596" s="4"/>
      <c r="BC2596" s="4"/>
      <c r="BD2596" s="4"/>
      <c r="BE2596" s="4"/>
      <c r="BG2596" s="4"/>
      <c r="BH2596" s="4"/>
    </row>
    <row r="2597" spans="1:60" x14ac:dyDescent="0.35">
      <c r="A2597" s="4"/>
      <c r="B2597" s="4"/>
      <c r="D2597" s="6" t="str">
        <f t="shared" si="166"/>
        <v/>
      </c>
      <c r="E2597" s="6" t="str">
        <f t="shared" si="167"/>
        <v/>
      </c>
      <c r="F2597" s="6" t="str">
        <f t="shared" si="168"/>
        <v/>
      </c>
      <c r="G2597" s="4"/>
      <c r="H2597" s="4"/>
      <c r="I2597" s="4"/>
      <c r="J2597" s="4"/>
      <c r="K2597" s="4"/>
      <c r="L2597" s="4"/>
      <c r="M2597" s="4"/>
      <c r="N2597" s="4"/>
      <c r="O2597" s="4"/>
      <c r="P2597" s="4"/>
      <c r="Q2597" s="4"/>
      <c r="R2597" s="14"/>
      <c r="S2597" s="14"/>
      <c r="T2597" s="14"/>
      <c r="U2597" s="14"/>
      <c r="V2597" s="14"/>
      <c r="W2597" s="14"/>
      <c r="X2597" s="14"/>
      <c r="Y2597" s="4"/>
      <c r="Z2597" s="4"/>
      <c r="AA2597" s="4"/>
      <c r="AB2597" s="4"/>
      <c r="AC2597" s="4"/>
      <c r="AD2597" s="4"/>
      <c r="AE2597" s="4"/>
      <c r="AF2597" s="4"/>
      <c r="AG2597" s="4"/>
      <c r="AH2597" s="4"/>
      <c r="AI2597" s="4"/>
      <c r="AJ2597" s="4"/>
      <c r="AK2597" s="4"/>
      <c r="AL2597" s="4"/>
      <c r="AM2597" s="4"/>
      <c r="AN2597" s="4"/>
      <c r="AO2597" s="4"/>
      <c r="AP2597" s="4"/>
      <c r="AQ2597" s="4"/>
      <c r="AR2597" s="4"/>
      <c r="AS2597" s="4"/>
      <c r="AT2597" s="4"/>
      <c r="AU2597" s="4"/>
      <c r="AV2597" s="4"/>
      <c r="AW2597" s="4"/>
      <c r="AX2597" s="4"/>
      <c r="AY2597" s="4"/>
      <c r="AZ2597" s="4"/>
      <c r="BA2597" s="4"/>
      <c r="BB2597" s="4"/>
      <c r="BC2597" s="4"/>
      <c r="BD2597" s="4"/>
      <c r="BE2597" s="4"/>
      <c r="BG2597" s="4"/>
      <c r="BH2597" s="4"/>
    </row>
    <row r="2598" spans="1:60" x14ac:dyDescent="0.35">
      <c r="A2598" s="4"/>
      <c r="B2598" s="4"/>
      <c r="D2598" s="6" t="str">
        <f t="shared" si="166"/>
        <v/>
      </c>
      <c r="E2598" s="6" t="str">
        <f t="shared" si="167"/>
        <v/>
      </c>
      <c r="F2598" s="6" t="str">
        <f t="shared" si="168"/>
        <v/>
      </c>
      <c r="G2598" s="4"/>
      <c r="H2598" s="4"/>
      <c r="I2598" s="4"/>
      <c r="J2598" s="4"/>
      <c r="K2598" s="4"/>
      <c r="L2598" s="4"/>
      <c r="M2598" s="4"/>
      <c r="N2598" s="4"/>
      <c r="O2598" s="4"/>
      <c r="P2598" s="4"/>
      <c r="Q2598" s="4"/>
      <c r="R2598" s="14"/>
      <c r="S2598" s="14"/>
      <c r="T2598" s="14"/>
      <c r="U2598" s="14"/>
      <c r="V2598" s="14"/>
      <c r="W2598" s="14"/>
      <c r="X2598" s="1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4"/>
      <c r="AU2598" s="4"/>
      <c r="AV2598" s="4"/>
      <c r="AW2598" s="4"/>
      <c r="AX2598" s="4"/>
      <c r="AY2598" s="4"/>
      <c r="AZ2598" s="4"/>
      <c r="BA2598" s="4"/>
      <c r="BB2598" s="4"/>
      <c r="BC2598" s="4"/>
      <c r="BD2598" s="4"/>
      <c r="BE2598" s="4"/>
      <c r="BG2598" s="4"/>
      <c r="BH2598" s="4"/>
    </row>
    <row r="2599" spans="1:60" x14ac:dyDescent="0.35">
      <c r="A2599" s="4"/>
      <c r="B2599" s="4"/>
      <c r="D2599" s="6" t="str">
        <f t="shared" si="166"/>
        <v/>
      </c>
      <c r="E2599" s="6" t="str">
        <f t="shared" si="167"/>
        <v/>
      </c>
      <c r="F2599" s="6" t="str">
        <f t="shared" si="168"/>
        <v/>
      </c>
      <c r="G2599" s="4"/>
      <c r="H2599" s="4"/>
      <c r="I2599" s="4"/>
      <c r="J2599" s="4"/>
      <c r="K2599" s="4"/>
      <c r="L2599" s="4"/>
      <c r="M2599" s="4"/>
      <c r="N2599" s="4"/>
      <c r="O2599" s="4"/>
      <c r="P2599" s="4"/>
      <c r="Q2599" s="4"/>
      <c r="R2599" s="14"/>
      <c r="S2599" s="14"/>
      <c r="T2599" s="14"/>
      <c r="U2599" s="14"/>
      <c r="V2599" s="14"/>
      <c r="W2599" s="14"/>
      <c r="X2599" s="14"/>
      <c r="Y2599" s="4"/>
      <c r="Z2599" s="4"/>
      <c r="AA2599" s="4"/>
      <c r="AB2599" s="4"/>
      <c r="AC2599" s="4"/>
      <c r="AD2599" s="4"/>
      <c r="AE2599" s="4"/>
      <c r="AF2599" s="4"/>
      <c r="AG2599" s="4"/>
      <c r="AH2599" s="4"/>
      <c r="AI2599" s="4"/>
      <c r="AJ2599" s="4"/>
      <c r="AK2599" s="4"/>
      <c r="AL2599" s="4"/>
      <c r="AM2599" s="4"/>
      <c r="AN2599" s="4"/>
      <c r="AO2599" s="4"/>
      <c r="AP2599" s="4"/>
      <c r="AQ2599" s="4"/>
      <c r="AR2599" s="4"/>
      <c r="AS2599" s="4"/>
      <c r="AT2599" s="4"/>
      <c r="AU2599" s="4"/>
      <c r="AV2599" s="4"/>
      <c r="AW2599" s="4"/>
      <c r="AX2599" s="4"/>
      <c r="AY2599" s="4"/>
      <c r="AZ2599" s="4"/>
      <c r="BA2599" s="4"/>
      <c r="BB2599" s="4"/>
      <c r="BC2599" s="4"/>
      <c r="BD2599" s="4"/>
      <c r="BE2599" s="4"/>
      <c r="BG2599" s="4"/>
      <c r="BH2599" s="4"/>
    </row>
    <row r="2600" spans="1:60" x14ac:dyDescent="0.35">
      <c r="A2600" s="4"/>
      <c r="B2600" s="4"/>
      <c r="D2600" s="6" t="str">
        <f t="shared" si="166"/>
        <v/>
      </c>
      <c r="E2600" s="6" t="str">
        <f t="shared" si="167"/>
        <v/>
      </c>
      <c r="F2600" s="6" t="str">
        <f t="shared" si="168"/>
        <v/>
      </c>
      <c r="G2600" s="4"/>
      <c r="H2600" s="4"/>
      <c r="I2600" s="4"/>
      <c r="J2600" s="4"/>
      <c r="K2600" s="4"/>
      <c r="L2600" s="4"/>
      <c r="M2600" s="4"/>
      <c r="N2600" s="4"/>
      <c r="O2600" s="4"/>
      <c r="P2600" s="4"/>
      <c r="Q2600" s="4"/>
      <c r="R2600" s="14"/>
      <c r="S2600" s="14"/>
      <c r="T2600" s="14"/>
      <c r="U2600" s="14"/>
      <c r="V2600" s="14"/>
      <c r="W2600" s="14"/>
      <c r="X2600" s="1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4"/>
      <c r="AU2600" s="4"/>
      <c r="AV2600" s="4"/>
      <c r="AW2600" s="4"/>
      <c r="AX2600" s="4"/>
      <c r="AY2600" s="4"/>
      <c r="AZ2600" s="4"/>
      <c r="BA2600" s="4"/>
      <c r="BB2600" s="4"/>
      <c r="BC2600" s="4"/>
      <c r="BD2600" s="4"/>
      <c r="BE2600" s="4"/>
      <c r="BG2600" s="4"/>
      <c r="BH2600" s="4"/>
    </row>
    <row r="2601" spans="1:60" x14ac:dyDescent="0.35">
      <c r="A2601" s="4"/>
      <c r="B2601" s="4"/>
      <c r="D2601" s="6" t="str">
        <f t="shared" si="166"/>
        <v/>
      </c>
      <c r="E2601" s="6" t="str">
        <f t="shared" si="167"/>
        <v/>
      </c>
      <c r="F2601" s="6" t="str">
        <f t="shared" si="168"/>
        <v/>
      </c>
      <c r="G2601" s="4"/>
      <c r="H2601" s="4"/>
      <c r="I2601" s="4"/>
      <c r="J2601" s="4"/>
      <c r="K2601" s="4"/>
      <c r="L2601" s="4"/>
      <c r="M2601" s="4"/>
      <c r="N2601" s="4"/>
      <c r="O2601" s="4"/>
      <c r="P2601" s="4"/>
      <c r="Q2601" s="4"/>
      <c r="R2601" s="14"/>
      <c r="S2601" s="14"/>
      <c r="T2601" s="14"/>
      <c r="U2601" s="14"/>
      <c r="V2601" s="14"/>
      <c r="W2601" s="14"/>
      <c r="X2601" s="14"/>
      <c r="Y2601" s="4"/>
      <c r="Z2601" s="4"/>
      <c r="AA2601" s="4"/>
      <c r="AB2601" s="4"/>
      <c r="AC2601" s="4"/>
      <c r="AD2601" s="4"/>
      <c r="AE2601" s="4"/>
      <c r="AF2601" s="4"/>
      <c r="AG2601" s="4"/>
      <c r="AH2601" s="4"/>
      <c r="AI2601" s="4"/>
      <c r="AJ2601" s="4"/>
      <c r="AK2601" s="4"/>
      <c r="AL2601" s="4"/>
      <c r="AM2601" s="4"/>
      <c r="AN2601" s="4"/>
      <c r="AO2601" s="4"/>
      <c r="AP2601" s="4"/>
      <c r="AQ2601" s="4"/>
      <c r="AR2601" s="4"/>
      <c r="AS2601" s="4"/>
      <c r="AT2601" s="4"/>
      <c r="AU2601" s="4"/>
      <c r="AV2601" s="4"/>
      <c r="AW2601" s="4"/>
      <c r="AX2601" s="4"/>
      <c r="AY2601" s="4"/>
      <c r="AZ2601" s="4"/>
      <c r="BA2601" s="4"/>
      <c r="BB2601" s="4"/>
      <c r="BC2601" s="4"/>
      <c r="BD2601" s="4"/>
      <c r="BE2601" s="4"/>
      <c r="BG2601" s="4"/>
      <c r="BH2601" s="4"/>
    </row>
    <row r="2602" spans="1:60" x14ac:dyDescent="0.35">
      <c r="A2602" s="4"/>
      <c r="B2602" s="4"/>
      <c r="D2602" s="6" t="str">
        <f t="shared" si="166"/>
        <v/>
      </c>
      <c r="E2602" s="6" t="str">
        <f t="shared" si="167"/>
        <v/>
      </c>
      <c r="F2602" s="6" t="str">
        <f t="shared" si="168"/>
        <v/>
      </c>
      <c r="G2602" s="4"/>
      <c r="H2602" s="4"/>
      <c r="I2602" s="4"/>
      <c r="J2602" s="4"/>
      <c r="K2602" s="4"/>
      <c r="L2602" s="4"/>
      <c r="M2602" s="4"/>
      <c r="N2602" s="4"/>
      <c r="O2602" s="4"/>
      <c r="P2602" s="4"/>
      <c r="Q2602" s="4"/>
      <c r="R2602" s="14"/>
      <c r="S2602" s="14"/>
      <c r="T2602" s="14"/>
      <c r="U2602" s="14"/>
      <c r="V2602" s="14"/>
      <c r="W2602" s="14"/>
      <c r="X2602" s="1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4"/>
      <c r="AU2602" s="4"/>
      <c r="AV2602" s="4"/>
      <c r="AW2602" s="4"/>
      <c r="AX2602" s="4"/>
      <c r="AY2602" s="4"/>
      <c r="AZ2602" s="4"/>
      <c r="BA2602" s="4"/>
      <c r="BB2602" s="4"/>
      <c r="BC2602" s="4"/>
      <c r="BD2602" s="4"/>
      <c r="BE2602" s="4"/>
      <c r="BG2602" s="4"/>
      <c r="BH2602" s="4"/>
    </row>
    <row r="2603" spans="1:60" x14ac:dyDescent="0.35">
      <c r="A2603" s="4"/>
      <c r="B2603" s="4"/>
      <c r="D2603" s="6" t="str">
        <f t="shared" si="166"/>
        <v/>
      </c>
      <c r="E2603" s="6" t="str">
        <f t="shared" si="167"/>
        <v/>
      </c>
      <c r="F2603" s="6" t="str">
        <f t="shared" si="168"/>
        <v/>
      </c>
      <c r="G2603" s="4"/>
      <c r="H2603" s="4"/>
      <c r="I2603" s="4"/>
      <c r="J2603" s="4"/>
      <c r="K2603" s="4"/>
      <c r="L2603" s="4"/>
      <c r="M2603" s="4"/>
      <c r="N2603" s="4"/>
      <c r="O2603" s="4"/>
      <c r="P2603" s="4"/>
      <c r="Q2603" s="4"/>
      <c r="R2603" s="14"/>
      <c r="S2603" s="14"/>
      <c r="T2603" s="14"/>
      <c r="U2603" s="14"/>
      <c r="V2603" s="14"/>
      <c r="W2603" s="14"/>
      <c r="X2603" s="1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4"/>
      <c r="AU2603" s="4"/>
      <c r="AV2603" s="4"/>
      <c r="AW2603" s="4"/>
      <c r="AX2603" s="4"/>
      <c r="AY2603" s="4"/>
      <c r="AZ2603" s="4"/>
      <c r="BA2603" s="4"/>
      <c r="BB2603" s="4"/>
      <c r="BC2603" s="4"/>
      <c r="BD2603" s="4"/>
      <c r="BE2603" s="4"/>
      <c r="BG2603" s="4"/>
      <c r="BH2603" s="4"/>
    </row>
    <row r="2604" spans="1:60" x14ac:dyDescent="0.35">
      <c r="A2604" s="4"/>
      <c r="B2604" s="4"/>
      <c r="D2604" s="6" t="str">
        <f t="shared" si="166"/>
        <v/>
      </c>
      <c r="E2604" s="6" t="str">
        <f t="shared" si="167"/>
        <v/>
      </c>
      <c r="F2604" s="6" t="str">
        <f t="shared" si="168"/>
        <v/>
      </c>
      <c r="G2604" s="4"/>
      <c r="H2604" s="4"/>
      <c r="I2604" s="4"/>
      <c r="J2604" s="4"/>
      <c r="K2604" s="4"/>
      <c r="L2604" s="4"/>
      <c r="M2604" s="4"/>
      <c r="N2604" s="4"/>
      <c r="O2604" s="4"/>
      <c r="P2604" s="4"/>
      <c r="Q2604" s="4"/>
      <c r="R2604" s="14"/>
      <c r="S2604" s="14"/>
      <c r="T2604" s="14"/>
      <c r="U2604" s="14"/>
      <c r="V2604" s="14"/>
      <c r="W2604" s="14"/>
      <c r="X2604" s="1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4"/>
      <c r="AU2604" s="4"/>
      <c r="AV2604" s="4"/>
      <c r="AW2604" s="4"/>
      <c r="AX2604" s="4"/>
      <c r="AY2604" s="4"/>
      <c r="AZ2604" s="4"/>
      <c r="BA2604" s="4"/>
      <c r="BB2604" s="4"/>
      <c r="BC2604" s="4"/>
      <c r="BD2604" s="4"/>
      <c r="BE2604" s="4"/>
      <c r="BG2604" s="4"/>
      <c r="BH2604" s="4"/>
    </row>
    <row r="2605" spans="1:60" x14ac:dyDescent="0.35">
      <c r="A2605" s="4"/>
      <c r="B2605" s="4"/>
      <c r="D2605" s="6" t="str">
        <f t="shared" si="166"/>
        <v/>
      </c>
      <c r="E2605" s="6" t="str">
        <f t="shared" si="167"/>
        <v/>
      </c>
      <c r="F2605" s="6" t="str">
        <f t="shared" si="168"/>
        <v/>
      </c>
      <c r="G2605" s="4"/>
      <c r="H2605" s="4"/>
      <c r="I2605" s="4"/>
      <c r="J2605" s="4"/>
      <c r="K2605" s="4"/>
      <c r="L2605" s="4"/>
      <c r="M2605" s="4"/>
      <c r="N2605" s="4"/>
      <c r="O2605" s="4"/>
      <c r="P2605" s="4"/>
      <c r="Q2605" s="4"/>
      <c r="R2605" s="14"/>
      <c r="S2605" s="14"/>
      <c r="T2605" s="14"/>
      <c r="U2605" s="14"/>
      <c r="V2605" s="14"/>
      <c r="W2605" s="14"/>
      <c r="X2605" s="1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4"/>
      <c r="AU2605" s="4"/>
      <c r="AV2605" s="4"/>
      <c r="AW2605" s="4"/>
      <c r="AX2605" s="4"/>
      <c r="AY2605" s="4"/>
      <c r="AZ2605" s="4"/>
      <c r="BA2605" s="4"/>
      <c r="BB2605" s="4"/>
      <c r="BC2605" s="4"/>
      <c r="BD2605" s="4"/>
      <c r="BE2605" s="4"/>
      <c r="BG2605" s="4"/>
      <c r="BH2605" s="4"/>
    </row>
    <row r="2606" spans="1:60" x14ac:dyDescent="0.35">
      <c r="A2606" s="4"/>
      <c r="B2606" s="4"/>
      <c r="D2606" s="6" t="str">
        <f t="shared" si="166"/>
        <v/>
      </c>
      <c r="E2606" s="6" t="str">
        <f t="shared" si="167"/>
        <v/>
      </c>
      <c r="F2606" s="6" t="str">
        <f t="shared" si="168"/>
        <v/>
      </c>
      <c r="G2606" s="4"/>
      <c r="H2606" s="4"/>
      <c r="I2606" s="4"/>
      <c r="J2606" s="4"/>
      <c r="K2606" s="4"/>
      <c r="L2606" s="4"/>
      <c r="M2606" s="4"/>
      <c r="N2606" s="4"/>
      <c r="O2606" s="4"/>
      <c r="P2606" s="4"/>
      <c r="Q2606" s="4"/>
      <c r="R2606" s="14"/>
      <c r="S2606" s="14"/>
      <c r="T2606" s="14"/>
      <c r="U2606" s="14"/>
      <c r="V2606" s="14"/>
      <c r="W2606" s="14"/>
      <c r="X2606" s="14"/>
      <c r="Y2606" s="4"/>
      <c r="Z2606" s="4"/>
      <c r="AA2606" s="4"/>
      <c r="AB2606" s="4"/>
      <c r="AC2606" s="4"/>
      <c r="AD2606" s="4"/>
      <c r="AE2606" s="4"/>
      <c r="AF2606" s="4"/>
      <c r="AG2606" s="4"/>
      <c r="AH2606" s="4"/>
      <c r="AI2606" s="4"/>
      <c r="AJ2606" s="4"/>
      <c r="AK2606" s="4"/>
      <c r="AL2606" s="4"/>
      <c r="AM2606" s="4"/>
      <c r="AN2606" s="4"/>
      <c r="AO2606" s="4"/>
      <c r="AP2606" s="4"/>
      <c r="AQ2606" s="4"/>
      <c r="AR2606" s="4"/>
      <c r="AS2606" s="4"/>
      <c r="AT2606" s="4"/>
      <c r="AU2606" s="4"/>
      <c r="AV2606" s="4"/>
      <c r="AW2606" s="4"/>
      <c r="AX2606" s="4"/>
      <c r="AY2606" s="4"/>
      <c r="AZ2606" s="4"/>
      <c r="BA2606" s="4"/>
      <c r="BB2606" s="4"/>
      <c r="BC2606" s="4"/>
      <c r="BD2606" s="4"/>
      <c r="BE2606" s="4"/>
      <c r="BG2606" s="4"/>
      <c r="BH2606" s="4"/>
    </row>
    <row r="2607" spans="1:60" x14ac:dyDescent="0.35">
      <c r="A2607" s="4"/>
      <c r="B2607" s="4"/>
      <c r="D2607" s="6" t="str">
        <f t="shared" si="166"/>
        <v/>
      </c>
      <c r="E2607" s="6" t="str">
        <f t="shared" si="167"/>
        <v/>
      </c>
      <c r="F2607" s="6" t="str">
        <f t="shared" si="168"/>
        <v/>
      </c>
      <c r="G2607" s="4"/>
      <c r="H2607" s="4"/>
      <c r="I2607" s="4"/>
      <c r="J2607" s="4"/>
      <c r="K2607" s="4"/>
      <c r="L2607" s="4"/>
      <c r="M2607" s="4"/>
      <c r="N2607" s="4"/>
      <c r="O2607" s="4"/>
      <c r="P2607" s="4"/>
      <c r="Q2607" s="4"/>
      <c r="R2607" s="14"/>
      <c r="S2607" s="14"/>
      <c r="T2607" s="14"/>
      <c r="U2607" s="14"/>
      <c r="V2607" s="14"/>
      <c r="W2607" s="14"/>
      <c r="X2607" s="1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4"/>
      <c r="AU2607" s="4"/>
      <c r="AV2607" s="4"/>
      <c r="AW2607" s="4"/>
      <c r="AX2607" s="4"/>
      <c r="AY2607" s="4"/>
      <c r="AZ2607" s="4"/>
      <c r="BA2607" s="4"/>
      <c r="BB2607" s="4"/>
      <c r="BC2607" s="4"/>
      <c r="BD2607" s="4"/>
      <c r="BE2607" s="4"/>
      <c r="BG2607" s="4"/>
      <c r="BH2607" s="4"/>
    </row>
    <row r="2608" spans="1:60" x14ac:dyDescent="0.35">
      <c r="A2608" s="4"/>
      <c r="B2608" s="4"/>
      <c r="D2608" s="6" t="str">
        <f t="shared" si="166"/>
        <v/>
      </c>
      <c r="E2608" s="6" t="str">
        <f t="shared" si="167"/>
        <v/>
      </c>
      <c r="F2608" s="6" t="str">
        <f t="shared" si="168"/>
        <v/>
      </c>
      <c r="G2608" s="4"/>
      <c r="H2608" s="4"/>
      <c r="I2608" s="4"/>
      <c r="J2608" s="4"/>
      <c r="K2608" s="4"/>
      <c r="L2608" s="4"/>
      <c r="M2608" s="4"/>
      <c r="N2608" s="4"/>
      <c r="O2608" s="4"/>
      <c r="P2608" s="4"/>
      <c r="Q2608" s="4"/>
      <c r="R2608" s="14"/>
      <c r="S2608" s="14"/>
      <c r="T2608" s="14"/>
      <c r="U2608" s="14"/>
      <c r="V2608" s="14"/>
      <c r="W2608" s="14"/>
      <c r="X2608" s="1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4"/>
      <c r="AU2608" s="4"/>
      <c r="AV2608" s="4"/>
      <c r="AW2608" s="4"/>
      <c r="AX2608" s="4"/>
      <c r="AY2608" s="4"/>
      <c r="AZ2608" s="4"/>
      <c r="BA2608" s="4"/>
      <c r="BB2608" s="4"/>
      <c r="BC2608" s="4"/>
      <c r="BD2608" s="4"/>
      <c r="BE2608" s="4"/>
      <c r="BG2608" s="4"/>
      <c r="BH2608" s="4"/>
    </row>
    <row r="2609" spans="1:60" x14ac:dyDescent="0.35">
      <c r="A2609" s="4"/>
      <c r="B2609" s="4"/>
      <c r="D2609" s="6" t="str">
        <f t="shared" si="166"/>
        <v/>
      </c>
      <c r="E2609" s="6" t="str">
        <f t="shared" si="167"/>
        <v/>
      </c>
      <c r="F2609" s="6" t="str">
        <f t="shared" si="168"/>
        <v/>
      </c>
      <c r="G2609" s="4"/>
      <c r="H2609" s="4"/>
      <c r="I2609" s="4"/>
      <c r="J2609" s="4"/>
      <c r="K2609" s="4"/>
      <c r="L2609" s="4"/>
      <c r="M2609" s="4"/>
      <c r="N2609" s="4"/>
      <c r="O2609" s="4"/>
      <c r="P2609" s="4"/>
      <c r="Q2609" s="4"/>
      <c r="R2609" s="14"/>
      <c r="S2609" s="14"/>
      <c r="T2609" s="14"/>
      <c r="U2609" s="14"/>
      <c r="V2609" s="14"/>
      <c r="W2609" s="14"/>
      <c r="X2609" s="1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4"/>
      <c r="AU2609" s="4"/>
      <c r="AV2609" s="4"/>
      <c r="AW2609" s="4"/>
      <c r="AX2609" s="4"/>
      <c r="AY2609" s="4"/>
      <c r="AZ2609" s="4"/>
      <c r="BA2609" s="4"/>
      <c r="BB2609" s="4"/>
      <c r="BC2609" s="4"/>
      <c r="BD2609" s="4"/>
      <c r="BE2609" s="4"/>
      <c r="BG2609" s="4"/>
      <c r="BH2609" s="4"/>
    </row>
    <row r="2610" spans="1:60" x14ac:dyDescent="0.35">
      <c r="A2610" s="4"/>
      <c r="B2610" s="4"/>
      <c r="D2610" s="6" t="str">
        <f t="shared" si="166"/>
        <v/>
      </c>
      <c r="E2610" s="6" t="str">
        <f t="shared" si="167"/>
        <v/>
      </c>
      <c r="F2610" s="6" t="str">
        <f t="shared" si="168"/>
        <v/>
      </c>
      <c r="G2610" s="4"/>
      <c r="H2610" s="4"/>
      <c r="I2610" s="4"/>
      <c r="J2610" s="4"/>
      <c r="K2610" s="4"/>
      <c r="L2610" s="4"/>
      <c r="M2610" s="4"/>
      <c r="N2610" s="4"/>
      <c r="O2610" s="4"/>
      <c r="P2610" s="4"/>
      <c r="Q2610" s="4"/>
      <c r="R2610" s="14"/>
      <c r="S2610" s="14"/>
      <c r="T2610" s="14"/>
      <c r="U2610" s="14"/>
      <c r="V2610" s="14"/>
      <c r="W2610" s="14"/>
      <c r="X2610" s="1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4"/>
      <c r="AU2610" s="4"/>
      <c r="AV2610" s="4"/>
      <c r="AW2610" s="4"/>
      <c r="AX2610" s="4"/>
      <c r="AY2610" s="4"/>
      <c r="AZ2610" s="4"/>
      <c r="BA2610" s="4"/>
      <c r="BB2610" s="4"/>
      <c r="BC2610" s="4"/>
      <c r="BD2610" s="4"/>
      <c r="BE2610" s="4"/>
      <c r="BG2610" s="4"/>
      <c r="BH2610" s="4"/>
    </row>
    <row r="2611" spans="1:60" x14ac:dyDescent="0.35">
      <c r="A2611" s="4"/>
      <c r="B2611" s="4"/>
      <c r="D2611" s="6" t="str">
        <f t="shared" si="166"/>
        <v/>
      </c>
      <c r="E2611" s="6" t="str">
        <f t="shared" si="167"/>
        <v/>
      </c>
      <c r="F2611" s="6" t="str">
        <f t="shared" si="168"/>
        <v/>
      </c>
      <c r="G2611" s="4"/>
      <c r="H2611" s="4"/>
      <c r="I2611" s="4"/>
      <c r="J2611" s="4"/>
      <c r="K2611" s="4"/>
      <c r="L2611" s="4"/>
      <c r="M2611" s="4"/>
      <c r="N2611" s="4"/>
      <c r="O2611" s="4"/>
      <c r="P2611" s="4"/>
      <c r="Q2611" s="4"/>
      <c r="R2611" s="14"/>
      <c r="S2611" s="14"/>
      <c r="T2611" s="14"/>
      <c r="U2611" s="14"/>
      <c r="V2611" s="14"/>
      <c r="W2611" s="14"/>
      <c r="X2611" s="1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4"/>
      <c r="AU2611" s="4"/>
      <c r="AV2611" s="4"/>
      <c r="AW2611" s="4"/>
      <c r="AX2611" s="4"/>
      <c r="AY2611" s="4"/>
      <c r="AZ2611" s="4"/>
      <c r="BA2611" s="4"/>
      <c r="BB2611" s="4"/>
      <c r="BC2611" s="4"/>
      <c r="BD2611" s="4"/>
      <c r="BE2611" s="4"/>
      <c r="BG2611" s="4"/>
      <c r="BH2611" s="4"/>
    </row>
    <row r="2612" spans="1:60" x14ac:dyDescent="0.35">
      <c r="A2612" s="4"/>
      <c r="B2612" s="4"/>
      <c r="D2612" s="6" t="str">
        <f t="shared" si="166"/>
        <v/>
      </c>
      <c r="E2612" s="6" t="str">
        <f t="shared" si="167"/>
        <v/>
      </c>
      <c r="F2612" s="6" t="str">
        <f t="shared" si="168"/>
        <v/>
      </c>
      <c r="G2612" s="4"/>
      <c r="H2612" s="4"/>
      <c r="I2612" s="4"/>
      <c r="J2612" s="4"/>
      <c r="K2612" s="4"/>
      <c r="L2612" s="4"/>
      <c r="M2612" s="4"/>
      <c r="N2612" s="4"/>
      <c r="O2612" s="4"/>
      <c r="P2612" s="4"/>
      <c r="Q2612" s="4"/>
      <c r="R2612" s="14"/>
      <c r="S2612" s="14"/>
      <c r="T2612" s="14"/>
      <c r="U2612" s="14"/>
      <c r="V2612" s="14"/>
      <c r="W2612" s="14"/>
      <c r="X2612" s="1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4"/>
      <c r="AU2612" s="4"/>
      <c r="AV2612" s="4"/>
      <c r="AW2612" s="4"/>
      <c r="AX2612" s="4"/>
      <c r="AY2612" s="4"/>
      <c r="AZ2612" s="4"/>
      <c r="BA2612" s="4"/>
      <c r="BB2612" s="4"/>
      <c r="BC2612" s="4"/>
      <c r="BD2612" s="4"/>
      <c r="BE2612" s="4"/>
      <c r="BG2612" s="4"/>
      <c r="BH2612" s="4"/>
    </row>
    <row r="2613" spans="1:60" x14ac:dyDescent="0.35">
      <c r="A2613" s="4"/>
      <c r="B2613" s="4"/>
      <c r="D2613" s="6" t="str">
        <f t="shared" si="166"/>
        <v/>
      </c>
      <c r="E2613" s="6" t="str">
        <f t="shared" si="167"/>
        <v/>
      </c>
      <c r="F2613" s="6" t="str">
        <f t="shared" si="168"/>
        <v/>
      </c>
      <c r="G2613" s="4"/>
      <c r="H2613" s="4"/>
      <c r="I2613" s="4"/>
      <c r="J2613" s="4"/>
      <c r="K2613" s="4"/>
      <c r="L2613" s="4"/>
      <c r="M2613" s="4"/>
      <c r="N2613" s="4"/>
      <c r="O2613" s="4"/>
      <c r="P2613" s="4"/>
      <c r="Q2613" s="4"/>
      <c r="R2613" s="14"/>
      <c r="S2613" s="14"/>
      <c r="T2613" s="14"/>
      <c r="U2613" s="14"/>
      <c r="V2613" s="14"/>
      <c r="W2613" s="14"/>
      <c r="X2613" s="1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4"/>
      <c r="AU2613" s="4"/>
      <c r="AV2613" s="4"/>
      <c r="AW2613" s="4"/>
      <c r="AX2613" s="4"/>
      <c r="AY2613" s="4"/>
      <c r="AZ2613" s="4"/>
      <c r="BA2613" s="4"/>
      <c r="BB2613" s="4"/>
      <c r="BC2613" s="4"/>
      <c r="BD2613" s="4"/>
      <c r="BE2613" s="4"/>
      <c r="BG2613" s="4"/>
      <c r="BH2613" s="4"/>
    </row>
    <row r="2614" spans="1:60" x14ac:dyDescent="0.35">
      <c r="A2614" s="4"/>
      <c r="B2614" s="4"/>
      <c r="D2614" s="6" t="str">
        <f t="shared" si="166"/>
        <v/>
      </c>
      <c r="E2614" s="6" t="str">
        <f t="shared" si="167"/>
        <v/>
      </c>
      <c r="F2614" s="6" t="str">
        <f t="shared" si="168"/>
        <v/>
      </c>
      <c r="G2614" s="4"/>
      <c r="H2614" s="4"/>
      <c r="I2614" s="4"/>
      <c r="J2614" s="4"/>
      <c r="K2614" s="4"/>
      <c r="L2614" s="4"/>
      <c r="M2614" s="4"/>
      <c r="N2614" s="4"/>
      <c r="O2614" s="4"/>
      <c r="P2614" s="4"/>
      <c r="Q2614" s="4"/>
      <c r="R2614" s="14"/>
      <c r="S2614" s="14"/>
      <c r="T2614" s="14"/>
      <c r="U2614" s="14"/>
      <c r="V2614" s="14"/>
      <c r="W2614" s="14"/>
      <c r="X2614" s="1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4"/>
      <c r="AU2614" s="4"/>
      <c r="AV2614" s="4"/>
      <c r="AW2614" s="4"/>
      <c r="AX2614" s="4"/>
      <c r="AY2614" s="4"/>
      <c r="AZ2614" s="4"/>
      <c r="BA2614" s="4"/>
      <c r="BB2614" s="4"/>
      <c r="BC2614" s="4"/>
      <c r="BD2614" s="4"/>
      <c r="BE2614" s="4"/>
      <c r="BG2614" s="4"/>
      <c r="BH2614" s="4"/>
    </row>
    <row r="2615" spans="1:60" x14ac:dyDescent="0.35">
      <c r="A2615" s="4"/>
      <c r="B2615" s="4"/>
      <c r="D2615" s="6" t="str">
        <f t="shared" si="166"/>
        <v/>
      </c>
      <c r="E2615" s="6" t="str">
        <f t="shared" si="167"/>
        <v/>
      </c>
      <c r="F2615" s="6" t="str">
        <f t="shared" si="168"/>
        <v/>
      </c>
      <c r="G2615" s="4"/>
      <c r="H2615" s="4"/>
      <c r="I2615" s="4"/>
      <c r="J2615" s="4"/>
      <c r="K2615" s="4"/>
      <c r="L2615" s="4"/>
      <c r="M2615" s="4"/>
      <c r="N2615" s="4"/>
      <c r="O2615" s="4"/>
      <c r="P2615" s="4"/>
      <c r="Q2615" s="4"/>
      <c r="R2615" s="14"/>
      <c r="S2615" s="14"/>
      <c r="T2615" s="14"/>
      <c r="U2615" s="14"/>
      <c r="V2615" s="14"/>
      <c r="W2615" s="14"/>
      <c r="X2615" s="1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4"/>
      <c r="AU2615" s="4"/>
      <c r="AV2615" s="4"/>
      <c r="AW2615" s="4"/>
      <c r="AX2615" s="4"/>
      <c r="AY2615" s="4"/>
      <c r="AZ2615" s="4"/>
      <c r="BA2615" s="4"/>
      <c r="BB2615" s="4"/>
      <c r="BC2615" s="4"/>
      <c r="BD2615" s="4"/>
      <c r="BE2615" s="4"/>
      <c r="BG2615" s="4"/>
      <c r="BH2615" s="4"/>
    </row>
    <row r="2616" spans="1:60" x14ac:dyDescent="0.35">
      <c r="A2616" s="4"/>
      <c r="B2616" s="4"/>
      <c r="D2616" s="6" t="str">
        <f t="shared" si="166"/>
        <v/>
      </c>
      <c r="E2616" s="6" t="str">
        <f t="shared" si="167"/>
        <v/>
      </c>
      <c r="F2616" s="6" t="str">
        <f t="shared" si="168"/>
        <v/>
      </c>
      <c r="G2616" s="4"/>
      <c r="H2616" s="4"/>
      <c r="I2616" s="4"/>
      <c r="J2616" s="4"/>
      <c r="K2616" s="4"/>
      <c r="L2616" s="4"/>
      <c r="M2616" s="4"/>
      <c r="N2616" s="4"/>
      <c r="O2616" s="4"/>
      <c r="P2616" s="4"/>
      <c r="Q2616" s="4"/>
      <c r="R2616" s="14"/>
      <c r="S2616" s="14"/>
      <c r="T2616" s="14"/>
      <c r="U2616" s="14"/>
      <c r="V2616" s="14"/>
      <c r="W2616" s="14"/>
      <c r="X2616" s="14"/>
      <c r="Y2616" s="4"/>
      <c r="Z2616" s="4"/>
      <c r="AA2616" s="4"/>
      <c r="AB2616" s="4"/>
      <c r="AC2616" s="4"/>
      <c r="AD2616" s="4"/>
      <c r="AE2616" s="4"/>
      <c r="AF2616" s="4"/>
      <c r="AG2616" s="4"/>
      <c r="AH2616" s="4"/>
      <c r="AI2616" s="4"/>
      <c r="AJ2616" s="4"/>
      <c r="AK2616" s="4"/>
      <c r="AL2616" s="4"/>
      <c r="AM2616" s="4"/>
      <c r="AN2616" s="4"/>
      <c r="AO2616" s="4"/>
      <c r="AP2616" s="4"/>
      <c r="AQ2616" s="4"/>
      <c r="AR2616" s="4"/>
      <c r="AS2616" s="4"/>
      <c r="AT2616" s="4"/>
      <c r="AU2616" s="4"/>
      <c r="AV2616" s="4"/>
      <c r="AW2616" s="4"/>
      <c r="AX2616" s="4"/>
      <c r="AY2616" s="4"/>
      <c r="AZ2616" s="4"/>
      <c r="BA2616" s="4"/>
      <c r="BB2616" s="4"/>
      <c r="BC2616" s="4"/>
      <c r="BD2616" s="4"/>
      <c r="BE2616" s="4"/>
      <c r="BG2616" s="4"/>
      <c r="BH2616" s="4"/>
    </row>
    <row r="2617" spans="1:60" x14ac:dyDescent="0.35">
      <c r="A2617" s="4"/>
      <c r="B2617" s="4"/>
      <c r="D2617" s="6" t="str">
        <f t="shared" si="166"/>
        <v/>
      </c>
      <c r="E2617" s="6" t="str">
        <f t="shared" si="167"/>
        <v/>
      </c>
      <c r="F2617" s="6" t="str">
        <f t="shared" si="168"/>
        <v/>
      </c>
      <c r="G2617" s="4"/>
      <c r="H2617" s="4"/>
      <c r="I2617" s="4"/>
      <c r="J2617" s="4"/>
      <c r="K2617" s="4"/>
      <c r="L2617" s="4"/>
      <c r="M2617" s="4"/>
      <c r="N2617" s="4"/>
      <c r="O2617" s="4"/>
      <c r="P2617" s="4"/>
      <c r="Q2617" s="4"/>
      <c r="R2617" s="14"/>
      <c r="S2617" s="14"/>
      <c r="T2617" s="14"/>
      <c r="U2617" s="14"/>
      <c r="V2617" s="14"/>
      <c r="W2617" s="14"/>
      <c r="X2617" s="1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4"/>
      <c r="AU2617" s="4"/>
      <c r="AV2617" s="4"/>
      <c r="AW2617" s="4"/>
      <c r="AX2617" s="4"/>
      <c r="AY2617" s="4"/>
      <c r="AZ2617" s="4"/>
      <c r="BA2617" s="4"/>
      <c r="BB2617" s="4"/>
      <c r="BC2617" s="4"/>
      <c r="BD2617" s="4"/>
      <c r="BE2617" s="4"/>
      <c r="BG2617" s="4"/>
      <c r="BH2617" s="4"/>
    </row>
    <row r="2618" spans="1:60" x14ac:dyDescent="0.35">
      <c r="A2618" s="4"/>
      <c r="B2618" s="4"/>
      <c r="D2618" s="6" t="str">
        <f t="shared" si="166"/>
        <v/>
      </c>
      <c r="E2618" s="6" t="str">
        <f t="shared" si="167"/>
        <v/>
      </c>
      <c r="F2618" s="6" t="str">
        <f t="shared" si="168"/>
        <v/>
      </c>
      <c r="G2618" s="4"/>
      <c r="H2618" s="4"/>
      <c r="I2618" s="4"/>
      <c r="J2618" s="4"/>
      <c r="K2618" s="4"/>
      <c r="L2618" s="4"/>
      <c r="M2618" s="4"/>
      <c r="N2618" s="4"/>
      <c r="O2618" s="4"/>
      <c r="P2618" s="4"/>
      <c r="Q2618" s="4"/>
      <c r="R2618" s="14"/>
      <c r="S2618" s="14"/>
      <c r="T2618" s="14"/>
      <c r="U2618" s="14"/>
      <c r="V2618" s="14"/>
      <c r="W2618" s="14"/>
      <c r="X2618" s="1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4"/>
      <c r="AU2618" s="4"/>
      <c r="AV2618" s="4"/>
      <c r="AW2618" s="4"/>
      <c r="AX2618" s="4"/>
      <c r="AY2618" s="4"/>
      <c r="AZ2618" s="4"/>
      <c r="BA2618" s="4"/>
      <c r="BB2618" s="4"/>
      <c r="BC2618" s="4"/>
      <c r="BD2618" s="4"/>
      <c r="BE2618" s="4"/>
      <c r="BG2618" s="4"/>
      <c r="BH2618" s="4"/>
    </row>
    <row r="2619" spans="1:60" x14ac:dyDescent="0.35">
      <c r="A2619" s="4"/>
      <c r="B2619" s="4"/>
      <c r="D2619" s="6" t="str">
        <f t="shared" si="166"/>
        <v/>
      </c>
      <c r="E2619" s="6" t="str">
        <f t="shared" si="167"/>
        <v/>
      </c>
      <c r="F2619" s="6" t="str">
        <f t="shared" si="168"/>
        <v/>
      </c>
      <c r="G2619" s="4"/>
      <c r="H2619" s="4"/>
      <c r="I2619" s="4"/>
      <c r="J2619" s="4"/>
      <c r="K2619" s="4"/>
      <c r="L2619" s="4"/>
      <c r="M2619" s="4"/>
      <c r="N2619" s="4"/>
      <c r="O2619" s="4"/>
      <c r="P2619" s="4"/>
      <c r="Q2619" s="4"/>
      <c r="R2619" s="14"/>
      <c r="S2619" s="14"/>
      <c r="T2619" s="14"/>
      <c r="U2619" s="14"/>
      <c r="V2619" s="14"/>
      <c r="W2619" s="14"/>
      <c r="X2619" s="14"/>
      <c r="Y2619" s="4"/>
      <c r="Z2619" s="4"/>
      <c r="AA2619" s="4"/>
      <c r="AB2619" s="4"/>
      <c r="AC2619" s="4"/>
      <c r="AD2619" s="4"/>
      <c r="AE2619" s="4"/>
      <c r="AF2619" s="4"/>
      <c r="AG2619" s="4"/>
      <c r="AH2619" s="4"/>
      <c r="AI2619" s="4"/>
      <c r="AJ2619" s="4"/>
      <c r="AK2619" s="4"/>
      <c r="AL2619" s="4"/>
      <c r="AM2619" s="4"/>
      <c r="AN2619" s="4"/>
      <c r="AO2619" s="4"/>
      <c r="AP2619" s="4"/>
      <c r="AQ2619" s="4"/>
      <c r="AR2619" s="4"/>
      <c r="AS2619" s="4"/>
      <c r="AT2619" s="4"/>
      <c r="AU2619" s="4"/>
      <c r="AV2619" s="4"/>
      <c r="AW2619" s="4"/>
      <c r="AX2619" s="4"/>
      <c r="AY2619" s="4"/>
      <c r="AZ2619" s="4"/>
      <c r="BA2619" s="4"/>
      <c r="BB2619" s="4"/>
      <c r="BC2619" s="4"/>
      <c r="BD2619" s="4"/>
      <c r="BE2619" s="4"/>
      <c r="BG2619" s="4"/>
      <c r="BH2619" s="4"/>
    </row>
    <row r="2620" spans="1:60" x14ac:dyDescent="0.35">
      <c r="A2620" s="4"/>
      <c r="B2620" s="4"/>
      <c r="D2620" s="6" t="str">
        <f t="shared" si="166"/>
        <v/>
      </c>
      <c r="E2620" s="6" t="str">
        <f t="shared" si="167"/>
        <v/>
      </c>
      <c r="F2620" s="6" t="str">
        <f t="shared" si="168"/>
        <v/>
      </c>
      <c r="G2620" s="4"/>
      <c r="H2620" s="4"/>
      <c r="I2620" s="4"/>
      <c r="J2620" s="4"/>
      <c r="K2620" s="4"/>
      <c r="L2620" s="4"/>
      <c r="M2620" s="4"/>
      <c r="N2620" s="4"/>
      <c r="O2620" s="4"/>
      <c r="P2620" s="4"/>
      <c r="Q2620" s="4"/>
      <c r="R2620" s="14"/>
      <c r="S2620" s="14"/>
      <c r="T2620" s="14"/>
      <c r="U2620" s="14"/>
      <c r="V2620" s="14"/>
      <c r="W2620" s="14"/>
      <c r="X2620" s="1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4"/>
      <c r="AU2620" s="4"/>
      <c r="AV2620" s="4"/>
      <c r="AW2620" s="4"/>
      <c r="AX2620" s="4"/>
      <c r="AY2620" s="4"/>
      <c r="AZ2620" s="4"/>
      <c r="BA2620" s="4"/>
      <c r="BB2620" s="4"/>
      <c r="BC2620" s="4"/>
      <c r="BD2620" s="4"/>
      <c r="BE2620" s="4"/>
      <c r="BG2620" s="4"/>
      <c r="BH2620" s="4"/>
    </row>
    <row r="2621" spans="1:60" x14ac:dyDescent="0.35">
      <c r="A2621" s="4"/>
      <c r="B2621" s="4"/>
      <c r="D2621" s="6" t="str">
        <f t="shared" ref="D2621:D2684" si="169">IF(C2621="","",VLOOKUP(C2621,district_region,2,FALSE))</f>
        <v/>
      </c>
      <c r="E2621" s="6" t="str">
        <f t="shared" ref="E2621:E2684" si="170">IF(C2621="","",VLOOKUP(C2621,liste_pop,3,FALSE))</f>
        <v/>
      </c>
      <c r="F2621" s="6" t="str">
        <f t="shared" ref="F2621:F2684" si="171">IF(D2621="","",IF(D2621="Dakar",4042240,VLOOKUP(D2621,liste_pop,4,FALSE)))</f>
        <v/>
      </c>
      <c r="G2621" s="4"/>
      <c r="H2621" s="4"/>
      <c r="I2621" s="4"/>
      <c r="J2621" s="4"/>
      <c r="K2621" s="4"/>
      <c r="L2621" s="4"/>
      <c r="M2621" s="4"/>
      <c r="N2621" s="4"/>
      <c r="O2621" s="4"/>
      <c r="P2621" s="4"/>
      <c r="Q2621" s="4"/>
      <c r="R2621" s="14"/>
      <c r="S2621" s="14"/>
      <c r="T2621" s="14"/>
      <c r="U2621" s="14"/>
      <c r="V2621" s="14"/>
      <c r="W2621" s="14"/>
      <c r="X2621" s="1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4"/>
      <c r="AU2621" s="4"/>
      <c r="AV2621" s="4"/>
      <c r="AW2621" s="4"/>
      <c r="AX2621" s="4"/>
      <c r="AY2621" s="4"/>
      <c r="AZ2621" s="4"/>
      <c r="BA2621" s="4"/>
      <c r="BB2621" s="4"/>
      <c r="BC2621" s="4"/>
      <c r="BD2621" s="4"/>
      <c r="BE2621" s="4"/>
      <c r="BG2621" s="4"/>
      <c r="BH2621" s="4"/>
    </row>
    <row r="2622" spans="1:60" x14ac:dyDescent="0.35">
      <c r="A2622" s="4"/>
      <c r="B2622" s="4"/>
      <c r="D2622" s="6" t="str">
        <f t="shared" si="169"/>
        <v/>
      </c>
      <c r="E2622" s="6" t="str">
        <f t="shared" si="170"/>
        <v/>
      </c>
      <c r="F2622" s="6" t="str">
        <f t="shared" si="171"/>
        <v/>
      </c>
      <c r="G2622" s="4"/>
      <c r="H2622" s="4"/>
      <c r="I2622" s="4"/>
      <c r="J2622" s="4"/>
      <c r="K2622" s="4"/>
      <c r="L2622" s="4"/>
      <c r="M2622" s="4"/>
      <c r="N2622" s="4"/>
      <c r="O2622" s="4"/>
      <c r="P2622" s="4"/>
      <c r="Q2622" s="4"/>
      <c r="R2622" s="14"/>
      <c r="S2622" s="14"/>
      <c r="T2622" s="14"/>
      <c r="U2622" s="14"/>
      <c r="V2622" s="14"/>
      <c r="W2622" s="14"/>
      <c r="X2622" s="14"/>
      <c r="Y2622" s="4"/>
      <c r="Z2622" s="4"/>
      <c r="AA2622" s="4"/>
      <c r="AB2622" s="4"/>
      <c r="AC2622" s="4"/>
      <c r="AD2622" s="4"/>
      <c r="AE2622" s="4"/>
      <c r="AF2622" s="4"/>
      <c r="AG2622" s="4"/>
      <c r="AH2622" s="4"/>
      <c r="AI2622" s="4"/>
      <c r="AJ2622" s="4"/>
      <c r="AK2622" s="4"/>
      <c r="AL2622" s="4"/>
      <c r="AM2622" s="4"/>
      <c r="AN2622" s="4"/>
      <c r="AO2622" s="4"/>
      <c r="AP2622" s="4"/>
      <c r="AQ2622" s="4"/>
      <c r="AR2622" s="4"/>
      <c r="AS2622" s="4"/>
      <c r="AT2622" s="4"/>
      <c r="AU2622" s="4"/>
      <c r="AV2622" s="4"/>
      <c r="AW2622" s="4"/>
      <c r="AX2622" s="4"/>
      <c r="AY2622" s="4"/>
      <c r="AZ2622" s="4"/>
      <c r="BA2622" s="4"/>
      <c r="BB2622" s="4"/>
      <c r="BC2622" s="4"/>
      <c r="BD2622" s="4"/>
      <c r="BE2622" s="4"/>
      <c r="BG2622" s="4"/>
      <c r="BH2622" s="4"/>
    </row>
    <row r="2623" spans="1:60" x14ac:dyDescent="0.35">
      <c r="A2623" s="4"/>
      <c r="B2623" s="4"/>
      <c r="D2623" s="6" t="str">
        <f t="shared" si="169"/>
        <v/>
      </c>
      <c r="E2623" s="6" t="str">
        <f t="shared" si="170"/>
        <v/>
      </c>
      <c r="F2623" s="6" t="str">
        <f t="shared" si="171"/>
        <v/>
      </c>
      <c r="G2623" s="4"/>
      <c r="H2623" s="4"/>
      <c r="I2623" s="4"/>
      <c r="J2623" s="4"/>
      <c r="K2623" s="4"/>
      <c r="L2623" s="4"/>
      <c r="M2623" s="4"/>
      <c r="N2623" s="4"/>
      <c r="O2623" s="4"/>
      <c r="P2623" s="4"/>
      <c r="Q2623" s="4"/>
      <c r="R2623" s="14"/>
      <c r="S2623" s="14"/>
      <c r="T2623" s="14"/>
      <c r="U2623" s="14"/>
      <c r="V2623" s="14"/>
      <c r="W2623" s="14"/>
      <c r="X2623" s="1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4"/>
      <c r="AU2623" s="4"/>
      <c r="AV2623" s="4"/>
      <c r="AW2623" s="4"/>
      <c r="AX2623" s="4"/>
      <c r="AY2623" s="4"/>
      <c r="AZ2623" s="4"/>
      <c r="BA2623" s="4"/>
      <c r="BB2623" s="4"/>
      <c r="BC2623" s="4"/>
      <c r="BD2623" s="4"/>
      <c r="BE2623" s="4"/>
      <c r="BG2623" s="4"/>
      <c r="BH2623" s="4"/>
    </row>
    <row r="2624" spans="1:60" x14ac:dyDescent="0.35">
      <c r="A2624" s="4"/>
      <c r="B2624" s="4"/>
      <c r="D2624" s="6" t="str">
        <f t="shared" si="169"/>
        <v/>
      </c>
      <c r="E2624" s="6" t="str">
        <f t="shared" si="170"/>
        <v/>
      </c>
      <c r="F2624" s="6" t="str">
        <f t="shared" si="171"/>
        <v/>
      </c>
      <c r="G2624" s="4"/>
      <c r="H2624" s="4"/>
      <c r="I2624" s="4"/>
      <c r="J2624" s="4"/>
      <c r="K2624" s="4"/>
      <c r="L2624" s="4"/>
      <c r="M2624" s="4"/>
      <c r="N2624" s="4"/>
      <c r="O2624" s="4"/>
      <c r="P2624" s="4"/>
      <c r="Q2624" s="4"/>
      <c r="R2624" s="14"/>
      <c r="S2624" s="14"/>
      <c r="T2624" s="14"/>
      <c r="U2624" s="14"/>
      <c r="V2624" s="14"/>
      <c r="W2624" s="14"/>
      <c r="X2624" s="1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4"/>
      <c r="AU2624" s="4"/>
      <c r="AV2624" s="4"/>
      <c r="AW2624" s="4"/>
      <c r="AX2624" s="4"/>
      <c r="AY2624" s="4"/>
      <c r="AZ2624" s="4"/>
      <c r="BA2624" s="4"/>
      <c r="BB2624" s="4"/>
      <c r="BC2624" s="4"/>
      <c r="BD2624" s="4"/>
      <c r="BE2624" s="4"/>
      <c r="BG2624" s="4"/>
      <c r="BH2624" s="4"/>
    </row>
    <row r="2625" spans="1:60" x14ac:dyDescent="0.35">
      <c r="A2625" s="4"/>
      <c r="B2625" s="4"/>
      <c r="D2625" s="6" t="str">
        <f t="shared" si="169"/>
        <v/>
      </c>
      <c r="E2625" s="6" t="str">
        <f t="shared" si="170"/>
        <v/>
      </c>
      <c r="F2625" s="6" t="str">
        <f t="shared" si="171"/>
        <v/>
      </c>
      <c r="G2625" s="4"/>
      <c r="H2625" s="4"/>
      <c r="I2625" s="4"/>
      <c r="J2625" s="4"/>
      <c r="K2625" s="4"/>
      <c r="L2625" s="4"/>
      <c r="M2625" s="4"/>
      <c r="N2625" s="4"/>
      <c r="O2625" s="4"/>
      <c r="P2625" s="4"/>
      <c r="Q2625" s="4"/>
      <c r="R2625" s="14"/>
      <c r="S2625" s="14"/>
      <c r="T2625" s="14"/>
      <c r="U2625" s="14"/>
      <c r="V2625" s="14"/>
      <c r="W2625" s="14"/>
      <c r="X2625" s="1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4"/>
      <c r="AU2625" s="4"/>
      <c r="AV2625" s="4"/>
      <c r="AW2625" s="4"/>
      <c r="AX2625" s="4"/>
      <c r="AY2625" s="4"/>
      <c r="AZ2625" s="4"/>
      <c r="BA2625" s="4"/>
      <c r="BB2625" s="4"/>
      <c r="BC2625" s="4"/>
      <c r="BD2625" s="4"/>
      <c r="BE2625" s="4"/>
      <c r="BG2625" s="4"/>
      <c r="BH2625" s="4"/>
    </row>
    <row r="2626" spans="1:60" x14ac:dyDescent="0.35">
      <c r="A2626" s="4"/>
      <c r="B2626" s="4"/>
      <c r="D2626" s="6" t="str">
        <f t="shared" si="169"/>
        <v/>
      </c>
      <c r="E2626" s="6" t="str">
        <f t="shared" si="170"/>
        <v/>
      </c>
      <c r="F2626" s="6" t="str">
        <f t="shared" si="171"/>
        <v/>
      </c>
      <c r="G2626" s="4"/>
      <c r="H2626" s="4"/>
      <c r="I2626" s="4"/>
      <c r="J2626" s="4"/>
      <c r="K2626" s="4"/>
      <c r="L2626" s="4"/>
      <c r="M2626" s="4"/>
      <c r="N2626" s="4"/>
      <c r="O2626" s="4"/>
      <c r="P2626" s="4"/>
      <c r="Q2626" s="4"/>
      <c r="R2626" s="14"/>
      <c r="S2626" s="14"/>
      <c r="T2626" s="14"/>
      <c r="U2626" s="14"/>
      <c r="V2626" s="14"/>
      <c r="W2626" s="14"/>
      <c r="X2626" s="1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4"/>
      <c r="AU2626" s="4"/>
      <c r="AV2626" s="4"/>
      <c r="AW2626" s="4"/>
      <c r="AX2626" s="4"/>
      <c r="AY2626" s="4"/>
      <c r="AZ2626" s="4"/>
      <c r="BA2626" s="4"/>
      <c r="BB2626" s="4"/>
      <c r="BC2626" s="4"/>
      <c r="BD2626" s="4"/>
      <c r="BE2626" s="4"/>
      <c r="BG2626" s="4"/>
      <c r="BH2626" s="4"/>
    </row>
    <row r="2627" spans="1:60" x14ac:dyDescent="0.35">
      <c r="A2627" s="4"/>
      <c r="B2627" s="4"/>
      <c r="D2627" s="6" t="str">
        <f t="shared" si="169"/>
        <v/>
      </c>
      <c r="E2627" s="6" t="str">
        <f t="shared" si="170"/>
        <v/>
      </c>
      <c r="F2627" s="6" t="str">
        <f t="shared" si="171"/>
        <v/>
      </c>
      <c r="G2627" s="4"/>
      <c r="H2627" s="4"/>
      <c r="I2627" s="4"/>
      <c r="J2627" s="4"/>
      <c r="K2627" s="4"/>
      <c r="L2627" s="4"/>
      <c r="M2627" s="4"/>
      <c r="N2627" s="4"/>
      <c r="O2627" s="4"/>
      <c r="P2627" s="4"/>
      <c r="Q2627" s="4"/>
      <c r="R2627" s="14"/>
      <c r="S2627" s="14"/>
      <c r="T2627" s="14"/>
      <c r="U2627" s="14"/>
      <c r="V2627" s="14"/>
      <c r="W2627" s="14"/>
      <c r="X2627" s="1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4"/>
      <c r="AU2627" s="4"/>
      <c r="AV2627" s="4"/>
      <c r="AW2627" s="4"/>
      <c r="AX2627" s="4"/>
      <c r="AY2627" s="4"/>
      <c r="AZ2627" s="4"/>
      <c r="BA2627" s="4"/>
      <c r="BB2627" s="4"/>
      <c r="BC2627" s="4"/>
      <c r="BD2627" s="4"/>
      <c r="BE2627" s="4"/>
      <c r="BG2627" s="4"/>
      <c r="BH2627" s="4"/>
    </row>
    <row r="2628" spans="1:60" x14ac:dyDescent="0.35">
      <c r="A2628" s="4"/>
      <c r="B2628" s="4"/>
      <c r="D2628" s="6" t="str">
        <f t="shared" si="169"/>
        <v/>
      </c>
      <c r="E2628" s="6" t="str">
        <f t="shared" si="170"/>
        <v/>
      </c>
      <c r="F2628" s="6" t="str">
        <f t="shared" si="171"/>
        <v/>
      </c>
      <c r="G2628" s="4"/>
      <c r="H2628" s="4"/>
      <c r="I2628" s="4"/>
      <c r="J2628" s="4"/>
      <c r="K2628" s="4"/>
      <c r="L2628" s="4"/>
      <c r="M2628" s="4"/>
      <c r="N2628" s="4"/>
      <c r="O2628" s="4"/>
      <c r="P2628" s="4"/>
      <c r="Q2628" s="4"/>
      <c r="R2628" s="14"/>
      <c r="S2628" s="14"/>
      <c r="T2628" s="14"/>
      <c r="U2628" s="14"/>
      <c r="V2628" s="14"/>
      <c r="W2628" s="14"/>
      <c r="X2628" s="1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4"/>
      <c r="AU2628" s="4"/>
      <c r="AV2628" s="4"/>
      <c r="AW2628" s="4"/>
      <c r="AX2628" s="4"/>
      <c r="AY2628" s="4"/>
      <c r="AZ2628" s="4"/>
      <c r="BA2628" s="4"/>
      <c r="BB2628" s="4"/>
      <c r="BC2628" s="4"/>
      <c r="BD2628" s="4"/>
      <c r="BE2628" s="4"/>
      <c r="BG2628" s="4"/>
      <c r="BH2628" s="4"/>
    </row>
    <row r="2629" spans="1:60" x14ac:dyDescent="0.35">
      <c r="A2629" s="4"/>
      <c r="B2629" s="4"/>
      <c r="D2629" s="6" t="str">
        <f t="shared" si="169"/>
        <v/>
      </c>
      <c r="E2629" s="6" t="str">
        <f t="shared" si="170"/>
        <v/>
      </c>
      <c r="F2629" s="6" t="str">
        <f t="shared" si="171"/>
        <v/>
      </c>
      <c r="G2629" s="4"/>
      <c r="H2629" s="4"/>
      <c r="I2629" s="4"/>
      <c r="J2629" s="4"/>
      <c r="K2629" s="4"/>
      <c r="L2629" s="4"/>
      <c r="M2629" s="4"/>
      <c r="N2629" s="4"/>
      <c r="O2629" s="4"/>
      <c r="P2629" s="4"/>
      <c r="Q2629" s="4"/>
      <c r="R2629" s="14"/>
      <c r="S2629" s="14"/>
      <c r="T2629" s="14"/>
      <c r="U2629" s="14"/>
      <c r="V2629" s="14"/>
      <c r="W2629" s="14"/>
      <c r="X2629" s="1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4"/>
      <c r="AU2629" s="4"/>
      <c r="AV2629" s="4"/>
      <c r="AW2629" s="4"/>
      <c r="AX2629" s="4"/>
      <c r="AY2629" s="4"/>
      <c r="AZ2629" s="4"/>
      <c r="BA2629" s="4"/>
      <c r="BB2629" s="4"/>
      <c r="BC2629" s="4"/>
      <c r="BD2629" s="4"/>
      <c r="BE2629" s="4"/>
      <c r="BG2629" s="4"/>
      <c r="BH2629" s="4"/>
    </row>
    <row r="2630" spans="1:60" x14ac:dyDescent="0.35">
      <c r="A2630" s="4"/>
      <c r="B2630" s="4"/>
      <c r="D2630" s="6" t="str">
        <f t="shared" si="169"/>
        <v/>
      </c>
      <c r="E2630" s="6" t="str">
        <f t="shared" si="170"/>
        <v/>
      </c>
      <c r="F2630" s="6" t="str">
        <f t="shared" si="171"/>
        <v/>
      </c>
      <c r="G2630" s="4"/>
      <c r="H2630" s="4"/>
      <c r="I2630" s="4"/>
      <c r="J2630" s="4"/>
      <c r="K2630" s="4"/>
      <c r="L2630" s="4"/>
      <c r="M2630" s="4"/>
      <c r="N2630" s="4"/>
      <c r="O2630" s="4"/>
      <c r="P2630" s="4"/>
      <c r="Q2630" s="4"/>
      <c r="R2630" s="14"/>
      <c r="S2630" s="14"/>
      <c r="T2630" s="14"/>
      <c r="U2630" s="14"/>
      <c r="V2630" s="14"/>
      <c r="W2630" s="14"/>
      <c r="X2630" s="1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4"/>
      <c r="AU2630" s="4"/>
      <c r="AV2630" s="4"/>
      <c r="AW2630" s="4"/>
      <c r="AX2630" s="4"/>
      <c r="AY2630" s="4"/>
      <c r="AZ2630" s="4"/>
      <c r="BA2630" s="4"/>
      <c r="BB2630" s="4"/>
      <c r="BC2630" s="4"/>
      <c r="BD2630" s="4"/>
      <c r="BE2630" s="4"/>
      <c r="BG2630" s="4"/>
      <c r="BH2630" s="4"/>
    </row>
    <row r="2631" spans="1:60" x14ac:dyDescent="0.35">
      <c r="A2631" s="4"/>
      <c r="B2631" s="4"/>
      <c r="D2631" s="6" t="str">
        <f t="shared" si="169"/>
        <v/>
      </c>
      <c r="E2631" s="6" t="str">
        <f t="shared" si="170"/>
        <v/>
      </c>
      <c r="F2631" s="6" t="str">
        <f t="shared" si="171"/>
        <v/>
      </c>
      <c r="G2631" s="4"/>
      <c r="H2631" s="4"/>
      <c r="I2631" s="4"/>
      <c r="J2631" s="4"/>
      <c r="K2631" s="4"/>
      <c r="L2631" s="4"/>
      <c r="M2631" s="4"/>
      <c r="N2631" s="4"/>
      <c r="O2631" s="4"/>
      <c r="P2631" s="4"/>
      <c r="Q2631" s="4"/>
      <c r="R2631" s="14"/>
      <c r="S2631" s="14"/>
      <c r="T2631" s="14"/>
      <c r="U2631" s="14"/>
      <c r="V2631" s="14"/>
      <c r="W2631" s="14"/>
      <c r="X2631" s="1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c r="AV2631" s="4"/>
      <c r="AW2631" s="4"/>
      <c r="AX2631" s="4"/>
      <c r="AY2631" s="4"/>
      <c r="AZ2631" s="4"/>
      <c r="BA2631" s="4"/>
      <c r="BB2631" s="4"/>
      <c r="BC2631" s="4"/>
      <c r="BD2631" s="4"/>
      <c r="BE2631" s="4"/>
      <c r="BG2631" s="4"/>
      <c r="BH2631" s="4"/>
    </row>
    <row r="2632" spans="1:60" x14ac:dyDescent="0.35">
      <c r="A2632" s="4"/>
      <c r="B2632" s="4"/>
      <c r="D2632" s="6" t="str">
        <f t="shared" si="169"/>
        <v/>
      </c>
      <c r="E2632" s="6" t="str">
        <f t="shared" si="170"/>
        <v/>
      </c>
      <c r="F2632" s="6" t="str">
        <f t="shared" si="171"/>
        <v/>
      </c>
      <c r="G2632" s="4"/>
      <c r="H2632" s="4"/>
      <c r="I2632" s="4"/>
      <c r="J2632" s="4"/>
      <c r="K2632" s="4"/>
      <c r="L2632" s="4"/>
      <c r="M2632" s="4"/>
      <c r="N2632" s="4"/>
      <c r="O2632" s="4"/>
      <c r="P2632" s="4"/>
      <c r="Q2632" s="4"/>
      <c r="R2632" s="14"/>
      <c r="S2632" s="14"/>
      <c r="T2632" s="14"/>
      <c r="U2632" s="14"/>
      <c r="V2632" s="14"/>
      <c r="W2632" s="14"/>
      <c r="X2632" s="1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4"/>
      <c r="AU2632" s="4"/>
      <c r="AV2632" s="4"/>
      <c r="AW2632" s="4"/>
      <c r="AX2632" s="4"/>
      <c r="AY2632" s="4"/>
      <c r="AZ2632" s="4"/>
      <c r="BA2632" s="4"/>
      <c r="BB2632" s="4"/>
      <c r="BC2632" s="4"/>
      <c r="BD2632" s="4"/>
      <c r="BE2632" s="4"/>
      <c r="BG2632" s="4"/>
      <c r="BH2632" s="4"/>
    </row>
    <row r="2633" spans="1:60" x14ac:dyDescent="0.35">
      <c r="A2633" s="4"/>
      <c r="B2633" s="4"/>
      <c r="D2633" s="6" t="str">
        <f t="shared" si="169"/>
        <v/>
      </c>
      <c r="E2633" s="6" t="str">
        <f t="shared" si="170"/>
        <v/>
      </c>
      <c r="F2633" s="6" t="str">
        <f t="shared" si="171"/>
        <v/>
      </c>
      <c r="G2633" s="4"/>
      <c r="H2633" s="4"/>
      <c r="I2633" s="4"/>
      <c r="J2633" s="4"/>
      <c r="K2633" s="4"/>
      <c r="L2633" s="4"/>
      <c r="M2633" s="4"/>
      <c r="N2633" s="4"/>
      <c r="O2633" s="4"/>
      <c r="P2633" s="4"/>
      <c r="Q2633" s="4"/>
      <c r="R2633" s="14"/>
      <c r="S2633" s="14"/>
      <c r="T2633" s="14"/>
      <c r="U2633" s="14"/>
      <c r="V2633" s="14"/>
      <c r="W2633" s="14"/>
      <c r="X2633" s="14"/>
      <c r="Y2633" s="4"/>
      <c r="Z2633" s="4"/>
      <c r="AA2633" s="4"/>
      <c r="AB2633" s="4"/>
      <c r="AC2633" s="4"/>
      <c r="AD2633" s="4"/>
      <c r="AE2633" s="4"/>
      <c r="AF2633" s="4"/>
      <c r="AG2633" s="4"/>
      <c r="AH2633" s="4"/>
      <c r="AI2633" s="4"/>
      <c r="AJ2633" s="4"/>
      <c r="AK2633" s="4"/>
      <c r="AL2633" s="4"/>
      <c r="AM2633" s="4"/>
      <c r="AN2633" s="4"/>
      <c r="AO2633" s="4"/>
      <c r="AP2633" s="4"/>
      <c r="AQ2633" s="4"/>
      <c r="AR2633" s="4"/>
      <c r="AS2633" s="4"/>
      <c r="AT2633" s="4"/>
      <c r="AU2633" s="4"/>
      <c r="AV2633" s="4"/>
      <c r="AW2633" s="4"/>
      <c r="AX2633" s="4"/>
      <c r="AY2633" s="4"/>
      <c r="AZ2633" s="4"/>
      <c r="BA2633" s="4"/>
      <c r="BB2633" s="4"/>
      <c r="BC2633" s="4"/>
      <c r="BD2633" s="4"/>
      <c r="BE2633" s="4"/>
      <c r="BG2633" s="4"/>
      <c r="BH2633" s="4"/>
    </row>
    <row r="2634" spans="1:60" x14ac:dyDescent="0.35">
      <c r="A2634" s="4"/>
      <c r="B2634" s="4"/>
      <c r="D2634" s="6" t="str">
        <f t="shared" si="169"/>
        <v/>
      </c>
      <c r="E2634" s="6" t="str">
        <f t="shared" si="170"/>
        <v/>
      </c>
      <c r="F2634" s="6" t="str">
        <f t="shared" si="171"/>
        <v/>
      </c>
      <c r="G2634" s="4"/>
      <c r="H2634" s="4"/>
      <c r="I2634" s="4"/>
      <c r="J2634" s="4"/>
      <c r="K2634" s="4"/>
      <c r="L2634" s="4"/>
      <c r="M2634" s="4"/>
      <c r="N2634" s="4"/>
      <c r="O2634" s="4"/>
      <c r="P2634" s="4"/>
      <c r="Q2634" s="4"/>
      <c r="R2634" s="14"/>
      <c r="S2634" s="14"/>
      <c r="T2634" s="14"/>
      <c r="U2634" s="14"/>
      <c r="V2634" s="14"/>
      <c r="W2634" s="14"/>
      <c r="X2634" s="1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4"/>
      <c r="AU2634" s="4"/>
      <c r="AV2634" s="4"/>
      <c r="AW2634" s="4"/>
      <c r="AX2634" s="4"/>
      <c r="AY2634" s="4"/>
      <c r="AZ2634" s="4"/>
      <c r="BA2634" s="4"/>
      <c r="BB2634" s="4"/>
      <c r="BC2634" s="4"/>
      <c r="BD2634" s="4"/>
      <c r="BE2634" s="4"/>
      <c r="BG2634" s="4"/>
      <c r="BH2634" s="4"/>
    </row>
    <row r="2635" spans="1:60" x14ac:dyDescent="0.35">
      <c r="A2635" s="4"/>
      <c r="B2635" s="4"/>
      <c r="D2635" s="6" t="str">
        <f t="shared" si="169"/>
        <v/>
      </c>
      <c r="E2635" s="6" t="str">
        <f t="shared" si="170"/>
        <v/>
      </c>
      <c r="F2635" s="6" t="str">
        <f t="shared" si="171"/>
        <v/>
      </c>
      <c r="G2635" s="4"/>
      <c r="H2635" s="4"/>
      <c r="I2635" s="4"/>
      <c r="J2635" s="4"/>
      <c r="K2635" s="4"/>
      <c r="L2635" s="4"/>
      <c r="M2635" s="4"/>
      <c r="N2635" s="4"/>
      <c r="O2635" s="4"/>
      <c r="P2635" s="4"/>
      <c r="Q2635" s="4"/>
      <c r="R2635" s="14"/>
      <c r="S2635" s="14"/>
      <c r="T2635" s="14"/>
      <c r="U2635" s="14"/>
      <c r="V2635" s="14"/>
      <c r="W2635" s="14"/>
      <c r="X2635" s="1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4"/>
      <c r="AU2635" s="4"/>
      <c r="AV2635" s="4"/>
      <c r="AW2635" s="4"/>
      <c r="AX2635" s="4"/>
      <c r="AY2635" s="4"/>
      <c r="AZ2635" s="4"/>
      <c r="BA2635" s="4"/>
      <c r="BB2635" s="4"/>
      <c r="BC2635" s="4"/>
      <c r="BD2635" s="4"/>
      <c r="BE2635" s="4"/>
      <c r="BG2635" s="4"/>
      <c r="BH2635" s="4"/>
    </row>
    <row r="2636" spans="1:60" x14ac:dyDescent="0.35">
      <c r="A2636" s="4"/>
      <c r="B2636" s="4"/>
      <c r="D2636" s="6" t="str">
        <f t="shared" si="169"/>
        <v/>
      </c>
      <c r="E2636" s="6" t="str">
        <f t="shared" si="170"/>
        <v/>
      </c>
      <c r="F2636" s="6" t="str">
        <f t="shared" si="171"/>
        <v/>
      </c>
      <c r="G2636" s="4"/>
      <c r="H2636" s="4"/>
      <c r="I2636" s="4"/>
      <c r="J2636" s="4"/>
      <c r="K2636" s="4"/>
      <c r="L2636" s="4"/>
      <c r="M2636" s="4"/>
      <c r="N2636" s="4"/>
      <c r="O2636" s="4"/>
      <c r="P2636" s="4"/>
      <c r="Q2636" s="4"/>
      <c r="R2636" s="14"/>
      <c r="S2636" s="14"/>
      <c r="T2636" s="14"/>
      <c r="U2636" s="14"/>
      <c r="V2636" s="14"/>
      <c r="W2636" s="14"/>
      <c r="X2636" s="1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4"/>
      <c r="AU2636" s="4"/>
      <c r="AV2636" s="4"/>
      <c r="AW2636" s="4"/>
      <c r="AX2636" s="4"/>
      <c r="AY2636" s="4"/>
      <c r="AZ2636" s="4"/>
      <c r="BA2636" s="4"/>
      <c r="BB2636" s="4"/>
      <c r="BC2636" s="4"/>
      <c r="BD2636" s="4"/>
      <c r="BE2636" s="4"/>
      <c r="BG2636" s="4"/>
      <c r="BH2636" s="4"/>
    </row>
    <row r="2637" spans="1:60" x14ac:dyDescent="0.35">
      <c r="A2637" s="4"/>
      <c r="B2637" s="4"/>
      <c r="D2637" s="6" t="str">
        <f t="shared" si="169"/>
        <v/>
      </c>
      <c r="E2637" s="6" t="str">
        <f t="shared" si="170"/>
        <v/>
      </c>
      <c r="F2637" s="6" t="str">
        <f t="shared" si="171"/>
        <v/>
      </c>
      <c r="G2637" s="4"/>
      <c r="H2637" s="4"/>
      <c r="I2637" s="4"/>
      <c r="J2637" s="4"/>
      <c r="K2637" s="4"/>
      <c r="L2637" s="4"/>
      <c r="M2637" s="4"/>
      <c r="N2637" s="4"/>
      <c r="O2637" s="4"/>
      <c r="P2637" s="4"/>
      <c r="Q2637" s="4"/>
      <c r="R2637" s="14"/>
      <c r="S2637" s="14"/>
      <c r="T2637" s="14"/>
      <c r="U2637" s="14"/>
      <c r="V2637" s="14"/>
      <c r="W2637" s="14"/>
      <c r="X2637" s="1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4"/>
      <c r="AU2637" s="4"/>
      <c r="AV2637" s="4"/>
      <c r="AW2637" s="4"/>
      <c r="AX2637" s="4"/>
      <c r="AY2637" s="4"/>
      <c r="AZ2637" s="4"/>
      <c r="BA2637" s="4"/>
      <c r="BB2637" s="4"/>
      <c r="BC2637" s="4"/>
      <c r="BD2637" s="4"/>
      <c r="BE2637" s="4"/>
      <c r="BG2637" s="4"/>
      <c r="BH2637" s="4"/>
    </row>
    <row r="2638" spans="1:60" x14ac:dyDescent="0.35">
      <c r="A2638" s="4"/>
      <c r="B2638" s="4"/>
      <c r="D2638" s="6" t="str">
        <f t="shared" si="169"/>
        <v/>
      </c>
      <c r="E2638" s="6" t="str">
        <f t="shared" si="170"/>
        <v/>
      </c>
      <c r="F2638" s="6" t="str">
        <f t="shared" si="171"/>
        <v/>
      </c>
      <c r="G2638" s="4"/>
      <c r="H2638" s="4"/>
      <c r="I2638" s="4"/>
      <c r="J2638" s="4"/>
      <c r="K2638" s="4"/>
      <c r="L2638" s="4"/>
      <c r="M2638" s="4"/>
      <c r="N2638" s="4"/>
      <c r="O2638" s="4"/>
      <c r="P2638" s="4"/>
      <c r="Q2638" s="4"/>
      <c r="R2638" s="14"/>
      <c r="S2638" s="14"/>
      <c r="T2638" s="14"/>
      <c r="U2638" s="14"/>
      <c r="V2638" s="14"/>
      <c r="W2638" s="14"/>
      <c r="X2638" s="14"/>
      <c r="Y2638" s="4"/>
      <c r="Z2638" s="4"/>
      <c r="AA2638" s="4"/>
      <c r="AB2638" s="4"/>
      <c r="AC2638" s="4"/>
      <c r="AD2638" s="4"/>
      <c r="AE2638" s="4"/>
      <c r="AF2638" s="4"/>
      <c r="AG2638" s="4"/>
      <c r="AH2638" s="4"/>
      <c r="AI2638" s="4"/>
      <c r="AJ2638" s="4"/>
      <c r="AK2638" s="4"/>
      <c r="AL2638" s="4"/>
      <c r="AM2638" s="4"/>
      <c r="AN2638" s="4"/>
      <c r="AO2638" s="4"/>
      <c r="AP2638" s="4"/>
      <c r="AQ2638" s="4"/>
      <c r="AR2638" s="4"/>
      <c r="AS2638" s="4"/>
      <c r="AT2638" s="4"/>
      <c r="AU2638" s="4"/>
      <c r="AV2638" s="4"/>
      <c r="AW2638" s="4"/>
      <c r="AX2638" s="4"/>
      <c r="AY2638" s="4"/>
      <c r="AZ2638" s="4"/>
      <c r="BA2638" s="4"/>
      <c r="BB2638" s="4"/>
      <c r="BC2638" s="4"/>
      <c r="BD2638" s="4"/>
      <c r="BE2638" s="4"/>
      <c r="BG2638" s="4"/>
      <c r="BH2638" s="4"/>
    </row>
    <row r="2639" spans="1:60" x14ac:dyDescent="0.35">
      <c r="A2639" s="4"/>
      <c r="B2639" s="4"/>
      <c r="D2639" s="6" t="str">
        <f t="shared" si="169"/>
        <v/>
      </c>
      <c r="E2639" s="6" t="str">
        <f t="shared" si="170"/>
        <v/>
      </c>
      <c r="F2639" s="6" t="str">
        <f t="shared" si="171"/>
        <v/>
      </c>
      <c r="G2639" s="4"/>
      <c r="H2639" s="4"/>
      <c r="I2639" s="4"/>
      <c r="J2639" s="4"/>
      <c r="K2639" s="4"/>
      <c r="L2639" s="4"/>
      <c r="M2639" s="4"/>
      <c r="N2639" s="4"/>
      <c r="O2639" s="4"/>
      <c r="P2639" s="4"/>
      <c r="Q2639" s="4"/>
      <c r="R2639" s="14"/>
      <c r="S2639" s="14"/>
      <c r="T2639" s="14"/>
      <c r="U2639" s="14"/>
      <c r="V2639" s="14"/>
      <c r="W2639" s="14"/>
      <c r="X2639" s="1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c r="AX2639" s="4"/>
      <c r="AY2639" s="4"/>
      <c r="AZ2639" s="4"/>
      <c r="BA2639" s="4"/>
      <c r="BB2639" s="4"/>
      <c r="BC2639" s="4"/>
      <c r="BD2639" s="4"/>
      <c r="BE2639" s="4"/>
      <c r="BG2639" s="4"/>
      <c r="BH2639" s="4"/>
    </row>
    <row r="2640" spans="1:60" x14ac:dyDescent="0.35">
      <c r="A2640" s="4"/>
      <c r="B2640" s="4"/>
      <c r="D2640" s="6" t="str">
        <f t="shared" si="169"/>
        <v/>
      </c>
      <c r="E2640" s="6" t="str">
        <f t="shared" si="170"/>
        <v/>
      </c>
      <c r="F2640" s="6" t="str">
        <f t="shared" si="171"/>
        <v/>
      </c>
      <c r="G2640" s="4"/>
      <c r="H2640" s="4"/>
      <c r="I2640" s="4"/>
      <c r="J2640" s="4"/>
      <c r="K2640" s="4"/>
      <c r="L2640" s="4"/>
      <c r="M2640" s="4"/>
      <c r="N2640" s="4"/>
      <c r="O2640" s="4"/>
      <c r="P2640" s="4"/>
      <c r="Q2640" s="4"/>
      <c r="R2640" s="14"/>
      <c r="S2640" s="14"/>
      <c r="T2640" s="14"/>
      <c r="U2640" s="14"/>
      <c r="V2640" s="14"/>
      <c r="W2640" s="14"/>
      <c r="X2640" s="1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4"/>
      <c r="AU2640" s="4"/>
      <c r="AV2640" s="4"/>
      <c r="AW2640" s="4"/>
      <c r="AX2640" s="4"/>
      <c r="AY2640" s="4"/>
      <c r="AZ2640" s="4"/>
      <c r="BA2640" s="4"/>
      <c r="BB2640" s="4"/>
      <c r="BC2640" s="4"/>
      <c r="BD2640" s="4"/>
      <c r="BE2640" s="4"/>
      <c r="BG2640" s="4"/>
      <c r="BH2640" s="4"/>
    </row>
    <row r="2641" spans="1:60" x14ac:dyDescent="0.35">
      <c r="A2641" s="4"/>
      <c r="B2641" s="4"/>
      <c r="D2641" s="6" t="str">
        <f t="shared" si="169"/>
        <v/>
      </c>
      <c r="E2641" s="6" t="str">
        <f t="shared" si="170"/>
        <v/>
      </c>
      <c r="F2641" s="6" t="str">
        <f t="shared" si="171"/>
        <v/>
      </c>
      <c r="G2641" s="4"/>
      <c r="H2641" s="4"/>
      <c r="I2641" s="4"/>
      <c r="J2641" s="4"/>
      <c r="K2641" s="4"/>
      <c r="L2641" s="4"/>
      <c r="M2641" s="4"/>
      <c r="N2641" s="4"/>
      <c r="O2641" s="4"/>
      <c r="P2641" s="4"/>
      <c r="Q2641" s="4"/>
      <c r="R2641" s="14"/>
      <c r="S2641" s="14"/>
      <c r="T2641" s="14"/>
      <c r="U2641" s="14"/>
      <c r="V2641" s="14"/>
      <c r="W2641" s="14"/>
      <c r="X2641" s="1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4"/>
      <c r="AU2641" s="4"/>
      <c r="AV2641" s="4"/>
      <c r="AW2641" s="4"/>
      <c r="AX2641" s="4"/>
      <c r="AY2641" s="4"/>
      <c r="AZ2641" s="4"/>
      <c r="BA2641" s="4"/>
      <c r="BB2641" s="4"/>
      <c r="BC2641" s="4"/>
      <c r="BD2641" s="4"/>
      <c r="BE2641" s="4"/>
      <c r="BG2641" s="4"/>
      <c r="BH2641" s="4"/>
    </row>
    <row r="2642" spans="1:60" x14ac:dyDescent="0.35">
      <c r="A2642" s="4"/>
      <c r="B2642" s="4"/>
      <c r="D2642" s="6" t="str">
        <f t="shared" si="169"/>
        <v/>
      </c>
      <c r="E2642" s="6" t="str">
        <f t="shared" si="170"/>
        <v/>
      </c>
      <c r="F2642" s="6" t="str">
        <f t="shared" si="171"/>
        <v/>
      </c>
      <c r="G2642" s="4"/>
      <c r="H2642" s="4"/>
      <c r="I2642" s="4"/>
      <c r="J2642" s="4"/>
      <c r="K2642" s="4"/>
      <c r="L2642" s="4"/>
      <c r="M2642" s="4"/>
      <c r="N2642" s="4"/>
      <c r="O2642" s="4"/>
      <c r="P2642" s="4"/>
      <c r="Q2642" s="4"/>
      <c r="R2642" s="14"/>
      <c r="S2642" s="14"/>
      <c r="T2642" s="14"/>
      <c r="U2642" s="14"/>
      <c r="V2642" s="14"/>
      <c r="W2642" s="14"/>
      <c r="X2642" s="1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4"/>
      <c r="AU2642" s="4"/>
      <c r="AV2642" s="4"/>
      <c r="AW2642" s="4"/>
      <c r="AX2642" s="4"/>
      <c r="AY2642" s="4"/>
      <c r="AZ2642" s="4"/>
      <c r="BA2642" s="4"/>
      <c r="BB2642" s="4"/>
      <c r="BC2642" s="4"/>
      <c r="BD2642" s="4"/>
      <c r="BE2642" s="4"/>
      <c r="BG2642" s="4"/>
      <c r="BH2642" s="4"/>
    </row>
    <row r="2643" spans="1:60" x14ac:dyDescent="0.35">
      <c r="A2643" s="4"/>
      <c r="B2643" s="4"/>
      <c r="D2643" s="6" t="str">
        <f t="shared" si="169"/>
        <v/>
      </c>
      <c r="E2643" s="6" t="str">
        <f t="shared" si="170"/>
        <v/>
      </c>
      <c r="F2643" s="6" t="str">
        <f t="shared" si="171"/>
        <v/>
      </c>
      <c r="G2643" s="4"/>
      <c r="H2643" s="4"/>
      <c r="I2643" s="4"/>
      <c r="J2643" s="4"/>
      <c r="K2643" s="4"/>
      <c r="L2643" s="4"/>
      <c r="M2643" s="4"/>
      <c r="N2643" s="4"/>
      <c r="O2643" s="4"/>
      <c r="P2643" s="4"/>
      <c r="Q2643" s="4"/>
      <c r="R2643" s="14"/>
      <c r="S2643" s="14"/>
      <c r="T2643" s="14"/>
      <c r="U2643" s="14"/>
      <c r="V2643" s="14"/>
      <c r="W2643" s="14"/>
      <c r="X2643" s="1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4"/>
      <c r="AU2643" s="4"/>
      <c r="AV2643" s="4"/>
      <c r="AW2643" s="4"/>
      <c r="AX2643" s="4"/>
      <c r="AY2643" s="4"/>
      <c r="AZ2643" s="4"/>
      <c r="BA2643" s="4"/>
      <c r="BB2643" s="4"/>
      <c r="BC2643" s="4"/>
      <c r="BD2643" s="4"/>
      <c r="BE2643" s="4"/>
      <c r="BG2643" s="4"/>
      <c r="BH2643" s="4"/>
    </row>
    <row r="2644" spans="1:60" x14ac:dyDescent="0.35">
      <c r="A2644" s="4"/>
      <c r="B2644" s="4"/>
      <c r="D2644" s="6" t="str">
        <f t="shared" si="169"/>
        <v/>
      </c>
      <c r="E2644" s="6" t="str">
        <f t="shared" si="170"/>
        <v/>
      </c>
      <c r="F2644" s="6" t="str">
        <f t="shared" si="171"/>
        <v/>
      </c>
      <c r="G2644" s="4"/>
      <c r="H2644" s="4"/>
      <c r="I2644" s="4"/>
      <c r="J2644" s="4"/>
      <c r="K2644" s="4"/>
      <c r="L2644" s="4"/>
      <c r="M2644" s="4"/>
      <c r="N2644" s="4"/>
      <c r="O2644" s="4"/>
      <c r="P2644" s="4"/>
      <c r="Q2644" s="4"/>
      <c r="R2644" s="14"/>
      <c r="S2644" s="14"/>
      <c r="T2644" s="14"/>
      <c r="U2644" s="14"/>
      <c r="V2644" s="14"/>
      <c r="W2644" s="14"/>
      <c r="X2644" s="1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c r="AV2644" s="4"/>
      <c r="AW2644" s="4"/>
      <c r="AX2644" s="4"/>
      <c r="AY2644" s="4"/>
      <c r="AZ2644" s="4"/>
      <c r="BA2644" s="4"/>
      <c r="BB2644" s="4"/>
      <c r="BC2644" s="4"/>
      <c r="BD2644" s="4"/>
      <c r="BE2644" s="4"/>
      <c r="BG2644" s="4"/>
      <c r="BH2644" s="4"/>
    </row>
    <row r="2645" spans="1:60" x14ac:dyDescent="0.35">
      <c r="A2645" s="4"/>
      <c r="B2645" s="4"/>
      <c r="D2645" s="6" t="str">
        <f t="shared" si="169"/>
        <v/>
      </c>
      <c r="E2645" s="6" t="str">
        <f t="shared" si="170"/>
        <v/>
      </c>
      <c r="F2645" s="6" t="str">
        <f t="shared" si="171"/>
        <v/>
      </c>
      <c r="G2645" s="4"/>
      <c r="H2645" s="4"/>
      <c r="I2645" s="4"/>
      <c r="J2645" s="4"/>
      <c r="K2645" s="4"/>
      <c r="L2645" s="4"/>
      <c r="M2645" s="4"/>
      <c r="N2645" s="4"/>
      <c r="O2645" s="4"/>
      <c r="P2645" s="4"/>
      <c r="Q2645" s="4"/>
      <c r="R2645" s="14"/>
      <c r="S2645" s="14"/>
      <c r="T2645" s="14"/>
      <c r="U2645" s="14"/>
      <c r="V2645" s="14"/>
      <c r="W2645" s="14"/>
      <c r="X2645" s="1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4"/>
      <c r="AU2645" s="4"/>
      <c r="AV2645" s="4"/>
      <c r="AW2645" s="4"/>
      <c r="AX2645" s="4"/>
      <c r="AY2645" s="4"/>
      <c r="AZ2645" s="4"/>
      <c r="BA2645" s="4"/>
      <c r="BB2645" s="4"/>
      <c r="BC2645" s="4"/>
      <c r="BD2645" s="4"/>
      <c r="BE2645" s="4"/>
      <c r="BG2645" s="4"/>
      <c r="BH2645" s="4"/>
    </row>
    <row r="2646" spans="1:60" x14ac:dyDescent="0.35">
      <c r="A2646" s="4"/>
      <c r="B2646" s="4"/>
      <c r="D2646" s="6" t="str">
        <f t="shared" si="169"/>
        <v/>
      </c>
      <c r="E2646" s="6" t="str">
        <f t="shared" si="170"/>
        <v/>
      </c>
      <c r="F2646" s="6" t="str">
        <f t="shared" si="171"/>
        <v/>
      </c>
      <c r="G2646" s="4"/>
      <c r="H2646" s="4"/>
      <c r="I2646" s="4"/>
      <c r="J2646" s="4"/>
      <c r="K2646" s="4"/>
      <c r="L2646" s="4"/>
      <c r="M2646" s="4"/>
      <c r="N2646" s="4"/>
      <c r="O2646" s="4"/>
      <c r="P2646" s="4"/>
      <c r="Q2646" s="4"/>
      <c r="R2646" s="14"/>
      <c r="S2646" s="14"/>
      <c r="T2646" s="14"/>
      <c r="U2646" s="14"/>
      <c r="V2646" s="14"/>
      <c r="W2646" s="14"/>
      <c r="X2646" s="1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4"/>
      <c r="AU2646" s="4"/>
      <c r="AV2646" s="4"/>
      <c r="AW2646" s="4"/>
      <c r="AX2646" s="4"/>
      <c r="AY2646" s="4"/>
      <c r="AZ2646" s="4"/>
      <c r="BA2646" s="4"/>
      <c r="BB2646" s="4"/>
      <c r="BC2646" s="4"/>
      <c r="BD2646" s="4"/>
      <c r="BE2646" s="4"/>
      <c r="BG2646" s="4"/>
      <c r="BH2646" s="4"/>
    </row>
    <row r="2647" spans="1:60" x14ac:dyDescent="0.35">
      <c r="A2647" s="4"/>
      <c r="B2647" s="4"/>
      <c r="D2647" s="6" t="str">
        <f t="shared" si="169"/>
        <v/>
      </c>
      <c r="E2647" s="6" t="str">
        <f t="shared" si="170"/>
        <v/>
      </c>
      <c r="F2647" s="6" t="str">
        <f t="shared" si="171"/>
        <v/>
      </c>
      <c r="G2647" s="4"/>
      <c r="H2647" s="4"/>
      <c r="I2647" s="4"/>
      <c r="J2647" s="4"/>
      <c r="K2647" s="4"/>
      <c r="L2647" s="4"/>
      <c r="M2647" s="4"/>
      <c r="N2647" s="4"/>
      <c r="O2647" s="4"/>
      <c r="P2647" s="4"/>
      <c r="Q2647" s="4"/>
      <c r="R2647" s="14"/>
      <c r="S2647" s="14"/>
      <c r="T2647" s="14"/>
      <c r="U2647" s="14"/>
      <c r="V2647" s="14"/>
      <c r="W2647" s="14"/>
      <c r="X2647" s="1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4"/>
      <c r="AU2647" s="4"/>
      <c r="AV2647" s="4"/>
      <c r="AW2647" s="4"/>
      <c r="AX2647" s="4"/>
      <c r="AY2647" s="4"/>
      <c r="AZ2647" s="4"/>
      <c r="BA2647" s="4"/>
      <c r="BB2647" s="4"/>
      <c r="BC2647" s="4"/>
      <c r="BD2647" s="4"/>
      <c r="BE2647" s="4"/>
      <c r="BG2647" s="4"/>
      <c r="BH2647" s="4"/>
    </row>
    <row r="2648" spans="1:60" x14ac:dyDescent="0.35">
      <c r="A2648" s="4"/>
      <c r="B2648" s="4"/>
      <c r="D2648" s="6" t="str">
        <f t="shared" si="169"/>
        <v/>
      </c>
      <c r="E2648" s="6" t="str">
        <f t="shared" si="170"/>
        <v/>
      </c>
      <c r="F2648" s="6" t="str">
        <f t="shared" si="171"/>
        <v/>
      </c>
      <c r="G2648" s="4"/>
      <c r="H2648" s="4"/>
      <c r="I2648" s="4"/>
      <c r="J2648" s="4"/>
      <c r="K2648" s="4"/>
      <c r="L2648" s="4"/>
      <c r="M2648" s="4"/>
      <c r="N2648" s="4"/>
      <c r="O2648" s="4"/>
      <c r="P2648" s="4"/>
      <c r="Q2648" s="4"/>
      <c r="R2648" s="14"/>
      <c r="S2648" s="14"/>
      <c r="T2648" s="14"/>
      <c r="U2648" s="14"/>
      <c r="V2648" s="14"/>
      <c r="W2648" s="14"/>
      <c r="X2648" s="14"/>
      <c r="Y2648" s="4"/>
      <c r="Z2648" s="4"/>
      <c r="AA2648" s="4"/>
      <c r="AB2648" s="4"/>
      <c r="AC2648" s="4"/>
      <c r="AD2648" s="4"/>
      <c r="AE2648" s="4"/>
      <c r="AF2648" s="4"/>
      <c r="AG2648" s="4"/>
      <c r="AH2648" s="4"/>
      <c r="AI2648" s="4"/>
      <c r="AJ2648" s="4"/>
      <c r="AK2648" s="4"/>
      <c r="AL2648" s="4"/>
      <c r="AM2648" s="4"/>
      <c r="AN2648" s="4"/>
      <c r="AO2648" s="4"/>
      <c r="AP2648" s="4"/>
      <c r="AQ2648" s="4"/>
      <c r="AR2648" s="4"/>
      <c r="AS2648" s="4"/>
      <c r="AT2648" s="4"/>
      <c r="AU2648" s="4"/>
      <c r="AV2648" s="4"/>
      <c r="AW2648" s="4"/>
      <c r="AX2648" s="4"/>
      <c r="AY2648" s="4"/>
      <c r="AZ2648" s="4"/>
      <c r="BA2648" s="4"/>
      <c r="BB2648" s="4"/>
      <c r="BC2648" s="4"/>
      <c r="BD2648" s="4"/>
      <c r="BE2648" s="4"/>
      <c r="BG2648" s="4"/>
      <c r="BH2648" s="4"/>
    </row>
    <row r="2649" spans="1:60" x14ac:dyDescent="0.35">
      <c r="A2649" s="4"/>
      <c r="B2649" s="4"/>
      <c r="D2649" s="6" t="str">
        <f t="shared" si="169"/>
        <v/>
      </c>
      <c r="E2649" s="6" t="str">
        <f t="shared" si="170"/>
        <v/>
      </c>
      <c r="F2649" s="6" t="str">
        <f t="shared" si="171"/>
        <v/>
      </c>
      <c r="G2649" s="4"/>
      <c r="H2649" s="4"/>
      <c r="I2649" s="4"/>
      <c r="J2649" s="4"/>
      <c r="K2649" s="4"/>
      <c r="L2649" s="4"/>
      <c r="M2649" s="4"/>
      <c r="N2649" s="4"/>
      <c r="O2649" s="4"/>
      <c r="P2649" s="4"/>
      <c r="Q2649" s="4"/>
      <c r="R2649" s="14"/>
      <c r="S2649" s="14"/>
      <c r="T2649" s="14"/>
      <c r="U2649" s="14"/>
      <c r="V2649" s="14"/>
      <c r="W2649" s="14"/>
      <c r="X2649" s="1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4"/>
      <c r="AU2649" s="4"/>
      <c r="AV2649" s="4"/>
      <c r="AW2649" s="4"/>
      <c r="AX2649" s="4"/>
      <c r="AY2649" s="4"/>
      <c r="AZ2649" s="4"/>
      <c r="BA2649" s="4"/>
      <c r="BB2649" s="4"/>
      <c r="BC2649" s="4"/>
      <c r="BD2649" s="4"/>
      <c r="BE2649" s="4"/>
      <c r="BG2649" s="4"/>
      <c r="BH2649" s="4"/>
    </row>
    <row r="2650" spans="1:60" x14ac:dyDescent="0.35">
      <c r="A2650" s="4"/>
      <c r="B2650" s="4"/>
      <c r="D2650" s="6" t="str">
        <f t="shared" si="169"/>
        <v/>
      </c>
      <c r="E2650" s="6" t="str">
        <f t="shared" si="170"/>
        <v/>
      </c>
      <c r="F2650" s="6" t="str">
        <f t="shared" si="171"/>
        <v/>
      </c>
      <c r="G2650" s="4"/>
      <c r="H2650" s="4"/>
      <c r="I2650" s="4"/>
      <c r="J2650" s="4"/>
      <c r="K2650" s="4"/>
      <c r="L2650" s="4"/>
      <c r="M2650" s="4"/>
      <c r="N2650" s="4"/>
      <c r="O2650" s="4"/>
      <c r="P2650" s="4"/>
      <c r="Q2650" s="4"/>
      <c r="R2650" s="14"/>
      <c r="S2650" s="14"/>
      <c r="T2650" s="14"/>
      <c r="U2650" s="14"/>
      <c r="V2650" s="14"/>
      <c r="W2650" s="14"/>
      <c r="X2650" s="1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4"/>
      <c r="AU2650" s="4"/>
      <c r="AV2650" s="4"/>
      <c r="AW2650" s="4"/>
      <c r="AX2650" s="4"/>
      <c r="AY2650" s="4"/>
      <c r="AZ2650" s="4"/>
      <c r="BA2650" s="4"/>
      <c r="BB2650" s="4"/>
      <c r="BC2650" s="4"/>
      <c r="BD2650" s="4"/>
      <c r="BE2650" s="4"/>
      <c r="BG2650" s="4"/>
      <c r="BH2650" s="4"/>
    </row>
    <row r="2651" spans="1:60" x14ac:dyDescent="0.35">
      <c r="A2651" s="4"/>
      <c r="B2651" s="4"/>
      <c r="D2651" s="6" t="str">
        <f t="shared" si="169"/>
        <v/>
      </c>
      <c r="E2651" s="6" t="str">
        <f t="shared" si="170"/>
        <v/>
      </c>
      <c r="F2651" s="6" t="str">
        <f t="shared" si="171"/>
        <v/>
      </c>
      <c r="G2651" s="4"/>
      <c r="H2651" s="4"/>
      <c r="I2651" s="4"/>
      <c r="J2651" s="4"/>
      <c r="K2651" s="4"/>
      <c r="L2651" s="4"/>
      <c r="M2651" s="4"/>
      <c r="N2651" s="4"/>
      <c r="O2651" s="4"/>
      <c r="P2651" s="4"/>
      <c r="Q2651" s="4"/>
      <c r="R2651" s="14"/>
      <c r="S2651" s="14"/>
      <c r="T2651" s="14"/>
      <c r="U2651" s="14"/>
      <c r="V2651" s="14"/>
      <c r="W2651" s="14"/>
      <c r="X2651" s="1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c r="AV2651" s="4"/>
      <c r="AW2651" s="4"/>
      <c r="AX2651" s="4"/>
      <c r="AY2651" s="4"/>
      <c r="AZ2651" s="4"/>
      <c r="BA2651" s="4"/>
      <c r="BB2651" s="4"/>
      <c r="BC2651" s="4"/>
      <c r="BD2651" s="4"/>
      <c r="BE2651" s="4"/>
      <c r="BG2651" s="4"/>
      <c r="BH2651" s="4"/>
    </row>
    <row r="2652" spans="1:60" x14ac:dyDescent="0.35">
      <c r="A2652" s="4"/>
      <c r="B2652" s="4"/>
      <c r="D2652" s="6" t="str">
        <f t="shared" si="169"/>
        <v/>
      </c>
      <c r="E2652" s="6" t="str">
        <f t="shared" si="170"/>
        <v/>
      </c>
      <c r="F2652" s="6" t="str">
        <f t="shared" si="171"/>
        <v/>
      </c>
      <c r="G2652" s="4"/>
      <c r="H2652" s="4"/>
      <c r="I2652" s="4"/>
      <c r="J2652" s="4"/>
      <c r="K2652" s="4"/>
      <c r="L2652" s="4"/>
      <c r="M2652" s="4"/>
      <c r="N2652" s="4"/>
      <c r="O2652" s="4"/>
      <c r="P2652" s="4"/>
      <c r="Q2652" s="4"/>
      <c r="R2652" s="14"/>
      <c r="S2652" s="14"/>
      <c r="T2652" s="14"/>
      <c r="U2652" s="14"/>
      <c r="V2652" s="14"/>
      <c r="W2652" s="14"/>
      <c r="X2652" s="1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4"/>
      <c r="AU2652" s="4"/>
      <c r="AV2652" s="4"/>
      <c r="AW2652" s="4"/>
      <c r="AX2652" s="4"/>
      <c r="AY2652" s="4"/>
      <c r="AZ2652" s="4"/>
      <c r="BA2652" s="4"/>
      <c r="BB2652" s="4"/>
      <c r="BC2652" s="4"/>
      <c r="BD2652" s="4"/>
      <c r="BE2652" s="4"/>
      <c r="BG2652" s="4"/>
      <c r="BH2652" s="4"/>
    </row>
    <row r="2653" spans="1:60" x14ac:dyDescent="0.35">
      <c r="A2653" s="4"/>
      <c r="B2653" s="4"/>
      <c r="D2653" s="6" t="str">
        <f t="shared" si="169"/>
        <v/>
      </c>
      <c r="E2653" s="6" t="str">
        <f t="shared" si="170"/>
        <v/>
      </c>
      <c r="F2653" s="6" t="str">
        <f t="shared" si="171"/>
        <v/>
      </c>
      <c r="G2653" s="4"/>
      <c r="H2653" s="4"/>
      <c r="I2653" s="4"/>
      <c r="J2653" s="4"/>
      <c r="K2653" s="4"/>
      <c r="L2653" s="4"/>
      <c r="M2653" s="4"/>
      <c r="N2653" s="4"/>
      <c r="O2653" s="4"/>
      <c r="P2653" s="4"/>
      <c r="Q2653" s="4"/>
      <c r="R2653" s="14"/>
      <c r="S2653" s="14"/>
      <c r="T2653" s="14"/>
      <c r="U2653" s="14"/>
      <c r="V2653" s="14"/>
      <c r="W2653" s="14"/>
      <c r="X2653" s="1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4"/>
      <c r="AU2653" s="4"/>
      <c r="AV2653" s="4"/>
      <c r="AW2653" s="4"/>
      <c r="AX2653" s="4"/>
      <c r="AY2653" s="4"/>
      <c r="AZ2653" s="4"/>
      <c r="BA2653" s="4"/>
      <c r="BB2653" s="4"/>
      <c r="BC2653" s="4"/>
      <c r="BD2653" s="4"/>
      <c r="BE2653" s="4"/>
      <c r="BG2653" s="4"/>
      <c r="BH2653" s="4"/>
    </row>
    <row r="2654" spans="1:60" x14ac:dyDescent="0.35">
      <c r="A2654" s="4"/>
      <c r="B2654" s="4"/>
      <c r="D2654" s="6" t="str">
        <f t="shared" si="169"/>
        <v/>
      </c>
      <c r="E2654" s="6" t="str">
        <f t="shared" si="170"/>
        <v/>
      </c>
      <c r="F2654" s="6" t="str">
        <f t="shared" si="171"/>
        <v/>
      </c>
      <c r="G2654" s="4"/>
      <c r="H2654" s="4"/>
      <c r="I2654" s="4"/>
      <c r="J2654" s="4"/>
      <c r="K2654" s="4"/>
      <c r="L2654" s="4"/>
      <c r="M2654" s="4"/>
      <c r="N2654" s="4"/>
      <c r="O2654" s="4"/>
      <c r="P2654" s="4"/>
      <c r="Q2654" s="4"/>
      <c r="R2654" s="14"/>
      <c r="S2654" s="14"/>
      <c r="T2654" s="14"/>
      <c r="U2654" s="14"/>
      <c r="V2654" s="14"/>
      <c r="W2654" s="14"/>
      <c r="X2654" s="1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4"/>
      <c r="AU2654" s="4"/>
      <c r="AV2654" s="4"/>
      <c r="AW2654" s="4"/>
      <c r="AX2654" s="4"/>
      <c r="AY2654" s="4"/>
      <c r="AZ2654" s="4"/>
      <c r="BA2654" s="4"/>
      <c r="BB2654" s="4"/>
      <c r="BC2654" s="4"/>
      <c r="BD2654" s="4"/>
      <c r="BE2654" s="4"/>
      <c r="BG2654" s="4"/>
      <c r="BH2654" s="4"/>
    </row>
    <row r="2655" spans="1:60" x14ac:dyDescent="0.35">
      <c r="A2655" s="4"/>
      <c r="B2655" s="4"/>
      <c r="D2655" s="6" t="str">
        <f t="shared" si="169"/>
        <v/>
      </c>
      <c r="E2655" s="6" t="str">
        <f t="shared" si="170"/>
        <v/>
      </c>
      <c r="F2655" s="6" t="str">
        <f t="shared" si="171"/>
        <v/>
      </c>
      <c r="G2655" s="4"/>
      <c r="H2655" s="4"/>
      <c r="I2655" s="4"/>
      <c r="J2655" s="4"/>
      <c r="K2655" s="4"/>
      <c r="L2655" s="4"/>
      <c r="M2655" s="4"/>
      <c r="N2655" s="4"/>
      <c r="O2655" s="4"/>
      <c r="P2655" s="4"/>
      <c r="Q2655" s="4"/>
      <c r="R2655" s="14"/>
      <c r="S2655" s="14"/>
      <c r="T2655" s="14"/>
      <c r="U2655" s="14"/>
      <c r="V2655" s="14"/>
      <c r="W2655" s="14"/>
      <c r="X2655" s="1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4"/>
      <c r="AU2655" s="4"/>
      <c r="AV2655" s="4"/>
      <c r="AW2655" s="4"/>
      <c r="AX2655" s="4"/>
      <c r="AY2655" s="4"/>
      <c r="AZ2655" s="4"/>
      <c r="BA2655" s="4"/>
      <c r="BB2655" s="4"/>
      <c r="BC2655" s="4"/>
      <c r="BD2655" s="4"/>
      <c r="BE2655" s="4"/>
      <c r="BG2655" s="4"/>
      <c r="BH2655" s="4"/>
    </row>
    <row r="2656" spans="1:60" x14ac:dyDescent="0.35">
      <c r="A2656" s="4"/>
      <c r="B2656" s="4"/>
      <c r="D2656" s="6" t="str">
        <f t="shared" si="169"/>
        <v/>
      </c>
      <c r="E2656" s="6" t="str">
        <f t="shared" si="170"/>
        <v/>
      </c>
      <c r="F2656" s="6" t="str">
        <f t="shared" si="171"/>
        <v/>
      </c>
      <c r="G2656" s="4"/>
      <c r="H2656" s="4"/>
      <c r="I2656" s="4"/>
      <c r="J2656" s="4"/>
      <c r="K2656" s="4"/>
      <c r="L2656" s="4"/>
      <c r="M2656" s="4"/>
      <c r="N2656" s="4"/>
      <c r="O2656" s="4"/>
      <c r="P2656" s="4"/>
      <c r="Q2656" s="4"/>
      <c r="R2656" s="14"/>
      <c r="S2656" s="14"/>
      <c r="T2656" s="14"/>
      <c r="U2656" s="14"/>
      <c r="V2656" s="14"/>
      <c r="W2656" s="14"/>
      <c r="X2656" s="1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4"/>
      <c r="AU2656" s="4"/>
      <c r="AV2656" s="4"/>
      <c r="AW2656" s="4"/>
      <c r="AX2656" s="4"/>
      <c r="AY2656" s="4"/>
      <c r="AZ2656" s="4"/>
      <c r="BA2656" s="4"/>
      <c r="BB2656" s="4"/>
      <c r="BC2656" s="4"/>
      <c r="BD2656" s="4"/>
      <c r="BE2656" s="4"/>
      <c r="BG2656" s="4"/>
      <c r="BH2656" s="4"/>
    </row>
    <row r="2657" spans="1:60" x14ac:dyDescent="0.35">
      <c r="A2657" s="4"/>
      <c r="B2657" s="4"/>
      <c r="D2657" s="6" t="str">
        <f t="shared" si="169"/>
        <v/>
      </c>
      <c r="E2657" s="6" t="str">
        <f t="shared" si="170"/>
        <v/>
      </c>
      <c r="F2657" s="6" t="str">
        <f t="shared" si="171"/>
        <v/>
      </c>
      <c r="G2657" s="4"/>
      <c r="H2657" s="4"/>
      <c r="I2657" s="4"/>
      <c r="J2657" s="4"/>
      <c r="K2657" s="4"/>
      <c r="L2657" s="4"/>
      <c r="M2657" s="4"/>
      <c r="N2657" s="4"/>
      <c r="O2657" s="4"/>
      <c r="P2657" s="4"/>
      <c r="Q2657" s="4"/>
      <c r="R2657" s="14"/>
      <c r="S2657" s="14"/>
      <c r="T2657" s="14"/>
      <c r="U2657" s="14"/>
      <c r="V2657" s="14"/>
      <c r="W2657" s="14"/>
      <c r="X2657" s="1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4"/>
      <c r="AU2657" s="4"/>
      <c r="AV2657" s="4"/>
      <c r="AW2657" s="4"/>
      <c r="AX2657" s="4"/>
      <c r="AY2657" s="4"/>
      <c r="AZ2657" s="4"/>
      <c r="BA2657" s="4"/>
      <c r="BB2657" s="4"/>
      <c r="BC2657" s="4"/>
      <c r="BD2657" s="4"/>
      <c r="BE2657" s="4"/>
      <c r="BG2657" s="4"/>
      <c r="BH2657" s="4"/>
    </row>
    <row r="2658" spans="1:60" x14ac:dyDescent="0.35">
      <c r="A2658" s="4"/>
      <c r="B2658" s="4"/>
      <c r="D2658" s="6" t="str">
        <f t="shared" si="169"/>
        <v/>
      </c>
      <c r="E2658" s="6" t="str">
        <f t="shared" si="170"/>
        <v/>
      </c>
      <c r="F2658" s="6" t="str">
        <f t="shared" si="171"/>
        <v/>
      </c>
      <c r="G2658" s="4"/>
      <c r="H2658" s="4"/>
      <c r="I2658" s="4"/>
      <c r="J2658" s="4"/>
      <c r="K2658" s="4"/>
      <c r="L2658" s="4"/>
      <c r="M2658" s="4"/>
      <c r="N2658" s="4"/>
      <c r="O2658" s="4"/>
      <c r="P2658" s="4"/>
      <c r="Q2658" s="4"/>
      <c r="R2658" s="14"/>
      <c r="S2658" s="14"/>
      <c r="T2658" s="14"/>
      <c r="U2658" s="14"/>
      <c r="V2658" s="14"/>
      <c r="W2658" s="14"/>
      <c r="X2658" s="14"/>
      <c r="Y2658" s="4"/>
      <c r="Z2658" s="4"/>
      <c r="AA2658" s="4"/>
      <c r="AB2658" s="4"/>
      <c r="AC2658" s="4"/>
      <c r="AD2658" s="4"/>
      <c r="AE2658" s="4"/>
      <c r="AF2658" s="4"/>
      <c r="AG2658" s="4"/>
      <c r="AH2658" s="4"/>
      <c r="AI2658" s="4"/>
      <c r="AJ2658" s="4"/>
      <c r="AK2658" s="4"/>
      <c r="AL2658" s="4"/>
      <c r="AM2658" s="4"/>
      <c r="AN2658" s="4"/>
      <c r="AO2658" s="4"/>
      <c r="AP2658" s="4"/>
      <c r="AQ2658" s="4"/>
      <c r="AR2658" s="4"/>
      <c r="AS2658" s="4"/>
      <c r="AT2658" s="4"/>
      <c r="AU2658" s="4"/>
      <c r="AV2658" s="4"/>
      <c r="AW2658" s="4"/>
      <c r="AX2658" s="4"/>
      <c r="AY2658" s="4"/>
      <c r="AZ2658" s="4"/>
      <c r="BA2658" s="4"/>
      <c r="BB2658" s="4"/>
      <c r="BC2658" s="4"/>
      <c r="BD2658" s="4"/>
      <c r="BE2658" s="4"/>
      <c r="BG2658" s="4"/>
      <c r="BH2658" s="4"/>
    </row>
    <row r="2659" spans="1:60" x14ac:dyDescent="0.35">
      <c r="A2659" s="4"/>
      <c r="B2659" s="4"/>
      <c r="D2659" s="6" t="str">
        <f t="shared" si="169"/>
        <v/>
      </c>
      <c r="E2659" s="6" t="str">
        <f t="shared" si="170"/>
        <v/>
      </c>
      <c r="F2659" s="6" t="str">
        <f t="shared" si="171"/>
        <v/>
      </c>
      <c r="G2659" s="4"/>
      <c r="H2659" s="4"/>
      <c r="I2659" s="4"/>
      <c r="J2659" s="4"/>
      <c r="K2659" s="4"/>
      <c r="L2659" s="4"/>
      <c r="M2659" s="4"/>
      <c r="N2659" s="4"/>
      <c r="O2659" s="4"/>
      <c r="P2659" s="4"/>
      <c r="Q2659" s="4"/>
      <c r="R2659" s="14"/>
      <c r="S2659" s="14"/>
      <c r="T2659" s="14"/>
      <c r="U2659" s="14"/>
      <c r="V2659" s="14"/>
      <c r="W2659" s="14"/>
      <c r="X2659" s="14"/>
      <c r="Y2659" s="4"/>
      <c r="Z2659" s="4"/>
      <c r="AA2659" s="4"/>
      <c r="AB2659" s="4"/>
      <c r="AC2659" s="4"/>
      <c r="AD2659" s="4"/>
      <c r="AE2659" s="4"/>
      <c r="AF2659" s="4"/>
      <c r="AG2659" s="4"/>
      <c r="AH2659" s="4"/>
      <c r="AI2659" s="4"/>
      <c r="AJ2659" s="4"/>
      <c r="AK2659" s="4"/>
      <c r="AL2659" s="4"/>
      <c r="AM2659" s="4"/>
      <c r="AN2659" s="4"/>
      <c r="AO2659" s="4"/>
      <c r="AP2659" s="4"/>
      <c r="AQ2659" s="4"/>
      <c r="AR2659" s="4"/>
      <c r="AS2659" s="4"/>
      <c r="AT2659" s="4"/>
      <c r="AU2659" s="4"/>
      <c r="AV2659" s="4"/>
      <c r="AW2659" s="4"/>
      <c r="AX2659" s="4"/>
      <c r="AY2659" s="4"/>
      <c r="AZ2659" s="4"/>
      <c r="BA2659" s="4"/>
      <c r="BB2659" s="4"/>
      <c r="BC2659" s="4"/>
      <c r="BD2659" s="4"/>
      <c r="BE2659" s="4"/>
      <c r="BG2659" s="4"/>
      <c r="BH2659" s="4"/>
    </row>
    <row r="2660" spans="1:60" x14ac:dyDescent="0.35">
      <c r="A2660" s="4"/>
      <c r="B2660" s="4"/>
      <c r="D2660" s="6" t="str">
        <f t="shared" si="169"/>
        <v/>
      </c>
      <c r="E2660" s="6" t="str">
        <f t="shared" si="170"/>
        <v/>
      </c>
      <c r="F2660" s="6" t="str">
        <f t="shared" si="171"/>
        <v/>
      </c>
      <c r="G2660" s="4"/>
      <c r="H2660" s="4"/>
      <c r="I2660" s="4"/>
      <c r="J2660" s="4"/>
      <c r="K2660" s="4"/>
      <c r="L2660" s="4"/>
      <c r="M2660" s="4"/>
      <c r="N2660" s="4"/>
      <c r="O2660" s="4"/>
      <c r="P2660" s="4"/>
      <c r="Q2660" s="4"/>
      <c r="R2660" s="14"/>
      <c r="S2660" s="14"/>
      <c r="T2660" s="14"/>
      <c r="U2660" s="14"/>
      <c r="V2660" s="14"/>
      <c r="W2660" s="14"/>
      <c r="X2660" s="1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4"/>
      <c r="AU2660" s="4"/>
      <c r="AV2660" s="4"/>
      <c r="AW2660" s="4"/>
      <c r="AX2660" s="4"/>
      <c r="AY2660" s="4"/>
      <c r="AZ2660" s="4"/>
      <c r="BA2660" s="4"/>
      <c r="BB2660" s="4"/>
      <c r="BC2660" s="4"/>
      <c r="BD2660" s="4"/>
      <c r="BE2660" s="4"/>
      <c r="BG2660" s="4"/>
      <c r="BH2660" s="4"/>
    </row>
    <row r="2661" spans="1:60" x14ac:dyDescent="0.35">
      <c r="A2661" s="4"/>
      <c r="B2661" s="4"/>
      <c r="D2661" s="6" t="str">
        <f t="shared" si="169"/>
        <v/>
      </c>
      <c r="E2661" s="6" t="str">
        <f t="shared" si="170"/>
        <v/>
      </c>
      <c r="F2661" s="6" t="str">
        <f t="shared" si="171"/>
        <v/>
      </c>
      <c r="G2661" s="4"/>
      <c r="H2661" s="4"/>
      <c r="I2661" s="4"/>
      <c r="J2661" s="4"/>
      <c r="K2661" s="4"/>
      <c r="L2661" s="4"/>
      <c r="M2661" s="4"/>
      <c r="N2661" s="4"/>
      <c r="O2661" s="4"/>
      <c r="P2661" s="4"/>
      <c r="Q2661" s="4"/>
      <c r="R2661" s="14"/>
      <c r="S2661" s="14"/>
      <c r="T2661" s="14"/>
      <c r="U2661" s="14"/>
      <c r="V2661" s="14"/>
      <c r="W2661" s="14"/>
      <c r="X2661" s="1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4"/>
      <c r="AU2661" s="4"/>
      <c r="AV2661" s="4"/>
      <c r="AW2661" s="4"/>
      <c r="AX2661" s="4"/>
      <c r="AY2661" s="4"/>
      <c r="AZ2661" s="4"/>
      <c r="BA2661" s="4"/>
      <c r="BB2661" s="4"/>
      <c r="BC2661" s="4"/>
      <c r="BD2661" s="4"/>
      <c r="BE2661" s="4"/>
      <c r="BG2661" s="4"/>
      <c r="BH2661" s="4"/>
    </row>
    <row r="2662" spans="1:60" x14ac:dyDescent="0.35">
      <c r="A2662" s="4"/>
      <c r="B2662" s="4"/>
      <c r="D2662" s="6" t="str">
        <f t="shared" si="169"/>
        <v/>
      </c>
      <c r="E2662" s="6" t="str">
        <f t="shared" si="170"/>
        <v/>
      </c>
      <c r="F2662" s="6" t="str">
        <f t="shared" si="171"/>
        <v/>
      </c>
      <c r="G2662" s="4"/>
      <c r="H2662" s="4"/>
      <c r="I2662" s="4"/>
      <c r="J2662" s="4"/>
      <c r="K2662" s="4"/>
      <c r="L2662" s="4"/>
      <c r="M2662" s="4"/>
      <c r="N2662" s="4"/>
      <c r="O2662" s="4"/>
      <c r="P2662" s="4"/>
      <c r="Q2662" s="4"/>
      <c r="R2662" s="14"/>
      <c r="S2662" s="14"/>
      <c r="T2662" s="14"/>
      <c r="U2662" s="14"/>
      <c r="V2662" s="14"/>
      <c r="W2662" s="14"/>
      <c r="X2662" s="1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c r="AV2662" s="4"/>
      <c r="AW2662" s="4"/>
      <c r="AX2662" s="4"/>
      <c r="AY2662" s="4"/>
      <c r="AZ2662" s="4"/>
      <c r="BA2662" s="4"/>
      <c r="BB2662" s="4"/>
      <c r="BC2662" s="4"/>
      <c r="BD2662" s="4"/>
      <c r="BE2662" s="4"/>
      <c r="BG2662" s="4"/>
      <c r="BH2662" s="4"/>
    </row>
    <row r="2663" spans="1:60" x14ac:dyDescent="0.35">
      <c r="A2663" s="4"/>
      <c r="B2663" s="4"/>
      <c r="D2663" s="6" t="str">
        <f t="shared" si="169"/>
        <v/>
      </c>
      <c r="E2663" s="6" t="str">
        <f t="shared" si="170"/>
        <v/>
      </c>
      <c r="F2663" s="6" t="str">
        <f t="shared" si="171"/>
        <v/>
      </c>
      <c r="G2663" s="4"/>
      <c r="H2663" s="4"/>
      <c r="I2663" s="4"/>
      <c r="J2663" s="4"/>
      <c r="K2663" s="4"/>
      <c r="L2663" s="4"/>
      <c r="M2663" s="4"/>
      <c r="N2663" s="4"/>
      <c r="O2663" s="4"/>
      <c r="P2663" s="4"/>
      <c r="Q2663" s="4"/>
      <c r="R2663" s="14"/>
      <c r="S2663" s="14"/>
      <c r="T2663" s="14"/>
      <c r="U2663" s="14"/>
      <c r="V2663" s="14"/>
      <c r="W2663" s="14"/>
      <c r="X2663" s="1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c r="AV2663" s="4"/>
      <c r="AW2663" s="4"/>
      <c r="AX2663" s="4"/>
      <c r="AY2663" s="4"/>
      <c r="AZ2663" s="4"/>
      <c r="BA2663" s="4"/>
      <c r="BB2663" s="4"/>
      <c r="BC2663" s="4"/>
      <c r="BD2663" s="4"/>
      <c r="BE2663" s="4"/>
      <c r="BG2663" s="4"/>
      <c r="BH2663" s="4"/>
    </row>
    <row r="2664" spans="1:60" x14ac:dyDescent="0.35">
      <c r="A2664" s="4"/>
      <c r="B2664" s="4"/>
      <c r="D2664" s="6" t="str">
        <f t="shared" si="169"/>
        <v/>
      </c>
      <c r="E2664" s="6" t="str">
        <f t="shared" si="170"/>
        <v/>
      </c>
      <c r="F2664" s="6" t="str">
        <f t="shared" si="171"/>
        <v/>
      </c>
      <c r="G2664" s="4"/>
      <c r="H2664" s="4"/>
      <c r="I2664" s="4"/>
      <c r="J2664" s="4"/>
      <c r="K2664" s="4"/>
      <c r="L2664" s="4"/>
      <c r="M2664" s="4"/>
      <c r="N2664" s="4"/>
      <c r="O2664" s="4"/>
      <c r="P2664" s="4"/>
      <c r="Q2664" s="4"/>
      <c r="R2664" s="14"/>
      <c r="S2664" s="14"/>
      <c r="T2664" s="14"/>
      <c r="U2664" s="14"/>
      <c r="V2664" s="14"/>
      <c r="W2664" s="14"/>
      <c r="X2664" s="1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c r="AV2664" s="4"/>
      <c r="AW2664" s="4"/>
      <c r="AX2664" s="4"/>
      <c r="AY2664" s="4"/>
      <c r="AZ2664" s="4"/>
      <c r="BA2664" s="4"/>
      <c r="BB2664" s="4"/>
      <c r="BC2664" s="4"/>
      <c r="BD2664" s="4"/>
      <c r="BE2664" s="4"/>
      <c r="BG2664" s="4"/>
      <c r="BH2664" s="4"/>
    </row>
    <row r="2665" spans="1:60" x14ac:dyDescent="0.35">
      <c r="A2665" s="4"/>
      <c r="B2665" s="4"/>
      <c r="D2665" s="6" t="str">
        <f t="shared" si="169"/>
        <v/>
      </c>
      <c r="E2665" s="6" t="str">
        <f t="shared" si="170"/>
        <v/>
      </c>
      <c r="F2665" s="6" t="str">
        <f t="shared" si="171"/>
        <v/>
      </c>
      <c r="G2665" s="4"/>
      <c r="H2665" s="4"/>
      <c r="I2665" s="4"/>
      <c r="J2665" s="4"/>
      <c r="K2665" s="4"/>
      <c r="L2665" s="4"/>
      <c r="M2665" s="4"/>
      <c r="N2665" s="4"/>
      <c r="O2665" s="4"/>
      <c r="P2665" s="4"/>
      <c r="Q2665" s="4"/>
      <c r="R2665" s="14"/>
      <c r="S2665" s="14"/>
      <c r="T2665" s="14"/>
      <c r="U2665" s="14"/>
      <c r="V2665" s="14"/>
      <c r="W2665" s="14"/>
      <c r="X2665" s="1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c r="AV2665" s="4"/>
      <c r="AW2665" s="4"/>
      <c r="AX2665" s="4"/>
      <c r="AY2665" s="4"/>
      <c r="AZ2665" s="4"/>
      <c r="BA2665" s="4"/>
      <c r="BB2665" s="4"/>
      <c r="BC2665" s="4"/>
      <c r="BD2665" s="4"/>
      <c r="BE2665" s="4"/>
      <c r="BG2665" s="4"/>
      <c r="BH2665" s="4"/>
    </row>
    <row r="2666" spans="1:60" x14ac:dyDescent="0.35">
      <c r="A2666" s="4"/>
      <c r="B2666" s="4"/>
      <c r="D2666" s="6" t="str">
        <f t="shared" si="169"/>
        <v/>
      </c>
      <c r="E2666" s="6" t="str">
        <f t="shared" si="170"/>
        <v/>
      </c>
      <c r="F2666" s="6" t="str">
        <f t="shared" si="171"/>
        <v/>
      </c>
      <c r="G2666" s="4"/>
      <c r="H2666" s="4"/>
      <c r="I2666" s="4"/>
      <c r="J2666" s="4"/>
      <c r="K2666" s="4"/>
      <c r="L2666" s="4"/>
      <c r="M2666" s="4"/>
      <c r="N2666" s="4"/>
      <c r="O2666" s="4"/>
      <c r="P2666" s="4"/>
      <c r="Q2666" s="4"/>
      <c r="R2666" s="14"/>
      <c r="S2666" s="14"/>
      <c r="T2666" s="14"/>
      <c r="U2666" s="14"/>
      <c r="V2666" s="14"/>
      <c r="W2666" s="14"/>
      <c r="X2666" s="1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c r="AV2666" s="4"/>
      <c r="AW2666" s="4"/>
      <c r="AX2666" s="4"/>
      <c r="AY2666" s="4"/>
      <c r="AZ2666" s="4"/>
      <c r="BA2666" s="4"/>
      <c r="BB2666" s="4"/>
      <c r="BC2666" s="4"/>
      <c r="BD2666" s="4"/>
      <c r="BE2666" s="4"/>
      <c r="BG2666" s="4"/>
      <c r="BH2666" s="4"/>
    </row>
    <row r="2667" spans="1:60" x14ac:dyDescent="0.35">
      <c r="A2667" s="4"/>
      <c r="B2667" s="4"/>
      <c r="D2667" s="6" t="str">
        <f t="shared" si="169"/>
        <v/>
      </c>
      <c r="E2667" s="6" t="str">
        <f t="shared" si="170"/>
        <v/>
      </c>
      <c r="F2667" s="6" t="str">
        <f t="shared" si="171"/>
        <v/>
      </c>
      <c r="G2667" s="4"/>
      <c r="H2667" s="4"/>
      <c r="I2667" s="4"/>
      <c r="J2667" s="4"/>
      <c r="K2667" s="4"/>
      <c r="L2667" s="4"/>
      <c r="M2667" s="4"/>
      <c r="N2667" s="4"/>
      <c r="O2667" s="4"/>
      <c r="P2667" s="4"/>
      <c r="Q2667" s="4"/>
      <c r="R2667" s="14"/>
      <c r="S2667" s="14"/>
      <c r="T2667" s="14"/>
      <c r="U2667" s="14"/>
      <c r="V2667" s="14"/>
      <c r="W2667" s="14"/>
      <c r="X2667" s="1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4"/>
      <c r="AU2667" s="4"/>
      <c r="AV2667" s="4"/>
      <c r="AW2667" s="4"/>
      <c r="AX2667" s="4"/>
      <c r="AY2667" s="4"/>
      <c r="AZ2667" s="4"/>
      <c r="BA2667" s="4"/>
      <c r="BB2667" s="4"/>
      <c r="BC2667" s="4"/>
      <c r="BD2667" s="4"/>
      <c r="BE2667" s="4"/>
      <c r="BG2667" s="4"/>
      <c r="BH2667" s="4"/>
    </row>
    <row r="2668" spans="1:60" x14ac:dyDescent="0.35">
      <c r="A2668" s="4"/>
      <c r="B2668" s="4"/>
      <c r="D2668" s="6" t="str">
        <f t="shared" si="169"/>
        <v/>
      </c>
      <c r="E2668" s="6" t="str">
        <f t="shared" si="170"/>
        <v/>
      </c>
      <c r="F2668" s="6" t="str">
        <f t="shared" si="171"/>
        <v/>
      </c>
      <c r="G2668" s="4"/>
      <c r="H2668" s="4"/>
      <c r="I2668" s="4"/>
      <c r="J2668" s="4"/>
      <c r="K2668" s="4"/>
      <c r="L2668" s="4"/>
      <c r="M2668" s="4"/>
      <c r="N2668" s="4"/>
      <c r="O2668" s="4"/>
      <c r="P2668" s="4"/>
      <c r="Q2668" s="4"/>
      <c r="R2668" s="14"/>
      <c r="S2668" s="14"/>
      <c r="T2668" s="14"/>
      <c r="U2668" s="14"/>
      <c r="V2668" s="14"/>
      <c r="W2668" s="14"/>
      <c r="X2668" s="14"/>
      <c r="Y2668" s="4"/>
      <c r="Z2668" s="4"/>
      <c r="AA2668" s="4"/>
      <c r="AB2668" s="4"/>
      <c r="AC2668" s="4"/>
      <c r="AD2668" s="4"/>
      <c r="AE2668" s="4"/>
      <c r="AF2668" s="4"/>
      <c r="AG2668" s="4"/>
      <c r="AH2668" s="4"/>
      <c r="AI2668" s="4"/>
      <c r="AJ2668" s="4"/>
      <c r="AK2668" s="4"/>
      <c r="AL2668" s="4"/>
      <c r="AM2668" s="4"/>
      <c r="AN2668" s="4"/>
      <c r="AO2668" s="4"/>
      <c r="AP2668" s="4"/>
      <c r="AQ2668" s="4"/>
      <c r="AR2668" s="4"/>
      <c r="AS2668" s="4"/>
      <c r="AT2668" s="4"/>
      <c r="AU2668" s="4"/>
      <c r="AV2668" s="4"/>
      <c r="AW2668" s="4"/>
      <c r="AX2668" s="4"/>
      <c r="AY2668" s="4"/>
      <c r="AZ2668" s="4"/>
      <c r="BA2668" s="4"/>
      <c r="BB2668" s="4"/>
      <c r="BC2668" s="4"/>
      <c r="BD2668" s="4"/>
      <c r="BE2668" s="4"/>
      <c r="BG2668" s="4"/>
      <c r="BH2668" s="4"/>
    </row>
    <row r="2669" spans="1:60" x14ac:dyDescent="0.35">
      <c r="A2669" s="4"/>
      <c r="B2669" s="4"/>
      <c r="D2669" s="6" t="str">
        <f t="shared" si="169"/>
        <v/>
      </c>
      <c r="E2669" s="6" t="str">
        <f t="shared" si="170"/>
        <v/>
      </c>
      <c r="F2669" s="6" t="str">
        <f t="shared" si="171"/>
        <v/>
      </c>
      <c r="G2669" s="4"/>
      <c r="H2669" s="4"/>
      <c r="I2669" s="4"/>
      <c r="J2669" s="4"/>
      <c r="K2669" s="4"/>
      <c r="L2669" s="4"/>
      <c r="M2669" s="4"/>
      <c r="N2669" s="4"/>
      <c r="O2669" s="4"/>
      <c r="P2669" s="4"/>
      <c r="Q2669" s="4"/>
      <c r="R2669" s="14"/>
      <c r="S2669" s="14"/>
      <c r="T2669" s="14"/>
      <c r="U2669" s="14"/>
      <c r="V2669" s="14"/>
      <c r="W2669" s="14"/>
      <c r="X2669" s="1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4"/>
      <c r="AU2669" s="4"/>
      <c r="AV2669" s="4"/>
      <c r="AW2669" s="4"/>
      <c r="AX2669" s="4"/>
      <c r="AY2669" s="4"/>
      <c r="AZ2669" s="4"/>
      <c r="BA2669" s="4"/>
      <c r="BB2669" s="4"/>
      <c r="BC2669" s="4"/>
      <c r="BD2669" s="4"/>
      <c r="BE2669" s="4"/>
      <c r="BG2669" s="4"/>
      <c r="BH2669" s="4"/>
    </row>
    <row r="2670" spans="1:60" x14ac:dyDescent="0.35">
      <c r="A2670" s="4"/>
      <c r="B2670" s="4"/>
      <c r="D2670" s="6" t="str">
        <f t="shared" si="169"/>
        <v/>
      </c>
      <c r="E2670" s="6" t="str">
        <f t="shared" si="170"/>
        <v/>
      </c>
      <c r="F2670" s="6" t="str">
        <f t="shared" si="171"/>
        <v/>
      </c>
      <c r="G2670" s="4"/>
      <c r="H2670" s="4"/>
      <c r="I2670" s="4"/>
      <c r="J2670" s="4"/>
      <c r="K2670" s="4"/>
      <c r="L2670" s="4"/>
      <c r="M2670" s="4"/>
      <c r="N2670" s="4"/>
      <c r="O2670" s="4"/>
      <c r="P2670" s="4"/>
      <c r="Q2670" s="4"/>
      <c r="R2670" s="14"/>
      <c r="S2670" s="14"/>
      <c r="T2670" s="14"/>
      <c r="U2670" s="14"/>
      <c r="V2670" s="14"/>
      <c r="W2670" s="14"/>
      <c r="X2670" s="1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4"/>
      <c r="AU2670" s="4"/>
      <c r="AV2670" s="4"/>
      <c r="AW2670" s="4"/>
      <c r="AX2670" s="4"/>
      <c r="AY2670" s="4"/>
      <c r="AZ2670" s="4"/>
      <c r="BA2670" s="4"/>
      <c r="BB2670" s="4"/>
      <c r="BC2670" s="4"/>
      <c r="BD2670" s="4"/>
      <c r="BE2670" s="4"/>
      <c r="BG2670" s="4"/>
      <c r="BH2670" s="4"/>
    </row>
    <row r="2671" spans="1:60" x14ac:dyDescent="0.35">
      <c r="A2671" s="4"/>
      <c r="B2671" s="4"/>
      <c r="D2671" s="6" t="str">
        <f t="shared" si="169"/>
        <v/>
      </c>
      <c r="E2671" s="6" t="str">
        <f t="shared" si="170"/>
        <v/>
      </c>
      <c r="F2671" s="6" t="str">
        <f t="shared" si="171"/>
        <v/>
      </c>
      <c r="G2671" s="4"/>
      <c r="H2671" s="4"/>
      <c r="I2671" s="4"/>
      <c r="J2671" s="4"/>
      <c r="K2671" s="4"/>
      <c r="L2671" s="4"/>
      <c r="M2671" s="4"/>
      <c r="N2671" s="4"/>
      <c r="O2671" s="4"/>
      <c r="P2671" s="4"/>
      <c r="Q2671" s="4"/>
      <c r="R2671" s="14"/>
      <c r="S2671" s="14"/>
      <c r="T2671" s="14"/>
      <c r="U2671" s="14"/>
      <c r="V2671" s="14"/>
      <c r="W2671" s="14"/>
      <c r="X2671" s="1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4"/>
      <c r="AU2671" s="4"/>
      <c r="AV2671" s="4"/>
      <c r="AW2671" s="4"/>
      <c r="AX2671" s="4"/>
      <c r="AY2671" s="4"/>
      <c r="AZ2671" s="4"/>
      <c r="BA2671" s="4"/>
      <c r="BB2671" s="4"/>
      <c r="BC2671" s="4"/>
      <c r="BD2671" s="4"/>
      <c r="BE2671" s="4"/>
      <c r="BG2671" s="4"/>
      <c r="BH2671" s="4"/>
    </row>
    <row r="2672" spans="1:60" x14ac:dyDescent="0.35">
      <c r="A2672" s="4"/>
      <c r="B2672" s="4"/>
      <c r="D2672" s="6" t="str">
        <f t="shared" si="169"/>
        <v/>
      </c>
      <c r="E2672" s="6" t="str">
        <f t="shared" si="170"/>
        <v/>
      </c>
      <c r="F2672" s="6" t="str">
        <f t="shared" si="171"/>
        <v/>
      </c>
      <c r="G2672" s="4"/>
      <c r="H2672" s="4"/>
      <c r="I2672" s="4"/>
      <c r="J2672" s="4"/>
      <c r="K2672" s="4"/>
      <c r="L2672" s="4"/>
      <c r="M2672" s="4"/>
      <c r="N2672" s="4"/>
      <c r="O2672" s="4"/>
      <c r="P2672" s="4"/>
      <c r="Q2672" s="4"/>
      <c r="R2672" s="14"/>
      <c r="S2672" s="14"/>
      <c r="T2672" s="14"/>
      <c r="U2672" s="14"/>
      <c r="V2672" s="14"/>
      <c r="W2672" s="14"/>
      <c r="X2672" s="1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4"/>
      <c r="AU2672" s="4"/>
      <c r="AV2672" s="4"/>
      <c r="AW2672" s="4"/>
      <c r="AX2672" s="4"/>
      <c r="AY2672" s="4"/>
      <c r="AZ2672" s="4"/>
      <c r="BA2672" s="4"/>
      <c r="BB2672" s="4"/>
      <c r="BC2672" s="4"/>
      <c r="BD2672" s="4"/>
      <c r="BE2672" s="4"/>
      <c r="BG2672" s="4"/>
      <c r="BH2672" s="4"/>
    </row>
    <row r="2673" spans="1:60" x14ac:dyDescent="0.35">
      <c r="A2673" s="4"/>
      <c r="B2673" s="4"/>
      <c r="D2673" s="6" t="str">
        <f t="shared" si="169"/>
        <v/>
      </c>
      <c r="E2673" s="6" t="str">
        <f t="shared" si="170"/>
        <v/>
      </c>
      <c r="F2673" s="6" t="str">
        <f t="shared" si="171"/>
        <v/>
      </c>
      <c r="G2673" s="4"/>
      <c r="H2673" s="4"/>
      <c r="I2673" s="4"/>
      <c r="J2673" s="4"/>
      <c r="K2673" s="4"/>
      <c r="L2673" s="4"/>
      <c r="M2673" s="4"/>
      <c r="N2673" s="4"/>
      <c r="O2673" s="4"/>
      <c r="P2673" s="4"/>
      <c r="Q2673" s="4"/>
      <c r="R2673" s="14"/>
      <c r="S2673" s="14"/>
      <c r="T2673" s="14"/>
      <c r="U2673" s="14"/>
      <c r="V2673" s="14"/>
      <c r="W2673" s="14"/>
      <c r="X2673" s="14"/>
      <c r="Y2673" s="4"/>
      <c r="Z2673" s="4"/>
      <c r="AA2673" s="4"/>
      <c r="AB2673" s="4"/>
      <c r="AC2673" s="4"/>
      <c r="AD2673" s="4"/>
      <c r="AE2673" s="4"/>
      <c r="AF2673" s="4"/>
      <c r="AG2673" s="4"/>
      <c r="AH2673" s="4"/>
      <c r="AI2673" s="4"/>
      <c r="AJ2673" s="4"/>
      <c r="AK2673" s="4"/>
      <c r="AL2673" s="4"/>
      <c r="AM2673" s="4"/>
      <c r="AN2673" s="4"/>
      <c r="AO2673" s="4"/>
      <c r="AP2673" s="4"/>
      <c r="AQ2673" s="4"/>
      <c r="AR2673" s="4"/>
      <c r="AS2673" s="4"/>
      <c r="AT2673" s="4"/>
      <c r="AU2673" s="4"/>
      <c r="AV2673" s="4"/>
      <c r="AW2673" s="4"/>
      <c r="AX2673" s="4"/>
      <c r="AY2673" s="4"/>
      <c r="AZ2673" s="4"/>
      <c r="BA2673" s="4"/>
      <c r="BB2673" s="4"/>
      <c r="BC2673" s="4"/>
      <c r="BD2673" s="4"/>
      <c r="BE2673" s="4"/>
      <c r="BG2673" s="4"/>
      <c r="BH2673" s="4"/>
    </row>
    <row r="2674" spans="1:60" x14ac:dyDescent="0.35">
      <c r="A2674" s="4"/>
      <c r="B2674" s="4"/>
      <c r="D2674" s="6" t="str">
        <f t="shared" si="169"/>
        <v/>
      </c>
      <c r="E2674" s="6" t="str">
        <f t="shared" si="170"/>
        <v/>
      </c>
      <c r="F2674" s="6" t="str">
        <f t="shared" si="171"/>
        <v/>
      </c>
      <c r="G2674" s="4"/>
      <c r="H2674" s="4"/>
      <c r="I2674" s="4"/>
      <c r="J2674" s="4"/>
      <c r="K2674" s="4"/>
      <c r="L2674" s="4"/>
      <c r="M2674" s="4"/>
      <c r="N2674" s="4"/>
      <c r="O2674" s="4"/>
      <c r="P2674" s="4"/>
      <c r="Q2674" s="4"/>
      <c r="R2674" s="14"/>
      <c r="S2674" s="14"/>
      <c r="T2674" s="14"/>
      <c r="U2674" s="14"/>
      <c r="V2674" s="14"/>
      <c r="W2674" s="14"/>
      <c r="X2674" s="1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4"/>
      <c r="AU2674" s="4"/>
      <c r="AV2674" s="4"/>
      <c r="AW2674" s="4"/>
      <c r="AX2674" s="4"/>
      <c r="AY2674" s="4"/>
      <c r="AZ2674" s="4"/>
      <c r="BA2674" s="4"/>
      <c r="BB2674" s="4"/>
      <c r="BC2674" s="4"/>
      <c r="BD2674" s="4"/>
      <c r="BE2674" s="4"/>
      <c r="BG2674" s="4"/>
      <c r="BH2674" s="4"/>
    </row>
    <row r="2675" spans="1:60" x14ac:dyDescent="0.35">
      <c r="A2675" s="4"/>
      <c r="B2675" s="4"/>
      <c r="D2675" s="6" t="str">
        <f t="shared" si="169"/>
        <v/>
      </c>
      <c r="E2675" s="6" t="str">
        <f t="shared" si="170"/>
        <v/>
      </c>
      <c r="F2675" s="6" t="str">
        <f t="shared" si="171"/>
        <v/>
      </c>
      <c r="G2675" s="4"/>
      <c r="H2675" s="4"/>
      <c r="I2675" s="4"/>
      <c r="J2675" s="4"/>
      <c r="K2675" s="4"/>
      <c r="L2675" s="4"/>
      <c r="M2675" s="4"/>
      <c r="N2675" s="4"/>
      <c r="O2675" s="4"/>
      <c r="P2675" s="4"/>
      <c r="Q2675" s="4"/>
      <c r="R2675" s="14"/>
      <c r="S2675" s="14"/>
      <c r="T2675" s="14"/>
      <c r="U2675" s="14"/>
      <c r="V2675" s="14"/>
      <c r="W2675" s="14"/>
      <c r="X2675" s="1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4"/>
      <c r="AU2675" s="4"/>
      <c r="AV2675" s="4"/>
      <c r="AW2675" s="4"/>
      <c r="AX2675" s="4"/>
      <c r="AY2675" s="4"/>
      <c r="AZ2675" s="4"/>
      <c r="BA2675" s="4"/>
      <c r="BB2675" s="4"/>
      <c r="BC2675" s="4"/>
      <c r="BD2675" s="4"/>
      <c r="BE2675" s="4"/>
      <c r="BG2675" s="4"/>
      <c r="BH2675" s="4"/>
    </row>
    <row r="2676" spans="1:60" x14ac:dyDescent="0.35">
      <c r="A2676" s="4"/>
      <c r="B2676" s="4"/>
      <c r="D2676" s="6" t="str">
        <f t="shared" si="169"/>
        <v/>
      </c>
      <c r="E2676" s="6" t="str">
        <f t="shared" si="170"/>
        <v/>
      </c>
      <c r="F2676" s="6" t="str">
        <f t="shared" si="171"/>
        <v/>
      </c>
      <c r="G2676" s="4"/>
      <c r="H2676" s="4"/>
      <c r="I2676" s="4"/>
      <c r="J2676" s="4"/>
      <c r="K2676" s="4"/>
      <c r="L2676" s="4"/>
      <c r="M2676" s="4"/>
      <c r="N2676" s="4"/>
      <c r="O2676" s="4"/>
      <c r="P2676" s="4"/>
      <c r="Q2676" s="4"/>
      <c r="R2676" s="14"/>
      <c r="S2676" s="14"/>
      <c r="T2676" s="14"/>
      <c r="U2676" s="14"/>
      <c r="V2676" s="14"/>
      <c r="W2676" s="14"/>
      <c r="X2676" s="1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4"/>
      <c r="AU2676" s="4"/>
      <c r="AV2676" s="4"/>
      <c r="AW2676" s="4"/>
      <c r="AX2676" s="4"/>
      <c r="AY2676" s="4"/>
      <c r="AZ2676" s="4"/>
      <c r="BA2676" s="4"/>
      <c r="BB2676" s="4"/>
      <c r="BC2676" s="4"/>
      <c r="BD2676" s="4"/>
      <c r="BE2676" s="4"/>
      <c r="BG2676" s="4"/>
      <c r="BH2676" s="4"/>
    </row>
    <row r="2677" spans="1:60" x14ac:dyDescent="0.35">
      <c r="A2677" s="4"/>
      <c r="B2677" s="4"/>
      <c r="D2677" s="6" t="str">
        <f t="shared" si="169"/>
        <v/>
      </c>
      <c r="E2677" s="6" t="str">
        <f t="shared" si="170"/>
        <v/>
      </c>
      <c r="F2677" s="6" t="str">
        <f t="shared" si="171"/>
        <v/>
      </c>
      <c r="G2677" s="4"/>
      <c r="H2677" s="4"/>
      <c r="I2677" s="4"/>
      <c r="J2677" s="4"/>
      <c r="K2677" s="4"/>
      <c r="L2677" s="4"/>
      <c r="M2677" s="4"/>
      <c r="N2677" s="4"/>
      <c r="O2677" s="4"/>
      <c r="P2677" s="4"/>
      <c r="Q2677" s="4"/>
      <c r="R2677" s="14"/>
      <c r="S2677" s="14"/>
      <c r="T2677" s="14"/>
      <c r="U2677" s="14"/>
      <c r="V2677" s="14"/>
      <c r="W2677" s="14"/>
      <c r="X2677" s="1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4"/>
      <c r="AU2677" s="4"/>
      <c r="AV2677" s="4"/>
      <c r="AW2677" s="4"/>
      <c r="AX2677" s="4"/>
      <c r="AY2677" s="4"/>
      <c r="AZ2677" s="4"/>
      <c r="BA2677" s="4"/>
      <c r="BB2677" s="4"/>
      <c r="BC2677" s="4"/>
      <c r="BD2677" s="4"/>
      <c r="BE2677" s="4"/>
      <c r="BG2677" s="4"/>
      <c r="BH2677" s="4"/>
    </row>
    <row r="2678" spans="1:60" x14ac:dyDescent="0.35">
      <c r="A2678" s="4"/>
      <c r="B2678" s="4"/>
      <c r="D2678" s="6" t="str">
        <f t="shared" si="169"/>
        <v/>
      </c>
      <c r="E2678" s="6" t="str">
        <f t="shared" si="170"/>
        <v/>
      </c>
      <c r="F2678" s="6" t="str">
        <f t="shared" si="171"/>
        <v/>
      </c>
      <c r="G2678" s="4"/>
      <c r="H2678" s="4"/>
      <c r="I2678" s="4"/>
      <c r="J2678" s="4"/>
      <c r="K2678" s="4"/>
      <c r="L2678" s="4"/>
      <c r="M2678" s="4"/>
      <c r="N2678" s="4"/>
      <c r="O2678" s="4"/>
      <c r="P2678" s="4"/>
      <c r="Q2678" s="4"/>
      <c r="R2678" s="14"/>
      <c r="S2678" s="14"/>
      <c r="T2678" s="14"/>
      <c r="U2678" s="14"/>
      <c r="V2678" s="14"/>
      <c r="W2678" s="14"/>
      <c r="X2678" s="14"/>
      <c r="Y2678" s="4"/>
      <c r="Z2678" s="4"/>
      <c r="AA2678" s="4"/>
      <c r="AB2678" s="4"/>
      <c r="AC2678" s="4"/>
      <c r="AD2678" s="4"/>
      <c r="AE2678" s="4"/>
      <c r="AF2678" s="4"/>
      <c r="AG2678" s="4"/>
      <c r="AH2678" s="4"/>
      <c r="AI2678" s="4"/>
      <c r="AJ2678" s="4"/>
      <c r="AK2678" s="4"/>
      <c r="AL2678" s="4"/>
      <c r="AM2678" s="4"/>
      <c r="AN2678" s="4"/>
      <c r="AO2678" s="4"/>
      <c r="AP2678" s="4"/>
      <c r="AQ2678" s="4"/>
      <c r="AR2678" s="4"/>
      <c r="AS2678" s="4"/>
      <c r="AT2678" s="4"/>
      <c r="AU2678" s="4"/>
      <c r="AV2678" s="4"/>
      <c r="AW2678" s="4"/>
      <c r="AX2678" s="4"/>
      <c r="AY2678" s="4"/>
      <c r="AZ2678" s="4"/>
      <c r="BA2678" s="4"/>
      <c r="BB2678" s="4"/>
      <c r="BC2678" s="4"/>
      <c r="BD2678" s="4"/>
      <c r="BE2678" s="4"/>
      <c r="BG2678" s="4"/>
      <c r="BH2678" s="4"/>
    </row>
    <row r="2679" spans="1:60" x14ac:dyDescent="0.35">
      <c r="A2679" s="4"/>
      <c r="B2679" s="4"/>
      <c r="D2679" s="6" t="str">
        <f t="shared" si="169"/>
        <v/>
      </c>
      <c r="E2679" s="6" t="str">
        <f t="shared" si="170"/>
        <v/>
      </c>
      <c r="F2679" s="6" t="str">
        <f t="shared" si="171"/>
        <v/>
      </c>
      <c r="G2679" s="4"/>
      <c r="H2679" s="4"/>
      <c r="I2679" s="4"/>
      <c r="J2679" s="4"/>
      <c r="K2679" s="4"/>
      <c r="L2679" s="4"/>
      <c r="M2679" s="4"/>
      <c r="N2679" s="4"/>
      <c r="O2679" s="4"/>
      <c r="P2679" s="4"/>
      <c r="Q2679" s="4"/>
      <c r="R2679" s="14"/>
      <c r="S2679" s="14"/>
      <c r="T2679" s="14"/>
      <c r="U2679" s="14"/>
      <c r="V2679" s="14"/>
      <c r="W2679" s="14"/>
      <c r="X2679" s="1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4"/>
      <c r="AU2679" s="4"/>
      <c r="AV2679" s="4"/>
      <c r="AW2679" s="4"/>
      <c r="AX2679" s="4"/>
      <c r="AY2679" s="4"/>
      <c r="AZ2679" s="4"/>
      <c r="BA2679" s="4"/>
      <c r="BB2679" s="4"/>
      <c r="BC2679" s="4"/>
      <c r="BD2679" s="4"/>
      <c r="BE2679" s="4"/>
      <c r="BG2679" s="4"/>
      <c r="BH2679" s="4"/>
    </row>
    <row r="2680" spans="1:60" x14ac:dyDescent="0.35">
      <c r="A2680" s="4"/>
      <c r="B2680" s="4"/>
      <c r="D2680" s="6" t="str">
        <f t="shared" si="169"/>
        <v/>
      </c>
      <c r="E2680" s="6" t="str">
        <f t="shared" si="170"/>
        <v/>
      </c>
      <c r="F2680" s="6" t="str">
        <f t="shared" si="171"/>
        <v/>
      </c>
      <c r="G2680" s="4"/>
      <c r="H2680" s="4"/>
      <c r="I2680" s="4"/>
      <c r="J2680" s="4"/>
      <c r="K2680" s="4"/>
      <c r="L2680" s="4"/>
      <c r="M2680" s="4"/>
      <c r="N2680" s="4"/>
      <c r="O2680" s="4"/>
      <c r="P2680" s="4"/>
      <c r="Q2680" s="4"/>
      <c r="R2680" s="14"/>
      <c r="S2680" s="14"/>
      <c r="T2680" s="14"/>
      <c r="U2680" s="14"/>
      <c r="V2680" s="14"/>
      <c r="W2680" s="14"/>
      <c r="X2680" s="1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4"/>
      <c r="AU2680" s="4"/>
      <c r="AV2680" s="4"/>
      <c r="AW2680" s="4"/>
      <c r="AX2680" s="4"/>
      <c r="AY2680" s="4"/>
      <c r="AZ2680" s="4"/>
      <c r="BA2680" s="4"/>
      <c r="BB2680" s="4"/>
      <c r="BC2680" s="4"/>
      <c r="BD2680" s="4"/>
      <c r="BE2680" s="4"/>
      <c r="BG2680" s="4"/>
      <c r="BH2680" s="4"/>
    </row>
    <row r="2681" spans="1:60" x14ac:dyDescent="0.35">
      <c r="A2681" s="4"/>
      <c r="B2681" s="4"/>
      <c r="D2681" s="6" t="str">
        <f t="shared" si="169"/>
        <v/>
      </c>
      <c r="E2681" s="6" t="str">
        <f t="shared" si="170"/>
        <v/>
      </c>
      <c r="F2681" s="6" t="str">
        <f t="shared" si="171"/>
        <v/>
      </c>
      <c r="G2681" s="4"/>
      <c r="H2681" s="4"/>
      <c r="I2681" s="4"/>
      <c r="J2681" s="4"/>
      <c r="K2681" s="4"/>
      <c r="L2681" s="4"/>
      <c r="M2681" s="4"/>
      <c r="N2681" s="4"/>
      <c r="O2681" s="4"/>
      <c r="P2681" s="4"/>
      <c r="Q2681" s="4"/>
      <c r="R2681" s="14"/>
      <c r="S2681" s="14"/>
      <c r="T2681" s="14"/>
      <c r="U2681" s="14"/>
      <c r="V2681" s="14"/>
      <c r="W2681" s="14"/>
      <c r="X2681" s="1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4"/>
      <c r="AU2681" s="4"/>
      <c r="AV2681" s="4"/>
      <c r="AW2681" s="4"/>
      <c r="AX2681" s="4"/>
      <c r="AY2681" s="4"/>
      <c r="AZ2681" s="4"/>
      <c r="BA2681" s="4"/>
      <c r="BB2681" s="4"/>
      <c r="BC2681" s="4"/>
      <c r="BD2681" s="4"/>
      <c r="BE2681" s="4"/>
      <c r="BG2681" s="4"/>
      <c r="BH2681" s="4"/>
    </row>
    <row r="2682" spans="1:60" x14ac:dyDescent="0.35">
      <c r="A2682" s="4"/>
      <c r="B2682" s="4"/>
      <c r="D2682" s="6" t="str">
        <f t="shared" si="169"/>
        <v/>
      </c>
      <c r="E2682" s="6" t="str">
        <f t="shared" si="170"/>
        <v/>
      </c>
      <c r="F2682" s="6" t="str">
        <f t="shared" si="171"/>
        <v/>
      </c>
      <c r="G2682" s="4"/>
      <c r="H2682" s="4"/>
      <c r="I2682" s="4"/>
      <c r="J2682" s="4"/>
      <c r="K2682" s="4"/>
      <c r="L2682" s="4"/>
      <c r="M2682" s="4"/>
      <c r="N2682" s="4"/>
      <c r="O2682" s="4"/>
      <c r="P2682" s="4"/>
      <c r="Q2682" s="4"/>
      <c r="R2682" s="14"/>
      <c r="S2682" s="14"/>
      <c r="T2682" s="14"/>
      <c r="U2682" s="14"/>
      <c r="V2682" s="14"/>
      <c r="W2682" s="14"/>
      <c r="X2682" s="14"/>
      <c r="Y2682" s="4"/>
      <c r="Z2682" s="4"/>
      <c r="AA2682" s="4"/>
      <c r="AB2682" s="4"/>
      <c r="AC2682" s="4"/>
      <c r="AD2682" s="4"/>
      <c r="AE2682" s="4"/>
      <c r="AF2682" s="4"/>
      <c r="AG2682" s="4"/>
      <c r="AH2682" s="4"/>
      <c r="AI2682" s="4"/>
      <c r="AJ2682" s="4"/>
      <c r="AK2682" s="4"/>
      <c r="AL2682" s="4"/>
      <c r="AM2682" s="4"/>
      <c r="AN2682" s="4"/>
      <c r="AO2682" s="4"/>
      <c r="AP2682" s="4"/>
      <c r="AQ2682" s="4"/>
      <c r="AR2682" s="4"/>
      <c r="AS2682" s="4"/>
      <c r="AT2682" s="4"/>
      <c r="AU2682" s="4"/>
      <c r="AV2682" s="4"/>
      <c r="AW2682" s="4"/>
      <c r="AX2682" s="4"/>
      <c r="AY2682" s="4"/>
      <c r="AZ2682" s="4"/>
      <c r="BA2682" s="4"/>
      <c r="BB2682" s="4"/>
      <c r="BC2682" s="4"/>
      <c r="BD2682" s="4"/>
      <c r="BE2682" s="4"/>
      <c r="BG2682" s="4"/>
      <c r="BH2682" s="4"/>
    </row>
    <row r="2683" spans="1:60" x14ac:dyDescent="0.35">
      <c r="A2683" s="4"/>
      <c r="B2683" s="4"/>
      <c r="D2683" s="6" t="str">
        <f t="shared" si="169"/>
        <v/>
      </c>
      <c r="E2683" s="6" t="str">
        <f t="shared" si="170"/>
        <v/>
      </c>
      <c r="F2683" s="6" t="str">
        <f t="shared" si="171"/>
        <v/>
      </c>
      <c r="G2683" s="4"/>
      <c r="H2683" s="4"/>
      <c r="I2683" s="4"/>
      <c r="J2683" s="4"/>
      <c r="K2683" s="4"/>
      <c r="L2683" s="4"/>
      <c r="M2683" s="4"/>
      <c r="N2683" s="4"/>
      <c r="O2683" s="4"/>
      <c r="P2683" s="4"/>
      <c r="Q2683" s="4"/>
      <c r="R2683" s="14"/>
      <c r="S2683" s="14"/>
      <c r="T2683" s="14"/>
      <c r="U2683" s="14"/>
      <c r="V2683" s="14"/>
      <c r="W2683" s="14"/>
      <c r="X2683" s="1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4"/>
      <c r="AU2683" s="4"/>
      <c r="AV2683" s="4"/>
      <c r="AW2683" s="4"/>
      <c r="AX2683" s="4"/>
      <c r="AY2683" s="4"/>
      <c r="AZ2683" s="4"/>
      <c r="BA2683" s="4"/>
      <c r="BB2683" s="4"/>
      <c r="BC2683" s="4"/>
      <c r="BD2683" s="4"/>
      <c r="BE2683" s="4"/>
      <c r="BG2683" s="4"/>
      <c r="BH2683" s="4"/>
    </row>
    <row r="2684" spans="1:60" x14ac:dyDescent="0.35">
      <c r="A2684" s="4"/>
      <c r="B2684" s="4"/>
      <c r="D2684" s="6" t="str">
        <f t="shared" si="169"/>
        <v/>
      </c>
      <c r="E2684" s="6" t="str">
        <f t="shared" si="170"/>
        <v/>
      </c>
      <c r="F2684" s="6" t="str">
        <f t="shared" si="171"/>
        <v/>
      </c>
      <c r="G2684" s="4"/>
      <c r="H2684" s="4"/>
      <c r="I2684" s="4"/>
      <c r="J2684" s="4"/>
      <c r="K2684" s="4"/>
      <c r="L2684" s="4"/>
      <c r="M2684" s="4"/>
      <c r="N2684" s="4"/>
      <c r="O2684" s="4"/>
      <c r="P2684" s="4"/>
      <c r="Q2684" s="4"/>
      <c r="R2684" s="14"/>
      <c r="S2684" s="14"/>
      <c r="T2684" s="14"/>
      <c r="U2684" s="14"/>
      <c r="V2684" s="14"/>
      <c r="W2684" s="14"/>
      <c r="X2684" s="14"/>
      <c r="Y2684" s="4"/>
      <c r="Z2684" s="4"/>
      <c r="AA2684" s="4"/>
      <c r="AB2684" s="4"/>
      <c r="AC2684" s="4"/>
      <c r="AD2684" s="4"/>
      <c r="AE2684" s="4"/>
      <c r="AF2684" s="4"/>
      <c r="AG2684" s="4"/>
      <c r="AH2684" s="4"/>
      <c r="AI2684" s="4"/>
      <c r="AJ2684" s="4"/>
      <c r="AK2684" s="4"/>
      <c r="AL2684" s="4"/>
      <c r="AM2684" s="4"/>
      <c r="AN2684" s="4"/>
      <c r="AO2684" s="4"/>
      <c r="AP2684" s="4"/>
      <c r="AQ2684" s="4"/>
      <c r="AR2684" s="4"/>
      <c r="AS2684" s="4"/>
      <c r="AT2684" s="4"/>
      <c r="AU2684" s="4"/>
      <c r="AV2684" s="4"/>
      <c r="AW2684" s="4"/>
      <c r="AX2684" s="4"/>
      <c r="AY2684" s="4"/>
      <c r="AZ2684" s="4"/>
      <c r="BA2684" s="4"/>
      <c r="BB2684" s="4"/>
      <c r="BC2684" s="4"/>
      <c r="BD2684" s="4"/>
      <c r="BE2684" s="4"/>
      <c r="BG2684" s="4"/>
      <c r="BH2684" s="4"/>
    </row>
    <row r="2685" spans="1:60" x14ac:dyDescent="0.35">
      <c r="A2685" s="4"/>
      <c r="B2685" s="4"/>
      <c r="D2685" s="6" t="str">
        <f t="shared" ref="D2685:D2748" si="172">IF(C2685="","",VLOOKUP(C2685,district_region,2,FALSE))</f>
        <v/>
      </c>
      <c r="E2685" s="6" t="str">
        <f t="shared" ref="E2685:E2748" si="173">IF(C2685="","",VLOOKUP(C2685,liste_pop,3,FALSE))</f>
        <v/>
      </c>
      <c r="F2685" s="6" t="str">
        <f t="shared" ref="F2685:F2748" si="174">IF(D2685="","",IF(D2685="Dakar",4042240,VLOOKUP(D2685,liste_pop,4,FALSE)))</f>
        <v/>
      </c>
      <c r="G2685" s="4"/>
      <c r="H2685" s="4"/>
      <c r="I2685" s="4"/>
      <c r="J2685" s="4"/>
      <c r="K2685" s="4"/>
      <c r="L2685" s="4"/>
      <c r="M2685" s="4"/>
      <c r="N2685" s="4"/>
      <c r="O2685" s="4"/>
      <c r="P2685" s="4"/>
      <c r="Q2685" s="4"/>
      <c r="R2685" s="14"/>
      <c r="S2685" s="14"/>
      <c r="T2685" s="14"/>
      <c r="U2685" s="14"/>
      <c r="V2685" s="14"/>
      <c r="W2685" s="14"/>
      <c r="X2685" s="1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4"/>
      <c r="AU2685" s="4"/>
      <c r="AV2685" s="4"/>
      <c r="AW2685" s="4"/>
      <c r="AX2685" s="4"/>
      <c r="AY2685" s="4"/>
      <c r="AZ2685" s="4"/>
      <c r="BA2685" s="4"/>
      <c r="BB2685" s="4"/>
      <c r="BC2685" s="4"/>
      <c r="BD2685" s="4"/>
      <c r="BE2685" s="4"/>
      <c r="BG2685" s="4"/>
      <c r="BH2685" s="4"/>
    </row>
    <row r="2686" spans="1:60" x14ac:dyDescent="0.35">
      <c r="A2686" s="4"/>
      <c r="B2686" s="4"/>
      <c r="D2686" s="6" t="str">
        <f t="shared" si="172"/>
        <v/>
      </c>
      <c r="E2686" s="6" t="str">
        <f t="shared" si="173"/>
        <v/>
      </c>
      <c r="F2686" s="6" t="str">
        <f t="shared" si="174"/>
        <v/>
      </c>
      <c r="G2686" s="4"/>
      <c r="H2686" s="4"/>
      <c r="I2686" s="4"/>
      <c r="J2686" s="4"/>
      <c r="K2686" s="4"/>
      <c r="L2686" s="4"/>
      <c r="M2686" s="4"/>
      <c r="N2686" s="4"/>
      <c r="O2686" s="4"/>
      <c r="P2686" s="4"/>
      <c r="Q2686" s="4"/>
      <c r="R2686" s="14"/>
      <c r="S2686" s="14"/>
      <c r="T2686" s="14"/>
      <c r="U2686" s="14"/>
      <c r="V2686" s="14"/>
      <c r="W2686" s="14"/>
      <c r="X2686" s="1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4"/>
      <c r="AU2686" s="4"/>
      <c r="AV2686" s="4"/>
      <c r="AW2686" s="4"/>
      <c r="AX2686" s="4"/>
      <c r="AY2686" s="4"/>
      <c r="AZ2686" s="4"/>
      <c r="BA2686" s="4"/>
      <c r="BB2686" s="4"/>
      <c r="BC2686" s="4"/>
      <c r="BD2686" s="4"/>
      <c r="BE2686" s="4"/>
      <c r="BG2686" s="4"/>
      <c r="BH2686" s="4"/>
    </row>
    <row r="2687" spans="1:60" x14ac:dyDescent="0.35">
      <c r="A2687" s="4"/>
      <c r="B2687" s="4"/>
      <c r="D2687" s="6" t="str">
        <f t="shared" si="172"/>
        <v/>
      </c>
      <c r="E2687" s="6" t="str">
        <f t="shared" si="173"/>
        <v/>
      </c>
      <c r="F2687" s="6" t="str">
        <f t="shared" si="174"/>
        <v/>
      </c>
      <c r="G2687" s="4"/>
      <c r="H2687" s="4"/>
      <c r="I2687" s="4"/>
      <c r="J2687" s="4"/>
      <c r="K2687" s="4"/>
      <c r="L2687" s="4"/>
      <c r="M2687" s="4"/>
      <c r="N2687" s="4"/>
      <c r="O2687" s="4"/>
      <c r="P2687" s="4"/>
      <c r="Q2687" s="4"/>
      <c r="R2687" s="14"/>
      <c r="S2687" s="14"/>
      <c r="T2687" s="14"/>
      <c r="U2687" s="14"/>
      <c r="V2687" s="14"/>
      <c r="W2687" s="14"/>
      <c r="X2687" s="1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4"/>
      <c r="AU2687" s="4"/>
      <c r="AV2687" s="4"/>
      <c r="AW2687" s="4"/>
      <c r="AX2687" s="4"/>
      <c r="AY2687" s="4"/>
      <c r="AZ2687" s="4"/>
      <c r="BA2687" s="4"/>
      <c r="BB2687" s="4"/>
      <c r="BC2687" s="4"/>
      <c r="BD2687" s="4"/>
      <c r="BE2687" s="4"/>
      <c r="BG2687" s="4"/>
      <c r="BH2687" s="4"/>
    </row>
    <row r="2688" spans="1:60" x14ac:dyDescent="0.35">
      <c r="A2688" s="4"/>
      <c r="B2688" s="4"/>
      <c r="D2688" s="6" t="str">
        <f t="shared" si="172"/>
        <v/>
      </c>
      <c r="E2688" s="6" t="str">
        <f t="shared" si="173"/>
        <v/>
      </c>
      <c r="F2688" s="6" t="str">
        <f t="shared" si="174"/>
        <v/>
      </c>
      <c r="G2688" s="4"/>
      <c r="H2688" s="4"/>
      <c r="I2688" s="4"/>
      <c r="J2688" s="4"/>
      <c r="K2688" s="4"/>
      <c r="L2688" s="4"/>
      <c r="M2688" s="4"/>
      <c r="N2688" s="4"/>
      <c r="O2688" s="4"/>
      <c r="P2688" s="4"/>
      <c r="Q2688" s="4"/>
      <c r="R2688" s="14"/>
      <c r="S2688" s="14"/>
      <c r="T2688" s="14"/>
      <c r="U2688" s="14"/>
      <c r="V2688" s="14"/>
      <c r="W2688" s="14"/>
      <c r="X2688" s="1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4"/>
      <c r="AU2688" s="4"/>
      <c r="AV2688" s="4"/>
      <c r="AW2688" s="4"/>
      <c r="AX2688" s="4"/>
      <c r="AY2688" s="4"/>
      <c r="AZ2688" s="4"/>
      <c r="BA2688" s="4"/>
      <c r="BB2688" s="4"/>
      <c r="BC2688" s="4"/>
      <c r="BD2688" s="4"/>
      <c r="BE2688" s="4"/>
      <c r="BG2688" s="4"/>
      <c r="BH2688" s="4"/>
    </row>
    <row r="2689" spans="1:60" x14ac:dyDescent="0.35">
      <c r="A2689" s="4"/>
      <c r="B2689" s="4"/>
      <c r="D2689" s="6" t="str">
        <f t="shared" si="172"/>
        <v/>
      </c>
      <c r="E2689" s="6" t="str">
        <f t="shared" si="173"/>
        <v/>
      </c>
      <c r="F2689" s="6" t="str">
        <f t="shared" si="174"/>
        <v/>
      </c>
      <c r="G2689" s="4"/>
      <c r="H2689" s="4"/>
      <c r="I2689" s="4"/>
      <c r="J2689" s="4"/>
      <c r="K2689" s="4"/>
      <c r="L2689" s="4"/>
      <c r="M2689" s="4"/>
      <c r="N2689" s="4"/>
      <c r="O2689" s="4"/>
      <c r="P2689" s="4"/>
      <c r="Q2689" s="4"/>
      <c r="R2689" s="14"/>
      <c r="S2689" s="14"/>
      <c r="T2689" s="14"/>
      <c r="U2689" s="14"/>
      <c r="V2689" s="14"/>
      <c r="W2689" s="14"/>
      <c r="X2689" s="14"/>
      <c r="Y2689" s="4"/>
      <c r="Z2689" s="4"/>
      <c r="AA2689" s="4"/>
      <c r="AB2689" s="4"/>
      <c r="AC2689" s="4"/>
      <c r="AD2689" s="4"/>
      <c r="AE2689" s="4"/>
      <c r="AF2689" s="4"/>
      <c r="AG2689" s="4"/>
      <c r="AH2689" s="4"/>
      <c r="AI2689" s="4"/>
      <c r="AJ2689" s="4"/>
      <c r="AK2689" s="4"/>
      <c r="AL2689" s="4"/>
      <c r="AM2689" s="4"/>
      <c r="AN2689" s="4"/>
      <c r="AO2689" s="4"/>
      <c r="AP2689" s="4"/>
      <c r="AQ2689" s="4"/>
      <c r="AR2689" s="4"/>
      <c r="AS2689" s="4"/>
      <c r="AT2689" s="4"/>
      <c r="AU2689" s="4"/>
      <c r="AV2689" s="4"/>
      <c r="AW2689" s="4"/>
      <c r="AX2689" s="4"/>
      <c r="AY2689" s="4"/>
      <c r="AZ2689" s="4"/>
      <c r="BA2689" s="4"/>
      <c r="BB2689" s="4"/>
      <c r="BC2689" s="4"/>
      <c r="BD2689" s="4"/>
      <c r="BE2689" s="4"/>
      <c r="BG2689" s="4"/>
      <c r="BH2689" s="4"/>
    </row>
    <row r="2690" spans="1:60" x14ac:dyDescent="0.35">
      <c r="A2690" s="4"/>
      <c r="B2690" s="4"/>
      <c r="D2690" s="6" t="str">
        <f t="shared" si="172"/>
        <v/>
      </c>
      <c r="E2690" s="6" t="str">
        <f t="shared" si="173"/>
        <v/>
      </c>
      <c r="F2690" s="6" t="str">
        <f t="shared" si="174"/>
        <v/>
      </c>
      <c r="G2690" s="4"/>
      <c r="H2690" s="4"/>
      <c r="I2690" s="4"/>
      <c r="J2690" s="4"/>
      <c r="K2690" s="4"/>
      <c r="L2690" s="4"/>
      <c r="M2690" s="4"/>
      <c r="N2690" s="4"/>
      <c r="O2690" s="4"/>
      <c r="P2690" s="4"/>
      <c r="Q2690" s="4"/>
      <c r="R2690" s="14"/>
      <c r="S2690" s="14"/>
      <c r="T2690" s="14"/>
      <c r="U2690" s="14"/>
      <c r="V2690" s="14"/>
      <c r="W2690" s="14"/>
      <c r="X2690" s="1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4"/>
      <c r="AU2690" s="4"/>
      <c r="AV2690" s="4"/>
      <c r="AW2690" s="4"/>
      <c r="AX2690" s="4"/>
      <c r="AY2690" s="4"/>
      <c r="AZ2690" s="4"/>
      <c r="BA2690" s="4"/>
      <c r="BB2690" s="4"/>
      <c r="BC2690" s="4"/>
      <c r="BD2690" s="4"/>
      <c r="BE2690" s="4"/>
      <c r="BG2690" s="4"/>
      <c r="BH2690" s="4"/>
    </row>
    <row r="2691" spans="1:60" x14ac:dyDescent="0.35">
      <c r="A2691" s="4"/>
      <c r="B2691" s="4"/>
      <c r="D2691" s="6" t="str">
        <f t="shared" si="172"/>
        <v/>
      </c>
      <c r="E2691" s="6" t="str">
        <f t="shared" si="173"/>
        <v/>
      </c>
      <c r="F2691" s="6" t="str">
        <f t="shared" si="174"/>
        <v/>
      </c>
      <c r="G2691" s="4"/>
      <c r="H2691" s="4"/>
      <c r="I2691" s="4"/>
      <c r="J2691" s="4"/>
      <c r="K2691" s="4"/>
      <c r="L2691" s="4"/>
      <c r="M2691" s="4"/>
      <c r="N2691" s="4"/>
      <c r="O2691" s="4"/>
      <c r="P2691" s="4"/>
      <c r="Q2691" s="4"/>
      <c r="R2691" s="14"/>
      <c r="S2691" s="14"/>
      <c r="T2691" s="14"/>
      <c r="U2691" s="14"/>
      <c r="V2691" s="14"/>
      <c r="W2691" s="14"/>
      <c r="X2691" s="1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4"/>
      <c r="AU2691" s="4"/>
      <c r="AV2691" s="4"/>
      <c r="AW2691" s="4"/>
      <c r="AX2691" s="4"/>
      <c r="AY2691" s="4"/>
      <c r="AZ2691" s="4"/>
      <c r="BA2691" s="4"/>
      <c r="BB2691" s="4"/>
      <c r="BC2691" s="4"/>
      <c r="BD2691" s="4"/>
      <c r="BE2691" s="4"/>
      <c r="BG2691" s="4"/>
      <c r="BH2691" s="4"/>
    </row>
    <row r="2692" spans="1:60" x14ac:dyDescent="0.35">
      <c r="A2692" s="4"/>
      <c r="B2692" s="4"/>
      <c r="D2692" s="6" t="str">
        <f t="shared" si="172"/>
        <v/>
      </c>
      <c r="E2692" s="6" t="str">
        <f t="shared" si="173"/>
        <v/>
      </c>
      <c r="F2692" s="6" t="str">
        <f t="shared" si="174"/>
        <v/>
      </c>
      <c r="G2692" s="4"/>
      <c r="H2692" s="4"/>
      <c r="I2692" s="4"/>
      <c r="J2692" s="4"/>
      <c r="K2692" s="4"/>
      <c r="L2692" s="4"/>
      <c r="M2692" s="4"/>
      <c r="N2692" s="4"/>
      <c r="O2692" s="4"/>
      <c r="P2692" s="4"/>
      <c r="Q2692" s="4"/>
      <c r="R2692" s="14"/>
      <c r="S2692" s="14"/>
      <c r="T2692" s="14"/>
      <c r="U2692" s="14"/>
      <c r="V2692" s="14"/>
      <c r="W2692" s="14"/>
      <c r="X2692" s="1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4"/>
      <c r="AU2692" s="4"/>
      <c r="AV2692" s="4"/>
      <c r="AW2692" s="4"/>
      <c r="AX2692" s="4"/>
      <c r="AY2692" s="4"/>
      <c r="AZ2692" s="4"/>
      <c r="BA2692" s="4"/>
      <c r="BB2692" s="4"/>
      <c r="BC2692" s="4"/>
      <c r="BD2692" s="4"/>
      <c r="BE2692" s="4"/>
      <c r="BG2692" s="4"/>
      <c r="BH2692" s="4"/>
    </row>
    <row r="2693" spans="1:60" x14ac:dyDescent="0.35">
      <c r="A2693" s="4"/>
      <c r="B2693" s="4"/>
      <c r="D2693" s="6" t="str">
        <f t="shared" si="172"/>
        <v/>
      </c>
      <c r="E2693" s="6" t="str">
        <f t="shared" si="173"/>
        <v/>
      </c>
      <c r="F2693" s="6" t="str">
        <f t="shared" si="174"/>
        <v/>
      </c>
      <c r="G2693" s="4"/>
      <c r="H2693" s="4"/>
      <c r="I2693" s="4"/>
      <c r="J2693" s="4"/>
      <c r="K2693" s="4"/>
      <c r="L2693" s="4"/>
      <c r="M2693" s="4"/>
      <c r="N2693" s="4"/>
      <c r="O2693" s="4"/>
      <c r="P2693" s="4"/>
      <c r="Q2693" s="4"/>
      <c r="R2693" s="14"/>
      <c r="S2693" s="14"/>
      <c r="T2693" s="14"/>
      <c r="U2693" s="14"/>
      <c r="V2693" s="14"/>
      <c r="W2693" s="14"/>
      <c r="X2693" s="1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4"/>
      <c r="AU2693" s="4"/>
      <c r="AV2693" s="4"/>
      <c r="AW2693" s="4"/>
      <c r="AX2693" s="4"/>
      <c r="AY2693" s="4"/>
      <c r="AZ2693" s="4"/>
      <c r="BA2693" s="4"/>
      <c r="BB2693" s="4"/>
      <c r="BC2693" s="4"/>
      <c r="BD2693" s="4"/>
      <c r="BE2693" s="4"/>
      <c r="BG2693" s="4"/>
      <c r="BH2693" s="4"/>
    </row>
    <row r="2694" spans="1:60" x14ac:dyDescent="0.35">
      <c r="A2694" s="4"/>
      <c r="B2694" s="4"/>
      <c r="D2694" s="6" t="str">
        <f t="shared" si="172"/>
        <v/>
      </c>
      <c r="E2694" s="6" t="str">
        <f t="shared" si="173"/>
        <v/>
      </c>
      <c r="F2694" s="6" t="str">
        <f t="shared" si="174"/>
        <v/>
      </c>
      <c r="G2694" s="4"/>
      <c r="H2694" s="4"/>
      <c r="I2694" s="4"/>
      <c r="J2694" s="4"/>
      <c r="K2694" s="4"/>
      <c r="L2694" s="4"/>
      <c r="M2694" s="4"/>
      <c r="N2694" s="4"/>
      <c r="O2694" s="4"/>
      <c r="P2694" s="4"/>
      <c r="Q2694" s="4"/>
      <c r="R2694" s="14"/>
      <c r="S2694" s="14"/>
      <c r="T2694" s="14"/>
      <c r="U2694" s="14"/>
      <c r="V2694" s="14"/>
      <c r="W2694" s="14"/>
      <c r="X2694" s="14"/>
      <c r="Y2694" s="4"/>
      <c r="Z2694" s="4"/>
      <c r="AA2694" s="4"/>
      <c r="AB2694" s="4"/>
      <c r="AC2694" s="4"/>
      <c r="AD2694" s="4"/>
      <c r="AE2694" s="4"/>
      <c r="AF2694" s="4"/>
      <c r="AG2694" s="4"/>
      <c r="AH2694" s="4"/>
      <c r="AI2694" s="4"/>
      <c r="AJ2694" s="4"/>
      <c r="AK2694" s="4"/>
      <c r="AL2694" s="4"/>
      <c r="AM2694" s="4"/>
      <c r="AN2694" s="4"/>
      <c r="AO2694" s="4"/>
      <c r="AP2694" s="4"/>
      <c r="AQ2694" s="4"/>
      <c r="AR2694" s="4"/>
      <c r="AS2694" s="4"/>
      <c r="AT2694" s="4"/>
      <c r="AU2694" s="4"/>
      <c r="AV2694" s="4"/>
      <c r="AW2694" s="4"/>
      <c r="AX2694" s="4"/>
      <c r="AY2694" s="4"/>
      <c r="AZ2694" s="4"/>
      <c r="BA2694" s="4"/>
      <c r="BB2694" s="4"/>
      <c r="BC2694" s="4"/>
      <c r="BD2694" s="4"/>
      <c r="BE2694" s="4"/>
      <c r="BG2694" s="4"/>
      <c r="BH2694" s="4"/>
    </row>
    <row r="2695" spans="1:60" x14ac:dyDescent="0.35">
      <c r="A2695" s="4"/>
      <c r="B2695" s="4"/>
      <c r="D2695" s="6" t="str">
        <f t="shared" si="172"/>
        <v/>
      </c>
      <c r="E2695" s="6" t="str">
        <f t="shared" si="173"/>
        <v/>
      </c>
      <c r="F2695" s="6" t="str">
        <f t="shared" si="174"/>
        <v/>
      </c>
      <c r="G2695" s="4"/>
      <c r="H2695" s="4"/>
      <c r="I2695" s="4"/>
      <c r="J2695" s="4"/>
      <c r="K2695" s="4"/>
      <c r="L2695" s="4"/>
      <c r="M2695" s="4"/>
      <c r="N2695" s="4"/>
      <c r="O2695" s="4"/>
      <c r="P2695" s="4"/>
      <c r="Q2695" s="4"/>
      <c r="R2695" s="14"/>
      <c r="S2695" s="14"/>
      <c r="T2695" s="14"/>
      <c r="U2695" s="14"/>
      <c r="V2695" s="14"/>
      <c r="W2695" s="14"/>
      <c r="X2695" s="1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c r="AV2695" s="4"/>
      <c r="AW2695" s="4"/>
      <c r="AX2695" s="4"/>
      <c r="AY2695" s="4"/>
      <c r="AZ2695" s="4"/>
      <c r="BA2695" s="4"/>
      <c r="BB2695" s="4"/>
      <c r="BC2695" s="4"/>
      <c r="BD2695" s="4"/>
      <c r="BE2695" s="4"/>
      <c r="BG2695" s="4"/>
      <c r="BH2695" s="4"/>
    </row>
    <row r="2696" spans="1:60" x14ac:dyDescent="0.35">
      <c r="A2696" s="4"/>
      <c r="B2696" s="4"/>
      <c r="D2696" s="6" t="str">
        <f t="shared" si="172"/>
        <v/>
      </c>
      <c r="E2696" s="6" t="str">
        <f t="shared" si="173"/>
        <v/>
      </c>
      <c r="F2696" s="6" t="str">
        <f t="shared" si="174"/>
        <v/>
      </c>
      <c r="G2696" s="4"/>
      <c r="H2696" s="4"/>
      <c r="I2696" s="4"/>
      <c r="J2696" s="4"/>
      <c r="K2696" s="4"/>
      <c r="L2696" s="4"/>
      <c r="M2696" s="4"/>
      <c r="N2696" s="4"/>
      <c r="O2696" s="4"/>
      <c r="P2696" s="4"/>
      <c r="Q2696" s="4"/>
      <c r="R2696" s="14"/>
      <c r="S2696" s="14"/>
      <c r="T2696" s="14"/>
      <c r="U2696" s="14"/>
      <c r="V2696" s="14"/>
      <c r="W2696" s="14"/>
      <c r="X2696" s="1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4"/>
      <c r="AU2696" s="4"/>
      <c r="AV2696" s="4"/>
      <c r="AW2696" s="4"/>
      <c r="AX2696" s="4"/>
      <c r="AY2696" s="4"/>
      <c r="AZ2696" s="4"/>
      <c r="BA2696" s="4"/>
      <c r="BB2696" s="4"/>
      <c r="BC2696" s="4"/>
      <c r="BD2696" s="4"/>
      <c r="BE2696" s="4"/>
      <c r="BG2696" s="4"/>
      <c r="BH2696" s="4"/>
    </row>
    <row r="2697" spans="1:60" x14ac:dyDescent="0.35">
      <c r="A2697" s="4"/>
      <c r="B2697" s="4"/>
      <c r="D2697" s="6" t="str">
        <f t="shared" si="172"/>
        <v/>
      </c>
      <c r="E2697" s="6" t="str">
        <f t="shared" si="173"/>
        <v/>
      </c>
      <c r="F2697" s="6" t="str">
        <f t="shared" si="174"/>
        <v/>
      </c>
      <c r="G2697" s="4"/>
      <c r="H2697" s="4"/>
      <c r="I2697" s="4"/>
      <c r="J2697" s="4"/>
      <c r="K2697" s="4"/>
      <c r="L2697" s="4"/>
      <c r="M2697" s="4"/>
      <c r="N2697" s="4"/>
      <c r="O2697" s="4"/>
      <c r="P2697" s="4"/>
      <c r="Q2697" s="4"/>
      <c r="R2697" s="14"/>
      <c r="S2697" s="14"/>
      <c r="T2697" s="14"/>
      <c r="U2697" s="14"/>
      <c r="V2697" s="14"/>
      <c r="W2697" s="14"/>
      <c r="X2697" s="1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4"/>
      <c r="AU2697" s="4"/>
      <c r="AV2697" s="4"/>
      <c r="AW2697" s="4"/>
      <c r="AX2697" s="4"/>
      <c r="AY2697" s="4"/>
      <c r="AZ2697" s="4"/>
      <c r="BA2697" s="4"/>
      <c r="BB2697" s="4"/>
      <c r="BC2697" s="4"/>
      <c r="BD2697" s="4"/>
      <c r="BE2697" s="4"/>
      <c r="BG2697" s="4"/>
      <c r="BH2697" s="4"/>
    </row>
    <row r="2698" spans="1:60" x14ac:dyDescent="0.35">
      <c r="A2698" s="4"/>
      <c r="B2698" s="4"/>
      <c r="D2698" s="6" t="str">
        <f t="shared" si="172"/>
        <v/>
      </c>
      <c r="E2698" s="6" t="str">
        <f t="shared" si="173"/>
        <v/>
      </c>
      <c r="F2698" s="6" t="str">
        <f t="shared" si="174"/>
        <v/>
      </c>
      <c r="G2698" s="4"/>
      <c r="H2698" s="4"/>
      <c r="I2698" s="4"/>
      <c r="J2698" s="4"/>
      <c r="K2698" s="4"/>
      <c r="L2698" s="4"/>
      <c r="M2698" s="4"/>
      <c r="N2698" s="4"/>
      <c r="O2698" s="4"/>
      <c r="P2698" s="4"/>
      <c r="Q2698" s="4"/>
      <c r="R2698" s="14"/>
      <c r="S2698" s="14"/>
      <c r="T2698" s="14"/>
      <c r="U2698" s="14"/>
      <c r="V2698" s="14"/>
      <c r="W2698" s="14"/>
      <c r="X2698" s="1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c r="AV2698" s="4"/>
      <c r="AW2698" s="4"/>
      <c r="AX2698" s="4"/>
      <c r="AY2698" s="4"/>
      <c r="AZ2698" s="4"/>
      <c r="BA2698" s="4"/>
      <c r="BB2698" s="4"/>
      <c r="BC2698" s="4"/>
      <c r="BD2698" s="4"/>
      <c r="BE2698" s="4"/>
      <c r="BG2698" s="4"/>
      <c r="BH2698" s="4"/>
    </row>
    <row r="2699" spans="1:60" x14ac:dyDescent="0.35">
      <c r="A2699" s="4"/>
      <c r="B2699" s="4"/>
      <c r="D2699" s="6" t="str">
        <f t="shared" si="172"/>
        <v/>
      </c>
      <c r="E2699" s="6" t="str">
        <f t="shared" si="173"/>
        <v/>
      </c>
      <c r="F2699" s="6" t="str">
        <f t="shared" si="174"/>
        <v/>
      </c>
      <c r="G2699" s="4"/>
      <c r="H2699" s="4"/>
      <c r="I2699" s="4"/>
      <c r="J2699" s="4"/>
      <c r="K2699" s="4"/>
      <c r="L2699" s="4"/>
      <c r="M2699" s="4"/>
      <c r="N2699" s="4"/>
      <c r="O2699" s="4"/>
      <c r="P2699" s="4"/>
      <c r="Q2699" s="4"/>
      <c r="R2699" s="14"/>
      <c r="S2699" s="14"/>
      <c r="T2699" s="14"/>
      <c r="U2699" s="14"/>
      <c r="V2699" s="14"/>
      <c r="W2699" s="14"/>
      <c r="X2699" s="14"/>
      <c r="Y2699" s="4"/>
      <c r="Z2699" s="4"/>
      <c r="AA2699" s="4"/>
      <c r="AB2699" s="4"/>
      <c r="AC2699" s="4"/>
      <c r="AD2699" s="4"/>
      <c r="AE2699" s="4"/>
      <c r="AF2699" s="4"/>
      <c r="AG2699" s="4"/>
      <c r="AH2699" s="4"/>
      <c r="AI2699" s="4"/>
      <c r="AJ2699" s="4"/>
      <c r="AK2699" s="4"/>
      <c r="AL2699" s="4"/>
      <c r="AM2699" s="4"/>
      <c r="AN2699" s="4"/>
      <c r="AO2699" s="4"/>
      <c r="AP2699" s="4"/>
      <c r="AQ2699" s="4"/>
      <c r="AR2699" s="4"/>
      <c r="AS2699" s="4"/>
      <c r="AT2699" s="4"/>
      <c r="AU2699" s="4"/>
      <c r="AV2699" s="4"/>
      <c r="AW2699" s="4"/>
      <c r="AX2699" s="4"/>
      <c r="AY2699" s="4"/>
      <c r="AZ2699" s="4"/>
      <c r="BA2699" s="4"/>
      <c r="BB2699" s="4"/>
      <c r="BC2699" s="4"/>
      <c r="BD2699" s="4"/>
      <c r="BE2699" s="4"/>
      <c r="BG2699" s="4"/>
      <c r="BH2699" s="4"/>
    </row>
    <row r="2700" spans="1:60" x14ac:dyDescent="0.35">
      <c r="A2700" s="4"/>
      <c r="B2700" s="4"/>
      <c r="D2700" s="6" t="str">
        <f t="shared" si="172"/>
        <v/>
      </c>
      <c r="E2700" s="6" t="str">
        <f t="shared" si="173"/>
        <v/>
      </c>
      <c r="F2700" s="6" t="str">
        <f t="shared" si="174"/>
        <v/>
      </c>
      <c r="G2700" s="4"/>
      <c r="H2700" s="4"/>
      <c r="I2700" s="4"/>
      <c r="J2700" s="4"/>
      <c r="K2700" s="4"/>
      <c r="L2700" s="4"/>
      <c r="M2700" s="4"/>
      <c r="N2700" s="4"/>
      <c r="O2700" s="4"/>
      <c r="P2700" s="4"/>
      <c r="Q2700" s="4"/>
      <c r="R2700" s="14"/>
      <c r="S2700" s="14"/>
      <c r="T2700" s="14"/>
      <c r="U2700" s="14"/>
      <c r="V2700" s="14"/>
      <c r="W2700" s="14"/>
      <c r="X2700" s="1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c r="AV2700" s="4"/>
      <c r="AW2700" s="4"/>
      <c r="AX2700" s="4"/>
      <c r="AY2700" s="4"/>
      <c r="AZ2700" s="4"/>
      <c r="BA2700" s="4"/>
      <c r="BB2700" s="4"/>
      <c r="BC2700" s="4"/>
      <c r="BD2700" s="4"/>
      <c r="BE2700" s="4"/>
      <c r="BG2700" s="4"/>
      <c r="BH2700" s="4"/>
    </row>
    <row r="2701" spans="1:60" x14ac:dyDescent="0.35">
      <c r="A2701" s="4"/>
      <c r="B2701" s="4"/>
      <c r="D2701" s="6" t="str">
        <f t="shared" si="172"/>
        <v/>
      </c>
      <c r="E2701" s="6" t="str">
        <f t="shared" si="173"/>
        <v/>
      </c>
      <c r="F2701" s="6" t="str">
        <f t="shared" si="174"/>
        <v/>
      </c>
      <c r="G2701" s="4"/>
      <c r="H2701" s="4"/>
      <c r="I2701" s="4"/>
      <c r="J2701" s="4"/>
      <c r="K2701" s="4"/>
      <c r="L2701" s="4"/>
      <c r="M2701" s="4"/>
      <c r="N2701" s="4"/>
      <c r="O2701" s="4"/>
      <c r="P2701" s="4"/>
      <c r="Q2701" s="4"/>
      <c r="R2701" s="14"/>
      <c r="S2701" s="14"/>
      <c r="T2701" s="14"/>
      <c r="U2701" s="14"/>
      <c r="V2701" s="14"/>
      <c r="W2701" s="14"/>
      <c r="X2701" s="1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4"/>
      <c r="AU2701" s="4"/>
      <c r="AV2701" s="4"/>
      <c r="AW2701" s="4"/>
      <c r="AX2701" s="4"/>
      <c r="AY2701" s="4"/>
      <c r="AZ2701" s="4"/>
      <c r="BA2701" s="4"/>
      <c r="BB2701" s="4"/>
      <c r="BC2701" s="4"/>
      <c r="BD2701" s="4"/>
      <c r="BE2701" s="4"/>
      <c r="BG2701" s="4"/>
      <c r="BH2701" s="4"/>
    </row>
    <row r="2702" spans="1:60" x14ac:dyDescent="0.35">
      <c r="A2702" s="4"/>
      <c r="B2702" s="4"/>
      <c r="D2702" s="6" t="str">
        <f t="shared" si="172"/>
        <v/>
      </c>
      <c r="E2702" s="6" t="str">
        <f t="shared" si="173"/>
        <v/>
      </c>
      <c r="F2702" s="6" t="str">
        <f t="shared" si="174"/>
        <v/>
      </c>
      <c r="G2702" s="4"/>
      <c r="H2702" s="4"/>
      <c r="I2702" s="4"/>
      <c r="J2702" s="4"/>
      <c r="K2702" s="4"/>
      <c r="L2702" s="4"/>
      <c r="M2702" s="4"/>
      <c r="N2702" s="4"/>
      <c r="O2702" s="4"/>
      <c r="P2702" s="4"/>
      <c r="Q2702" s="4"/>
      <c r="R2702" s="14"/>
      <c r="S2702" s="14"/>
      <c r="T2702" s="14"/>
      <c r="U2702" s="14"/>
      <c r="V2702" s="14"/>
      <c r="W2702" s="14"/>
      <c r="X2702" s="1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c r="AV2702" s="4"/>
      <c r="AW2702" s="4"/>
      <c r="AX2702" s="4"/>
      <c r="AY2702" s="4"/>
      <c r="AZ2702" s="4"/>
      <c r="BA2702" s="4"/>
      <c r="BB2702" s="4"/>
      <c r="BC2702" s="4"/>
      <c r="BD2702" s="4"/>
      <c r="BE2702" s="4"/>
      <c r="BG2702" s="4"/>
      <c r="BH2702" s="4"/>
    </row>
    <row r="2703" spans="1:60" x14ac:dyDescent="0.35">
      <c r="A2703" s="4"/>
      <c r="B2703" s="4"/>
      <c r="D2703" s="6" t="str">
        <f t="shared" si="172"/>
        <v/>
      </c>
      <c r="E2703" s="6" t="str">
        <f t="shared" si="173"/>
        <v/>
      </c>
      <c r="F2703" s="6" t="str">
        <f t="shared" si="174"/>
        <v/>
      </c>
      <c r="G2703" s="4"/>
      <c r="H2703" s="4"/>
      <c r="I2703" s="4"/>
      <c r="J2703" s="4"/>
      <c r="K2703" s="4"/>
      <c r="L2703" s="4"/>
      <c r="M2703" s="4"/>
      <c r="N2703" s="4"/>
      <c r="O2703" s="4"/>
      <c r="P2703" s="4"/>
      <c r="Q2703" s="4"/>
      <c r="R2703" s="14"/>
      <c r="S2703" s="14"/>
      <c r="T2703" s="14"/>
      <c r="U2703" s="14"/>
      <c r="V2703" s="14"/>
      <c r="W2703" s="14"/>
      <c r="X2703" s="1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4"/>
      <c r="AU2703" s="4"/>
      <c r="AV2703" s="4"/>
      <c r="AW2703" s="4"/>
      <c r="AX2703" s="4"/>
      <c r="AY2703" s="4"/>
      <c r="AZ2703" s="4"/>
      <c r="BA2703" s="4"/>
      <c r="BB2703" s="4"/>
      <c r="BC2703" s="4"/>
      <c r="BD2703" s="4"/>
      <c r="BE2703" s="4"/>
      <c r="BG2703" s="4"/>
      <c r="BH2703" s="4"/>
    </row>
    <row r="2704" spans="1:60" x14ac:dyDescent="0.35">
      <c r="A2704" s="4"/>
      <c r="B2704" s="4"/>
      <c r="D2704" s="6" t="str">
        <f t="shared" si="172"/>
        <v/>
      </c>
      <c r="E2704" s="6" t="str">
        <f t="shared" si="173"/>
        <v/>
      </c>
      <c r="F2704" s="6" t="str">
        <f t="shared" si="174"/>
        <v/>
      </c>
      <c r="G2704" s="4"/>
      <c r="H2704" s="4"/>
      <c r="I2704" s="4"/>
      <c r="J2704" s="4"/>
      <c r="K2704" s="4"/>
      <c r="L2704" s="4"/>
      <c r="M2704" s="4"/>
      <c r="N2704" s="4"/>
      <c r="O2704" s="4"/>
      <c r="P2704" s="4"/>
      <c r="Q2704" s="4"/>
      <c r="R2704" s="14"/>
      <c r="S2704" s="14"/>
      <c r="T2704" s="14"/>
      <c r="U2704" s="14"/>
      <c r="V2704" s="14"/>
      <c r="W2704" s="14"/>
      <c r="X2704" s="14"/>
      <c r="Y2704" s="4"/>
      <c r="Z2704" s="4"/>
      <c r="AA2704" s="4"/>
      <c r="AB2704" s="4"/>
      <c r="AC2704" s="4"/>
      <c r="AD2704" s="4"/>
      <c r="AE2704" s="4"/>
      <c r="AF2704" s="4"/>
      <c r="AG2704" s="4"/>
      <c r="AH2704" s="4"/>
      <c r="AI2704" s="4"/>
      <c r="AJ2704" s="4"/>
      <c r="AK2704" s="4"/>
      <c r="AL2704" s="4"/>
      <c r="AM2704" s="4"/>
      <c r="AN2704" s="4"/>
      <c r="AO2704" s="4"/>
      <c r="AP2704" s="4"/>
      <c r="AQ2704" s="4"/>
      <c r="AR2704" s="4"/>
      <c r="AS2704" s="4"/>
      <c r="AT2704" s="4"/>
      <c r="AU2704" s="4"/>
      <c r="AV2704" s="4"/>
      <c r="AW2704" s="4"/>
      <c r="AX2704" s="4"/>
      <c r="AY2704" s="4"/>
      <c r="AZ2704" s="4"/>
      <c r="BA2704" s="4"/>
      <c r="BB2704" s="4"/>
      <c r="BC2704" s="4"/>
      <c r="BD2704" s="4"/>
      <c r="BE2704" s="4"/>
      <c r="BG2704" s="4"/>
      <c r="BH2704" s="4"/>
    </row>
    <row r="2705" spans="1:60" x14ac:dyDescent="0.35">
      <c r="A2705" s="4"/>
      <c r="B2705" s="4"/>
      <c r="D2705" s="6" t="str">
        <f t="shared" si="172"/>
        <v/>
      </c>
      <c r="E2705" s="6" t="str">
        <f t="shared" si="173"/>
        <v/>
      </c>
      <c r="F2705" s="6" t="str">
        <f t="shared" si="174"/>
        <v/>
      </c>
      <c r="G2705" s="4"/>
      <c r="H2705" s="4"/>
      <c r="I2705" s="4"/>
      <c r="J2705" s="4"/>
      <c r="K2705" s="4"/>
      <c r="L2705" s="4"/>
      <c r="M2705" s="4"/>
      <c r="N2705" s="4"/>
      <c r="O2705" s="4"/>
      <c r="P2705" s="4"/>
      <c r="Q2705" s="4"/>
      <c r="R2705" s="14"/>
      <c r="S2705" s="14"/>
      <c r="T2705" s="14"/>
      <c r="U2705" s="14"/>
      <c r="V2705" s="14"/>
      <c r="W2705" s="14"/>
      <c r="X2705" s="14"/>
      <c r="Y2705" s="4"/>
      <c r="Z2705" s="4"/>
      <c r="AA2705" s="4"/>
      <c r="AB2705" s="4"/>
      <c r="AC2705" s="4"/>
      <c r="AD2705" s="4"/>
      <c r="AE2705" s="4"/>
      <c r="AF2705" s="4"/>
      <c r="AG2705" s="4"/>
      <c r="AH2705" s="4"/>
      <c r="AI2705" s="4"/>
      <c r="AJ2705" s="4"/>
      <c r="AK2705" s="4"/>
      <c r="AL2705" s="4"/>
      <c r="AM2705" s="4"/>
      <c r="AN2705" s="4"/>
      <c r="AO2705" s="4"/>
      <c r="AP2705" s="4"/>
      <c r="AQ2705" s="4"/>
      <c r="AR2705" s="4"/>
      <c r="AS2705" s="4"/>
      <c r="AT2705" s="4"/>
      <c r="AU2705" s="4"/>
      <c r="AV2705" s="4"/>
      <c r="AW2705" s="4"/>
      <c r="AX2705" s="4"/>
      <c r="AY2705" s="4"/>
      <c r="AZ2705" s="4"/>
      <c r="BA2705" s="4"/>
      <c r="BB2705" s="4"/>
      <c r="BC2705" s="4"/>
      <c r="BD2705" s="4"/>
      <c r="BE2705" s="4"/>
      <c r="BG2705" s="4"/>
      <c r="BH2705" s="4"/>
    </row>
    <row r="2706" spans="1:60" x14ac:dyDescent="0.35">
      <c r="A2706" s="4"/>
      <c r="B2706" s="4"/>
      <c r="D2706" s="6" t="str">
        <f t="shared" si="172"/>
        <v/>
      </c>
      <c r="E2706" s="6" t="str">
        <f t="shared" si="173"/>
        <v/>
      </c>
      <c r="F2706" s="6" t="str">
        <f t="shared" si="174"/>
        <v/>
      </c>
      <c r="G2706" s="4"/>
      <c r="H2706" s="4"/>
      <c r="I2706" s="4"/>
      <c r="J2706" s="4"/>
      <c r="K2706" s="4"/>
      <c r="L2706" s="4"/>
      <c r="M2706" s="4"/>
      <c r="N2706" s="4"/>
      <c r="O2706" s="4"/>
      <c r="P2706" s="4"/>
      <c r="Q2706" s="4"/>
      <c r="R2706" s="14"/>
      <c r="S2706" s="14"/>
      <c r="T2706" s="14"/>
      <c r="U2706" s="14"/>
      <c r="V2706" s="14"/>
      <c r="W2706" s="14"/>
      <c r="X2706" s="1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4"/>
      <c r="AU2706" s="4"/>
      <c r="AV2706" s="4"/>
      <c r="AW2706" s="4"/>
      <c r="AX2706" s="4"/>
      <c r="AY2706" s="4"/>
      <c r="AZ2706" s="4"/>
      <c r="BA2706" s="4"/>
      <c r="BB2706" s="4"/>
      <c r="BC2706" s="4"/>
      <c r="BD2706" s="4"/>
      <c r="BE2706" s="4"/>
      <c r="BG2706" s="4"/>
      <c r="BH2706" s="4"/>
    </row>
    <row r="2707" spans="1:60" x14ac:dyDescent="0.35">
      <c r="A2707" s="4"/>
      <c r="B2707" s="4"/>
      <c r="D2707" s="6" t="str">
        <f t="shared" si="172"/>
        <v/>
      </c>
      <c r="E2707" s="6" t="str">
        <f t="shared" si="173"/>
        <v/>
      </c>
      <c r="F2707" s="6" t="str">
        <f t="shared" si="174"/>
        <v/>
      </c>
      <c r="G2707" s="4"/>
      <c r="H2707" s="4"/>
      <c r="I2707" s="4"/>
      <c r="J2707" s="4"/>
      <c r="K2707" s="4"/>
      <c r="L2707" s="4"/>
      <c r="M2707" s="4"/>
      <c r="N2707" s="4"/>
      <c r="O2707" s="4"/>
      <c r="P2707" s="4"/>
      <c r="Q2707" s="4"/>
      <c r="R2707" s="14"/>
      <c r="S2707" s="14"/>
      <c r="T2707" s="14"/>
      <c r="U2707" s="14"/>
      <c r="V2707" s="14"/>
      <c r="W2707" s="14"/>
      <c r="X2707" s="1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4"/>
      <c r="AU2707" s="4"/>
      <c r="AV2707" s="4"/>
      <c r="AW2707" s="4"/>
      <c r="AX2707" s="4"/>
      <c r="AY2707" s="4"/>
      <c r="AZ2707" s="4"/>
      <c r="BA2707" s="4"/>
      <c r="BB2707" s="4"/>
      <c r="BC2707" s="4"/>
      <c r="BD2707" s="4"/>
      <c r="BE2707" s="4"/>
      <c r="BG2707" s="4"/>
      <c r="BH2707" s="4"/>
    </row>
    <row r="2708" spans="1:60" x14ac:dyDescent="0.35">
      <c r="A2708" s="4"/>
      <c r="B2708" s="4"/>
      <c r="D2708" s="6" t="str">
        <f t="shared" si="172"/>
        <v/>
      </c>
      <c r="E2708" s="6" t="str">
        <f t="shared" si="173"/>
        <v/>
      </c>
      <c r="F2708" s="6" t="str">
        <f t="shared" si="174"/>
        <v/>
      </c>
      <c r="G2708" s="4"/>
      <c r="H2708" s="4"/>
      <c r="I2708" s="4"/>
      <c r="J2708" s="4"/>
      <c r="K2708" s="4"/>
      <c r="L2708" s="4"/>
      <c r="M2708" s="4"/>
      <c r="N2708" s="4"/>
      <c r="O2708" s="4"/>
      <c r="P2708" s="4"/>
      <c r="Q2708" s="4"/>
      <c r="R2708" s="14"/>
      <c r="S2708" s="14"/>
      <c r="T2708" s="14"/>
      <c r="U2708" s="14"/>
      <c r="V2708" s="14"/>
      <c r="W2708" s="14"/>
      <c r="X2708" s="1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4"/>
      <c r="AU2708" s="4"/>
      <c r="AV2708" s="4"/>
      <c r="AW2708" s="4"/>
      <c r="AX2708" s="4"/>
      <c r="AY2708" s="4"/>
      <c r="AZ2708" s="4"/>
      <c r="BA2708" s="4"/>
      <c r="BB2708" s="4"/>
      <c r="BC2708" s="4"/>
      <c r="BD2708" s="4"/>
      <c r="BE2708" s="4"/>
      <c r="BG2708" s="4"/>
      <c r="BH2708" s="4"/>
    </row>
    <row r="2709" spans="1:60" x14ac:dyDescent="0.35">
      <c r="A2709" s="4"/>
      <c r="B2709" s="4"/>
      <c r="D2709" s="6" t="str">
        <f t="shared" si="172"/>
        <v/>
      </c>
      <c r="E2709" s="6" t="str">
        <f t="shared" si="173"/>
        <v/>
      </c>
      <c r="F2709" s="6" t="str">
        <f t="shared" si="174"/>
        <v/>
      </c>
      <c r="G2709" s="4"/>
      <c r="H2709" s="4"/>
      <c r="I2709" s="4"/>
      <c r="J2709" s="4"/>
      <c r="K2709" s="4"/>
      <c r="L2709" s="4"/>
      <c r="M2709" s="4"/>
      <c r="N2709" s="4"/>
      <c r="O2709" s="4"/>
      <c r="P2709" s="4"/>
      <c r="Q2709" s="4"/>
      <c r="R2709" s="14"/>
      <c r="S2709" s="14"/>
      <c r="T2709" s="14"/>
      <c r="U2709" s="14"/>
      <c r="V2709" s="14"/>
      <c r="W2709" s="14"/>
      <c r="X2709" s="1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4"/>
      <c r="AU2709" s="4"/>
      <c r="AV2709" s="4"/>
      <c r="AW2709" s="4"/>
      <c r="AX2709" s="4"/>
      <c r="AY2709" s="4"/>
      <c r="AZ2709" s="4"/>
      <c r="BA2709" s="4"/>
      <c r="BB2709" s="4"/>
      <c r="BC2709" s="4"/>
      <c r="BD2709" s="4"/>
      <c r="BE2709" s="4"/>
      <c r="BG2709" s="4"/>
      <c r="BH2709" s="4"/>
    </row>
    <row r="2710" spans="1:60" x14ac:dyDescent="0.35">
      <c r="A2710" s="4"/>
      <c r="B2710" s="4"/>
      <c r="D2710" s="6" t="str">
        <f t="shared" si="172"/>
        <v/>
      </c>
      <c r="E2710" s="6" t="str">
        <f t="shared" si="173"/>
        <v/>
      </c>
      <c r="F2710" s="6" t="str">
        <f t="shared" si="174"/>
        <v/>
      </c>
      <c r="G2710" s="4"/>
      <c r="H2710" s="4"/>
      <c r="I2710" s="4"/>
      <c r="J2710" s="4"/>
      <c r="K2710" s="4"/>
      <c r="L2710" s="4"/>
      <c r="M2710" s="4"/>
      <c r="N2710" s="4"/>
      <c r="O2710" s="4"/>
      <c r="P2710" s="4"/>
      <c r="Q2710" s="4"/>
      <c r="R2710" s="14"/>
      <c r="S2710" s="14"/>
      <c r="T2710" s="14"/>
      <c r="U2710" s="14"/>
      <c r="V2710" s="14"/>
      <c r="W2710" s="14"/>
      <c r="X2710" s="14"/>
      <c r="Y2710" s="4"/>
      <c r="Z2710" s="4"/>
      <c r="AA2710" s="4"/>
      <c r="AB2710" s="4"/>
      <c r="AC2710" s="4"/>
      <c r="AD2710" s="4"/>
      <c r="AE2710" s="4"/>
      <c r="AF2710" s="4"/>
      <c r="AG2710" s="4"/>
      <c r="AH2710" s="4"/>
      <c r="AI2710" s="4"/>
      <c r="AJ2710" s="4"/>
      <c r="AK2710" s="4"/>
      <c r="AL2710" s="4"/>
      <c r="AM2710" s="4"/>
      <c r="AN2710" s="4"/>
      <c r="AO2710" s="4"/>
      <c r="AP2710" s="4"/>
      <c r="AQ2710" s="4"/>
      <c r="AR2710" s="4"/>
      <c r="AS2710" s="4"/>
      <c r="AT2710" s="4"/>
      <c r="AU2710" s="4"/>
      <c r="AV2710" s="4"/>
      <c r="AW2710" s="4"/>
      <c r="AX2710" s="4"/>
      <c r="AY2710" s="4"/>
      <c r="AZ2710" s="4"/>
      <c r="BA2710" s="4"/>
      <c r="BB2710" s="4"/>
      <c r="BC2710" s="4"/>
      <c r="BD2710" s="4"/>
      <c r="BE2710" s="4"/>
      <c r="BG2710" s="4"/>
      <c r="BH2710" s="4"/>
    </row>
    <row r="2711" spans="1:60" x14ac:dyDescent="0.35">
      <c r="A2711" s="4"/>
      <c r="B2711" s="4"/>
      <c r="D2711" s="6" t="str">
        <f t="shared" si="172"/>
        <v/>
      </c>
      <c r="E2711" s="6" t="str">
        <f t="shared" si="173"/>
        <v/>
      </c>
      <c r="F2711" s="6" t="str">
        <f t="shared" si="174"/>
        <v/>
      </c>
      <c r="G2711" s="4"/>
      <c r="H2711" s="4"/>
      <c r="I2711" s="4"/>
      <c r="J2711" s="4"/>
      <c r="K2711" s="4"/>
      <c r="L2711" s="4"/>
      <c r="M2711" s="4"/>
      <c r="N2711" s="4"/>
      <c r="O2711" s="4"/>
      <c r="P2711" s="4"/>
      <c r="Q2711" s="4"/>
      <c r="R2711" s="14"/>
      <c r="S2711" s="14"/>
      <c r="T2711" s="14"/>
      <c r="U2711" s="14"/>
      <c r="V2711" s="14"/>
      <c r="W2711" s="14"/>
      <c r="X2711" s="1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4"/>
      <c r="AU2711" s="4"/>
      <c r="AV2711" s="4"/>
      <c r="AW2711" s="4"/>
      <c r="AX2711" s="4"/>
      <c r="AY2711" s="4"/>
      <c r="AZ2711" s="4"/>
      <c r="BA2711" s="4"/>
      <c r="BB2711" s="4"/>
      <c r="BC2711" s="4"/>
      <c r="BD2711" s="4"/>
      <c r="BE2711" s="4"/>
      <c r="BG2711" s="4"/>
      <c r="BH2711" s="4"/>
    </row>
    <row r="2712" spans="1:60" x14ac:dyDescent="0.35">
      <c r="A2712" s="4"/>
      <c r="B2712" s="4"/>
      <c r="D2712" s="6" t="str">
        <f t="shared" si="172"/>
        <v/>
      </c>
      <c r="E2712" s="6" t="str">
        <f t="shared" si="173"/>
        <v/>
      </c>
      <c r="F2712" s="6" t="str">
        <f t="shared" si="174"/>
        <v/>
      </c>
      <c r="G2712" s="4"/>
      <c r="H2712" s="4"/>
      <c r="I2712" s="4"/>
      <c r="J2712" s="4"/>
      <c r="K2712" s="4"/>
      <c r="L2712" s="4"/>
      <c r="M2712" s="4"/>
      <c r="N2712" s="4"/>
      <c r="O2712" s="4"/>
      <c r="P2712" s="4"/>
      <c r="Q2712" s="4"/>
      <c r="R2712" s="14"/>
      <c r="S2712" s="14"/>
      <c r="T2712" s="14"/>
      <c r="U2712" s="14"/>
      <c r="V2712" s="14"/>
      <c r="W2712" s="14"/>
      <c r="X2712" s="1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4"/>
      <c r="AU2712" s="4"/>
      <c r="AV2712" s="4"/>
      <c r="AW2712" s="4"/>
      <c r="AX2712" s="4"/>
      <c r="AY2712" s="4"/>
      <c r="AZ2712" s="4"/>
      <c r="BA2712" s="4"/>
      <c r="BB2712" s="4"/>
      <c r="BC2712" s="4"/>
      <c r="BD2712" s="4"/>
      <c r="BE2712" s="4"/>
      <c r="BG2712" s="4"/>
      <c r="BH2712" s="4"/>
    </row>
    <row r="2713" spans="1:60" x14ac:dyDescent="0.35">
      <c r="A2713" s="4"/>
      <c r="B2713" s="4"/>
      <c r="D2713" s="6" t="str">
        <f t="shared" si="172"/>
        <v/>
      </c>
      <c r="E2713" s="6" t="str">
        <f t="shared" si="173"/>
        <v/>
      </c>
      <c r="F2713" s="6" t="str">
        <f t="shared" si="174"/>
        <v/>
      </c>
      <c r="G2713" s="4"/>
      <c r="H2713" s="4"/>
      <c r="I2713" s="4"/>
      <c r="J2713" s="4"/>
      <c r="K2713" s="4"/>
      <c r="L2713" s="4"/>
      <c r="M2713" s="4"/>
      <c r="N2713" s="4"/>
      <c r="O2713" s="4"/>
      <c r="P2713" s="4"/>
      <c r="Q2713" s="4"/>
      <c r="R2713" s="14"/>
      <c r="S2713" s="14"/>
      <c r="T2713" s="14"/>
      <c r="U2713" s="14"/>
      <c r="V2713" s="14"/>
      <c r="W2713" s="14"/>
      <c r="X2713" s="1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4"/>
      <c r="AU2713" s="4"/>
      <c r="AV2713" s="4"/>
      <c r="AW2713" s="4"/>
      <c r="AX2713" s="4"/>
      <c r="AY2713" s="4"/>
      <c r="AZ2713" s="4"/>
      <c r="BA2713" s="4"/>
      <c r="BB2713" s="4"/>
      <c r="BC2713" s="4"/>
      <c r="BD2713" s="4"/>
      <c r="BE2713" s="4"/>
      <c r="BG2713" s="4"/>
      <c r="BH2713" s="4"/>
    </row>
    <row r="2714" spans="1:60" x14ac:dyDescent="0.35">
      <c r="A2714" s="4"/>
      <c r="B2714" s="4"/>
      <c r="D2714" s="6" t="str">
        <f t="shared" si="172"/>
        <v/>
      </c>
      <c r="E2714" s="6" t="str">
        <f t="shared" si="173"/>
        <v/>
      </c>
      <c r="F2714" s="6" t="str">
        <f t="shared" si="174"/>
        <v/>
      </c>
      <c r="G2714" s="4"/>
      <c r="H2714" s="4"/>
      <c r="I2714" s="4"/>
      <c r="J2714" s="4"/>
      <c r="K2714" s="4"/>
      <c r="L2714" s="4"/>
      <c r="M2714" s="4"/>
      <c r="N2714" s="4"/>
      <c r="O2714" s="4"/>
      <c r="P2714" s="4"/>
      <c r="Q2714" s="4"/>
      <c r="R2714" s="14"/>
      <c r="S2714" s="14"/>
      <c r="T2714" s="14"/>
      <c r="U2714" s="14"/>
      <c r="V2714" s="14"/>
      <c r="W2714" s="14"/>
      <c r="X2714" s="1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4"/>
      <c r="AU2714" s="4"/>
      <c r="AV2714" s="4"/>
      <c r="AW2714" s="4"/>
      <c r="AX2714" s="4"/>
      <c r="AY2714" s="4"/>
      <c r="AZ2714" s="4"/>
      <c r="BA2714" s="4"/>
      <c r="BB2714" s="4"/>
      <c r="BC2714" s="4"/>
      <c r="BD2714" s="4"/>
      <c r="BE2714" s="4"/>
      <c r="BG2714" s="4"/>
      <c r="BH2714" s="4"/>
    </row>
    <row r="2715" spans="1:60" x14ac:dyDescent="0.35">
      <c r="A2715" s="4"/>
      <c r="B2715" s="4"/>
      <c r="D2715" s="6" t="str">
        <f t="shared" si="172"/>
        <v/>
      </c>
      <c r="E2715" s="6" t="str">
        <f t="shared" si="173"/>
        <v/>
      </c>
      <c r="F2715" s="6" t="str">
        <f t="shared" si="174"/>
        <v/>
      </c>
      <c r="G2715" s="4"/>
      <c r="H2715" s="4"/>
      <c r="I2715" s="4"/>
      <c r="J2715" s="4"/>
      <c r="K2715" s="4"/>
      <c r="L2715" s="4"/>
      <c r="M2715" s="4"/>
      <c r="N2715" s="4"/>
      <c r="O2715" s="4"/>
      <c r="P2715" s="4"/>
      <c r="Q2715" s="4"/>
      <c r="R2715" s="14"/>
      <c r="S2715" s="14"/>
      <c r="T2715" s="14"/>
      <c r="U2715" s="14"/>
      <c r="V2715" s="14"/>
      <c r="W2715" s="14"/>
      <c r="X2715" s="14"/>
      <c r="Y2715" s="4"/>
      <c r="Z2715" s="4"/>
      <c r="AA2715" s="4"/>
      <c r="AB2715" s="4"/>
      <c r="AC2715" s="4"/>
      <c r="AD2715" s="4"/>
      <c r="AE2715" s="4"/>
      <c r="AF2715" s="4"/>
      <c r="AG2715" s="4"/>
      <c r="AH2715" s="4"/>
      <c r="AI2715" s="4"/>
      <c r="AJ2715" s="4"/>
      <c r="AK2715" s="4"/>
      <c r="AL2715" s="4"/>
      <c r="AM2715" s="4"/>
      <c r="AN2715" s="4"/>
      <c r="AO2715" s="4"/>
      <c r="AP2715" s="4"/>
      <c r="AQ2715" s="4"/>
      <c r="AR2715" s="4"/>
      <c r="AS2715" s="4"/>
      <c r="AT2715" s="4"/>
      <c r="AU2715" s="4"/>
      <c r="AV2715" s="4"/>
      <c r="AW2715" s="4"/>
      <c r="AX2715" s="4"/>
      <c r="AY2715" s="4"/>
      <c r="AZ2715" s="4"/>
      <c r="BA2715" s="4"/>
      <c r="BB2715" s="4"/>
      <c r="BC2715" s="4"/>
      <c r="BD2715" s="4"/>
      <c r="BE2715" s="4"/>
      <c r="BG2715" s="4"/>
      <c r="BH2715" s="4"/>
    </row>
    <row r="2716" spans="1:60" x14ac:dyDescent="0.35">
      <c r="A2716" s="4"/>
      <c r="B2716" s="4"/>
      <c r="D2716" s="6" t="str">
        <f t="shared" si="172"/>
        <v/>
      </c>
      <c r="E2716" s="6" t="str">
        <f t="shared" si="173"/>
        <v/>
      </c>
      <c r="F2716" s="6" t="str">
        <f t="shared" si="174"/>
        <v/>
      </c>
      <c r="G2716" s="4"/>
      <c r="H2716" s="4"/>
      <c r="I2716" s="4"/>
      <c r="J2716" s="4"/>
      <c r="K2716" s="4"/>
      <c r="L2716" s="4"/>
      <c r="M2716" s="4"/>
      <c r="N2716" s="4"/>
      <c r="O2716" s="4"/>
      <c r="P2716" s="4"/>
      <c r="Q2716" s="4"/>
      <c r="R2716" s="14"/>
      <c r="S2716" s="14"/>
      <c r="T2716" s="14"/>
      <c r="U2716" s="14"/>
      <c r="V2716" s="14"/>
      <c r="W2716" s="14"/>
      <c r="X2716" s="1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4"/>
      <c r="AU2716" s="4"/>
      <c r="AV2716" s="4"/>
      <c r="AW2716" s="4"/>
      <c r="AX2716" s="4"/>
      <c r="AY2716" s="4"/>
      <c r="AZ2716" s="4"/>
      <c r="BA2716" s="4"/>
      <c r="BB2716" s="4"/>
      <c r="BC2716" s="4"/>
      <c r="BD2716" s="4"/>
      <c r="BE2716" s="4"/>
      <c r="BG2716" s="4"/>
      <c r="BH2716" s="4"/>
    </row>
    <row r="2717" spans="1:60" x14ac:dyDescent="0.35">
      <c r="A2717" s="4"/>
      <c r="B2717" s="4"/>
      <c r="D2717" s="6" t="str">
        <f t="shared" si="172"/>
        <v/>
      </c>
      <c r="E2717" s="6" t="str">
        <f t="shared" si="173"/>
        <v/>
      </c>
      <c r="F2717" s="6" t="str">
        <f t="shared" si="174"/>
        <v/>
      </c>
      <c r="G2717" s="4"/>
      <c r="H2717" s="4"/>
      <c r="I2717" s="4"/>
      <c r="J2717" s="4"/>
      <c r="K2717" s="4"/>
      <c r="L2717" s="4"/>
      <c r="M2717" s="4"/>
      <c r="N2717" s="4"/>
      <c r="O2717" s="4"/>
      <c r="P2717" s="4"/>
      <c r="Q2717" s="4"/>
      <c r="R2717" s="14"/>
      <c r="S2717" s="14"/>
      <c r="T2717" s="14"/>
      <c r="U2717" s="14"/>
      <c r="V2717" s="14"/>
      <c r="W2717" s="14"/>
      <c r="X2717" s="1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c r="AV2717" s="4"/>
      <c r="AW2717" s="4"/>
      <c r="AX2717" s="4"/>
      <c r="AY2717" s="4"/>
      <c r="AZ2717" s="4"/>
      <c r="BA2717" s="4"/>
      <c r="BB2717" s="4"/>
      <c r="BC2717" s="4"/>
      <c r="BD2717" s="4"/>
      <c r="BE2717" s="4"/>
      <c r="BG2717" s="4"/>
      <c r="BH2717" s="4"/>
    </row>
    <row r="2718" spans="1:60" x14ac:dyDescent="0.35">
      <c r="A2718" s="4"/>
      <c r="B2718" s="4"/>
      <c r="D2718" s="6" t="str">
        <f t="shared" si="172"/>
        <v/>
      </c>
      <c r="E2718" s="6" t="str">
        <f t="shared" si="173"/>
        <v/>
      </c>
      <c r="F2718" s="6" t="str">
        <f t="shared" si="174"/>
        <v/>
      </c>
      <c r="G2718" s="4"/>
      <c r="H2718" s="4"/>
      <c r="I2718" s="4"/>
      <c r="J2718" s="4"/>
      <c r="K2718" s="4"/>
      <c r="L2718" s="4"/>
      <c r="M2718" s="4"/>
      <c r="N2718" s="4"/>
      <c r="O2718" s="4"/>
      <c r="P2718" s="4"/>
      <c r="Q2718" s="4"/>
      <c r="R2718" s="14"/>
      <c r="S2718" s="14"/>
      <c r="T2718" s="14"/>
      <c r="U2718" s="14"/>
      <c r="V2718" s="14"/>
      <c r="W2718" s="14"/>
      <c r="X2718" s="1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4"/>
      <c r="AU2718" s="4"/>
      <c r="AV2718" s="4"/>
      <c r="AW2718" s="4"/>
      <c r="AX2718" s="4"/>
      <c r="AY2718" s="4"/>
      <c r="AZ2718" s="4"/>
      <c r="BA2718" s="4"/>
      <c r="BB2718" s="4"/>
      <c r="BC2718" s="4"/>
      <c r="BD2718" s="4"/>
      <c r="BE2718" s="4"/>
      <c r="BG2718" s="4"/>
      <c r="BH2718" s="4"/>
    </row>
    <row r="2719" spans="1:60" x14ac:dyDescent="0.35">
      <c r="A2719" s="4"/>
      <c r="B2719" s="4"/>
      <c r="D2719" s="6" t="str">
        <f t="shared" si="172"/>
        <v/>
      </c>
      <c r="E2719" s="6" t="str">
        <f t="shared" si="173"/>
        <v/>
      </c>
      <c r="F2719" s="6" t="str">
        <f t="shared" si="174"/>
        <v/>
      </c>
      <c r="G2719" s="4"/>
      <c r="H2719" s="4"/>
      <c r="I2719" s="4"/>
      <c r="J2719" s="4"/>
      <c r="K2719" s="4"/>
      <c r="L2719" s="4"/>
      <c r="M2719" s="4"/>
      <c r="N2719" s="4"/>
      <c r="O2719" s="4"/>
      <c r="P2719" s="4"/>
      <c r="Q2719" s="4"/>
      <c r="R2719" s="14"/>
      <c r="S2719" s="14"/>
      <c r="T2719" s="14"/>
      <c r="U2719" s="14"/>
      <c r="V2719" s="14"/>
      <c r="W2719" s="14"/>
      <c r="X2719" s="1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4"/>
      <c r="AU2719" s="4"/>
      <c r="AV2719" s="4"/>
      <c r="AW2719" s="4"/>
      <c r="AX2719" s="4"/>
      <c r="AY2719" s="4"/>
      <c r="AZ2719" s="4"/>
      <c r="BA2719" s="4"/>
      <c r="BB2719" s="4"/>
      <c r="BC2719" s="4"/>
      <c r="BD2719" s="4"/>
      <c r="BE2719" s="4"/>
      <c r="BG2719" s="4"/>
      <c r="BH2719" s="4"/>
    </row>
    <row r="2720" spans="1:60" x14ac:dyDescent="0.35">
      <c r="A2720" s="4"/>
      <c r="B2720" s="4"/>
      <c r="D2720" s="6" t="str">
        <f t="shared" si="172"/>
        <v/>
      </c>
      <c r="E2720" s="6" t="str">
        <f t="shared" si="173"/>
        <v/>
      </c>
      <c r="F2720" s="6" t="str">
        <f t="shared" si="174"/>
        <v/>
      </c>
      <c r="G2720" s="4"/>
      <c r="H2720" s="4"/>
      <c r="I2720" s="4"/>
      <c r="J2720" s="4"/>
      <c r="K2720" s="4"/>
      <c r="L2720" s="4"/>
      <c r="M2720" s="4"/>
      <c r="N2720" s="4"/>
      <c r="O2720" s="4"/>
      <c r="P2720" s="4"/>
      <c r="Q2720" s="4"/>
      <c r="R2720" s="14"/>
      <c r="S2720" s="14"/>
      <c r="T2720" s="14"/>
      <c r="U2720" s="14"/>
      <c r="V2720" s="14"/>
      <c r="W2720" s="14"/>
      <c r="X2720" s="14"/>
      <c r="Y2720" s="4"/>
      <c r="Z2720" s="4"/>
      <c r="AA2720" s="4"/>
      <c r="AB2720" s="4"/>
      <c r="AC2720" s="4"/>
      <c r="AD2720" s="4"/>
      <c r="AE2720" s="4"/>
      <c r="AF2720" s="4"/>
      <c r="AG2720" s="4"/>
      <c r="AH2720" s="4"/>
      <c r="AI2720" s="4"/>
      <c r="AJ2720" s="4"/>
      <c r="AK2720" s="4"/>
      <c r="AL2720" s="4"/>
      <c r="AM2720" s="4"/>
      <c r="AN2720" s="4"/>
      <c r="AO2720" s="4"/>
      <c r="AP2720" s="4"/>
      <c r="AQ2720" s="4"/>
      <c r="AR2720" s="4"/>
      <c r="AS2720" s="4"/>
      <c r="AT2720" s="4"/>
      <c r="AU2720" s="4"/>
      <c r="AV2720" s="4"/>
      <c r="AW2720" s="4"/>
      <c r="AX2720" s="4"/>
      <c r="AY2720" s="4"/>
      <c r="AZ2720" s="4"/>
      <c r="BA2720" s="4"/>
      <c r="BB2720" s="4"/>
      <c r="BC2720" s="4"/>
      <c r="BD2720" s="4"/>
      <c r="BE2720" s="4"/>
      <c r="BG2720" s="4"/>
      <c r="BH2720" s="4"/>
    </row>
    <row r="2721" spans="1:60" x14ac:dyDescent="0.35">
      <c r="A2721" s="4"/>
      <c r="B2721" s="4"/>
      <c r="D2721" s="6" t="str">
        <f t="shared" si="172"/>
        <v/>
      </c>
      <c r="E2721" s="6" t="str">
        <f t="shared" si="173"/>
        <v/>
      </c>
      <c r="F2721" s="6" t="str">
        <f t="shared" si="174"/>
        <v/>
      </c>
      <c r="G2721" s="4"/>
      <c r="H2721" s="4"/>
      <c r="I2721" s="4"/>
      <c r="J2721" s="4"/>
      <c r="K2721" s="4"/>
      <c r="L2721" s="4"/>
      <c r="M2721" s="4"/>
      <c r="N2721" s="4"/>
      <c r="O2721" s="4"/>
      <c r="P2721" s="4"/>
      <c r="Q2721" s="4"/>
      <c r="R2721" s="14"/>
      <c r="S2721" s="14"/>
      <c r="T2721" s="14"/>
      <c r="U2721" s="14"/>
      <c r="V2721" s="14"/>
      <c r="W2721" s="14"/>
      <c r="X2721" s="1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4"/>
      <c r="AU2721" s="4"/>
      <c r="AV2721" s="4"/>
      <c r="AW2721" s="4"/>
      <c r="AX2721" s="4"/>
      <c r="AY2721" s="4"/>
      <c r="AZ2721" s="4"/>
      <c r="BA2721" s="4"/>
      <c r="BB2721" s="4"/>
      <c r="BC2721" s="4"/>
      <c r="BD2721" s="4"/>
      <c r="BE2721" s="4"/>
      <c r="BG2721" s="4"/>
      <c r="BH2721" s="4"/>
    </row>
    <row r="2722" spans="1:60" x14ac:dyDescent="0.35">
      <c r="A2722" s="4"/>
      <c r="B2722" s="4"/>
      <c r="D2722" s="6" t="str">
        <f t="shared" si="172"/>
        <v/>
      </c>
      <c r="E2722" s="6" t="str">
        <f t="shared" si="173"/>
        <v/>
      </c>
      <c r="F2722" s="6" t="str">
        <f t="shared" si="174"/>
        <v/>
      </c>
      <c r="G2722" s="4"/>
      <c r="H2722" s="4"/>
      <c r="I2722" s="4"/>
      <c r="J2722" s="4"/>
      <c r="K2722" s="4"/>
      <c r="L2722" s="4"/>
      <c r="M2722" s="4"/>
      <c r="N2722" s="4"/>
      <c r="O2722" s="4"/>
      <c r="P2722" s="4"/>
      <c r="Q2722" s="4"/>
      <c r="R2722" s="14"/>
      <c r="S2722" s="14"/>
      <c r="T2722" s="14"/>
      <c r="U2722" s="14"/>
      <c r="V2722" s="14"/>
      <c r="W2722" s="14"/>
      <c r="X2722" s="1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4"/>
      <c r="AU2722" s="4"/>
      <c r="AV2722" s="4"/>
      <c r="AW2722" s="4"/>
      <c r="AX2722" s="4"/>
      <c r="AY2722" s="4"/>
      <c r="AZ2722" s="4"/>
      <c r="BA2722" s="4"/>
      <c r="BB2722" s="4"/>
      <c r="BC2722" s="4"/>
      <c r="BD2722" s="4"/>
      <c r="BE2722" s="4"/>
      <c r="BG2722" s="4"/>
      <c r="BH2722" s="4"/>
    </row>
    <row r="2723" spans="1:60" x14ac:dyDescent="0.35">
      <c r="A2723" s="4"/>
      <c r="B2723" s="4"/>
      <c r="D2723" s="6" t="str">
        <f t="shared" si="172"/>
        <v/>
      </c>
      <c r="E2723" s="6" t="str">
        <f t="shared" si="173"/>
        <v/>
      </c>
      <c r="F2723" s="6" t="str">
        <f t="shared" si="174"/>
        <v/>
      </c>
      <c r="G2723" s="4"/>
      <c r="H2723" s="4"/>
      <c r="I2723" s="4"/>
      <c r="J2723" s="4"/>
      <c r="K2723" s="4"/>
      <c r="L2723" s="4"/>
      <c r="M2723" s="4"/>
      <c r="N2723" s="4"/>
      <c r="O2723" s="4"/>
      <c r="P2723" s="4"/>
      <c r="Q2723" s="4"/>
      <c r="R2723" s="14"/>
      <c r="S2723" s="14"/>
      <c r="T2723" s="14"/>
      <c r="U2723" s="14"/>
      <c r="V2723" s="14"/>
      <c r="W2723" s="14"/>
      <c r="X2723" s="1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c r="AV2723" s="4"/>
      <c r="AW2723" s="4"/>
      <c r="AX2723" s="4"/>
      <c r="AY2723" s="4"/>
      <c r="AZ2723" s="4"/>
      <c r="BA2723" s="4"/>
      <c r="BB2723" s="4"/>
      <c r="BC2723" s="4"/>
      <c r="BD2723" s="4"/>
      <c r="BE2723" s="4"/>
      <c r="BG2723" s="4"/>
      <c r="BH2723" s="4"/>
    </row>
    <row r="2724" spans="1:60" x14ac:dyDescent="0.35">
      <c r="A2724" s="4"/>
      <c r="B2724" s="4"/>
      <c r="D2724" s="6" t="str">
        <f t="shared" si="172"/>
        <v/>
      </c>
      <c r="E2724" s="6" t="str">
        <f t="shared" si="173"/>
        <v/>
      </c>
      <c r="F2724" s="6" t="str">
        <f t="shared" si="174"/>
        <v/>
      </c>
      <c r="G2724" s="4"/>
      <c r="H2724" s="4"/>
      <c r="I2724" s="4"/>
      <c r="J2724" s="4"/>
      <c r="K2724" s="4"/>
      <c r="L2724" s="4"/>
      <c r="M2724" s="4"/>
      <c r="N2724" s="4"/>
      <c r="O2724" s="4"/>
      <c r="P2724" s="4"/>
      <c r="Q2724" s="4"/>
      <c r="R2724" s="14"/>
      <c r="S2724" s="14"/>
      <c r="T2724" s="14"/>
      <c r="U2724" s="14"/>
      <c r="V2724" s="14"/>
      <c r="W2724" s="14"/>
      <c r="X2724" s="1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c r="AV2724" s="4"/>
      <c r="AW2724" s="4"/>
      <c r="AX2724" s="4"/>
      <c r="AY2724" s="4"/>
      <c r="AZ2724" s="4"/>
      <c r="BA2724" s="4"/>
      <c r="BB2724" s="4"/>
      <c r="BC2724" s="4"/>
      <c r="BD2724" s="4"/>
      <c r="BE2724" s="4"/>
      <c r="BG2724" s="4"/>
      <c r="BH2724" s="4"/>
    </row>
    <row r="2725" spans="1:60" x14ac:dyDescent="0.35">
      <c r="A2725" s="4"/>
      <c r="B2725" s="4"/>
      <c r="D2725" s="6" t="str">
        <f t="shared" si="172"/>
        <v/>
      </c>
      <c r="E2725" s="6" t="str">
        <f t="shared" si="173"/>
        <v/>
      </c>
      <c r="F2725" s="6" t="str">
        <f t="shared" si="174"/>
        <v/>
      </c>
      <c r="G2725" s="4"/>
      <c r="H2725" s="4"/>
      <c r="I2725" s="4"/>
      <c r="J2725" s="4"/>
      <c r="K2725" s="4"/>
      <c r="L2725" s="4"/>
      <c r="M2725" s="4"/>
      <c r="N2725" s="4"/>
      <c r="O2725" s="4"/>
      <c r="P2725" s="4"/>
      <c r="Q2725" s="4"/>
      <c r="R2725" s="14"/>
      <c r="S2725" s="14"/>
      <c r="T2725" s="14"/>
      <c r="U2725" s="14"/>
      <c r="V2725" s="14"/>
      <c r="W2725" s="14"/>
      <c r="X2725" s="1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4"/>
      <c r="AU2725" s="4"/>
      <c r="AV2725" s="4"/>
      <c r="AW2725" s="4"/>
      <c r="AX2725" s="4"/>
      <c r="AY2725" s="4"/>
      <c r="AZ2725" s="4"/>
      <c r="BA2725" s="4"/>
      <c r="BB2725" s="4"/>
      <c r="BC2725" s="4"/>
      <c r="BD2725" s="4"/>
      <c r="BE2725" s="4"/>
      <c r="BG2725" s="4"/>
      <c r="BH2725" s="4"/>
    </row>
    <row r="2726" spans="1:60" x14ac:dyDescent="0.35">
      <c r="A2726" s="4"/>
      <c r="B2726" s="4"/>
      <c r="D2726" s="6" t="str">
        <f t="shared" si="172"/>
        <v/>
      </c>
      <c r="E2726" s="6" t="str">
        <f t="shared" si="173"/>
        <v/>
      </c>
      <c r="F2726" s="6" t="str">
        <f t="shared" si="174"/>
        <v/>
      </c>
      <c r="G2726" s="4"/>
      <c r="H2726" s="4"/>
      <c r="I2726" s="4"/>
      <c r="J2726" s="4"/>
      <c r="K2726" s="4"/>
      <c r="L2726" s="4"/>
      <c r="M2726" s="4"/>
      <c r="N2726" s="4"/>
      <c r="O2726" s="4"/>
      <c r="P2726" s="4"/>
      <c r="Q2726" s="4"/>
      <c r="R2726" s="14"/>
      <c r="S2726" s="14"/>
      <c r="T2726" s="14"/>
      <c r="U2726" s="14"/>
      <c r="V2726" s="14"/>
      <c r="W2726" s="14"/>
      <c r="X2726" s="14"/>
      <c r="Y2726" s="4"/>
      <c r="Z2726" s="4"/>
      <c r="AA2726" s="4"/>
      <c r="AB2726" s="4"/>
      <c r="AC2726" s="4"/>
      <c r="AD2726" s="4"/>
      <c r="AE2726" s="4"/>
      <c r="AF2726" s="4"/>
      <c r="AG2726" s="4"/>
      <c r="AH2726" s="4"/>
      <c r="AI2726" s="4"/>
      <c r="AJ2726" s="4"/>
      <c r="AK2726" s="4"/>
      <c r="AL2726" s="4"/>
      <c r="AM2726" s="4"/>
      <c r="AN2726" s="4"/>
      <c r="AO2726" s="4"/>
      <c r="AP2726" s="4"/>
      <c r="AQ2726" s="4"/>
      <c r="AR2726" s="4"/>
      <c r="AS2726" s="4"/>
      <c r="AT2726" s="4"/>
      <c r="AU2726" s="4"/>
      <c r="AV2726" s="4"/>
      <c r="AW2726" s="4"/>
      <c r="AX2726" s="4"/>
      <c r="AY2726" s="4"/>
      <c r="AZ2726" s="4"/>
      <c r="BA2726" s="4"/>
      <c r="BB2726" s="4"/>
      <c r="BC2726" s="4"/>
      <c r="BD2726" s="4"/>
      <c r="BE2726" s="4"/>
      <c r="BG2726" s="4"/>
      <c r="BH2726" s="4"/>
    </row>
    <row r="2727" spans="1:60" x14ac:dyDescent="0.35">
      <c r="A2727" s="4"/>
      <c r="B2727" s="4"/>
      <c r="D2727" s="6" t="str">
        <f t="shared" si="172"/>
        <v/>
      </c>
      <c r="E2727" s="6" t="str">
        <f t="shared" si="173"/>
        <v/>
      </c>
      <c r="F2727" s="6" t="str">
        <f t="shared" si="174"/>
        <v/>
      </c>
      <c r="G2727" s="4"/>
      <c r="H2727" s="4"/>
      <c r="I2727" s="4"/>
      <c r="J2727" s="4"/>
      <c r="K2727" s="4"/>
      <c r="L2727" s="4"/>
      <c r="M2727" s="4"/>
      <c r="N2727" s="4"/>
      <c r="O2727" s="4"/>
      <c r="P2727" s="4"/>
      <c r="Q2727" s="4"/>
      <c r="R2727" s="14"/>
      <c r="S2727" s="14"/>
      <c r="T2727" s="14"/>
      <c r="U2727" s="14"/>
      <c r="V2727" s="14"/>
      <c r="W2727" s="14"/>
      <c r="X2727" s="1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4"/>
      <c r="AU2727" s="4"/>
      <c r="AV2727" s="4"/>
      <c r="AW2727" s="4"/>
      <c r="AX2727" s="4"/>
      <c r="AY2727" s="4"/>
      <c r="AZ2727" s="4"/>
      <c r="BA2727" s="4"/>
      <c r="BB2727" s="4"/>
      <c r="BC2727" s="4"/>
      <c r="BD2727" s="4"/>
      <c r="BE2727" s="4"/>
      <c r="BG2727" s="4"/>
      <c r="BH2727" s="4"/>
    </row>
    <row r="2728" spans="1:60" x14ac:dyDescent="0.35">
      <c r="A2728" s="4"/>
      <c r="B2728" s="4"/>
      <c r="D2728" s="6" t="str">
        <f t="shared" si="172"/>
        <v/>
      </c>
      <c r="E2728" s="6" t="str">
        <f t="shared" si="173"/>
        <v/>
      </c>
      <c r="F2728" s="6" t="str">
        <f t="shared" si="174"/>
        <v/>
      </c>
      <c r="G2728" s="4"/>
      <c r="H2728" s="4"/>
      <c r="I2728" s="4"/>
      <c r="J2728" s="4"/>
      <c r="K2728" s="4"/>
      <c r="L2728" s="4"/>
      <c r="M2728" s="4"/>
      <c r="N2728" s="4"/>
      <c r="O2728" s="4"/>
      <c r="P2728" s="4"/>
      <c r="Q2728" s="4"/>
      <c r="R2728" s="14"/>
      <c r="S2728" s="14"/>
      <c r="T2728" s="14"/>
      <c r="U2728" s="14"/>
      <c r="V2728" s="14"/>
      <c r="W2728" s="14"/>
      <c r="X2728" s="1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4"/>
      <c r="AU2728" s="4"/>
      <c r="AV2728" s="4"/>
      <c r="AW2728" s="4"/>
      <c r="AX2728" s="4"/>
      <c r="AY2728" s="4"/>
      <c r="AZ2728" s="4"/>
      <c r="BA2728" s="4"/>
      <c r="BB2728" s="4"/>
      <c r="BC2728" s="4"/>
      <c r="BD2728" s="4"/>
      <c r="BE2728" s="4"/>
      <c r="BG2728" s="4"/>
      <c r="BH2728" s="4"/>
    </row>
    <row r="2729" spans="1:60" x14ac:dyDescent="0.35">
      <c r="A2729" s="4"/>
      <c r="B2729" s="4"/>
      <c r="D2729" s="6" t="str">
        <f t="shared" si="172"/>
        <v/>
      </c>
      <c r="E2729" s="6" t="str">
        <f t="shared" si="173"/>
        <v/>
      </c>
      <c r="F2729" s="6" t="str">
        <f t="shared" si="174"/>
        <v/>
      </c>
      <c r="G2729" s="4"/>
      <c r="H2729" s="4"/>
      <c r="I2729" s="4"/>
      <c r="J2729" s="4"/>
      <c r="K2729" s="4"/>
      <c r="L2729" s="4"/>
      <c r="M2729" s="4"/>
      <c r="N2729" s="4"/>
      <c r="O2729" s="4"/>
      <c r="P2729" s="4"/>
      <c r="Q2729" s="4"/>
      <c r="R2729" s="14"/>
      <c r="S2729" s="14"/>
      <c r="T2729" s="14"/>
      <c r="U2729" s="14"/>
      <c r="V2729" s="14"/>
      <c r="W2729" s="14"/>
      <c r="X2729" s="1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4"/>
      <c r="AU2729" s="4"/>
      <c r="AV2729" s="4"/>
      <c r="AW2729" s="4"/>
      <c r="AX2729" s="4"/>
      <c r="AY2729" s="4"/>
      <c r="AZ2729" s="4"/>
      <c r="BA2729" s="4"/>
      <c r="BB2729" s="4"/>
      <c r="BC2729" s="4"/>
      <c r="BD2729" s="4"/>
      <c r="BE2729" s="4"/>
      <c r="BG2729" s="4"/>
      <c r="BH2729" s="4"/>
    </row>
    <row r="2730" spans="1:60" x14ac:dyDescent="0.35">
      <c r="A2730" s="4"/>
      <c r="B2730" s="4"/>
      <c r="D2730" s="6" t="str">
        <f t="shared" si="172"/>
        <v/>
      </c>
      <c r="E2730" s="6" t="str">
        <f t="shared" si="173"/>
        <v/>
      </c>
      <c r="F2730" s="6" t="str">
        <f t="shared" si="174"/>
        <v/>
      </c>
      <c r="G2730" s="4"/>
      <c r="H2730" s="4"/>
      <c r="I2730" s="4"/>
      <c r="J2730" s="4"/>
      <c r="K2730" s="4"/>
      <c r="L2730" s="4"/>
      <c r="M2730" s="4"/>
      <c r="N2730" s="4"/>
      <c r="O2730" s="4"/>
      <c r="P2730" s="4"/>
      <c r="Q2730" s="4"/>
      <c r="R2730" s="14"/>
      <c r="S2730" s="14"/>
      <c r="T2730" s="14"/>
      <c r="U2730" s="14"/>
      <c r="V2730" s="14"/>
      <c r="W2730" s="14"/>
      <c r="X2730" s="14"/>
      <c r="Y2730" s="4"/>
      <c r="Z2730" s="4"/>
      <c r="AA2730" s="4"/>
      <c r="AB2730" s="4"/>
      <c r="AC2730" s="4"/>
      <c r="AD2730" s="4"/>
      <c r="AE2730" s="4"/>
      <c r="AF2730" s="4"/>
      <c r="AG2730" s="4"/>
      <c r="AH2730" s="4"/>
      <c r="AI2730" s="4"/>
      <c r="AJ2730" s="4"/>
      <c r="AK2730" s="4"/>
      <c r="AL2730" s="4"/>
      <c r="AM2730" s="4"/>
      <c r="AN2730" s="4"/>
      <c r="AO2730" s="4"/>
      <c r="AP2730" s="4"/>
      <c r="AQ2730" s="4"/>
      <c r="AR2730" s="4"/>
      <c r="AS2730" s="4"/>
      <c r="AT2730" s="4"/>
      <c r="AU2730" s="4"/>
      <c r="AV2730" s="4"/>
      <c r="AW2730" s="4"/>
      <c r="AX2730" s="4"/>
      <c r="AY2730" s="4"/>
      <c r="AZ2730" s="4"/>
      <c r="BA2730" s="4"/>
      <c r="BB2730" s="4"/>
      <c r="BC2730" s="4"/>
      <c r="BD2730" s="4"/>
      <c r="BE2730" s="4"/>
      <c r="BG2730" s="4"/>
      <c r="BH2730" s="4"/>
    </row>
    <row r="2731" spans="1:60" x14ac:dyDescent="0.35">
      <c r="A2731" s="4"/>
      <c r="B2731" s="4"/>
      <c r="D2731" s="6" t="str">
        <f t="shared" si="172"/>
        <v/>
      </c>
      <c r="E2731" s="6" t="str">
        <f t="shared" si="173"/>
        <v/>
      </c>
      <c r="F2731" s="6" t="str">
        <f t="shared" si="174"/>
        <v/>
      </c>
      <c r="G2731" s="4"/>
      <c r="H2731" s="4"/>
      <c r="I2731" s="4"/>
      <c r="J2731" s="4"/>
      <c r="K2731" s="4"/>
      <c r="L2731" s="4"/>
      <c r="M2731" s="4"/>
      <c r="N2731" s="4"/>
      <c r="O2731" s="4"/>
      <c r="P2731" s="4"/>
      <c r="Q2731" s="4"/>
      <c r="R2731" s="14"/>
      <c r="S2731" s="14"/>
      <c r="T2731" s="14"/>
      <c r="U2731" s="14"/>
      <c r="V2731" s="14"/>
      <c r="W2731" s="14"/>
      <c r="X2731" s="1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c r="AV2731" s="4"/>
      <c r="AW2731" s="4"/>
      <c r="AX2731" s="4"/>
      <c r="AY2731" s="4"/>
      <c r="AZ2731" s="4"/>
      <c r="BA2731" s="4"/>
      <c r="BB2731" s="4"/>
      <c r="BC2731" s="4"/>
      <c r="BD2731" s="4"/>
      <c r="BE2731" s="4"/>
      <c r="BG2731" s="4"/>
      <c r="BH2731" s="4"/>
    </row>
    <row r="2732" spans="1:60" x14ac:dyDescent="0.35">
      <c r="A2732" s="4"/>
      <c r="B2732" s="4"/>
      <c r="D2732" s="6" t="str">
        <f t="shared" si="172"/>
        <v/>
      </c>
      <c r="E2732" s="6" t="str">
        <f t="shared" si="173"/>
        <v/>
      </c>
      <c r="F2732" s="6" t="str">
        <f t="shared" si="174"/>
        <v/>
      </c>
      <c r="G2732" s="4"/>
      <c r="H2732" s="4"/>
      <c r="I2732" s="4"/>
      <c r="J2732" s="4"/>
      <c r="K2732" s="4"/>
      <c r="L2732" s="4"/>
      <c r="M2732" s="4"/>
      <c r="N2732" s="4"/>
      <c r="O2732" s="4"/>
      <c r="P2732" s="4"/>
      <c r="Q2732" s="4"/>
      <c r="R2732" s="14"/>
      <c r="S2732" s="14"/>
      <c r="T2732" s="14"/>
      <c r="U2732" s="14"/>
      <c r="V2732" s="14"/>
      <c r="W2732" s="14"/>
      <c r="X2732" s="1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4"/>
      <c r="AU2732" s="4"/>
      <c r="AV2732" s="4"/>
      <c r="AW2732" s="4"/>
      <c r="AX2732" s="4"/>
      <c r="AY2732" s="4"/>
      <c r="AZ2732" s="4"/>
      <c r="BA2732" s="4"/>
      <c r="BB2732" s="4"/>
      <c r="BC2732" s="4"/>
      <c r="BD2732" s="4"/>
      <c r="BE2732" s="4"/>
      <c r="BG2732" s="4"/>
      <c r="BH2732" s="4"/>
    </row>
    <row r="2733" spans="1:60" x14ac:dyDescent="0.35">
      <c r="A2733" s="4"/>
      <c r="B2733" s="4"/>
      <c r="D2733" s="6" t="str">
        <f t="shared" si="172"/>
        <v/>
      </c>
      <c r="E2733" s="6" t="str">
        <f t="shared" si="173"/>
        <v/>
      </c>
      <c r="F2733" s="6" t="str">
        <f t="shared" si="174"/>
        <v/>
      </c>
      <c r="G2733" s="4"/>
      <c r="H2733" s="4"/>
      <c r="I2733" s="4"/>
      <c r="J2733" s="4"/>
      <c r="K2733" s="4"/>
      <c r="L2733" s="4"/>
      <c r="M2733" s="4"/>
      <c r="N2733" s="4"/>
      <c r="O2733" s="4"/>
      <c r="P2733" s="4"/>
      <c r="Q2733" s="4"/>
      <c r="R2733" s="14"/>
      <c r="S2733" s="14"/>
      <c r="T2733" s="14"/>
      <c r="U2733" s="14"/>
      <c r="V2733" s="14"/>
      <c r="W2733" s="14"/>
      <c r="X2733" s="1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4"/>
      <c r="AU2733" s="4"/>
      <c r="AV2733" s="4"/>
      <c r="AW2733" s="4"/>
      <c r="AX2733" s="4"/>
      <c r="AY2733" s="4"/>
      <c r="AZ2733" s="4"/>
      <c r="BA2733" s="4"/>
      <c r="BB2733" s="4"/>
      <c r="BC2733" s="4"/>
      <c r="BD2733" s="4"/>
      <c r="BE2733" s="4"/>
      <c r="BG2733" s="4"/>
      <c r="BH2733" s="4"/>
    </row>
    <row r="2734" spans="1:60" x14ac:dyDescent="0.35">
      <c r="A2734" s="4"/>
      <c r="B2734" s="4"/>
      <c r="D2734" s="6" t="str">
        <f t="shared" si="172"/>
        <v/>
      </c>
      <c r="E2734" s="6" t="str">
        <f t="shared" si="173"/>
        <v/>
      </c>
      <c r="F2734" s="6" t="str">
        <f t="shared" si="174"/>
        <v/>
      </c>
      <c r="G2734" s="4"/>
      <c r="H2734" s="4"/>
      <c r="I2734" s="4"/>
      <c r="J2734" s="4"/>
      <c r="K2734" s="4"/>
      <c r="L2734" s="4"/>
      <c r="M2734" s="4"/>
      <c r="N2734" s="4"/>
      <c r="O2734" s="4"/>
      <c r="P2734" s="4"/>
      <c r="Q2734" s="4"/>
      <c r="R2734" s="14"/>
      <c r="S2734" s="14"/>
      <c r="T2734" s="14"/>
      <c r="U2734" s="14"/>
      <c r="V2734" s="14"/>
      <c r="W2734" s="14"/>
      <c r="X2734" s="1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4"/>
      <c r="AU2734" s="4"/>
      <c r="AV2734" s="4"/>
      <c r="AW2734" s="4"/>
      <c r="AX2734" s="4"/>
      <c r="AY2734" s="4"/>
      <c r="AZ2734" s="4"/>
      <c r="BA2734" s="4"/>
      <c r="BB2734" s="4"/>
      <c r="BC2734" s="4"/>
      <c r="BD2734" s="4"/>
      <c r="BE2734" s="4"/>
      <c r="BG2734" s="4"/>
      <c r="BH2734" s="4"/>
    </row>
    <row r="2735" spans="1:60" x14ac:dyDescent="0.35">
      <c r="A2735" s="4"/>
      <c r="B2735" s="4"/>
      <c r="D2735" s="6" t="str">
        <f t="shared" si="172"/>
        <v/>
      </c>
      <c r="E2735" s="6" t="str">
        <f t="shared" si="173"/>
        <v/>
      </c>
      <c r="F2735" s="6" t="str">
        <f t="shared" si="174"/>
        <v/>
      </c>
      <c r="G2735" s="4"/>
      <c r="H2735" s="4"/>
      <c r="I2735" s="4"/>
      <c r="J2735" s="4"/>
      <c r="K2735" s="4"/>
      <c r="L2735" s="4"/>
      <c r="M2735" s="4"/>
      <c r="N2735" s="4"/>
      <c r="O2735" s="4"/>
      <c r="P2735" s="4"/>
      <c r="Q2735" s="4"/>
      <c r="R2735" s="14"/>
      <c r="S2735" s="14"/>
      <c r="T2735" s="14"/>
      <c r="U2735" s="14"/>
      <c r="V2735" s="14"/>
      <c r="W2735" s="14"/>
      <c r="X2735" s="14"/>
      <c r="Y2735" s="4"/>
      <c r="Z2735" s="4"/>
      <c r="AA2735" s="4"/>
      <c r="AB2735" s="4"/>
      <c r="AC2735" s="4"/>
      <c r="AD2735" s="4"/>
      <c r="AE2735" s="4"/>
      <c r="AF2735" s="4"/>
      <c r="AG2735" s="4"/>
      <c r="AH2735" s="4"/>
      <c r="AI2735" s="4"/>
      <c r="AJ2735" s="4"/>
      <c r="AK2735" s="4"/>
      <c r="AL2735" s="4"/>
      <c r="AM2735" s="4"/>
      <c r="AN2735" s="4"/>
      <c r="AO2735" s="4"/>
      <c r="AP2735" s="4"/>
      <c r="AQ2735" s="4"/>
      <c r="AR2735" s="4"/>
      <c r="AS2735" s="4"/>
      <c r="AT2735" s="4"/>
      <c r="AU2735" s="4"/>
      <c r="AV2735" s="4"/>
      <c r="AW2735" s="4"/>
      <c r="AX2735" s="4"/>
      <c r="AY2735" s="4"/>
      <c r="AZ2735" s="4"/>
      <c r="BA2735" s="4"/>
      <c r="BB2735" s="4"/>
      <c r="BC2735" s="4"/>
      <c r="BD2735" s="4"/>
      <c r="BE2735" s="4"/>
      <c r="BG2735" s="4"/>
      <c r="BH2735" s="4"/>
    </row>
    <row r="2736" spans="1:60" x14ac:dyDescent="0.35">
      <c r="A2736" s="4"/>
      <c r="B2736" s="4"/>
      <c r="D2736" s="6" t="str">
        <f t="shared" si="172"/>
        <v/>
      </c>
      <c r="E2736" s="6" t="str">
        <f t="shared" si="173"/>
        <v/>
      </c>
      <c r="F2736" s="6" t="str">
        <f t="shared" si="174"/>
        <v/>
      </c>
      <c r="G2736" s="4"/>
      <c r="H2736" s="4"/>
      <c r="I2736" s="4"/>
      <c r="J2736" s="4"/>
      <c r="K2736" s="4"/>
      <c r="L2736" s="4"/>
      <c r="M2736" s="4"/>
      <c r="N2736" s="4"/>
      <c r="O2736" s="4"/>
      <c r="P2736" s="4"/>
      <c r="Q2736" s="4"/>
      <c r="R2736" s="14"/>
      <c r="S2736" s="14"/>
      <c r="T2736" s="14"/>
      <c r="U2736" s="14"/>
      <c r="V2736" s="14"/>
      <c r="W2736" s="14"/>
      <c r="X2736" s="1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4"/>
      <c r="AU2736" s="4"/>
      <c r="AV2736" s="4"/>
      <c r="AW2736" s="4"/>
      <c r="AX2736" s="4"/>
      <c r="AY2736" s="4"/>
      <c r="AZ2736" s="4"/>
      <c r="BA2736" s="4"/>
      <c r="BB2736" s="4"/>
      <c r="BC2736" s="4"/>
      <c r="BD2736" s="4"/>
      <c r="BE2736" s="4"/>
      <c r="BG2736" s="4"/>
      <c r="BH2736" s="4"/>
    </row>
    <row r="2737" spans="1:60" x14ac:dyDescent="0.35">
      <c r="A2737" s="4"/>
      <c r="B2737" s="4"/>
      <c r="D2737" s="6" t="str">
        <f t="shared" si="172"/>
        <v/>
      </c>
      <c r="E2737" s="6" t="str">
        <f t="shared" si="173"/>
        <v/>
      </c>
      <c r="F2737" s="6" t="str">
        <f t="shared" si="174"/>
        <v/>
      </c>
      <c r="G2737" s="4"/>
      <c r="H2737" s="4"/>
      <c r="I2737" s="4"/>
      <c r="J2737" s="4"/>
      <c r="K2737" s="4"/>
      <c r="L2737" s="4"/>
      <c r="M2737" s="4"/>
      <c r="N2737" s="4"/>
      <c r="O2737" s="4"/>
      <c r="P2737" s="4"/>
      <c r="Q2737" s="4"/>
      <c r="R2737" s="14"/>
      <c r="S2737" s="14"/>
      <c r="T2737" s="14"/>
      <c r="U2737" s="14"/>
      <c r="V2737" s="14"/>
      <c r="W2737" s="14"/>
      <c r="X2737" s="1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4"/>
      <c r="AU2737" s="4"/>
      <c r="AV2737" s="4"/>
      <c r="AW2737" s="4"/>
      <c r="AX2737" s="4"/>
      <c r="AY2737" s="4"/>
      <c r="AZ2737" s="4"/>
      <c r="BA2737" s="4"/>
      <c r="BB2737" s="4"/>
      <c r="BC2737" s="4"/>
      <c r="BD2737" s="4"/>
      <c r="BE2737" s="4"/>
      <c r="BG2737" s="4"/>
      <c r="BH2737" s="4"/>
    </row>
    <row r="2738" spans="1:60" x14ac:dyDescent="0.35">
      <c r="A2738" s="4"/>
      <c r="B2738" s="4"/>
      <c r="D2738" s="6" t="str">
        <f t="shared" si="172"/>
        <v/>
      </c>
      <c r="E2738" s="6" t="str">
        <f t="shared" si="173"/>
        <v/>
      </c>
      <c r="F2738" s="6" t="str">
        <f t="shared" si="174"/>
        <v/>
      </c>
      <c r="G2738" s="4"/>
      <c r="H2738" s="4"/>
      <c r="I2738" s="4"/>
      <c r="J2738" s="4"/>
      <c r="K2738" s="4"/>
      <c r="L2738" s="4"/>
      <c r="M2738" s="4"/>
      <c r="N2738" s="4"/>
      <c r="O2738" s="4"/>
      <c r="P2738" s="4"/>
      <c r="Q2738" s="4"/>
      <c r="R2738" s="14"/>
      <c r="S2738" s="14"/>
      <c r="T2738" s="14"/>
      <c r="U2738" s="14"/>
      <c r="V2738" s="14"/>
      <c r="W2738" s="14"/>
      <c r="X2738" s="1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4"/>
      <c r="AU2738" s="4"/>
      <c r="AV2738" s="4"/>
      <c r="AW2738" s="4"/>
      <c r="AX2738" s="4"/>
      <c r="AY2738" s="4"/>
      <c r="AZ2738" s="4"/>
      <c r="BA2738" s="4"/>
      <c r="BB2738" s="4"/>
      <c r="BC2738" s="4"/>
      <c r="BD2738" s="4"/>
      <c r="BE2738" s="4"/>
      <c r="BG2738" s="4"/>
      <c r="BH2738" s="4"/>
    </row>
    <row r="2739" spans="1:60" x14ac:dyDescent="0.35">
      <c r="A2739" s="4"/>
      <c r="B2739" s="4"/>
      <c r="D2739" s="6" t="str">
        <f t="shared" si="172"/>
        <v/>
      </c>
      <c r="E2739" s="6" t="str">
        <f t="shared" si="173"/>
        <v/>
      </c>
      <c r="F2739" s="6" t="str">
        <f t="shared" si="174"/>
        <v/>
      </c>
      <c r="G2739" s="4"/>
      <c r="H2739" s="4"/>
      <c r="I2739" s="4"/>
      <c r="J2739" s="4"/>
      <c r="K2739" s="4"/>
      <c r="L2739" s="4"/>
      <c r="M2739" s="4"/>
      <c r="N2739" s="4"/>
      <c r="O2739" s="4"/>
      <c r="P2739" s="4"/>
      <c r="Q2739" s="4"/>
      <c r="R2739" s="14"/>
      <c r="S2739" s="14"/>
      <c r="T2739" s="14"/>
      <c r="U2739" s="14"/>
      <c r="V2739" s="14"/>
      <c r="W2739" s="14"/>
      <c r="X2739" s="1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4"/>
      <c r="AU2739" s="4"/>
      <c r="AV2739" s="4"/>
      <c r="AW2739" s="4"/>
      <c r="AX2739" s="4"/>
      <c r="AY2739" s="4"/>
      <c r="AZ2739" s="4"/>
      <c r="BA2739" s="4"/>
      <c r="BB2739" s="4"/>
      <c r="BC2739" s="4"/>
      <c r="BD2739" s="4"/>
      <c r="BE2739" s="4"/>
      <c r="BG2739" s="4"/>
      <c r="BH2739" s="4"/>
    </row>
    <row r="2740" spans="1:60" x14ac:dyDescent="0.35">
      <c r="A2740" s="4"/>
      <c r="B2740" s="4"/>
      <c r="D2740" s="6" t="str">
        <f t="shared" si="172"/>
        <v/>
      </c>
      <c r="E2740" s="6" t="str">
        <f t="shared" si="173"/>
        <v/>
      </c>
      <c r="F2740" s="6" t="str">
        <f t="shared" si="174"/>
        <v/>
      </c>
      <c r="G2740" s="4"/>
      <c r="H2740" s="4"/>
      <c r="I2740" s="4"/>
      <c r="J2740" s="4"/>
      <c r="K2740" s="4"/>
      <c r="L2740" s="4"/>
      <c r="M2740" s="4"/>
      <c r="N2740" s="4"/>
      <c r="O2740" s="4"/>
      <c r="P2740" s="4"/>
      <c r="Q2740" s="4"/>
      <c r="R2740" s="14"/>
      <c r="S2740" s="14"/>
      <c r="T2740" s="14"/>
      <c r="U2740" s="14"/>
      <c r="V2740" s="14"/>
      <c r="W2740" s="14"/>
      <c r="X2740" s="14"/>
      <c r="Y2740" s="4"/>
      <c r="Z2740" s="4"/>
      <c r="AA2740" s="4"/>
      <c r="AB2740" s="4"/>
      <c r="AC2740" s="4"/>
      <c r="AD2740" s="4"/>
      <c r="AE2740" s="4"/>
      <c r="AF2740" s="4"/>
      <c r="AG2740" s="4"/>
      <c r="AH2740" s="4"/>
      <c r="AI2740" s="4"/>
      <c r="AJ2740" s="4"/>
      <c r="AK2740" s="4"/>
      <c r="AL2740" s="4"/>
      <c r="AM2740" s="4"/>
      <c r="AN2740" s="4"/>
      <c r="AO2740" s="4"/>
      <c r="AP2740" s="4"/>
      <c r="AQ2740" s="4"/>
      <c r="AR2740" s="4"/>
      <c r="AS2740" s="4"/>
      <c r="AT2740" s="4"/>
      <c r="AU2740" s="4"/>
      <c r="AV2740" s="4"/>
      <c r="AW2740" s="4"/>
      <c r="AX2740" s="4"/>
      <c r="AY2740" s="4"/>
      <c r="AZ2740" s="4"/>
      <c r="BA2740" s="4"/>
      <c r="BB2740" s="4"/>
      <c r="BC2740" s="4"/>
      <c r="BD2740" s="4"/>
      <c r="BE2740" s="4"/>
      <c r="BG2740" s="4"/>
      <c r="BH2740" s="4"/>
    </row>
    <row r="2741" spans="1:60" x14ac:dyDescent="0.35">
      <c r="A2741" s="4"/>
      <c r="B2741" s="4"/>
      <c r="D2741" s="6" t="str">
        <f t="shared" si="172"/>
        <v/>
      </c>
      <c r="E2741" s="6" t="str">
        <f t="shared" si="173"/>
        <v/>
      </c>
      <c r="F2741" s="6" t="str">
        <f t="shared" si="174"/>
        <v/>
      </c>
      <c r="G2741" s="4"/>
      <c r="H2741" s="4"/>
      <c r="I2741" s="4"/>
      <c r="J2741" s="4"/>
      <c r="K2741" s="4"/>
      <c r="L2741" s="4"/>
      <c r="M2741" s="4"/>
      <c r="N2741" s="4"/>
      <c r="O2741" s="4"/>
      <c r="P2741" s="4"/>
      <c r="Q2741" s="4"/>
      <c r="R2741" s="14"/>
      <c r="S2741" s="14"/>
      <c r="T2741" s="14"/>
      <c r="U2741" s="14"/>
      <c r="V2741" s="14"/>
      <c r="W2741" s="14"/>
      <c r="X2741" s="1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4"/>
      <c r="AU2741" s="4"/>
      <c r="AV2741" s="4"/>
      <c r="AW2741" s="4"/>
      <c r="AX2741" s="4"/>
      <c r="AY2741" s="4"/>
      <c r="AZ2741" s="4"/>
      <c r="BA2741" s="4"/>
      <c r="BB2741" s="4"/>
      <c r="BC2741" s="4"/>
      <c r="BD2741" s="4"/>
      <c r="BE2741" s="4"/>
      <c r="BG2741" s="4"/>
      <c r="BH2741" s="4"/>
    </row>
    <row r="2742" spans="1:60" x14ac:dyDescent="0.35">
      <c r="A2742" s="4"/>
      <c r="B2742" s="4"/>
      <c r="D2742" s="6" t="str">
        <f t="shared" si="172"/>
        <v/>
      </c>
      <c r="E2742" s="6" t="str">
        <f t="shared" si="173"/>
        <v/>
      </c>
      <c r="F2742" s="6" t="str">
        <f t="shared" si="174"/>
        <v/>
      </c>
      <c r="G2742" s="4"/>
      <c r="H2742" s="4"/>
      <c r="I2742" s="4"/>
      <c r="J2742" s="4"/>
      <c r="K2742" s="4"/>
      <c r="L2742" s="4"/>
      <c r="M2742" s="4"/>
      <c r="N2742" s="4"/>
      <c r="O2742" s="4"/>
      <c r="P2742" s="4"/>
      <c r="Q2742" s="4"/>
      <c r="R2742" s="14"/>
      <c r="S2742" s="14"/>
      <c r="T2742" s="14"/>
      <c r="U2742" s="14"/>
      <c r="V2742" s="14"/>
      <c r="W2742" s="14"/>
      <c r="X2742" s="1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4"/>
      <c r="AU2742" s="4"/>
      <c r="AV2742" s="4"/>
      <c r="AW2742" s="4"/>
      <c r="AX2742" s="4"/>
      <c r="AY2742" s="4"/>
      <c r="AZ2742" s="4"/>
      <c r="BA2742" s="4"/>
      <c r="BB2742" s="4"/>
      <c r="BC2742" s="4"/>
      <c r="BD2742" s="4"/>
      <c r="BE2742" s="4"/>
      <c r="BG2742" s="4"/>
      <c r="BH2742" s="4"/>
    </row>
    <row r="2743" spans="1:60" x14ac:dyDescent="0.35">
      <c r="A2743" s="4"/>
      <c r="B2743" s="4"/>
      <c r="D2743" s="6" t="str">
        <f t="shared" si="172"/>
        <v/>
      </c>
      <c r="E2743" s="6" t="str">
        <f t="shared" si="173"/>
        <v/>
      </c>
      <c r="F2743" s="6" t="str">
        <f t="shared" si="174"/>
        <v/>
      </c>
      <c r="G2743" s="4"/>
      <c r="H2743" s="4"/>
      <c r="I2743" s="4"/>
      <c r="J2743" s="4"/>
      <c r="K2743" s="4"/>
      <c r="L2743" s="4"/>
      <c r="M2743" s="4"/>
      <c r="N2743" s="4"/>
      <c r="O2743" s="4"/>
      <c r="P2743" s="4"/>
      <c r="Q2743" s="4"/>
      <c r="R2743" s="14"/>
      <c r="S2743" s="14"/>
      <c r="T2743" s="14"/>
      <c r="U2743" s="14"/>
      <c r="V2743" s="14"/>
      <c r="W2743" s="14"/>
      <c r="X2743" s="1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c r="AV2743" s="4"/>
      <c r="AW2743" s="4"/>
      <c r="AX2743" s="4"/>
      <c r="AY2743" s="4"/>
      <c r="AZ2743" s="4"/>
      <c r="BA2743" s="4"/>
      <c r="BB2743" s="4"/>
      <c r="BC2743" s="4"/>
      <c r="BD2743" s="4"/>
      <c r="BE2743" s="4"/>
      <c r="BG2743" s="4"/>
      <c r="BH2743" s="4"/>
    </row>
    <row r="2744" spans="1:60" x14ac:dyDescent="0.35">
      <c r="A2744" s="4"/>
      <c r="B2744" s="4"/>
      <c r="D2744" s="6" t="str">
        <f t="shared" si="172"/>
        <v/>
      </c>
      <c r="E2744" s="6" t="str">
        <f t="shared" si="173"/>
        <v/>
      </c>
      <c r="F2744" s="6" t="str">
        <f t="shared" si="174"/>
        <v/>
      </c>
      <c r="G2744" s="4"/>
      <c r="H2744" s="4"/>
      <c r="I2744" s="4"/>
      <c r="J2744" s="4"/>
      <c r="K2744" s="4"/>
      <c r="L2744" s="4"/>
      <c r="M2744" s="4"/>
      <c r="N2744" s="4"/>
      <c r="O2744" s="4"/>
      <c r="P2744" s="4"/>
      <c r="Q2744" s="4"/>
      <c r="R2744" s="14"/>
      <c r="S2744" s="14"/>
      <c r="T2744" s="14"/>
      <c r="U2744" s="14"/>
      <c r="V2744" s="14"/>
      <c r="W2744" s="14"/>
      <c r="X2744" s="14"/>
      <c r="Y2744" s="4"/>
      <c r="Z2744" s="4"/>
      <c r="AA2744" s="4"/>
      <c r="AB2744" s="4"/>
      <c r="AC2744" s="4"/>
      <c r="AD2744" s="4"/>
      <c r="AE2744" s="4"/>
      <c r="AF2744" s="4"/>
      <c r="AG2744" s="4"/>
      <c r="AH2744" s="4"/>
      <c r="AI2744" s="4"/>
      <c r="AJ2744" s="4"/>
      <c r="AK2744" s="4"/>
      <c r="AL2744" s="4"/>
      <c r="AM2744" s="4"/>
      <c r="AN2744" s="4"/>
      <c r="AO2744" s="4"/>
      <c r="AP2744" s="4"/>
      <c r="AQ2744" s="4"/>
      <c r="AR2744" s="4"/>
      <c r="AS2744" s="4"/>
      <c r="AT2744" s="4"/>
      <c r="AU2744" s="4"/>
      <c r="AV2744" s="4"/>
      <c r="AW2744" s="4"/>
      <c r="AX2744" s="4"/>
      <c r="AY2744" s="4"/>
      <c r="AZ2744" s="4"/>
      <c r="BA2744" s="4"/>
      <c r="BB2744" s="4"/>
      <c r="BC2744" s="4"/>
      <c r="BD2744" s="4"/>
      <c r="BE2744" s="4"/>
      <c r="BG2744" s="4"/>
      <c r="BH2744" s="4"/>
    </row>
    <row r="2745" spans="1:60" x14ac:dyDescent="0.35">
      <c r="A2745" s="4"/>
      <c r="B2745" s="4"/>
      <c r="D2745" s="6" t="str">
        <f t="shared" si="172"/>
        <v/>
      </c>
      <c r="E2745" s="6" t="str">
        <f t="shared" si="173"/>
        <v/>
      </c>
      <c r="F2745" s="6" t="str">
        <f t="shared" si="174"/>
        <v/>
      </c>
      <c r="G2745" s="4"/>
      <c r="H2745" s="4"/>
      <c r="I2745" s="4"/>
      <c r="J2745" s="4"/>
      <c r="K2745" s="4"/>
      <c r="L2745" s="4"/>
      <c r="M2745" s="4"/>
      <c r="N2745" s="4"/>
      <c r="O2745" s="4"/>
      <c r="P2745" s="4"/>
      <c r="Q2745" s="4"/>
      <c r="R2745" s="14"/>
      <c r="S2745" s="14"/>
      <c r="T2745" s="14"/>
      <c r="U2745" s="14"/>
      <c r="V2745" s="14"/>
      <c r="W2745" s="14"/>
      <c r="X2745" s="14"/>
      <c r="Y2745" s="4"/>
      <c r="Z2745" s="4"/>
      <c r="AA2745" s="4"/>
      <c r="AB2745" s="4"/>
      <c r="AC2745" s="4"/>
      <c r="AD2745" s="4"/>
      <c r="AE2745" s="4"/>
      <c r="AF2745" s="4"/>
      <c r="AG2745" s="4"/>
      <c r="AH2745" s="4"/>
      <c r="AI2745" s="4"/>
      <c r="AJ2745" s="4"/>
      <c r="AK2745" s="4"/>
      <c r="AL2745" s="4"/>
      <c r="AM2745" s="4"/>
      <c r="AN2745" s="4"/>
      <c r="AO2745" s="4"/>
      <c r="AP2745" s="4"/>
      <c r="AQ2745" s="4"/>
      <c r="AR2745" s="4"/>
      <c r="AS2745" s="4"/>
      <c r="AT2745" s="4"/>
      <c r="AU2745" s="4"/>
      <c r="AV2745" s="4"/>
      <c r="AW2745" s="4"/>
      <c r="AX2745" s="4"/>
      <c r="AY2745" s="4"/>
      <c r="AZ2745" s="4"/>
      <c r="BA2745" s="4"/>
      <c r="BB2745" s="4"/>
      <c r="BC2745" s="4"/>
      <c r="BD2745" s="4"/>
      <c r="BE2745" s="4"/>
      <c r="BG2745" s="4"/>
      <c r="BH2745" s="4"/>
    </row>
    <row r="2746" spans="1:60" x14ac:dyDescent="0.35">
      <c r="A2746" s="4"/>
      <c r="B2746" s="4"/>
      <c r="D2746" s="6" t="str">
        <f t="shared" si="172"/>
        <v/>
      </c>
      <c r="E2746" s="6" t="str">
        <f t="shared" si="173"/>
        <v/>
      </c>
      <c r="F2746" s="6" t="str">
        <f t="shared" si="174"/>
        <v/>
      </c>
      <c r="G2746" s="4"/>
      <c r="H2746" s="4"/>
      <c r="I2746" s="4"/>
      <c r="J2746" s="4"/>
      <c r="K2746" s="4"/>
      <c r="L2746" s="4"/>
      <c r="M2746" s="4"/>
      <c r="N2746" s="4"/>
      <c r="O2746" s="4"/>
      <c r="P2746" s="4"/>
      <c r="Q2746" s="4"/>
      <c r="R2746" s="14"/>
      <c r="S2746" s="14"/>
      <c r="T2746" s="14"/>
      <c r="U2746" s="14"/>
      <c r="V2746" s="14"/>
      <c r="W2746" s="14"/>
      <c r="X2746" s="14"/>
      <c r="Y2746" s="4"/>
      <c r="Z2746" s="4"/>
      <c r="AA2746" s="4"/>
      <c r="AB2746" s="4"/>
      <c r="AC2746" s="4"/>
      <c r="AD2746" s="4"/>
      <c r="AE2746" s="4"/>
      <c r="AF2746" s="4"/>
      <c r="AG2746" s="4"/>
      <c r="AH2746" s="4"/>
      <c r="AI2746" s="4"/>
      <c r="AJ2746" s="4"/>
      <c r="AK2746" s="4"/>
      <c r="AL2746" s="4"/>
      <c r="AM2746" s="4"/>
      <c r="AN2746" s="4"/>
      <c r="AO2746" s="4"/>
      <c r="AP2746" s="4"/>
      <c r="AQ2746" s="4"/>
      <c r="AR2746" s="4"/>
      <c r="AS2746" s="4"/>
      <c r="AT2746" s="4"/>
      <c r="AU2746" s="4"/>
      <c r="AV2746" s="4"/>
      <c r="AW2746" s="4"/>
      <c r="AX2746" s="4"/>
      <c r="AY2746" s="4"/>
      <c r="AZ2746" s="4"/>
      <c r="BA2746" s="4"/>
      <c r="BB2746" s="4"/>
      <c r="BC2746" s="4"/>
      <c r="BD2746" s="4"/>
      <c r="BE2746" s="4"/>
      <c r="BG2746" s="4"/>
      <c r="BH2746" s="4"/>
    </row>
    <row r="2747" spans="1:60" x14ac:dyDescent="0.35">
      <c r="A2747" s="4"/>
      <c r="B2747" s="4"/>
      <c r="D2747" s="6" t="str">
        <f t="shared" si="172"/>
        <v/>
      </c>
      <c r="E2747" s="6" t="str">
        <f t="shared" si="173"/>
        <v/>
      </c>
      <c r="F2747" s="6" t="str">
        <f t="shared" si="174"/>
        <v/>
      </c>
      <c r="G2747" s="4"/>
      <c r="H2747" s="4"/>
      <c r="I2747" s="4"/>
      <c r="J2747" s="4"/>
      <c r="K2747" s="4"/>
      <c r="L2747" s="4"/>
      <c r="M2747" s="4"/>
      <c r="N2747" s="4"/>
      <c r="O2747" s="4"/>
      <c r="P2747" s="4"/>
      <c r="Q2747" s="4"/>
      <c r="R2747" s="14"/>
      <c r="S2747" s="14"/>
      <c r="T2747" s="14"/>
      <c r="U2747" s="14"/>
      <c r="V2747" s="14"/>
      <c r="W2747" s="14"/>
      <c r="X2747" s="14"/>
      <c r="Y2747" s="4"/>
      <c r="Z2747" s="4"/>
      <c r="AA2747" s="4"/>
      <c r="AB2747" s="4"/>
      <c r="AC2747" s="4"/>
      <c r="AD2747" s="4"/>
      <c r="AE2747" s="4"/>
      <c r="AF2747" s="4"/>
      <c r="AG2747" s="4"/>
      <c r="AH2747" s="4"/>
      <c r="AI2747" s="4"/>
      <c r="AJ2747" s="4"/>
      <c r="AK2747" s="4"/>
      <c r="AL2747" s="4"/>
      <c r="AM2747" s="4"/>
      <c r="AN2747" s="4"/>
      <c r="AO2747" s="4"/>
      <c r="AP2747" s="4"/>
      <c r="AQ2747" s="4"/>
      <c r="AR2747" s="4"/>
      <c r="AS2747" s="4"/>
      <c r="AT2747" s="4"/>
      <c r="AU2747" s="4"/>
      <c r="AV2747" s="4"/>
      <c r="AW2747" s="4"/>
      <c r="AX2747" s="4"/>
      <c r="AY2747" s="4"/>
      <c r="AZ2747" s="4"/>
      <c r="BA2747" s="4"/>
      <c r="BB2747" s="4"/>
      <c r="BC2747" s="4"/>
      <c r="BD2747" s="4"/>
      <c r="BE2747" s="4"/>
      <c r="BG2747" s="4"/>
      <c r="BH2747" s="4"/>
    </row>
    <row r="2748" spans="1:60" x14ac:dyDescent="0.35">
      <c r="A2748" s="4"/>
      <c r="B2748" s="4"/>
      <c r="D2748" s="6" t="str">
        <f t="shared" si="172"/>
        <v/>
      </c>
      <c r="E2748" s="6" t="str">
        <f t="shared" si="173"/>
        <v/>
      </c>
      <c r="F2748" s="6" t="str">
        <f t="shared" si="174"/>
        <v/>
      </c>
      <c r="G2748" s="4"/>
      <c r="H2748" s="4"/>
      <c r="I2748" s="4"/>
      <c r="J2748" s="4"/>
      <c r="K2748" s="4"/>
      <c r="L2748" s="4"/>
      <c r="M2748" s="4"/>
      <c r="N2748" s="4"/>
      <c r="O2748" s="4"/>
      <c r="P2748" s="4"/>
      <c r="Q2748" s="4"/>
      <c r="R2748" s="14"/>
      <c r="S2748" s="14"/>
      <c r="T2748" s="14"/>
      <c r="U2748" s="14"/>
      <c r="V2748" s="14"/>
      <c r="W2748" s="14"/>
      <c r="X2748" s="14"/>
      <c r="Y2748" s="4"/>
      <c r="Z2748" s="4"/>
      <c r="AA2748" s="4"/>
      <c r="AB2748" s="4"/>
      <c r="AC2748" s="4"/>
      <c r="AD2748" s="4"/>
      <c r="AE2748" s="4"/>
      <c r="AF2748" s="4"/>
      <c r="AG2748" s="4"/>
      <c r="AH2748" s="4"/>
      <c r="AI2748" s="4"/>
      <c r="AJ2748" s="4"/>
      <c r="AK2748" s="4"/>
      <c r="AL2748" s="4"/>
      <c r="AM2748" s="4"/>
      <c r="AN2748" s="4"/>
      <c r="AO2748" s="4"/>
      <c r="AP2748" s="4"/>
      <c r="AQ2748" s="4"/>
      <c r="AR2748" s="4"/>
      <c r="AS2748" s="4"/>
      <c r="AT2748" s="4"/>
      <c r="AU2748" s="4"/>
      <c r="AV2748" s="4"/>
      <c r="AW2748" s="4"/>
      <c r="AX2748" s="4"/>
      <c r="AY2748" s="4"/>
      <c r="AZ2748" s="4"/>
      <c r="BA2748" s="4"/>
      <c r="BB2748" s="4"/>
      <c r="BC2748" s="4"/>
      <c r="BD2748" s="4"/>
      <c r="BE2748" s="4"/>
      <c r="BG2748" s="4"/>
      <c r="BH2748" s="4"/>
    </row>
    <row r="2749" spans="1:60" x14ac:dyDescent="0.35">
      <c r="A2749" s="4"/>
      <c r="B2749" s="4"/>
      <c r="D2749" s="6" t="str">
        <f t="shared" ref="D2749:D2760" si="175">IF(C2749="","",VLOOKUP(C2749,district_region,2,FALSE))</f>
        <v/>
      </c>
      <c r="E2749" s="6" t="str">
        <f t="shared" ref="E2749:E2760" si="176">IF(C2749="","",VLOOKUP(C2749,liste_pop,3,FALSE))</f>
        <v/>
      </c>
      <c r="F2749" s="6" t="str">
        <f t="shared" ref="F2749:F2760" si="177">IF(D2749="","",IF(D2749="Dakar",4042240,VLOOKUP(D2749,liste_pop,4,FALSE)))</f>
        <v/>
      </c>
      <c r="G2749" s="4"/>
      <c r="H2749" s="4"/>
      <c r="I2749" s="4"/>
      <c r="J2749" s="4"/>
      <c r="K2749" s="4"/>
      <c r="L2749" s="4"/>
      <c r="M2749" s="4"/>
      <c r="N2749" s="4"/>
      <c r="O2749" s="4"/>
      <c r="P2749" s="4"/>
      <c r="Q2749" s="4"/>
      <c r="R2749" s="14"/>
      <c r="S2749" s="14"/>
      <c r="T2749" s="14"/>
      <c r="U2749" s="14"/>
      <c r="V2749" s="14"/>
      <c r="W2749" s="14"/>
      <c r="X2749" s="14"/>
      <c r="Y2749" s="4"/>
      <c r="Z2749" s="4"/>
      <c r="AA2749" s="4"/>
      <c r="AB2749" s="4"/>
      <c r="AC2749" s="4"/>
      <c r="AD2749" s="4"/>
      <c r="AE2749" s="4"/>
      <c r="AF2749" s="4"/>
      <c r="AG2749" s="4"/>
      <c r="AH2749" s="4"/>
      <c r="AI2749" s="4"/>
      <c r="AJ2749" s="4"/>
      <c r="AK2749" s="4"/>
      <c r="AL2749" s="4"/>
      <c r="AM2749" s="4"/>
      <c r="AN2749" s="4"/>
      <c r="AO2749" s="4"/>
      <c r="AP2749" s="4"/>
      <c r="AQ2749" s="4"/>
      <c r="AR2749" s="4"/>
      <c r="AS2749" s="4"/>
      <c r="AT2749" s="4"/>
      <c r="AU2749" s="4"/>
      <c r="AV2749" s="4"/>
      <c r="AW2749" s="4"/>
      <c r="AX2749" s="4"/>
      <c r="AY2749" s="4"/>
      <c r="AZ2749" s="4"/>
      <c r="BA2749" s="4"/>
      <c r="BB2749" s="4"/>
      <c r="BC2749" s="4"/>
      <c r="BD2749" s="4"/>
      <c r="BE2749" s="4"/>
      <c r="BG2749" s="4"/>
      <c r="BH2749" s="4"/>
    </row>
    <row r="2750" spans="1:60" x14ac:dyDescent="0.35">
      <c r="A2750" s="4"/>
      <c r="B2750" s="4"/>
      <c r="D2750" s="6" t="str">
        <f t="shared" si="175"/>
        <v/>
      </c>
      <c r="E2750" s="6" t="str">
        <f t="shared" si="176"/>
        <v/>
      </c>
      <c r="F2750" s="6" t="str">
        <f t="shared" si="177"/>
        <v/>
      </c>
      <c r="G2750" s="4"/>
      <c r="H2750" s="4"/>
      <c r="I2750" s="4"/>
      <c r="J2750" s="4"/>
      <c r="K2750" s="4"/>
      <c r="L2750" s="4"/>
      <c r="M2750" s="4"/>
      <c r="N2750" s="4"/>
      <c r="O2750" s="4"/>
      <c r="P2750" s="4"/>
      <c r="Q2750" s="4"/>
      <c r="R2750" s="14"/>
      <c r="S2750" s="14"/>
      <c r="T2750" s="14"/>
      <c r="U2750" s="14"/>
      <c r="V2750" s="14"/>
      <c r="W2750" s="14"/>
      <c r="X2750" s="14"/>
      <c r="Y2750" s="4"/>
      <c r="Z2750" s="4"/>
      <c r="AA2750" s="4"/>
      <c r="AB2750" s="4"/>
      <c r="AC2750" s="4"/>
      <c r="AD2750" s="4"/>
      <c r="AE2750" s="4"/>
      <c r="AF2750" s="4"/>
      <c r="AG2750" s="4"/>
      <c r="AH2750" s="4"/>
      <c r="AI2750" s="4"/>
      <c r="AJ2750" s="4"/>
      <c r="AK2750" s="4"/>
      <c r="AL2750" s="4"/>
      <c r="AM2750" s="4"/>
      <c r="AN2750" s="4"/>
      <c r="AO2750" s="4"/>
      <c r="AP2750" s="4"/>
      <c r="AQ2750" s="4"/>
      <c r="AR2750" s="4"/>
      <c r="AS2750" s="4"/>
      <c r="AT2750" s="4"/>
      <c r="AU2750" s="4"/>
      <c r="AV2750" s="4"/>
      <c r="AW2750" s="4"/>
      <c r="AX2750" s="4"/>
      <c r="AY2750" s="4"/>
      <c r="AZ2750" s="4"/>
      <c r="BA2750" s="4"/>
      <c r="BB2750" s="4"/>
      <c r="BC2750" s="4"/>
      <c r="BD2750" s="4"/>
      <c r="BE2750" s="4"/>
      <c r="BG2750" s="4"/>
      <c r="BH2750" s="4"/>
    </row>
    <row r="2751" spans="1:60" x14ac:dyDescent="0.35">
      <c r="A2751" s="4"/>
      <c r="B2751" s="4"/>
      <c r="D2751" s="6" t="str">
        <f t="shared" si="175"/>
        <v/>
      </c>
      <c r="E2751" s="6" t="str">
        <f t="shared" si="176"/>
        <v/>
      </c>
      <c r="F2751" s="6" t="str">
        <f t="shared" si="177"/>
        <v/>
      </c>
      <c r="G2751" s="4"/>
      <c r="H2751" s="4"/>
      <c r="I2751" s="4"/>
      <c r="J2751" s="4"/>
      <c r="K2751" s="4"/>
      <c r="L2751" s="4"/>
      <c r="M2751" s="4"/>
      <c r="N2751" s="4"/>
      <c r="O2751" s="4"/>
      <c r="P2751" s="4"/>
      <c r="Q2751" s="4"/>
      <c r="R2751" s="14"/>
      <c r="S2751" s="14"/>
      <c r="T2751" s="14"/>
      <c r="U2751" s="14"/>
      <c r="V2751" s="14"/>
      <c r="W2751" s="14"/>
      <c r="X2751" s="14"/>
      <c r="Y2751" s="4"/>
      <c r="Z2751" s="4"/>
      <c r="AA2751" s="4"/>
      <c r="AB2751" s="4"/>
      <c r="AC2751" s="4"/>
      <c r="AD2751" s="4"/>
      <c r="AE2751" s="4"/>
      <c r="AF2751" s="4"/>
      <c r="AG2751" s="4"/>
      <c r="AH2751" s="4"/>
      <c r="AI2751" s="4"/>
      <c r="AJ2751" s="4"/>
      <c r="AK2751" s="4"/>
      <c r="AL2751" s="4"/>
      <c r="AM2751" s="4"/>
      <c r="AN2751" s="4"/>
      <c r="AO2751" s="4"/>
      <c r="AP2751" s="4"/>
      <c r="AQ2751" s="4"/>
      <c r="AR2751" s="4"/>
      <c r="AS2751" s="4"/>
      <c r="AT2751" s="4"/>
      <c r="AU2751" s="4"/>
      <c r="AV2751" s="4"/>
      <c r="AW2751" s="4"/>
      <c r="AX2751" s="4"/>
      <c r="AY2751" s="4"/>
      <c r="AZ2751" s="4"/>
      <c r="BA2751" s="4"/>
      <c r="BB2751" s="4"/>
      <c r="BC2751" s="4"/>
      <c r="BD2751" s="4"/>
      <c r="BE2751" s="4"/>
      <c r="BG2751" s="4"/>
      <c r="BH2751" s="4"/>
    </row>
    <row r="2752" spans="1:60" x14ac:dyDescent="0.35">
      <c r="A2752" s="4"/>
      <c r="B2752" s="4"/>
      <c r="D2752" s="6" t="str">
        <f t="shared" si="175"/>
        <v/>
      </c>
      <c r="E2752" s="6" t="str">
        <f t="shared" si="176"/>
        <v/>
      </c>
      <c r="F2752" s="6" t="str">
        <f t="shared" si="177"/>
        <v/>
      </c>
      <c r="G2752" s="4"/>
      <c r="H2752" s="4"/>
      <c r="I2752" s="4"/>
      <c r="J2752" s="4"/>
      <c r="K2752" s="4"/>
      <c r="L2752" s="4"/>
      <c r="M2752" s="4"/>
      <c r="N2752" s="4"/>
      <c r="O2752" s="4"/>
      <c r="P2752" s="4"/>
      <c r="Q2752" s="4"/>
      <c r="R2752" s="14"/>
      <c r="S2752" s="14"/>
      <c r="T2752" s="14"/>
      <c r="U2752" s="14"/>
      <c r="V2752" s="14"/>
      <c r="W2752" s="14"/>
      <c r="X2752" s="1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c r="AV2752" s="4"/>
      <c r="AW2752" s="4"/>
      <c r="AX2752" s="4"/>
      <c r="AY2752" s="4"/>
      <c r="AZ2752" s="4"/>
      <c r="BA2752" s="4"/>
      <c r="BB2752" s="4"/>
      <c r="BC2752" s="4"/>
      <c r="BD2752" s="4"/>
      <c r="BE2752" s="4"/>
      <c r="BG2752" s="4"/>
      <c r="BH2752" s="4"/>
    </row>
    <row r="2753" spans="1:60" x14ac:dyDescent="0.35">
      <c r="A2753" s="4"/>
      <c r="B2753" s="4"/>
      <c r="D2753" s="6" t="str">
        <f t="shared" si="175"/>
        <v/>
      </c>
      <c r="E2753" s="6" t="str">
        <f t="shared" si="176"/>
        <v/>
      </c>
      <c r="F2753" s="6" t="str">
        <f t="shared" si="177"/>
        <v/>
      </c>
      <c r="G2753" s="4"/>
      <c r="H2753" s="4"/>
      <c r="I2753" s="4"/>
      <c r="J2753" s="4"/>
      <c r="K2753" s="4"/>
      <c r="L2753" s="4"/>
      <c r="M2753" s="4"/>
      <c r="N2753" s="4"/>
      <c r="O2753" s="4"/>
      <c r="P2753" s="4"/>
      <c r="Q2753" s="4"/>
      <c r="R2753" s="14"/>
      <c r="S2753" s="14"/>
      <c r="T2753" s="14"/>
      <c r="U2753" s="14"/>
      <c r="V2753" s="14"/>
      <c r="W2753" s="14"/>
      <c r="X2753" s="14"/>
      <c r="Y2753" s="4"/>
      <c r="Z2753" s="4"/>
      <c r="AA2753" s="4"/>
      <c r="AB2753" s="4"/>
      <c r="AC2753" s="4"/>
      <c r="AD2753" s="4"/>
      <c r="AE2753" s="4"/>
      <c r="AF2753" s="4"/>
      <c r="AG2753" s="4"/>
      <c r="AH2753" s="4"/>
      <c r="AI2753" s="4"/>
      <c r="AJ2753" s="4"/>
      <c r="AK2753" s="4"/>
      <c r="AL2753" s="4"/>
      <c r="AM2753" s="4"/>
      <c r="AN2753" s="4"/>
      <c r="AO2753" s="4"/>
      <c r="AP2753" s="4"/>
      <c r="AQ2753" s="4"/>
      <c r="AR2753" s="4"/>
      <c r="AS2753" s="4"/>
      <c r="AT2753" s="4"/>
      <c r="AU2753" s="4"/>
      <c r="AV2753" s="4"/>
      <c r="AW2753" s="4"/>
      <c r="AX2753" s="4"/>
      <c r="AY2753" s="4"/>
      <c r="AZ2753" s="4"/>
      <c r="BA2753" s="4"/>
      <c r="BB2753" s="4"/>
      <c r="BC2753" s="4"/>
      <c r="BD2753" s="4"/>
      <c r="BE2753" s="4"/>
      <c r="BG2753" s="4"/>
      <c r="BH2753" s="4"/>
    </row>
    <row r="2754" spans="1:60" x14ac:dyDescent="0.35">
      <c r="A2754" s="4"/>
      <c r="B2754" s="4"/>
      <c r="D2754" s="6" t="str">
        <f t="shared" si="175"/>
        <v/>
      </c>
      <c r="E2754" s="6" t="str">
        <f t="shared" si="176"/>
        <v/>
      </c>
      <c r="F2754" s="6" t="str">
        <f t="shared" si="177"/>
        <v/>
      </c>
      <c r="G2754" s="4"/>
      <c r="H2754" s="4"/>
      <c r="I2754" s="4"/>
      <c r="J2754" s="4"/>
      <c r="K2754" s="4"/>
      <c r="L2754" s="4"/>
      <c r="M2754" s="4"/>
      <c r="N2754" s="4"/>
      <c r="O2754" s="4"/>
      <c r="P2754" s="4"/>
      <c r="Q2754" s="4"/>
      <c r="R2754" s="14"/>
      <c r="S2754" s="14"/>
      <c r="T2754" s="14"/>
      <c r="U2754" s="14"/>
      <c r="V2754" s="14"/>
      <c r="W2754" s="14"/>
      <c r="X2754" s="1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c r="AV2754" s="4"/>
      <c r="AW2754" s="4"/>
      <c r="AX2754" s="4"/>
      <c r="AY2754" s="4"/>
      <c r="AZ2754" s="4"/>
      <c r="BA2754" s="4"/>
      <c r="BB2754" s="4"/>
      <c r="BC2754" s="4"/>
      <c r="BD2754" s="4"/>
      <c r="BE2754" s="4"/>
      <c r="BG2754" s="4"/>
      <c r="BH2754" s="4"/>
    </row>
    <row r="2755" spans="1:60" x14ac:dyDescent="0.35">
      <c r="A2755" s="4"/>
      <c r="B2755" s="4"/>
      <c r="D2755" s="6" t="str">
        <f t="shared" si="175"/>
        <v/>
      </c>
      <c r="E2755" s="6" t="str">
        <f t="shared" si="176"/>
        <v/>
      </c>
      <c r="F2755" s="6" t="str">
        <f t="shared" si="177"/>
        <v/>
      </c>
      <c r="G2755" s="4"/>
      <c r="H2755" s="4"/>
      <c r="I2755" s="4"/>
      <c r="J2755" s="4"/>
      <c r="K2755" s="4"/>
      <c r="L2755" s="4"/>
      <c r="M2755" s="4"/>
      <c r="N2755" s="4"/>
      <c r="O2755" s="4"/>
      <c r="P2755" s="4"/>
      <c r="Q2755" s="4"/>
      <c r="R2755" s="14"/>
      <c r="S2755" s="14"/>
      <c r="T2755" s="14"/>
      <c r="U2755" s="14"/>
      <c r="V2755" s="14"/>
      <c r="W2755" s="14"/>
      <c r="X2755" s="14"/>
      <c r="Y2755" s="4"/>
      <c r="Z2755" s="4"/>
      <c r="AA2755" s="4"/>
      <c r="AB2755" s="4"/>
      <c r="AC2755" s="4"/>
      <c r="AD2755" s="4"/>
      <c r="AE2755" s="4"/>
      <c r="AF2755" s="4"/>
      <c r="AG2755" s="4"/>
      <c r="AH2755" s="4"/>
      <c r="AI2755" s="4"/>
      <c r="AJ2755" s="4"/>
      <c r="AK2755" s="4"/>
      <c r="AL2755" s="4"/>
      <c r="AM2755" s="4"/>
      <c r="AN2755" s="4"/>
      <c r="AO2755" s="4"/>
      <c r="AP2755" s="4"/>
      <c r="AQ2755" s="4"/>
      <c r="AR2755" s="4"/>
      <c r="AS2755" s="4"/>
      <c r="AT2755" s="4"/>
      <c r="AU2755" s="4"/>
      <c r="AV2755" s="4"/>
      <c r="AW2755" s="4"/>
      <c r="AX2755" s="4"/>
      <c r="AY2755" s="4"/>
      <c r="AZ2755" s="4"/>
      <c r="BA2755" s="4"/>
      <c r="BB2755" s="4"/>
      <c r="BC2755" s="4"/>
      <c r="BD2755" s="4"/>
      <c r="BE2755" s="4"/>
      <c r="BG2755" s="4"/>
      <c r="BH2755" s="4"/>
    </row>
    <row r="2756" spans="1:60" x14ac:dyDescent="0.35">
      <c r="A2756" s="4"/>
      <c r="B2756" s="4"/>
      <c r="D2756" s="6" t="str">
        <f t="shared" si="175"/>
        <v/>
      </c>
      <c r="E2756" s="6" t="str">
        <f t="shared" si="176"/>
        <v/>
      </c>
      <c r="F2756" s="6" t="str">
        <f t="shared" si="177"/>
        <v/>
      </c>
      <c r="G2756" s="4"/>
      <c r="H2756" s="4"/>
      <c r="I2756" s="4"/>
      <c r="J2756" s="4"/>
      <c r="K2756" s="4"/>
      <c r="L2756" s="4"/>
      <c r="M2756" s="4"/>
      <c r="N2756" s="4"/>
      <c r="O2756" s="4"/>
      <c r="P2756" s="4"/>
      <c r="Q2756" s="4"/>
      <c r="R2756" s="14"/>
      <c r="S2756" s="14"/>
      <c r="T2756" s="14"/>
      <c r="U2756" s="14"/>
      <c r="V2756" s="14"/>
      <c r="W2756" s="14"/>
      <c r="X2756" s="14"/>
      <c r="Y2756" s="4"/>
      <c r="Z2756" s="4"/>
      <c r="AA2756" s="4"/>
      <c r="AB2756" s="4"/>
      <c r="AC2756" s="4"/>
      <c r="AD2756" s="4"/>
      <c r="AE2756" s="4"/>
      <c r="AF2756" s="4"/>
      <c r="AG2756" s="4"/>
      <c r="AH2756" s="4"/>
      <c r="AI2756" s="4"/>
      <c r="AJ2756" s="4"/>
      <c r="AK2756" s="4"/>
      <c r="AL2756" s="4"/>
      <c r="AM2756" s="4"/>
      <c r="AN2756" s="4"/>
      <c r="AO2756" s="4"/>
      <c r="AP2756" s="4"/>
      <c r="AQ2756" s="4"/>
      <c r="AR2756" s="4"/>
      <c r="AS2756" s="4"/>
      <c r="AT2756" s="4"/>
      <c r="AU2756" s="4"/>
      <c r="AV2756" s="4"/>
      <c r="AW2756" s="4"/>
      <c r="AX2756" s="4"/>
      <c r="AY2756" s="4"/>
      <c r="AZ2756" s="4"/>
      <c r="BA2756" s="4"/>
      <c r="BB2756" s="4"/>
      <c r="BC2756" s="4"/>
      <c r="BD2756" s="4"/>
      <c r="BE2756" s="4"/>
      <c r="BG2756" s="4"/>
      <c r="BH2756" s="4"/>
    </row>
    <row r="2757" spans="1:60" x14ac:dyDescent="0.35">
      <c r="A2757" s="4"/>
      <c r="B2757" s="4"/>
      <c r="D2757" s="6" t="str">
        <f t="shared" si="175"/>
        <v/>
      </c>
      <c r="E2757" s="6" t="str">
        <f t="shared" si="176"/>
        <v/>
      </c>
      <c r="F2757" s="6" t="str">
        <f t="shared" si="177"/>
        <v/>
      </c>
      <c r="G2757" s="4"/>
      <c r="H2757" s="4"/>
      <c r="I2757" s="4"/>
      <c r="J2757" s="4"/>
      <c r="K2757" s="4"/>
      <c r="L2757" s="4"/>
      <c r="M2757" s="4"/>
      <c r="N2757" s="4"/>
      <c r="O2757" s="4"/>
      <c r="P2757" s="4"/>
      <c r="Q2757" s="4"/>
      <c r="R2757" s="14"/>
      <c r="S2757" s="14"/>
      <c r="T2757" s="14"/>
      <c r="U2757" s="14"/>
      <c r="V2757" s="14"/>
      <c r="W2757" s="14"/>
      <c r="X2757" s="14"/>
      <c r="Y2757" s="4"/>
      <c r="Z2757" s="4"/>
      <c r="AA2757" s="4"/>
      <c r="AB2757" s="4"/>
      <c r="AC2757" s="4"/>
      <c r="AD2757" s="4"/>
      <c r="AE2757" s="4"/>
      <c r="AF2757" s="4"/>
      <c r="AG2757" s="4"/>
      <c r="AH2757" s="4"/>
      <c r="AI2757" s="4"/>
      <c r="AJ2757" s="4"/>
      <c r="AK2757" s="4"/>
      <c r="AL2757" s="4"/>
      <c r="AM2757" s="4"/>
      <c r="AN2757" s="4"/>
      <c r="AO2757" s="4"/>
      <c r="AP2757" s="4"/>
      <c r="AQ2757" s="4"/>
      <c r="AR2757" s="4"/>
      <c r="AS2757" s="4"/>
      <c r="AT2757" s="4"/>
      <c r="AU2757" s="4"/>
      <c r="AV2757" s="4"/>
      <c r="AW2757" s="4"/>
      <c r="AX2757" s="4"/>
      <c r="AY2757" s="4"/>
      <c r="AZ2757" s="4"/>
      <c r="BA2757" s="4"/>
      <c r="BB2757" s="4"/>
      <c r="BC2757" s="4"/>
      <c r="BD2757" s="4"/>
      <c r="BE2757" s="4"/>
      <c r="BG2757" s="4"/>
      <c r="BH2757" s="4"/>
    </row>
    <row r="2758" spans="1:60" x14ac:dyDescent="0.35">
      <c r="A2758" s="4"/>
      <c r="B2758" s="4"/>
      <c r="D2758" s="6" t="str">
        <f t="shared" si="175"/>
        <v/>
      </c>
      <c r="E2758" s="6" t="str">
        <f t="shared" si="176"/>
        <v/>
      </c>
      <c r="F2758" s="6" t="str">
        <f t="shared" si="177"/>
        <v/>
      </c>
      <c r="G2758" s="4"/>
      <c r="H2758" s="4"/>
      <c r="I2758" s="4"/>
      <c r="J2758" s="4"/>
      <c r="K2758" s="4"/>
      <c r="L2758" s="4"/>
      <c r="M2758" s="4"/>
      <c r="N2758" s="4"/>
      <c r="O2758" s="4"/>
      <c r="P2758" s="4"/>
      <c r="Q2758" s="4"/>
      <c r="R2758" s="14"/>
      <c r="S2758" s="14"/>
      <c r="T2758" s="14"/>
      <c r="U2758" s="14"/>
      <c r="V2758" s="14"/>
      <c r="W2758" s="14"/>
      <c r="X2758" s="14"/>
      <c r="Y2758" s="4"/>
      <c r="Z2758" s="4"/>
      <c r="AA2758" s="4"/>
      <c r="AB2758" s="4"/>
      <c r="AC2758" s="4"/>
      <c r="AD2758" s="4"/>
      <c r="AE2758" s="4"/>
      <c r="AF2758" s="4"/>
      <c r="AG2758" s="4"/>
      <c r="AH2758" s="4"/>
      <c r="AI2758" s="4"/>
      <c r="AJ2758" s="4"/>
      <c r="AK2758" s="4"/>
      <c r="AL2758" s="4"/>
      <c r="AM2758" s="4"/>
      <c r="AN2758" s="4"/>
      <c r="AO2758" s="4"/>
      <c r="AP2758" s="4"/>
      <c r="AQ2758" s="4"/>
      <c r="AR2758" s="4"/>
      <c r="AS2758" s="4"/>
      <c r="AT2758" s="4"/>
      <c r="AU2758" s="4"/>
      <c r="AV2758" s="4"/>
      <c r="AW2758" s="4"/>
      <c r="AX2758" s="4"/>
      <c r="AY2758" s="4"/>
      <c r="AZ2758" s="4"/>
      <c r="BA2758" s="4"/>
      <c r="BB2758" s="4"/>
      <c r="BC2758" s="4"/>
      <c r="BD2758" s="4"/>
      <c r="BE2758" s="4"/>
      <c r="BG2758" s="4"/>
      <c r="BH2758" s="4"/>
    </row>
    <row r="2759" spans="1:60" x14ac:dyDescent="0.35">
      <c r="A2759" s="4"/>
      <c r="B2759" s="4"/>
      <c r="D2759" s="6" t="str">
        <f t="shared" si="175"/>
        <v/>
      </c>
      <c r="E2759" s="6" t="str">
        <f t="shared" si="176"/>
        <v/>
      </c>
      <c r="F2759" s="6" t="str">
        <f t="shared" si="177"/>
        <v/>
      </c>
      <c r="G2759" s="4"/>
      <c r="H2759" s="4"/>
      <c r="I2759" s="4"/>
      <c r="J2759" s="4"/>
      <c r="K2759" s="4"/>
      <c r="L2759" s="4"/>
      <c r="M2759" s="4"/>
      <c r="N2759" s="4"/>
      <c r="O2759" s="4"/>
      <c r="P2759" s="4"/>
      <c r="Q2759" s="4"/>
      <c r="R2759" s="14"/>
      <c r="S2759" s="14"/>
      <c r="T2759" s="14"/>
      <c r="U2759" s="14"/>
      <c r="V2759" s="14"/>
      <c r="W2759" s="14"/>
      <c r="X2759" s="14"/>
      <c r="Y2759" s="4"/>
      <c r="Z2759" s="4"/>
      <c r="AA2759" s="4"/>
      <c r="AB2759" s="4"/>
      <c r="AC2759" s="4"/>
      <c r="AD2759" s="4"/>
      <c r="AE2759" s="4"/>
      <c r="AF2759" s="4"/>
      <c r="AG2759" s="4"/>
      <c r="AH2759" s="4"/>
      <c r="AI2759" s="4"/>
      <c r="AJ2759" s="4"/>
      <c r="AK2759" s="4"/>
      <c r="AL2759" s="4"/>
      <c r="AM2759" s="4"/>
      <c r="AN2759" s="4"/>
      <c r="AO2759" s="4"/>
      <c r="AP2759" s="4"/>
      <c r="AQ2759" s="4"/>
      <c r="AR2759" s="4"/>
      <c r="AS2759" s="4"/>
      <c r="AT2759" s="4"/>
      <c r="AU2759" s="4"/>
      <c r="AV2759" s="4"/>
      <c r="AW2759" s="4"/>
      <c r="AX2759" s="4"/>
      <c r="AY2759" s="4"/>
      <c r="AZ2759" s="4"/>
      <c r="BA2759" s="4"/>
      <c r="BB2759" s="4"/>
      <c r="BC2759" s="4"/>
      <c r="BD2759" s="4"/>
      <c r="BE2759" s="4"/>
      <c r="BG2759" s="4"/>
      <c r="BH2759" s="4"/>
    </row>
    <row r="2760" spans="1:60" x14ac:dyDescent="0.35">
      <c r="A2760" s="4"/>
      <c r="B2760" s="4"/>
      <c r="D2760" s="6" t="str">
        <f t="shared" si="175"/>
        <v/>
      </c>
      <c r="E2760" s="6" t="str">
        <f t="shared" si="176"/>
        <v/>
      </c>
      <c r="F2760" s="6" t="str">
        <f t="shared" si="177"/>
        <v/>
      </c>
      <c r="G2760" s="4"/>
      <c r="H2760" s="4"/>
      <c r="I2760" s="4"/>
      <c r="J2760" s="4"/>
      <c r="K2760" s="4"/>
      <c r="L2760" s="4"/>
      <c r="M2760" s="4"/>
      <c r="N2760" s="4"/>
      <c r="O2760" s="4"/>
      <c r="P2760" s="4"/>
      <c r="Q2760" s="4"/>
      <c r="R2760" s="14"/>
      <c r="S2760" s="14"/>
      <c r="T2760" s="14"/>
      <c r="U2760" s="14"/>
      <c r="V2760" s="14"/>
      <c r="W2760" s="14"/>
      <c r="X2760" s="14"/>
      <c r="Y2760" s="4"/>
      <c r="Z2760" s="4"/>
      <c r="AA2760" s="4"/>
      <c r="AB2760" s="4"/>
      <c r="AC2760" s="4"/>
      <c r="AD2760" s="4"/>
      <c r="AE2760" s="4"/>
      <c r="AF2760" s="4"/>
      <c r="AG2760" s="4"/>
      <c r="AH2760" s="4"/>
      <c r="AI2760" s="4"/>
      <c r="AJ2760" s="4"/>
      <c r="AK2760" s="4"/>
      <c r="AL2760" s="4"/>
      <c r="AM2760" s="4"/>
      <c r="AN2760" s="4"/>
      <c r="AO2760" s="4"/>
      <c r="AP2760" s="4"/>
      <c r="AQ2760" s="4"/>
      <c r="AR2760" s="4"/>
      <c r="AS2760" s="4"/>
      <c r="AT2760" s="4"/>
      <c r="AU2760" s="4"/>
      <c r="AV2760" s="4"/>
      <c r="AW2760" s="4"/>
      <c r="AX2760" s="4"/>
      <c r="AY2760" s="4"/>
      <c r="AZ2760" s="4"/>
      <c r="BA2760" s="4"/>
      <c r="BB2760" s="4"/>
      <c r="BC2760" s="4"/>
      <c r="BD2760" s="4"/>
      <c r="BE2760" s="4"/>
      <c r="BG2760" s="4"/>
      <c r="BH2760" s="4"/>
    </row>
    <row r="2761" spans="1:60" x14ac:dyDescent="0.35">
      <c r="A2761" s="4"/>
      <c r="B2761" s="4"/>
      <c r="D2761" s="6"/>
      <c r="E2761" s="6"/>
      <c r="F2761" s="6"/>
      <c r="G2761" s="4"/>
      <c r="H2761" s="4"/>
      <c r="I2761" s="4"/>
      <c r="J2761" s="4"/>
      <c r="K2761" s="4"/>
      <c r="L2761" s="4"/>
      <c r="M2761" s="4"/>
      <c r="N2761" s="4"/>
      <c r="O2761" s="4"/>
      <c r="P2761" s="4"/>
      <c r="Q2761" s="4"/>
      <c r="R2761" s="14"/>
      <c r="S2761" s="14"/>
      <c r="T2761" s="14"/>
      <c r="U2761" s="14"/>
      <c r="V2761" s="14"/>
      <c r="W2761" s="14"/>
      <c r="X2761" s="14"/>
      <c r="Y2761" s="4"/>
      <c r="Z2761" s="4"/>
      <c r="AA2761" s="4"/>
      <c r="AB2761" s="4"/>
      <c r="AC2761" s="4"/>
      <c r="AD2761" s="4"/>
      <c r="AE2761" s="4"/>
      <c r="AF2761" s="4"/>
      <c r="AG2761" s="4"/>
      <c r="AH2761" s="4"/>
      <c r="AI2761" s="4"/>
      <c r="AJ2761" s="4"/>
      <c r="AK2761" s="4"/>
      <c r="AL2761" s="4"/>
      <c r="AM2761" s="4"/>
      <c r="AN2761" s="4"/>
      <c r="AO2761" s="4"/>
      <c r="AP2761" s="4"/>
      <c r="AQ2761" s="4"/>
      <c r="AR2761" s="4"/>
      <c r="AS2761" s="4"/>
      <c r="AT2761" s="4"/>
      <c r="AU2761" s="4"/>
      <c r="AV2761" s="4"/>
      <c r="AW2761" s="4"/>
      <c r="AX2761" s="4"/>
      <c r="AY2761" s="4"/>
      <c r="AZ2761" s="4"/>
      <c r="BA2761" s="4"/>
      <c r="BB2761" s="4"/>
      <c r="BC2761" s="4"/>
      <c r="BD2761" s="4"/>
      <c r="BE2761" s="4"/>
      <c r="BG2761" s="11"/>
      <c r="BH2761" s="11"/>
    </row>
    <row r="2762" spans="1:60" x14ac:dyDescent="0.35">
      <c r="A2762" s="4"/>
      <c r="B2762" s="4"/>
      <c r="D2762" s="6"/>
      <c r="E2762" s="6"/>
      <c r="F2762" s="6"/>
      <c r="G2762" s="4"/>
      <c r="H2762" s="4"/>
      <c r="I2762" s="4"/>
      <c r="J2762" s="4"/>
      <c r="K2762" s="4"/>
      <c r="L2762" s="4"/>
      <c r="M2762" s="4"/>
      <c r="N2762" s="4"/>
      <c r="O2762" s="4"/>
      <c r="P2762" s="4"/>
      <c r="Q2762" s="4"/>
      <c r="R2762" s="14"/>
      <c r="S2762" s="14"/>
      <c r="T2762" s="14"/>
      <c r="U2762" s="14"/>
      <c r="V2762" s="14"/>
      <c r="W2762" s="14"/>
      <c r="X2762" s="14"/>
      <c r="Y2762" s="4"/>
      <c r="Z2762" s="4"/>
      <c r="AA2762" s="4"/>
      <c r="AB2762" s="4"/>
      <c r="AC2762" s="4"/>
      <c r="AD2762" s="4"/>
      <c r="AE2762" s="4"/>
      <c r="AF2762" s="4"/>
      <c r="AG2762" s="4"/>
      <c r="AH2762" s="4"/>
      <c r="AI2762" s="4"/>
      <c r="AJ2762" s="4"/>
      <c r="AK2762" s="4"/>
      <c r="AL2762" s="4"/>
      <c r="AM2762" s="4"/>
      <c r="AN2762" s="4"/>
      <c r="AO2762" s="4"/>
      <c r="AP2762" s="4"/>
      <c r="AQ2762" s="4"/>
      <c r="AR2762" s="4"/>
      <c r="AS2762" s="4"/>
      <c r="AT2762" s="4"/>
      <c r="AU2762" s="4"/>
      <c r="AV2762" s="4"/>
      <c r="AW2762" s="4"/>
      <c r="AX2762" s="4"/>
      <c r="AY2762" s="4"/>
      <c r="AZ2762" s="4"/>
      <c r="BA2762" s="4"/>
      <c r="BB2762" s="4"/>
      <c r="BC2762" s="4"/>
      <c r="BD2762" s="4"/>
      <c r="BE2762" s="4"/>
      <c r="BG2762" s="11"/>
      <c r="BH2762" s="11"/>
    </row>
    <row r="2763" spans="1:60" x14ac:dyDescent="0.35">
      <c r="A2763" s="4"/>
      <c r="B2763" s="4"/>
      <c r="D2763" s="6"/>
      <c r="E2763" s="6"/>
      <c r="F2763" s="6"/>
      <c r="G2763" s="4"/>
      <c r="H2763" s="4"/>
      <c r="I2763" s="4"/>
      <c r="J2763" s="4"/>
      <c r="K2763" s="4"/>
      <c r="L2763" s="4"/>
      <c r="M2763" s="4"/>
      <c r="N2763" s="4"/>
      <c r="O2763" s="4"/>
      <c r="P2763" s="4"/>
      <c r="Q2763" s="4"/>
      <c r="R2763" s="14"/>
      <c r="S2763" s="14"/>
      <c r="T2763" s="14"/>
      <c r="U2763" s="14"/>
      <c r="V2763" s="14"/>
      <c r="W2763" s="14"/>
      <c r="X2763" s="14"/>
      <c r="Y2763" s="4"/>
      <c r="Z2763" s="4"/>
      <c r="AA2763" s="4"/>
      <c r="AB2763" s="4"/>
      <c r="AC2763" s="4"/>
      <c r="AD2763" s="4"/>
      <c r="AE2763" s="4"/>
      <c r="AF2763" s="4"/>
      <c r="AG2763" s="4"/>
      <c r="AH2763" s="4"/>
      <c r="AI2763" s="4"/>
      <c r="AJ2763" s="4"/>
      <c r="AK2763" s="4"/>
      <c r="AL2763" s="4"/>
      <c r="AM2763" s="4"/>
      <c r="AN2763" s="4"/>
      <c r="AO2763" s="4"/>
      <c r="AP2763" s="4"/>
      <c r="AQ2763" s="4"/>
      <c r="AR2763" s="4"/>
      <c r="AS2763" s="4"/>
      <c r="AT2763" s="4"/>
      <c r="AU2763" s="4"/>
      <c r="AV2763" s="4"/>
      <c r="AW2763" s="4"/>
      <c r="AX2763" s="4"/>
      <c r="AY2763" s="4"/>
      <c r="AZ2763" s="4"/>
      <c r="BA2763" s="4"/>
      <c r="BB2763" s="4"/>
      <c r="BC2763" s="4"/>
      <c r="BD2763" s="4"/>
      <c r="BE2763" s="4"/>
      <c r="BG2763" s="11"/>
      <c r="BH2763" s="11"/>
    </row>
    <row r="2764" spans="1:60" x14ac:dyDescent="0.35">
      <c r="A2764" s="4"/>
      <c r="B2764" s="4"/>
      <c r="D2764" s="6"/>
      <c r="E2764" s="6"/>
      <c r="F2764" s="6"/>
      <c r="G2764" s="4"/>
      <c r="H2764" s="4"/>
      <c r="I2764" s="4"/>
      <c r="J2764" s="4"/>
      <c r="K2764" s="4"/>
      <c r="L2764" s="4"/>
      <c r="M2764" s="4"/>
      <c r="N2764" s="4"/>
      <c r="O2764" s="4"/>
      <c r="P2764" s="4"/>
      <c r="Q2764" s="4"/>
      <c r="R2764" s="14"/>
      <c r="S2764" s="14"/>
      <c r="T2764" s="14"/>
      <c r="U2764" s="14"/>
      <c r="V2764" s="14"/>
      <c r="W2764" s="14"/>
      <c r="X2764" s="14"/>
      <c r="Y2764" s="4"/>
      <c r="Z2764" s="4"/>
      <c r="AA2764" s="4"/>
      <c r="AB2764" s="4"/>
      <c r="AC2764" s="4"/>
      <c r="AD2764" s="4"/>
      <c r="AE2764" s="4"/>
      <c r="AF2764" s="4"/>
      <c r="AG2764" s="4"/>
      <c r="AH2764" s="4"/>
      <c r="AI2764" s="4"/>
      <c r="AJ2764" s="4"/>
      <c r="AK2764" s="4"/>
      <c r="AL2764" s="4"/>
      <c r="AM2764" s="4"/>
      <c r="AN2764" s="4"/>
      <c r="AO2764" s="4"/>
      <c r="AP2764" s="4"/>
      <c r="AQ2764" s="4"/>
      <c r="AR2764" s="4"/>
      <c r="AS2764" s="4"/>
      <c r="AT2764" s="4"/>
      <c r="AU2764" s="4"/>
      <c r="AV2764" s="4"/>
      <c r="AW2764" s="4"/>
      <c r="AX2764" s="4"/>
      <c r="AY2764" s="4"/>
      <c r="AZ2764" s="4"/>
      <c r="BA2764" s="4"/>
      <c r="BB2764" s="4"/>
      <c r="BC2764" s="4"/>
      <c r="BD2764" s="4"/>
      <c r="BE2764" s="4"/>
      <c r="BG2764" s="11"/>
      <c r="BH2764" s="11"/>
    </row>
    <row r="2765" spans="1:60" x14ac:dyDescent="0.35">
      <c r="A2765" s="4"/>
      <c r="B2765" s="4"/>
      <c r="D2765" s="6"/>
      <c r="E2765" s="6"/>
      <c r="F2765" s="6"/>
      <c r="G2765" s="4"/>
      <c r="H2765" s="4"/>
      <c r="I2765" s="4"/>
      <c r="J2765" s="4"/>
      <c r="K2765" s="4"/>
      <c r="L2765" s="4"/>
      <c r="M2765" s="4"/>
      <c r="N2765" s="4"/>
      <c r="O2765" s="4"/>
      <c r="P2765" s="4"/>
      <c r="Q2765" s="4"/>
      <c r="R2765" s="14"/>
      <c r="S2765" s="14"/>
      <c r="T2765" s="14"/>
      <c r="U2765" s="14"/>
      <c r="V2765" s="14"/>
      <c r="W2765" s="14"/>
      <c r="X2765" s="14"/>
      <c r="Y2765" s="4"/>
      <c r="Z2765" s="4"/>
      <c r="AA2765" s="4"/>
      <c r="AB2765" s="4"/>
      <c r="AC2765" s="4"/>
      <c r="AD2765" s="4"/>
      <c r="AE2765" s="4"/>
      <c r="AF2765" s="4"/>
      <c r="AG2765" s="4"/>
      <c r="AH2765" s="4"/>
      <c r="AI2765" s="4"/>
      <c r="AJ2765" s="4"/>
      <c r="AK2765" s="4"/>
      <c r="AL2765" s="4"/>
      <c r="AM2765" s="4"/>
      <c r="AN2765" s="4"/>
      <c r="AO2765" s="4"/>
      <c r="AP2765" s="4"/>
      <c r="AQ2765" s="4"/>
      <c r="AR2765" s="4"/>
      <c r="AS2765" s="4"/>
      <c r="AT2765" s="4"/>
      <c r="AU2765" s="4"/>
      <c r="AV2765" s="4"/>
      <c r="AW2765" s="4"/>
      <c r="AX2765" s="4"/>
      <c r="AY2765" s="4"/>
      <c r="AZ2765" s="4"/>
      <c r="BA2765" s="4"/>
      <c r="BB2765" s="4"/>
      <c r="BC2765" s="4"/>
      <c r="BD2765" s="4"/>
      <c r="BE2765" s="4"/>
      <c r="BG2765" s="11"/>
      <c r="BH2765" s="11"/>
    </row>
    <row r="2766" spans="1:60" x14ac:dyDescent="0.35">
      <c r="A2766" s="4"/>
      <c r="B2766" s="4"/>
      <c r="D2766" s="6"/>
      <c r="E2766" s="6"/>
      <c r="F2766" s="6"/>
      <c r="G2766" s="4"/>
      <c r="H2766" s="4"/>
      <c r="I2766" s="4"/>
      <c r="J2766" s="4"/>
      <c r="K2766" s="4"/>
      <c r="L2766" s="4"/>
      <c r="M2766" s="4"/>
      <c r="N2766" s="4"/>
      <c r="O2766" s="4"/>
      <c r="P2766" s="4"/>
      <c r="Q2766" s="4"/>
      <c r="R2766" s="14"/>
      <c r="S2766" s="14"/>
      <c r="T2766" s="14"/>
      <c r="U2766" s="14"/>
      <c r="V2766" s="14"/>
      <c r="W2766" s="14"/>
      <c r="X2766" s="14"/>
      <c r="Y2766" s="4"/>
      <c r="Z2766" s="4"/>
      <c r="AA2766" s="4"/>
      <c r="AB2766" s="4"/>
      <c r="AC2766" s="4"/>
      <c r="AD2766" s="4"/>
      <c r="AE2766" s="4"/>
      <c r="AF2766" s="4"/>
      <c r="AG2766" s="4"/>
      <c r="AH2766" s="4"/>
      <c r="AI2766" s="4"/>
      <c r="AJ2766" s="4"/>
      <c r="AK2766" s="4"/>
      <c r="AL2766" s="4"/>
      <c r="AM2766" s="4"/>
      <c r="AN2766" s="4"/>
      <c r="AO2766" s="4"/>
      <c r="AP2766" s="4"/>
      <c r="AQ2766" s="4"/>
      <c r="AR2766" s="4"/>
      <c r="AS2766" s="4"/>
      <c r="AT2766" s="4"/>
      <c r="AU2766" s="4"/>
      <c r="AV2766" s="4"/>
      <c r="AW2766" s="4"/>
      <c r="AX2766" s="4"/>
      <c r="AY2766" s="4"/>
      <c r="AZ2766" s="4"/>
      <c r="BA2766" s="4"/>
      <c r="BB2766" s="4"/>
      <c r="BC2766" s="4"/>
      <c r="BD2766" s="4"/>
      <c r="BE2766" s="4"/>
      <c r="BG2766" s="11"/>
      <c r="BH2766" s="11"/>
    </row>
  </sheetData>
  <sheetProtection formatCells="0" formatColumns="0" formatRows="0" insertColumns="0" insertRows="0" insertHyperlinks="0" deleteColumns="0" deleteRows="0" sort="0" autoFilter="0" pivotTables="0"/>
  <autoFilter ref="A1:BI2760" xr:uid="{90263B62-6CD1-4CE5-8E37-CA18BE7AEC05}"/>
  <phoneticPr fontId="1" type="noConversion"/>
  <dataValidations count="2">
    <dataValidation type="list" allowBlank="1" showInputMessage="1" showErrorMessage="1" sqref="AV2:BA20 BG2:BH20 AJ2:AS20 AC2:AH20 AA2:AA20 AA27:AA299 BG27:BH299 Q303:Q321 P2:Q302 AJ27:AS299 AC27:AG299 AV27:BA302 AH27:AH320 AZ303:AZ321" xr:uid="{16A63259-F9B6-4125-914A-DFBD98A694A9}">
      <formula1>"NON,OUI"</formula1>
    </dataValidation>
    <dataValidation type="list" allowBlank="1" showInputMessage="1" showErrorMessage="1" sqref="C2:C1048576" xr:uid="{692C33AF-A485-4EF2-85D9-29D47F6838A0}">
      <formula1>Liste_district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FE70-8260-4953-9AD8-A618F6D92E9A}">
  <dimension ref="A1:BI475"/>
  <sheetViews>
    <sheetView tabSelected="1" workbookViewId="0">
      <selection activeCell="I1" sqref="I1"/>
    </sheetView>
  </sheetViews>
  <sheetFormatPr baseColWidth="10" defaultRowHeight="14.5" x14ac:dyDescent="0.35"/>
  <cols>
    <col min="1" max="1" width="15.1796875" customWidth="1"/>
  </cols>
  <sheetData>
    <row r="1" spans="1:61" ht="15.5" x14ac:dyDescent="0.35">
      <c r="A1" s="28" t="s">
        <v>86</v>
      </c>
      <c r="B1" s="12" t="s">
        <v>92</v>
      </c>
      <c r="C1" s="12" t="s">
        <v>457</v>
      </c>
      <c r="D1" s="13" t="s">
        <v>10</v>
      </c>
      <c r="E1" s="13" t="s">
        <v>83</v>
      </c>
      <c r="F1" s="13" t="s">
        <v>84</v>
      </c>
      <c r="G1" s="12" t="s">
        <v>105</v>
      </c>
      <c r="H1" s="12" t="s">
        <v>107</v>
      </c>
      <c r="I1" s="12" t="s">
        <v>94</v>
      </c>
      <c r="J1" s="12" t="s">
        <v>93</v>
      </c>
      <c r="K1" s="12" t="s">
        <v>178</v>
      </c>
      <c r="L1" s="12" t="s">
        <v>234</v>
      </c>
      <c r="M1" s="12" t="s">
        <v>179</v>
      </c>
      <c r="N1" s="12" t="s">
        <v>235</v>
      </c>
      <c r="O1" s="12" t="s">
        <v>237</v>
      </c>
      <c r="P1" s="12" t="s">
        <v>181</v>
      </c>
      <c r="Q1" s="12" t="s">
        <v>180</v>
      </c>
      <c r="R1" s="12" t="s">
        <v>814</v>
      </c>
      <c r="S1" s="12" t="s">
        <v>815</v>
      </c>
      <c r="T1" s="12" t="s">
        <v>816</v>
      </c>
      <c r="U1" s="12" t="s">
        <v>278</v>
      </c>
      <c r="V1" s="12" t="s">
        <v>279</v>
      </c>
      <c r="W1" s="12" t="s">
        <v>280</v>
      </c>
      <c r="X1" s="12" t="s">
        <v>1145</v>
      </c>
      <c r="Y1" s="12" t="s">
        <v>87</v>
      </c>
      <c r="Z1" s="12" t="s">
        <v>88</v>
      </c>
      <c r="AA1" s="12" t="s">
        <v>146</v>
      </c>
      <c r="AB1" s="12" t="s">
        <v>236</v>
      </c>
      <c r="AC1" s="12" t="s">
        <v>147</v>
      </c>
      <c r="AD1" s="12" t="s">
        <v>148</v>
      </c>
      <c r="AE1" s="12" t="s">
        <v>149</v>
      </c>
      <c r="AF1" s="12" t="s">
        <v>150</v>
      </c>
      <c r="AG1" s="12" t="s">
        <v>162</v>
      </c>
      <c r="AH1" s="12" t="s">
        <v>163</v>
      </c>
      <c r="AI1" s="12" t="s">
        <v>151</v>
      </c>
      <c r="AJ1" s="12" t="s">
        <v>152</v>
      </c>
      <c r="AK1" s="12" t="s">
        <v>153</v>
      </c>
      <c r="AL1" s="12" t="s">
        <v>154</v>
      </c>
      <c r="AM1" s="12" t="s">
        <v>155</v>
      </c>
      <c r="AN1" s="12" t="s">
        <v>156</v>
      </c>
      <c r="AO1" s="12" t="s">
        <v>164</v>
      </c>
      <c r="AP1" s="12" t="s">
        <v>157</v>
      </c>
      <c r="AQ1" s="12" t="s">
        <v>158</v>
      </c>
      <c r="AR1" s="12" t="s">
        <v>159</v>
      </c>
      <c r="AS1" s="12" t="s">
        <v>160</v>
      </c>
      <c r="AT1" s="12" t="s">
        <v>171</v>
      </c>
      <c r="AU1" s="12" t="s">
        <v>161</v>
      </c>
      <c r="AV1" s="12" t="s">
        <v>167</v>
      </c>
      <c r="AW1" s="12" t="s">
        <v>165</v>
      </c>
      <c r="AX1" s="12" t="s">
        <v>166</v>
      </c>
      <c r="AY1" s="12" t="s">
        <v>168</v>
      </c>
      <c r="AZ1" s="12" t="s">
        <v>169</v>
      </c>
      <c r="BA1" s="12" t="s">
        <v>170</v>
      </c>
      <c r="BB1" s="12" t="s">
        <v>101</v>
      </c>
      <c r="BC1" s="12" t="s">
        <v>102</v>
      </c>
      <c r="BD1" s="12" t="s">
        <v>89</v>
      </c>
      <c r="BE1" s="12" t="s">
        <v>90</v>
      </c>
      <c r="BF1" s="12" t="s">
        <v>95</v>
      </c>
      <c r="BG1" s="12" t="s">
        <v>99</v>
      </c>
      <c r="BH1" s="12" t="s">
        <v>118</v>
      </c>
      <c r="BI1" s="12" t="s">
        <v>104</v>
      </c>
    </row>
    <row r="2" spans="1:61" x14ac:dyDescent="0.35">
      <c r="A2" s="8" t="str">
        <f>"Semaine " &amp; _xlfn.ISOWEEKNUM(Y2) &amp; "-" &amp; YEAR(Y2)</f>
        <v>Semaine 32-2024</v>
      </c>
      <c r="B2" s="8" t="str">
        <f>RIGHT(A2,4)</f>
        <v>2024</v>
      </c>
      <c r="C2" s="2" t="s">
        <v>66</v>
      </c>
      <c r="D2" s="6" t="str">
        <f>IF(C2="","",VLOOKUP(C2,district_region,2,FALSE))</f>
        <v>Louga</v>
      </c>
      <c r="E2" s="6">
        <f>IF(C2="","",VLOOKUP(C2,liste_pop,3,FALSE))</f>
        <v>91992</v>
      </c>
      <c r="F2" s="6">
        <f>IF(D2="","",IF(D2="Dakar",4042240,VLOOKUP(D2,liste_pop,4,FALSE)))</f>
        <v>1121619</v>
      </c>
      <c r="G2" s="4" t="s">
        <v>328</v>
      </c>
      <c r="H2" s="4" t="s">
        <v>109</v>
      </c>
      <c r="I2" s="4">
        <v>2</v>
      </c>
      <c r="J2" s="4" t="s">
        <v>96</v>
      </c>
      <c r="K2" s="4"/>
      <c r="L2" s="4"/>
      <c r="M2" s="4"/>
      <c r="N2" s="4"/>
      <c r="O2" s="4" t="s">
        <v>238</v>
      </c>
      <c r="P2" s="9" t="s">
        <v>97</v>
      </c>
      <c r="Q2" s="4" t="s">
        <v>97</v>
      </c>
      <c r="R2" s="14" t="s">
        <v>100</v>
      </c>
      <c r="S2" s="14" t="s">
        <v>100</v>
      </c>
      <c r="T2" s="14" t="s">
        <v>100</v>
      </c>
      <c r="U2" s="14" t="s">
        <v>285</v>
      </c>
      <c r="V2" s="14"/>
      <c r="W2" s="14"/>
      <c r="X2" s="14"/>
      <c r="Y2" s="5">
        <v>45514</v>
      </c>
      <c r="Z2" s="5">
        <v>45521</v>
      </c>
      <c r="AA2" s="5" t="s">
        <v>103</v>
      </c>
      <c r="AB2" s="5"/>
      <c r="AC2" s="5" t="s">
        <v>97</v>
      </c>
      <c r="AD2" s="5" t="s">
        <v>97</v>
      </c>
      <c r="AE2" s="5" t="s">
        <v>97</v>
      </c>
      <c r="AF2" s="5" t="s">
        <v>103</v>
      </c>
      <c r="AG2" s="5" t="s">
        <v>103</v>
      </c>
      <c r="AH2" s="5" t="s">
        <v>103</v>
      </c>
      <c r="AI2" s="5">
        <v>45514</v>
      </c>
      <c r="AJ2" s="5"/>
      <c r="AK2" s="5"/>
      <c r="AL2" s="16"/>
      <c r="AM2" s="5" t="s">
        <v>103</v>
      </c>
      <c r="AN2" s="5" t="s">
        <v>103</v>
      </c>
      <c r="AO2" s="5" t="s">
        <v>97</v>
      </c>
      <c r="AP2" s="5" t="s">
        <v>103</v>
      </c>
      <c r="AQ2" s="5" t="s">
        <v>97</v>
      </c>
      <c r="AR2" s="5" t="s">
        <v>97</v>
      </c>
      <c r="AS2" s="5" t="s">
        <v>97</v>
      </c>
      <c r="AT2" s="5"/>
      <c r="AU2" s="5"/>
      <c r="AV2" s="16" t="s">
        <v>97</v>
      </c>
      <c r="AW2" s="16" t="s">
        <v>97</v>
      </c>
      <c r="AX2" s="16" t="s">
        <v>97</v>
      </c>
      <c r="AY2" s="16" t="s">
        <v>97</v>
      </c>
      <c r="AZ2" s="16" t="s">
        <v>103</v>
      </c>
      <c r="BA2" s="16" t="s">
        <v>97</v>
      </c>
      <c r="BB2" s="5">
        <v>45521</v>
      </c>
      <c r="BC2" s="5">
        <v>45521</v>
      </c>
      <c r="BD2" s="5"/>
      <c r="BE2" s="5"/>
      <c r="BF2" s="4" t="s">
        <v>98</v>
      </c>
      <c r="BG2" s="4" t="s">
        <v>97</v>
      </c>
      <c r="BH2" s="4" t="s">
        <v>103</v>
      </c>
      <c r="BI2" s="4"/>
    </row>
    <row r="3" spans="1:61" x14ac:dyDescent="0.35">
      <c r="A3" s="8" t="str">
        <f>"Semaine " &amp; _xlfn.ISOWEEKNUM(Y3) &amp; "-" &amp; YEAR(Y3)</f>
        <v>Semaine 31-2024</v>
      </c>
      <c r="B3" s="8" t="str">
        <f>RIGHT(A3,4)</f>
        <v>2024</v>
      </c>
      <c r="C3" s="2" t="s">
        <v>66</v>
      </c>
      <c r="D3" s="6" t="str">
        <f t="shared" ref="D3" si="0">IF(C3="","",VLOOKUP(C3,district_region,2,FALSE))</f>
        <v>Louga</v>
      </c>
      <c r="E3" s="6">
        <f t="shared" ref="E3" si="1">IF(C3="","",VLOOKUP(C3,liste_pop,3,FALSE))</f>
        <v>91992</v>
      </c>
      <c r="F3" s="6">
        <f t="shared" ref="F3" si="2">IF(D3="","",IF(D3="Dakar",4042240,VLOOKUP(D3,liste_pop,4,FALSE)))</f>
        <v>1121619</v>
      </c>
      <c r="G3" s="4" t="s">
        <v>106</v>
      </c>
      <c r="H3" s="4" t="s">
        <v>108</v>
      </c>
      <c r="I3" s="4">
        <v>9</v>
      </c>
      <c r="J3" s="4" t="s">
        <v>96</v>
      </c>
      <c r="K3" s="4"/>
      <c r="L3" s="4"/>
      <c r="M3" s="4"/>
      <c r="N3" s="4"/>
      <c r="O3" s="4" t="s">
        <v>238</v>
      </c>
      <c r="P3" s="9" t="s">
        <v>97</v>
      </c>
      <c r="Q3" s="4" t="s">
        <v>97</v>
      </c>
      <c r="R3" s="14" t="s">
        <v>100</v>
      </c>
      <c r="S3" s="14" t="s">
        <v>100</v>
      </c>
      <c r="T3" s="14" t="s">
        <v>100</v>
      </c>
      <c r="U3" s="14" t="s">
        <v>281</v>
      </c>
      <c r="V3" s="14" t="s">
        <v>282</v>
      </c>
      <c r="W3" s="14"/>
      <c r="X3" s="14"/>
      <c r="Y3" s="5">
        <v>45506</v>
      </c>
      <c r="Z3" s="5">
        <v>45514</v>
      </c>
      <c r="AA3" s="5" t="s">
        <v>103</v>
      </c>
      <c r="AB3" s="5"/>
      <c r="AC3" s="5" t="s">
        <v>103</v>
      </c>
      <c r="AD3" s="5" t="s">
        <v>97</v>
      </c>
      <c r="AE3" s="5" t="s">
        <v>97</v>
      </c>
      <c r="AF3" s="5" t="s">
        <v>97</v>
      </c>
      <c r="AG3" s="5" t="s">
        <v>97</v>
      </c>
      <c r="AH3" s="5" t="s">
        <v>103</v>
      </c>
      <c r="AI3" s="5">
        <v>45506</v>
      </c>
      <c r="AJ3" s="5"/>
      <c r="AK3" s="5"/>
      <c r="AL3" s="16"/>
      <c r="AM3" s="5" t="s">
        <v>103</v>
      </c>
      <c r="AN3" s="5" t="s">
        <v>103</v>
      </c>
      <c r="AO3" s="5" t="s">
        <v>103</v>
      </c>
      <c r="AP3" s="5" t="s">
        <v>103</v>
      </c>
      <c r="AQ3" s="5" t="s">
        <v>97</v>
      </c>
      <c r="AR3" s="5" t="s">
        <v>97</v>
      </c>
      <c r="AS3" s="5" t="s">
        <v>97</v>
      </c>
      <c r="AT3" s="5"/>
      <c r="AU3" s="5"/>
      <c r="AV3" s="4" t="s">
        <v>97</v>
      </c>
      <c r="AW3" s="16" t="s">
        <v>97</v>
      </c>
      <c r="AX3" s="16" t="s">
        <v>97</v>
      </c>
      <c r="AY3" s="16" t="s">
        <v>97</v>
      </c>
      <c r="AZ3" s="16" t="s">
        <v>103</v>
      </c>
      <c r="BA3" s="16" t="s">
        <v>97</v>
      </c>
      <c r="BB3" s="5">
        <v>45520</v>
      </c>
      <c r="BC3" s="5">
        <v>45521</v>
      </c>
      <c r="BD3" s="5">
        <v>45522</v>
      </c>
      <c r="BE3" s="5">
        <v>45522</v>
      </c>
      <c r="BF3" s="4" t="s">
        <v>98</v>
      </c>
      <c r="BG3" s="4" t="s">
        <v>103</v>
      </c>
      <c r="BH3" s="4" t="s">
        <v>103</v>
      </c>
      <c r="BI3" s="4" t="s">
        <v>145</v>
      </c>
    </row>
    <row r="4" spans="1:61" x14ac:dyDescent="0.35">
      <c r="A4" s="8" t="str">
        <f>"Semaine " &amp; _xlfn.ISOWEEKNUM(Y4) &amp; "-" &amp; YEAR(Y4)</f>
        <v>Semaine 33-2024</v>
      </c>
      <c r="B4" s="8" t="str">
        <f>RIGHT(A4,4)</f>
        <v>2024</v>
      </c>
      <c r="C4" s="2" t="s">
        <v>65</v>
      </c>
      <c r="D4" s="6" t="str">
        <f>IF(C4="","",VLOOKUP(C4,district_region,2,FALSE))</f>
        <v>Saint-Louis</v>
      </c>
      <c r="E4" s="6">
        <f>IF(C4="","",VLOOKUP(C4,liste_pop,3,FALSE))</f>
        <v>375150</v>
      </c>
      <c r="F4" s="6">
        <f>IF(D4="","",IF(D4="Dakar",4042240,VLOOKUP(D4,liste_pop,4,FALSE)))</f>
        <v>1150065</v>
      </c>
      <c r="G4" s="4" t="s">
        <v>111</v>
      </c>
      <c r="H4" s="4" t="s">
        <v>110</v>
      </c>
      <c r="I4" s="4">
        <v>16</v>
      </c>
      <c r="J4" s="4" t="s">
        <v>96</v>
      </c>
      <c r="K4" s="4"/>
      <c r="L4" s="4"/>
      <c r="M4" s="4"/>
      <c r="N4" s="4"/>
      <c r="O4" s="4" t="s">
        <v>238</v>
      </c>
      <c r="P4" s="9" t="s">
        <v>97</v>
      </c>
      <c r="Q4" s="4" t="s">
        <v>97</v>
      </c>
      <c r="R4" s="14" t="s">
        <v>100</v>
      </c>
      <c r="S4" s="14" t="s">
        <v>100</v>
      </c>
      <c r="T4" s="14" t="s">
        <v>100</v>
      </c>
      <c r="U4" s="14"/>
      <c r="V4" s="14"/>
      <c r="W4" s="14"/>
      <c r="X4" s="14"/>
      <c r="Y4" s="5">
        <v>45520</v>
      </c>
      <c r="Z4" s="5">
        <v>45521</v>
      </c>
      <c r="AA4" s="5" t="s">
        <v>97</v>
      </c>
      <c r="AB4" s="5"/>
      <c r="AC4" s="5" t="s">
        <v>103</v>
      </c>
      <c r="AD4" s="5" t="s">
        <v>103</v>
      </c>
      <c r="AE4" s="5" t="s">
        <v>97</v>
      </c>
      <c r="AF4" s="5" t="s">
        <v>103</v>
      </c>
      <c r="AG4" s="5" t="s">
        <v>103</v>
      </c>
      <c r="AH4" s="5" t="s">
        <v>103</v>
      </c>
      <c r="AI4" s="5">
        <v>45520</v>
      </c>
      <c r="AJ4" s="5"/>
      <c r="AK4" s="5"/>
      <c r="AL4" s="16"/>
      <c r="AM4" s="5" t="s">
        <v>103</v>
      </c>
      <c r="AN4" s="5" t="s">
        <v>97</v>
      </c>
      <c r="AO4" s="5" t="s">
        <v>97</v>
      </c>
      <c r="AP4" s="5" t="s">
        <v>97</v>
      </c>
      <c r="AQ4" s="5" t="s">
        <v>97</v>
      </c>
      <c r="AR4" s="5" t="s">
        <v>97</v>
      </c>
      <c r="AS4" s="5" t="s">
        <v>97</v>
      </c>
      <c r="AT4" s="5"/>
      <c r="AU4" s="5"/>
      <c r="AV4" s="4" t="s">
        <v>97</v>
      </c>
      <c r="AW4" s="16" t="s">
        <v>97</v>
      </c>
      <c r="AX4" s="16" t="s">
        <v>97</v>
      </c>
      <c r="AY4" s="16" t="s">
        <v>97</v>
      </c>
      <c r="AZ4" s="16" t="s">
        <v>103</v>
      </c>
      <c r="BA4" s="16" t="s">
        <v>97</v>
      </c>
      <c r="BB4" s="5">
        <v>45521</v>
      </c>
      <c r="BC4" s="5">
        <v>45521</v>
      </c>
      <c r="BD4" s="5">
        <v>45522</v>
      </c>
      <c r="BE4" s="5">
        <v>45523</v>
      </c>
      <c r="BF4" s="4" t="s">
        <v>98</v>
      </c>
      <c r="BG4" s="4" t="s">
        <v>97</v>
      </c>
      <c r="BH4" s="4" t="s">
        <v>103</v>
      </c>
      <c r="BI4" s="4" t="s">
        <v>145</v>
      </c>
    </row>
    <row r="5" spans="1:61" x14ac:dyDescent="0.35">
      <c r="A5" s="8" t="str">
        <f t="shared" ref="A5:A68" si="3">"Semaine " &amp; _xlfn.ISOWEEKNUM(Y5) &amp; "-" &amp; YEAR(Y5)</f>
        <v>Semaine 33-2024</v>
      </c>
      <c r="B5" s="8" t="str">
        <f t="shared" ref="B5:B68" si="4">RIGHT(A5,4)</f>
        <v>2024</v>
      </c>
      <c r="C5" s="2" t="s">
        <v>20</v>
      </c>
      <c r="D5" s="6" t="str">
        <f t="shared" ref="D5:D68" si="5">IF(C5="","",VLOOKUP(C5,district_region,2,FALSE))</f>
        <v>Dakar</v>
      </c>
      <c r="E5" s="6">
        <f t="shared" ref="E5:E68" si="6">IF(C5="","",VLOOKUP(C5,liste_pop,3,FALSE))</f>
        <v>272276</v>
      </c>
      <c r="F5" s="6">
        <f t="shared" ref="F5:F68" si="7">IF(D5="","",IF(D5="Dakar",4042240,VLOOKUP(D5,liste_pop,4,FALSE)))</f>
        <v>4042240</v>
      </c>
      <c r="G5" s="4" t="s">
        <v>112</v>
      </c>
      <c r="H5" s="9" t="s">
        <v>113</v>
      </c>
      <c r="I5" s="9">
        <v>35</v>
      </c>
      <c r="J5" s="9" t="s">
        <v>114</v>
      </c>
      <c r="K5" s="9"/>
      <c r="L5" s="9"/>
      <c r="M5" s="9"/>
      <c r="N5" s="9"/>
      <c r="O5" s="4" t="s">
        <v>238</v>
      </c>
      <c r="P5" s="9" t="s">
        <v>97</v>
      </c>
      <c r="Q5" s="9" t="s">
        <v>97</v>
      </c>
      <c r="R5" s="14" t="s">
        <v>100</v>
      </c>
      <c r="S5" s="14" t="s">
        <v>100</v>
      </c>
      <c r="T5" s="14" t="s">
        <v>100</v>
      </c>
      <c r="U5" s="14"/>
      <c r="V5" s="14"/>
      <c r="W5" s="14"/>
      <c r="X5" s="14"/>
      <c r="Y5" s="5">
        <v>45518</v>
      </c>
      <c r="Z5" s="5">
        <v>45523</v>
      </c>
      <c r="AA5" s="5" t="s">
        <v>103</v>
      </c>
      <c r="AB5" s="5"/>
      <c r="AC5" s="5" t="s">
        <v>103</v>
      </c>
      <c r="AD5" s="5" t="s">
        <v>97</v>
      </c>
      <c r="AE5" s="5" t="s">
        <v>97</v>
      </c>
      <c r="AF5" s="5" t="s">
        <v>103</v>
      </c>
      <c r="AG5" s="5" t="s">
        <v>97</v>
      </c>
      <c r="AH5" s="5" t="s">
        <v>103</v>
      </c>
      <c r="AI5" s="5">
        <v>45518</v>
      </c>
      <c r="AJ5" s="5"/>
      <c r="AK5" s="5"/>
      <c r="AL5" s="16" t="s">
        <v>103</v>
      </c>
      <c r="AM5" s="5" t="s">
        <v>103</v>
      </c>
      <c r="AN5" s="5" t="s">
        <v>103</v>
      </c>
      <c r="AO5" s="5" t="s">
        <v>97</v>
      </c>
      <c r="AP5" s="5" t="s">
        <v>97</v>
      </c>
      <c r="AQ5" s="5" t="s">
        <v>97</v>
      </c>
      <c r="AR5" s="5" t="s">
        <v>97</v>
      </c>
      <c r="AS5" s="5" t="s">
        <v>97</v>
      </c>
      <c r="AT5" s="5" t="s">
        <v>172</v>
      </c>
      <c r="AU5" s="5"/>
      <c r="AV5" s="9" t="s">
        <v>103</v>
      </c>
      <c r="AW5" s="16" t="s">
        <v>97</v>
      </c>
      <c r="AX5" s="16" t="s">
        <v>97</v>
      </c>
      <c r="AY5" s="16" t="s">
        <v>97</v>
      </c>
      <c r="AZ5" s="16" t="s">
        <v>103</v>
      </c>
      <c r="BA5" s="16" t="s">
        <v>97</v>
      </c>
      <c r="BB5" s="5">
        <v>45523</v>
      </c>
      <c r="BC5" s="5">
        <v>45523</v>
      </c>
      <c r="BD5" s="5">
        <v>45523</v>
      </c>
      <c r="BE5" s="5">
        <v>45523</v>
      </c>
      <c r="BF5" s="4" t="s">
        <v>98</v>
      </c>
      <c r="BG5" s="4" t="s">
        <v>97</v>
      </c>
      <c r="BH5" s="4" t="s">
        <v>103</v>
      </c>
      <c r="BI5" s="4" t="s">
        <v>115</v>
      </c>
    </row>
    <row r="6" spans="1:61" x14ac:dyDescent="0.35">
      <c r="A6" s="8" t="str">
        <f t="shared" si="3"/>
        <v>Semaine 32-2024</v>
      </c>
      <c r="B6" s="8" t="str">
        <f t="shared" si="4"/>
        <v>2024</v>
      </c>
      <c r="C6" s="2" t="s">
        <v>37</v>
      </c>
      <c r="D6" s="6" t="str">
        <f t="shared" si="5"/>
        <v>Dakar</v>
      </c>
      <c r="E6" s="6">
        <f t="shared" si="6"/>
        <v>301226</v>
      </c>
      <c r="F6" s="6">
        <f t="shared" si="7"/>
        <v>4042240</v>
      </c>
      <c r="G6" s="4" t="s">
        <v>116</v>
      </c>
      <c r="H6" s="9" t="s">
        <v>117</v>
      </c>
      <c r="I6" s="9">
        <v>62</v>
      </c>
      <c r="J6" s="9" t="s">
        <v>96</v>
      </c>
      <c r="K6" s="9"/>
      <c r="L6" s="9"/>
      <c r="M6" s="9"/>
      <c r="N6" s="9"/>
      <c r="O6" s="4" t="s">
        <v>238</v>
      </c>
      <c r="P6" s="9" t="s">
        <v>97</v>
      </c>
      <c r="Q6" s="9" t="s">
        <v>97</v>
      </c>
      <c r="R6" s="14" t="s">
        <v>100</v>
      </c>
      <c r="S6" s="14" t="s">
        <v>100</v>
      </c>
      <c r="T6" s="14" t="s">
        <v>100</v>
      </c>
      <c r="U6" s="14"/>
      <c r="V6" s="14"/>
      <c r="W6" s="14"/>
      <c r="X6" s="14"/>
      <c r="Y6" s="5">
        <v>45515</v>
      </c>
      <c r="Z6" s="5">
        <v>45522</v>
      </c>
      <c r="AA6" s="5" t="s">
        <v>97</v>
      </c>
      <c r="AB6" s="5"/>
      <c r="AC6" s="5" t="s">
        <v>97</v>
      </c>
      <c r="AD6" s="5" t="s">
        <v>97</v>
      </c>
      <c r="AE6" s="5" t="s">
        <v>97</v>
      </c>
      <c r="AF6" s="5" t="s">
        <v>97</v>
      </c>
      <c r="AG6" s="5" t="s">
        <v>97</v>
      </c>
      <c r="AH6" s="5" t="s">
        <v>103</v>
      </c>
      <c r="AI6" s="5">
        <v>45515</v>
      </c>
      <c r="AJ6" s="5"/>
      <c r="AK6" s="5"/>
      <c r="AL6" s="17"/>
      <c r="AM6" s="5" t="s">
        <v>103</v>
      </c>
      <c r="AN6" s="5" t="s">
        <v>103</v>
      </c>
      <c r="AO6" s="5" t="s">
        <v>103</v>
      </c>
      <c r="AP6" s="5" t="s">
        <v>103</v>
      </c>
      <c r="AQ6" s="5" t="s">
        <v>97</v>
      </c>
      <c r="AR6" s="5" t="s">
        <v>97</v>
      </c>
      <c r="AS6" s="5" t="s">
        <v>97</v>
      </c>
      <c r="AT6" s="5"/>
      <c r="AU6" s="5"/>
      <c r="AV6" s="9" t="s">
        <v>97</v>
      </c>
      <c r="AW6" s="16" t="s">
        <v>97</v>
      </c>
      <c r="AX6" s="16" t="s">
        <v>97</v>
      </c>
      <c r="AY6" s="16" t="s">
        <v>97</v>
      </c>
      <c r="AZ6" s="16" t="s">
        <v>103</v>
      </c>
      <c r="BA6" s="16" t="s">
        <v>97</v>
      </c>
      <c r="BB6" s="5">
        <v>45523</v>
      </c>
      <c r="BC6" s="5">
        <v>45523</v>
      </c>
      <c r="BD6" s="5">
        <v>45523</v>
      </c>
      <c r="BE6" s="5">
        <v>45523</v>
      </c>
      <c r="BF6" s="4" t="s">
        <v>98</v>
      </c>
      <c r="BG6" s="4" t="s">
        <v>97</v>
      </c>
      <c r="BH6" s="4" t="s">
        <v>103</v>
      </c>
      <c r="BI6" s="4" t="s">
        <v>145</v>
      </c>
    </row>
    <row r="7" spans="1:61" x14ac:dyDescent="0.35">
      <c r="A7" s="8" t="str">
        <f t="shared" si="3"/>
        <v>Semaine 29-2024</v>
      </c>
      <c r="B7" s="8" t="str">
        <f t="shared" si="4"/>
        <v>2024</v>
      </c>
      <c r="C7" s="2" t="s">
        <v>49</v>
      </c>
      <c r="D7" s="6" t="str">
        <f t="shared" si="5"/>
        <v>Dakar</v>
      </c>
      <c r="E7" s="6">
        <f t="shared" si="6"/>
        <v>441950</v>
      </c>
      <c r="F7" s="6">
        <f t="shared" si="7"/>
        <v>4042240</v>
      </c>
      <c r="G7" s="4" t="s">
        <v>119</v>
      </c>
      <c r="H7" s="9" t="s">
        <v>120</v>
      </c>
      <c r="I7" s="9">
        <v>51</v>
      </c>
      <c r="J7" s="9" t="s">
        <v>114</v>
      </c>
      <c r="K7" s="9"/>
      <c r="L7" s="9"/>
      <c r="M7" s="9"/>
      <c r="N7" s="9"/>
      <c r="O7" s="4" t="s">
        <v>238</v>
      </c>
      <c r="P7" s="9" t="s">
        <v>97</v>
      </c>
      <c r="Q7" s="9" t="s">
        <v>97</v>
      </c>
      <c r="R7" s="14" t="s">
        <v>100</v>
      </c>
      <c r="S7" s="14" t="s">
        <v>100</v>
      </c>
      <c r="T7" s="14" t="s">
        <v>100</v>
      </c>
      <c r="U7" s="14"/>
      <c r="V7" s="14"/>
      <c r="W7" s="14"/>
      <c r="X7" s="14"/>
      <c r="Y7" s="5">
        <v>45493</v>
      </c>
      <c r="Z7" s="5">
        <v>45523</v>
      </c>
      <c r="AA7" s="5" t="s">
        <v>97</v>
      </c>
      <c r="AB7" s="5"/>
      <c r="AC7" s="5" t="s">
        <v>97</v>
      </c>
      <c r="AD7" s="5" t="s">
        <v>97</v>
      </c>
      <c r="AE7" s="5" t="s">
        <v>97</v>
      </c>
      <c r="AF7" s="5" t="s">
        <v>97</v>
      </c>
      <c r="AG7" s="5" t="s">
        <v>97</v>
      </c>
      <c r="AH7" s="5" t="s">
        <v>103</v>
      </c>
      <c r="AI7" s="5">
        <v>45493</v>
      </c>
      <c r="AJ7" s="5"/>
      <c r="AK7" s="5"/>
      <c r="AL7" s="17" t="s">
        <v>103</v>
      </c>
      <c r="AM7" s="5" t="s">
        <v>103</v>
      </c>
      <c r="AN7" s="5" t="s">
        <v>103</v>
      </c>
      <c r="AO7" s="5" t="s">
        <v>103</v>
      </c>
      <c r="AP7" s="5" t="s">
        <v>103</v>
      </c>
      <c r="AQ7" s="5" t="s">
        <v>97</v>
      </c>
      <c r="AR7" s="5" t="s">
        <v>97</v>
      </c>
      <c r="AS7" s="5" t="s">
        <v>97</v>
      </c>
      <c r="AT7" s="5"/>
      <c r="AU7" s="5"/>
      <c r="AV7" s="9" t="s">
        <v>103</v>
      </c>
      <c r="AW7" s="16" t="s">
        <v>97</v>
      </c>
      <c r="AX7" s="16" t="s">
        <v>97</v>
      </c>
      <c r="AY7" s="16" t="s">
        <v>97</v>
      </c>
      <c r="AZ7" s="16" t="s">
        <v>103</v>
      </c>
      <c r="BA7" s="16" t="s">
        <v>97</v>
      </c>
      <c r="BB7" s="5">
        <v>45523</v>
      </c>
      <c r="BC7" s="5">
        <v>45523</v>
      </c>
      <c r="BD7" s="5">
        <v>45523</v>
      </c>
      <c r="BE7" s="5">
        <v>45523</v>
      </c>
      <c r="BF7" s="4" t="s">
        <v>98</v>
      </c>
      <c r="BG7" s="4" t="s">
        <v>97</v>
      </c>
      <c r="BH7" s="4" t="s">
        <v>103</v>
      </c>
      <c r="BI7" s="9" t="s">
        <v>115</v>
      </c>
    </row>
    <row r="8" spans="1:61" x14ac:dyDescent="0.35">
      <c r="A8" s="8" t="str">
        <f t="shared" si="3"/>
        <v>Semaine 32-2024</v>
      </c>
      <c r="B8" s="8" t="str">
        <f t="shared" si="4"/>
        <v>2024</v>
      </c>
      <c r="C8" s="2" t="s">
        <v>77</v>
      </c>
      <c r="D8" s="6" t="str">
        <f t="shared" si="5"/>
        <v>Dakar</v>
      </c>
      <c r="E8" s="6">
        <f t="shared" si="6"/>
        <v>341880</v>
      </c>
      <c r="F8" s="6">
        <f t="shared" si="7"/>
        <v>4042240</v>
      </c>
      <c r="G8" s="4" t="s">
        <v>122</v>
      </c>
      <c r="H8" s="9" t="s">
        <v>123</v>
      </c>
      <c r="I8" s="9">
        <v>16</v>
      </c>
      <c r="J8" s="9" t="s">
        <v>114</v>
      </c>
      <c r="K8" s="9"/>
      <c r="L8" s="9"/>
      <c r="M8" s="9"/>
      <c r="N8" s="9"/>
      <c r="O8" s="4" t="s">
        <v>238</v>
      </c>
      <c r="P8" s="9" t="s">
        <v>97</v>
      </c>
      <c r="Q8" s="9" t="s">
        <v>97</v>
      </c>
      <c r="R8" s="15" t="s">
        <v>100</v>
      </c>
      <c r="S8" s="14" t="s">
        <v>100</v>
      </c>
      <c r="T8" s="14" t="s">
        <v>100</v>
      </c>
      <c r="U8" s="15"/>
      <c r="V8" s="15"/>
      <c r="W8" s="15"/>
      <c r="X8" s="15"/>
      <c r="Y8" s="5">
        <v>45510</v>
      </c>
      <c r="Z8" s="5">
        <v>45523</v>
      </c>
      <c r="AA8" s="5" t="s">
        <v>97</v>
      </c>
      <c r="AB8" s="5"/>
      <c r="AC8" s="5" t="s">
        <v>97</v>
      </c>
      <c r="AD8" s="5" t="s">
        <v>97</v>
      </c>
      <c r="AE8" s="5" t="s">
        <v>97</v>
      </c>
      <c r="AF8" s="5" t="s">
        <v>97</v>
      </c>
      <c r="AG8" s="5" t="s">
        <v>97</v>
      </c>
      <c r="AH8" s="5" t="s">
        <v>103</v>
      </c>
      <c r="AI8" s="5">
        <v>45510</v>
      </c>
      <c r="AJ8" s="5"/>
      <c r="AK8" s="5"/>
      <c r="AL8" s="17"/>
      <c r="AM8" s="5" t="s">
        <v>103</v>
      </c>
      <c r="AN8" s="5" t="s">
        <v>103</v>
      </c>
      <c r="AO8" s="5" t="s">
        <v>97</v>
      </c>
      <c r="AP8" s="5" t="s">
        <v>97</v>
      </c>
      <c r="AQ8" s="5" t="s">
        <v>97</v>
      </c>
      <c r="AR8" s="5" t="s">
        <v>97</v>
      </c>
      <c r="AS8" s="5" t="s">
        <v>97</v>
      </c>
      <c r="AT8" s="5"/>
      <c r="AU8" s="5"/>
      <c r="AV8" s="9" t="s">
        <v>97</v>
      </c>
      <c r="AW8" s="16" t="s">
        <v>97</v>
      </c>
      <c r="AX8" s="16" t="s">
        <v>97</v>
      </c>
      <c r="AY8" s="16" t="s">
        <v>97</v>
      </c>
      <c r="AZ8" s="16" t="s">
        <v>103</v>
      </c>
      <c r="BA8" s="16" t="s">
        <v>97</v>
      </c>
      <c r="BB8" s="5">
        <v>45523</v>
      </c>
      <c r="BC8" s="5">
        <v>45524</v>
      </c>
      <c r="BD8" s="5">
        <v>45524</v>
      </c>
      <c r="BE8" s="5">
        <v>45524</v>
      </c>
      <c r="BF8" s="9" t="s">
        <v>98</v>
      </c>
      <c r="BG8" s="9" t="s">
        <v>97</v>
      </c>
      <c r="BH8" s="9" t="s">
        <v>103</v>
      </c>
      <c r="BI8" s="4" t="s">
        <v>145</v>
      </c>
    </row>
    <row r="9" spans="1:61" x14ac:dyDescent="0.35">
      <c r="A9" s="8" t="str">
        <f t="shared" si="3"/>
        <v>Semaine 31-2024</v>
      </c>
      <c r="B9" s="8" t="str">
        <f t="shared" si="4"/>
        <v>2024</v>
      </c>
      <c r="C9" s="2" t="s">
        <v>19</v>
      </c>
      <c r="D9" s="6" t="str">
        <f t="shared" si="5"/>
        <v>Dakar</v>
      </c>
      <c r="E9" s="6">
        <f t="shared" si="6"/>
        <v>565040</v>
      </c>
      <c r="F9" s="6">
        <f t="shared" si="7"/>
        <v>4042240</v>
      </c>
      <c r="G9" s="4" t="s">
        <v>124</v>
      </c>
      <c r="H9" s="9" t="s">
        <v>125</v>
      </c>
      <c r="I9" s="9">
        <v>17</v>
      </c>
      <c r="J9" s="9" t="s">
        <v>96</v>
      </c>
      <c r="K9" s="9"/>
      <c r="L9" s="9"/>
      <c r="M9" s="9"/>
      <c r="N9" s="9"/>
      <c r="O9" s="4" t="s">
        <v>238</v>
      </c>
      <c r="P9" s="9" t="s">
        <v>97</v>
      </c>
      <c r="Q9" s="9" t="s">
        <v>97</v>
      </c>
      <c r="R9" s="15" t="s">
        <v>100</v>
      </c>
      <c r="S9" s="14" t="s">
        <v>100</v>
      </c>
      <c r="T9" s="14" t="s">
        <v>100</v>
      </c>
      <c r="U9" s="15" t="s">
        <v>283</v>
      </c>
      <c r="V9" s="15"/>
      <c r="W9" s="15"/>
      <c r="X9" s="15"/>
      <c r="Y9" s="5">
        <v>45508</v>
      </c>
      <c r="Z9" s="5">
        <v>45524</v>
      </c>
      <c r="AA9" s="5" t="s">
        <v>97</v>
      </c>
      <c r="AB9" s="5"/>
      <c r="AC9" s="5" t="s">
        <v>103</v>
      </c>
      <c r="AD9" s="5" t="s">
        <v>103</v>
      </c>
      <c r="AE9" s="5" t="s">
        <v>97</v>
      </c>
      <c r="AF9" s="5" t="s">
        <v>103</v>
      </c>
      <c r="AG9" s="5" t="s">
        <v>103</v>
      </c>
      <c r="AH9" s="5" t="s">
        <v>103</v>
      </c>
      <c r="AI9" s="5">
        <v>45508</v>
      </c>
      <c r="AJ9" s="5"/>
      <c r="AK9" s="5"/>
      <c r="AL9" s="17" t="s">
        <v>103</v>
      </c>
      <c r="AM9" s="5" t="s">
        <v>103</v>
      </c>
      <c r="AN9" s="5" t="s">
        <v>103</v>
      </c>
      <c r="AO9" s="5" t="s">
        <v>103</v>
      </c>
      <c r="AP9" s="5" t="s">
        <v>103</v>
      </c>
      <c r="AQ9" s="5" t="s">
        <v>97</v>
      </c>
      <c r="AR9" s="5" t="s">
        <v>97</v>
      </c>
      <c r="AS9" s="5" t="s">
        <v>97</v>
      </c>
      <c r="AT9" s="5" t="s">
        <v>173</v>
      </c>
      <c r="AU9" s="5"/>
      <c r="AV9" s="4" t="s">
        <v>103</v>
      </c>
      <c r="AW9" s="16" t="s">
        <v>97</v>
      </c>
      <c r="AX9" s="16" t="s">
        <v>97</v>
      </c>
      <c r="AY9" s="16" t="s">
        <v>97</v>
      </c>
      <c r="AZ9" s="16" t="s">
        <v>103</v>
      </c>
      <c r="BA9" s="16" t="s">
        <v>97</v>
      </c>
      <c r="BB9" s="5">
        <v>45524</v>
      </c>
      <c r="BC9" s="5">
        <v>45524</v>
      </c>
      <c r="BD9" s="5">
        <v>45524</v>
      </c>
      <c r="BE9" s="5">
        <v>45524</v>
      </c>
      <c r="BF9" s="9" t="s">
        <v>98</v>
      </c>
      <c r="BG9" s="9" t="s">
        <v>97</v>
      </c>
      <c r="BH9" s="9" t="s">
        <v>103</v>
      </c>
      <c r="BI9" s="9" t="s">
        <v>115</v>
      </c>
    </row>
    <row r="10" spans="1:61" x14ac:dyDescent="0.35">
      <c r="A10" s="8" t="str">
        <f t="shared" si="3"/>
        <v>Semaine 34-2024</v>
      </c>
      <c r="B10" s="8" t="str">
        <f t="shared" si="4"/>
        <v>2024</v>
      </c>
      <c r="C10" s="2" t="s">
        <v>19</v>
      </c>
      <c r="D10" s="6" t="str">
        <f t="shared" si="5"/>
        <v>Dakar</v>
      </c>
      <c r="E10" s="6">
        <f t="shared" si="6"/>
        <v>565040</v>
      </c>
      <c r="F10" s="6">
        <f t="shared" si="7"/>
        <v>4042240</v>
      </c>
      <c r="G10" s="4" t="s">
        <v>126</v>
      </c>
      <c r="H10" s="9" t="s">
        <v>121</v>
      </c>
      <c r="I10" s="9">
        <v>15</v>
      </c>
      <c r="J10" s="9" t="s">
        <v>96</v>
      </c>
      <c r="K10" s="9"/>
      <c r="L10" s="9"/>
      <c r="M10" s="9"/>
      <c r="N10" s="9"/>
      <c r="O10" s="4" t="s">
        <v>238</v>
      </c>
      <c r="P10" s="9" t="s">
        <v>97</v>
      </c>
      <c r="Q10" s="9" t="s">
        <v>97</v>
      </c>
      <c r="R10" s="15" t="s">
        <v>100</v>
      </c>
      <c r="S10" s="14" t="s">
        <v>100</v>
      </c>
      <c r="T10" s="14" t="s">
        <v>100</v>
      </c>
      <c r="U10" s="15"/>
      <c r="V10" s="15"/>
      <c r="W10" s="15"/>
      <c r="X10" s="15"/>
      <c r="Y10" s="5">
        <v>45523</v>
      </c>
      <c r="Z10" s="5">
        <v>45524</v>
      </c>
      <c r="AA10" s="5" t="s">
        <v>103</v>
      </c>
      <c r="AB10" s="5"/>
      <c r="AC10" s="5" t="s">
        <v>103</v>
      </c>
      <c r="AD10" s="5" t="s">
        <v>97</v>
      </c>
      <c r="AE10" s="5" t="s">
        <v>103</v>
      </c>
      <c r="AF10" s="5" t="s">
        <v>97</v>
      </c>
      <c r="AG10" s="5" t="s">
        <v>97</v>
      </c>
      <c r="AH10" s="5" t="s">
        <v>103</v>
      </c>
      <c r="AI10" s="5">
        <v>45523</v>
      </c>
      <c r="AJ10" s="5"/>
      <c r="AK10" s="5"/>
      <c r="AL10" s="18"/>
      <c r="AM10" s="5" t="s">
        <v>103</v>
      </c>
      <c r="AN10" s="5" t="s">
        <v>103</v>
      </c>
      <c r="AO10" s="5" t="s">
        <v>103</v>
      </c>
      <c r="AP10" s="5" t="s">
        <v>103</v>
      </c>
      <c r="AQ10" s="5" t="s">
        <v>103</v>
      </c>
      <c r="AR10" s="5" t="s">
        <v>97</v>
      </c>
      <c r="AS10" s="5" t="s">
        <v>103</v>
      </c>
      <c r="AT10" s="5"/>
      <c r="AU10" s="5"/>
      <c r="AV10" s="8" t="s">
        <v>97</v>
      </c>
      <c r="AW10" s="16" t="s">
        <v>97</v>
      </c>
      <c r="AX10" s="8" t="s">
        <v>103</v>
      </c>
      <c r="AY10" s="16" t="s">
        <v>97</v>
      </c>
      <c r="AZ10" s="16" t="s">
        <v>103</v>
      </c>
      <c r="BA10" s="16" t="s">
        <v>97</v>
      </c>
      <c r="BB10" s="5">
        <v>45524</v>
      </c>
      <c r="BC10" s="5">
        <v>45524</v>
      </c>
      <c r="BD10" s="5">
        <v>45524</v>
      </c>
      <c r="BE10" s="5">
        <v>45524</v>
      </c>
      <c r="BF10" s="8" t="s">
        <v>98</v>
      </c>
      <c r="BG10" s="8" t="s">
        <v>103</v>
      </c>
      <c r="BH10" s="9" t="s">
        <v>103</v>
      </c>
      <c r="BI10" s="8" t="s">
        <v>115</v>
      </c>
    </row>
    <row r="11" spans="1:61" x14ac:dyDescent="0.35">
      <c r="A11" s="8" t="str">
        <f t="shared" si="3"/>
        <v>Semaine 33-2024</v>
      </c>
      <c r="B11" s="8" t="str">
        <f t="shared" si="4"/>
        <v>2024</v>
      </c>
      <c r="C11" s="2" t="s">
        <v>17</v>
      </c>
      <c r="D11" s="6" t="str">
        <f t="shared" si="5"/>
        <v>Louga</v>
      </c>
      <c r="E11" s="6">
        <f t="shared" si="6"/>
        <v>169119</v>
      </c>
      <c r="F11" s="6">
        <f t="shared" si="7"/>
        <v>1121619</v>
      </c>
      <c r="G11" s="4" t="s">
        <v>127</v>
      </c>
      <c r="H11" s="9" t="s">
        <v>128</v>
      </c>
      <c r="I11" s="9">
        <v>10</v>
      </c>
      <c r="J11" s="9" t="s">
        <v>114</v>
      </c>
      <c r="K11" s="9"/>
      <c r="L11" s="9"/>
      <c r="M11" s="9"/>
      <c r="N11" s="9"/>
      <c r="O11" s="4" t="s">
        <v>238</v>
      </c>
      <c r="P11" s="9" t="s">
        <v>97</v>
      </c>
      <c r="Q11" s="9" t="s">
        <v>97</v>
      </c>
      <c r="R11" s="15" t="s">
        <v>100</v>
      </c>
      <c r="S11" s="14" t="s">
        <v>100</v>
      </c>
      <c r="T11" s="14" t="s">
        <v>100</v>
      </c>
      <c r="U11" s="15" t="s">
        <v>284</v>
      </c>
      <c r="V11" s="15"/>
      <c r="W11" s="15"/>
      <c r="X11" s="15"/>
      <c r="Y11" s="5">
        <v>45517</v>
      </c>
      <c r="Z11" s="5">
        <v>45522</v>
      </c>
      <c r="AA11" s="5" t="s">
        <v>103</v>
      </c>
      <c r="AB11" s="5"/>
      <c r="AC11" s="5" t="s">
        <v>97</v>
      </c>
      <c r="AD11" s="5" t="s">
        <v>103</v>
      </c>
      <c r="AE11" s="5" t="s">
        <v>97</v>
      </c>
      <c r="AF11" s="5" t="s">
        <v>97</v>
      </c>
      <c r="AG11" s="5" t="s">
        <v>97</v>
      </c>
      <c r="AH11" s="5" t="s">
        <v>103</v>
      </c>
      <c r="AI11" s="5">
        <v>45517</v>
      </c>
      <c r="AJ11" s="5"/>
      <c r="AK11" s="5"/>
      <c r="AL11" s="17" t="s">
        <v>103</v>
      </c>
      <c r="AM11" s="5" t="s">
        <v>103</v>
      </c>
      <c r="AN11" s="5" t="s">
        <v>103</v>
      </c>
      <c r="AO11" s="5" t="s">
        <v>103</v>
      </c>
      <c r="AP11" s="5" t="s">
        <v>103</v>
      </c>
      <c r="AQ11" s="5" t="s">
        <v>97</v>
      </c>
      <c r="AR11" s="5" t="s">
        <v>97</v>
      </c>
      <c r="AS11" s="5" t="s">
        <v>97</v>
      </c>
      <c r="AT11" s="5"/>
      <c r="AU11" s="5"/>
      <c r="AV11" s="9" t="s">
        <v>103</v>
      </c>
      <c r="AW11" s="16" t="s">
        <v>97</v>
      </c>
      <c r="AX11" s="9" t="s">
        <v>97</v>
      </c>
      <c r="AY11" s="16" t="s">
        <v>97</v>
      </c>
      <c r="AZ11" s="16" t="s">
        <v>103</v>
      </c>
      <c r="BA11" s="16" t="s">
        <v>97</v>
      </c>
      <c r="BB11" s="5">
        <v>45522</v>
      </c>
      <c r="BC11" s="5">
        <v>45523</v>
      </c>
      <c r="BD11" s="5">
        <v>45523</v>
      </c>
      <c r="BE11" s="5">
        <v>45524</v>
      </c>
      <c r="BF11" s="9" t="s">
        <v>98</v>
      </c>
      <c r="BG11" s="9" t="s">
        <v>103</v>
      </c>
      <c r="BH11" s="9" t="s">
        <v>103</v>
      </c>
      <c r="BI11" s="9" t="s">
        <v>115</v>
      </c>
    </row>
    <row r="12" spans="1:61" x14ac:dyDescent="0.35">
      <c r="A12" s="8" t="str">
        <f t="shared" si="3"/>
        <v>Semaine 33-2024</v>
      </c>
      <c r="B12" s="8" t="str">
        <f t="shared" si="4"/>
        <v>2024</v>
      </c>
      <c r="C12" s="2" t="s">
        <v>44</v>
      </c>
      <c r="D12" s="6" t="str">
        <f t="shared" si="5"/>
        <v>Louga</v>
      </c>
      <c r="E12" s="6">
        <f t="shared" si="6"/>
        <v>141243</v>
      </c>
      <c r="F12" s="6">
        <f t="shared" si="7"/>
        <v>1121619</v>
      </c>
      <c r="G12" s="4" t="s">
        <v>130</v>
      </c>
      <c r="H12" s="9" t="s">
        <v>133</v>
      </c>
      <c r="I12" s="9">
        <v>2</v>
      </c>
      <c r="J12" s="9" t="s">
        <v>114</v>
      </c>
      <c r="K12" s="9"/>
      <c r="L12" s="9"/>
      <c r="M12" s="9"/>
      <c r="N12" s="9"/>
      <c r="O12" s="4" t="s">
        <v>238</v>
      </c>
      <c r="P12" s="9" t="s">
        <v>97</v>
      </c>
      <c r="Q12" s="9" t="s">
        <v>97</v>
      </c>
      <c r="R12" s="14" t="s">
        <v>100</v>
      </c>
      <c r="S12" s="14" t="s">
        <v>100</v>
      </c>
      <c r="T12" s="14" t="s">
        <v>100</v>
      </c>
      <c r="U12" s="14"/>
      <c r="V12" s="14"/>
      <c r="W12" s="14"/>
      <c r="X12" s="14"/>
      <c r="Y12" s="5">
        <v>45522</v>
      </c>
      <c r="Z12" s="5">
        <v>45524</v>
      </c>
      <c r="AA12" s="5" t="s">
        <v>103</v>
      </c>
      <c r="AB12" s="5"/>
      <c r="AC12" s="5" t="s">
        <v>97</v>
      </c>
      <c r="AD12" s="5" t="s">
        <v>97</v>
      </c>
      <c r="AE12" s="5" t="s">
        <v>103</v>
      </c>
      <c r="AF12" s="5" t="s">
        <v>97</v>
      </c>
      <c r="AG12" s="5" t="s">
        <v>97</v>
      </c>
      <c r="AH12" s="5" t="s">
        <v>103</v>
      </c>
      <c r="AI12" s="5">
        <v>45522</v>
      </c>
      <c r="AJ12" s="5"/>
      <c r="AK12" s="5"/>
      <c r="AL12" s="16"/>
      <c r="AM12" s="5" t="s">
        <v>97</v>
      </c>
      <c r="AN12" s="5" t="s">
        <v>103</v>
      </c>
      <c r="AO12" s="5" t="s">
        <v>103</v>
      </c>
      <c r="AP12" s="5" t="s">
        <v>103</v>
      </c>
      <c r="AQ12" s="5" t="s">
        <v>97</v>
      </c>
      <c r="AR12" s="5" t="s">
        <v>97</v>
      </c>
      <c r="AS12" s="5" t="s">
        <v>97</v>
      </c>
      <c r="AT12" s="5"/>
      <c r="AU12" s="5"/>
      <c r="AV12" s="9" t="s">
        <v>97</v>
      </c>
      <c r="AW12" s="16" t="s">
        <v>97</v>
      </c>
      <c r="AX12" s="9" t="s">
        <v>97</v>
      </c>
      <c r="AY12" s="16" t="s">
        <v>97</v>
      </c>
      <c r="AZ12" s="16" t="s">
        <v>103</v>
      </c>
      <c r="BA12" s="16" t="s">
        <v>97</v>
      </c>
      <c r="BB12" s="5">
        <v>45524</v>
      </c>
      <c r="BC12" s="5">
        <v>45525</v>
      </c>
      <c r="BD12" s="5">
        <v>45525</v>
      </c>
      <c r="BE12" s="5">
        <v>45525</v>
      </c>
      <c r="BF12" s="4" t="s">
        <v>98</v>
      </c>
      <c r="BG12" s="4" t="s">
        <v>97</v>
      </c>
      <c r="BH12" s="9" t="s">
        <v>103</v>
      </c>
      <c r="BI12" s="4" t="s">
        <v>145</v>
      </c>
    </row>
    <row r="13" spans="1:61" x14ac:dyDescent="0.35">
      <c r="A13" s="8" t="str">
        <f t="shared" si="3"/>
        <v>Semaine 33-2024</v>
      </c>
      <c r="B13" s="8" t="str">
        <f t="shared" si="4"/>
        <v>2024</v>
      </c>
      <c r="C13" s="2" t="s">
        <v>75</v>
      </c>
      <c r="D13" s="6" t="str">
        <f t="shared" si="5"/>
        <v>Diourbel</v>
      </c>
      <c r="E13" s="6">
        <f t="shared" si="6"/>
        <v>996481</v>
      </c>
      <c r="F13" s="6">
        <f t="shared" si="7"/>
        <v>1980827</v>
      </c>
      <c r="G13" s="4" t="s">
        <v>131</v>
      </c>
      <c r="H13" s="9" t="s">
        <v>134</v>
      </c>
      <c r="I13" s="9">
        <v>80</v>
      </c>
      <c r="J13" s="9" t="s">
        <v>96</v>
      </c>
      <c r="K13" s="9"/>
      <c r="L13" s="9"/>
      <c r="M13" s="9"/>
      <c r="N13" s="9"/>
      <c r="O13" s="4" t="s">
        <v>238</v>
      </c>
      <c r="P13" s="9" t="s">
        <v>97</v>
      </c>
      <c r="Q13" s="9" t="s">
        <v>97</v>
      </c>
      <c r="R13" s="14" t="s">
        <v>100</v>
      </c>
      <c r="S13" s="14" t="s">
        <v>100</v>
      </c>
      <c r="T13" s="14" t="s">
        <v>100</v>
      </c>
      <c r="U13" s="14" t="s">
        <v>285</v>
      </c>
      <c r="V13" s="14"/>
      <c r="W13" s="14"/>
      <c r="X13" s="14"/>
      <c r="Y13" s="5">
        <v>45522</v>
      </c>
      <c r="Z13" s="5">
        <v>45523</v>
      </c>
      <c r="AA13" s="5" t="s">
        <v>97</v>
      </c>
      <c r="AB13" s="5"/>
      <c r="AC13" s="5" t="s">
        <v>97</v>
      </c>
      <c r="AD13" s="5" t="s">
        <v>97</v>
      </c>
      <c r="AE13" s="5" t="s">
        <v>97</v>
      </c>
      <c r="AF13" s="5" t="s">
        <v>97</v>
      </c>
      <c r="AG13" s="5" t="s">
        <v>97</v>
      </c>
      <c r="AH13" s="5" t="s">
        <v>103</v>
      </c>
      <c r="AI13" s="5">
        <v>45522</v>
      </c>
      <c r="AJ13" s="5"/>
      <c r="AK13" s="5"/>
      <c r="AL13" s="16"/>
      <c r="AM13" s="5" t="s">
        <v>97</v>
      </c>
      <c r="AN13" s="5" t="s">
        <v>103</v>
      </c>
      <c r="AO13" s="5" t="s">
        <v>97</v>
      </c>
      <c r="AP13" s="5" t="s">
        <v>97</v>
      </c>
      <c r="AQ13" s="5" t="s">
        <v>97</v>
      </c>
      <c r="AR13" s="5" t="s">
        <v>97</v>
      </c>
      <c r="AS13" s="5" t="s">
        <v>97</v>
      </c>
      <c r="AT13" s="5"/>
      <c r="AU13" s="5"/>
      <c r="AV13" s="4" t="s">
        <v>97</v>
      </c>
      <c r="AW13" s="16" t="s">
        <v>97</v>
      </c>
      <c r="AX13" s="9" t="s">
        <v>97</v>
      </c>
      <c r="AY13" s="16" t="s">
        <v>97</v>
      </c>
      <c r="AZ13" s="16" t="s">
        <v>103</v>
      </c>
      <c r="BA13" s="16" t="s">
        <v>97</v>
      </c>
      <c r="BB13" s="5">
        <v>45523</v>
      </c>
      <c r="BC13" s="5">
        <v>45523</v>
      </c>
      <c r="BD13" s="5">
        <v>45525</v>
      </c>
      <c r="BE13" s="5">
        <v>45525</v>
      </c>
      <c r="BF13" s="4" t="s">
        <v>98</v>
      </c>
      <c r="BG13" s="4" t="s">
        <v>97</v>
      </c>
      <c r="BH13" s="9" t="s">
        <v>103</v>
      </c>
      <c r="BI13" s="4" t="s">
        <v>145</v>
      </c>
    </row>
    <row r="14" spans="1:61" x14ac:dyDescent="0.35">
      <c r="A14" s="8" t="str">
        <f t="shared" si="3"/>
        <v>Semaine 33-2024</v>
      </c>
      <c r="B14" s="8" t="str">
        <f t="shared" si="4"/>
        <v>2024</v>
      </c>
      <c r="C14" s="2" t="s">
        <v>75</v>
      </c>
      <c r="D14" s="6" t="str">
        <f t="shared" si="5"/>
        <v>Diourbel</v>
      </c>
      <c r="E14" s="6">
        <f t="shared" si="6"/>
        <v>996481</v>
      </c>
      <c r="F14" s="6">
        <f t="shared" si="7"/>
        <v>1980827</v>
      </c>
      <c r="G14" s="4" t="s">
        <v>132</v>
      </c>
      <c r="H14" s="9" t="s">
        <v>135</v>
      </c>
      <c r="I14" s="9">
        <v>20</v>
      </c>
      <c r="J14" s="9" t="s">
        <v>96</v>
      </c>
      <c r="K14" s="9"/>
      <c r="L14" s="9"/>
      <c r="M14" s="9"/>
      <c r="N14" s="9"/>
      <c r="O14" s="4" t="s">
        <v>238</v>
      </c>
      <c r="P14" s="9" t="s">
        <v>97</v>
      </c>
      <c r="Q14" s="9" t="s">
        <v>97</v>
      </c>
      <c r="R14" s="14" t="s">
        <v>100</v>
      </c>
      <c r="S14" s="14" t="s">
        <v>100</v>
      </c>
      <c r="T14" s="14" t="s">
        <v>100</v>
      </c>
      <c r="U14" s="14" t="s">
        <v>285</v>
      </c>
      <c r="V14" s="14"/>
      <c r="W14" s="14"/>
      <c r="X14" s="14"/>
      <c r="Y14" s="5">
        <v>45521</v>
      </c>
      <c r="Z14" s="5">
        <v>45525</v>
      </c>
      <c r="AA14" s="5" t="s">
        <v>97</v>
      </c>
      <c r="AB14" s="5"/>
      <c r="AC14" s="5" t="s">
        <v>97</v>
      </c>
      <c r="AD14" s="5" t="s">
        <v>97</v>
      </c>
      <c r="AE14" s="5" t="s">
        <v>97</v>
      </c>
      <c r="AF14" s="5" t="s">
        <v>97</v>
      </c>
      <c r="AG14" s="5" t="s">
        <v>97</v>
      </c>
      <c r="AH14" s="5" t="s">
        <v>103</v>
      </c>
      <c r="AI14" s="5">
        <v>45521</v>
      </c>
      <c r="AJ14" s="5"/>
      <c r="AK14" s="5"/>
      <c r="AL14" s="16" t="s">
        <v>103</v>
      </c>
      <c r="AM14" s="5" t="s">
        <v>97</v>
      </c>
      <c r="AN14" s="5" t="s">
        <v>103</v>
      </c>
      <c r="AO14" s="5" t="s">
        <v>97</v>
      </c>
      <c r="AP14" s="5" t="s">
        <v>97</v>
      </c>
      <c r="AQ14" s="5" t="s">
        <v>97</v>
      </c>
      <c r="AR14" s="5" t="s">
        <v>97</v>
      </c>
      <c r="AS14" s="5" t="s">
        <v>97</v>
      </c>
      <c r="AT14" s="5"/>
      <c r="AU14" s="5"/>
      <c r="AV14" s="4" t="s">
        <v>103</v>
      </c>
      <c r="AW14" s="16" t="s">
        <v>97</v>
      </c>
      <c r="AX14" s="9" t="s">
        <v>97</v>
      </c>
      <c r="AY14" s="16" t="s">
        <v>97</v>
      </c>
      <c r="AZ14" s="16" t="s">
        <v>103</v>
      </c>
      <c r="BA14" s="16" t="s">
        <v>97</v>
      </c>
      <c r="BB14" s="5">
        <v>45525</v>
      </c>
      <c r="BC14" s="5">
        <v>45525</v>
      </c>
      <c r="BD14" s="5">
        <v>45525</v>
      </c>
      <c r="BE14" s="5">
        <v>45525</v>
      </c>
      <c r="BF14" s="4" t="s">
        <v>98</v>
      </c>
      <c r="BG14" s="4" t="s">
        <v>97</v>
      </c>
      <c r="BH14" s="9" t="s">
        <v>103</v>
      </c>
      <c r="BI14" s="4" t="s">
        <v>115</v>
      </c>
    </row>
    <row r="15" spans="1:61" x14ac:dyDescent="0.35">
      <c r="A15" s="8" t="str">
        <f t="shared" si="3"/>
        <v>Semaine 33-2024</v>
      </c>
      <c r="B15" s="8" t="str">
        <f t="shared" si="4"/>
        <v>2024</v>
      </c>
      <c r="C15" s="2" t="s">
        <v>75</v>
      </c>
      <c r="D15" s="6" t="str">
        <f t="shared" si="5"/>
        <v>Diourbel</v>
      </c>
      <c r="E15" s="6">
        <f t="shared" si="6"/>
        <v>996481</v>
      </c>
      <c r="F15" s="6">
        <f t="shared" si="7"/>
        <v>1980827</v>
      </c>
      <c r="G15" s="4" t="s">
        <v>136</v>
      </c>
      <c r="H15" s="9" t="s">
        <v>137</v>
      </c>
      <c r="I15" s="9">
        <v>48</v>
      </c>
      <c r="J15" s="9" t="s">
        <v>114</v>
      </c>
      <c r="K15" s="9"/>
      <c r="L15" s="9"/>
      <c r="M15" s="9"/>
      <c r="N15" s="9"/>
      <c r="O15" s="4" t="s">
        <v>238</v>
      </c>
      <c r="P15" s="9" t="s">
        <v>97</v>
      </c>
      <c r="Q15" s="9" t="s">
        <v>97</v>
      </c>
      <c r="R15" s="14" t="s">
        <v>100</v>
      </c>
      <c r="S15" s="14" t="s">
        <v>100</v>
      </c>
      <c r="T15" s="14" t="s">
        <v>100</v>
      </c>
      <c r="U15" s="14" t="s">
        <v>285</v>
      </c>
      <c r="V15" s="14"/>
      <c r="W15" s="14"/>
      <c r="X15" s="14"/>
      <c r="Y15" s="5">
        <v>45517</v>
      </c>
      <c r="Z15" s="5">
        <v>45525</v>
      </c>
      <c r="AA15" s="5" t="s">
        <v>103</v>
      </c>
      <c r="AB15" s="5"/>
      <c r="AC15" s="5" t="s">
        <v>97</v>
      </c>
      <c r="AD15" s="5" t="s">
        <v>97</v>
      </c>
      <c r="AE15" s="5" t="s">
        <v>97</v>
      </c>
      <c r="AF15" s="5" t="s">
        <v>97</v>
      </c>
      <c r="AG15" s="5" t="s">
        <v>103</v>
      </c>
      <c r="AH15" s="5" t="s">
        <v>103</v>
      </c>
      <c r="AI15" s="5">
        <v>45517</v>
      </c>
      <c r="AJ15" s="5"/>
      <c r="AK15" s="5"/>
      <c r="AL15" s="16" t="s">
        <v>103</v>
      </c>
      <c r="AM15" s="5" t="s">
        <v>103</v>
      </c>
      <c r="AN15" s="5" t="s">
        <v>97</v>
      </c>
      <c r="AO15" s="5" t="s">
        <v>97</v>
      </c>
      <c r="AP15" s="5" t="s">
        <v>103</v>
      </c>
      <c r="AQ15" s="5" t="s">
        <v>97</v>
      </c>
      <c r="AR15" s="5" t="s">
        <v>97</v>
      </c>
      <c r="AS15" s="5" t="s">
        <v>97</v>
      </c>
      <c r="AT15" s="5"/>
      <c r="AU15" s="5"/>
      <c r="AV15" s="4" t="s">
        <v>103</v>
      </c>
      <c r="AW15" s="16" t="s">
        <v>97</v>
      </c>
      <c r="AX15" s="9" t="s">
        <v>97</v>
      </c>
      <c r="AY15" s="16" t="s">
        <v>97</v>
      </c>
      <c r="AZ15" s="16" t="s">
        <v>103</v>
      </c>
      <c r="BA15" s="16" t="s">
        <v>97</v>
      </c>
      <c r="BB15" s="5">
        <v>45525</v>
      </c>
      <c r="BC15" s="5">
        <v>45526</v>
      </c>
      <c r="BD15" s="5">
        <v>45526</v>
      </c>
      <c r="BE15" s="5">
        <v>45526</v>
      </c>
      <c r="BF15" s="4" t="s">
        <v>98</v>
      </c>
      <c r="BG15" s="4" t="s">
        <v>97</v>
      </c>
      <c r="BH15" s="9" t="s">
        <v>103</v>
      </c>
      <c r="BI15" s="4" t="s">
        <v>115</v>
      </c>
    </row>
    <row r="16" spans="1:61" x14ac:dyDescent="0.35">
      <c r="A16" s="8" t="str">
        <f t="shared" si="3"/>
        <v>Semaine 33-2024</v>
      </c>
      <c r="B16" s="8" t="str">
        <f t="shared" si="4"/>
        <v>2024</v>
      </c>
      <c r="C16" s="2" t="s">
        <v>63</v>
      </c>
      <c r="D16" s="6" t="str">
        <f t="shared" si="5"/>
        <v>Saint-Louis</v>
      </c>
      <c r="E16" s="6">
        <f t="shared" si="6"/>
        <v>205977</v>
      </c>
      <c r="F16" s="6">
        <f t="shared" si="7"/>
        <v>1150065</v>
      </c>
      <c r="G16" s="4" t="s">
        <v>138</v>
      </c>
      <c r="H16" s="9" t="s">
        <v>129</v>
      </c>
      <c r="I16" s="8">
        <v>18</v>
      </c>
      <c r="J16" s="8" t="s">
        <v>96</v>
      </c>
      <c r="K16" s="8"/>
      <c r="L16" s="8"/>
      <c r="M16" s="8"/>
      <c r="N16" s="8"/>
      <c r="O16" s="4" t="s">
        <v>238</v>
      </c>
      <c r="P16" s="9" t="s">
        <v>97</v>
      </c>
      <c r="Q16" s="9" t="s">
        <v>97</v>
      </c>
      <c r="R16" s="14" t="s">
        <v>100</v>
      </c>
      <c r="S16" s="14" t="s">
        <v>100</v>
      </c>
      <c r="T16" s="14" t="s">
        <v>100</v>
      </c>
      <c r="U16" s="14"/>
      <c r="V16" s="14"/>
      <c r="W16" s="14"/>
      <c r="X16" s="14"/>
      <c r="Y16" s="5">
        <v>45518</v>
      </c>
      <c r="Z16" s="5">
        <v>45520</v>
      </c>
      <c r="AA16" s="5" t="s">
        <v>103</v>
      </c>
      <c r="AB16" s="5"/>
      <c r="AC16" s="5" t="s">
        <v>103</v>
      </c>
      <c r="AD16" s="5" t="s">
        <v>97</v>
      </c>
      <c r="AE16" s="5" t="s">
        <v>97</v>
      </c>
      <c r="AF16" s="5" t="s">
        <v>97</v>
      </c>
      <c r="AG16" s="5" t="s">
        <v>97</v>
      </c>
      <c r="AH16" s="5" t="s">
        <v>103</v>
      </c>
      <c r="AI16" s="5">
        <v>45518</v>
      </c>
      <c r="AJ16" s="5"/>
      <c r="AK16" s="5"/>
      <c r="AL16" s="16" t="s">
        <v>103</v>
      </c>
      <c r="AM16" s="5" t="s">
        <v>97</v>
      </c>
      <c r="AN16" s="5" t="s">
        <v>103</v>
      </c>
      <c r="AO16" s="5" t="s">
        <v>103</v>
      </c>
      <c r="AP16" s="5" t="s">
        <v>103</v>
      </c>
      <c r="AQ16" s="5" t="s">
        <v>97</v>
      </c>
      <c r="AR16" s="5" t="s">
        <v>97</v>
      </c>
      <c r="AS16" s="5" t="s">
        <v>97</v>
      </c>
      <c r="AT16" s="5"/>
      <c r="AU16" s="5"/>
      <c r="AV16" s="9" t="s">
        <v>103</v>
      </c>
      <c r="AW16" s="16" t="s">
        <v>97</v>
      </c>
      <c r="AX16" s="9" t="s">
        <v>97</v>
      </c>
      <c r="AY16" s="16" t="s">
        <v>97</v>
      </c>
      <c r="AZ16" s="16" t="s">
        <v>103</v>
      </c>
      <c r="BA16" s="16" t="s">
        <v>97</v>
      </c>
      <c r="BB16" s="5">
        <v>45523</v>
      </c>
      <c r="BC16" s="5">
        <v>45525</v>
      </c>
      <c r="BD16" s="5">
        <v>45526</v>
      </c>
      <c r="BE16" s="5">
        <v>45526</v>
      </c>
      <c r="BF16" s="9" t="s">
        <v>98</v>
      </c>
      <c r="BG16" s="9" t="s">
        <v>97</v>
      </c>
      <c r="BH16" s="9" t="s">
        <v>103</v>
      </c>
      <c r="BI16" s="4" t="s">
        <v>115</v>
      </c>
    </row>
    <row r="17" spans="1:61" x14ac:dyDescent="0.35">
      <c r="A17" s="8" t="str">
        <f t="shared" si="3"/>
        <v>Semaine 34-2024</v>
      </c>
      <c r="B17" s="8" t="str">
        <f t="shared" si="4"/>
        <v>2024</v>
      </c>
      <c r="C17" s="2" t="s">
        <v>60</v>
      </c>
      <c r="D17" s="6" t="str">
        <f t="shared" si="5"/>
        <v>Thies</v>
      </c>
      <c r="E17" s="6">
        <f t="shared" si="6"/>
        <v>92691</v>
      </c>
      <c r="F17" s="6">
        <f t="shared" si="7"/>
        <v>2280463</v>
      </c>
      <c r="G17" s="4" t="s">
        <v>139</v>
      </c>
      <c r="H17" s="9" t="s">
        <v>140</v>
      </c>
      <c r="I17" s="9">
        <v>5</v>
      </c>
      <c r="J17" s="9" t="s">
        <v>114</v>
      </c>
      <c r="K17" s="9"/>
      <c r="L17" s="9"/>
      <c r="M17" s="9"/>
      <c r="N17" s="9"/>
      <c r="O17" s="4" t="s">
        <v>238</v>
      </c>
      <c r="P17" s="9" t="s">
        <v>97</v>
      </c>
      <c r="Q17" s="9" t="s">
        <v>97</v>
      </c>
      <c r="R17" s="14" t="s">
        <v>100</v>
      </c>
      <c r="S17" s="14" t="s">
        <v>100</v>
      </c>
      <c r="T17" s="14" t="s">
        <v>100</v>
      </c>
      <c r="U17" s="14"/>
      <c r="V17" s="14"/>
      <c r="W17" s="14"/>
      <c r="X17" s="14"/>
      <c r="Y17" s="5">
        <v>45524</v>
      </c>
      <c r="Z17" s="5">
        <v>45525</v>
      </c>
      <c r="AA17" s="5" t="s">
        <v>103</v>
      </c>
      <c r="AB17" s="5"/>
      <c r="AC17" s="5" t="s">
        <v>97</v>
      </c>
      <c r="AD17" s="5" t="s">
        <v>97</v>
      </c>
      <c r="AE17" s="5" t="s">
        <v>97</v>
      </c>
      <c r="AF17" s="5" t="s">
        <v>97</v>
      </c>
      <c r="AG17" s="5" t="s">
        <v>97</v>
      </c>
      <c r="AH17" s="5" t="s">
        <v>103</v>
      </c>
      <c r="AI17" s="5">
        <v>45524</v>
      </c>
      <c r="AJ17" s="5"/>
      <c r="AK17" s="5"/>
      <c r="AL17" s="16" t="s">
        <v>103</v>
      </c>
      <c r="AM17" s="5" t="s">
        <v>97</v>
      </c>
      <c r="AN17" s="5" t="s">
        <v>103</v>
      </c>
      <c r="AO17" s="5" t="s">
        <v>97</v>
      </c>
      <c r="AP17" s="5" t="s">
        <v>97</v>
      </c>
      <c r="AQ17" s="5" t="s">
        <v>97</v>
      </c>
      <c r="AR17" s="5" t="s">
        <v>97</v>
      </c>
      <c r="AS17" s="5" t="s">
        <v>97</v>
      </c>
      <c r="AT17" s="5"/>
      <c r="AU17" s="5"/>
      <c r="AV17" s="4" t="s">
        <v>103</v>
      </c>
      <c r="AW17" s="16" t="s">
        <v>97</v>
      </c>
      <c r="AX17" s="9" t="s">
        <v>97</v>
      </c>
      <c r="AY17" s="16" t="s">
        <v>97</v>
      </c>
      <c r="AZ17" s="16" t="s">
        <v>103</v>
      </c>
      <c r="BA17" s="16" t="s">
        <v>97</v>
      </c>
      <c r="BB17" s="5">
        <v>45525</v>
      </c>
      <c r="BC17" s="5">
        <v>45526</v>
      </c>
      <c r="BD17" s="5">
        <v>45526</v>
      </c>
      <c r="BE17" s="5">
        <v>45526</v>
      </c>
      <c r="BF17" s="4" t="s">
        <v>98</v>
      </c>
      <c r="BG17" s="4" t="s">
        <v>97</v>
      </c>
      <c r="BH17" s="9" t="s">
        <v>103</v>
      </c>
      <c r="BI17" s="4" t="s">
        <v>115</v>
      </c>
    </row>
    <row r="18" spans="1:61" x14ac:dyDescent="0.35">
      <c r="A18" s="8" t="str">
        <f t="shared" si="3"/>
        <v>Semaine 34-2024</v>
      </c>
      <c r="B18" s="8" t="str">
        <f t="shared" si="4"/>
        <v>2024</v>
      </c>
      <c r="C18" s="2" t="s">
        <v>78</v>
      </c>
      <c r="D18" s="6" t="str">
        <f t="shared" si="5"/>
        <v>Ziguinchor</v>
      </c>
      <c r="E18" s="6">
        <f t="shared" si="6"/>
        <v>330001</v>
      </c>
      <c r="F18" s="6">
        <f t="shared" si="7"/>
        <v>729952</v>
      </c>
      <c r="G18" s="4" t="s">
        <v>141</v>
      </c>
      <c r="H18" s="9" t="s">
        <v>143</v>
      </c>
      <c r="I18" s="9">
        <v>29</v>
      </c>
      <c r="J18" s="9" t="s">
        <v>96</v>
      </c>
      <c r="K18" s="9"/>
      <c r="L18" s="9"/>
      <c r="M18" s="9"/>
      <c r="N18" s="9"/>
      <c r="O18" s="4" t="s">
        <v>238</v>
      </c>
      <c r="P18" s="9" t="s">
        <v>97</v>
      </c>
      <c r="Q18" s="9" t="s">
        <v>97</v>
      </c>
      <c r="R18" s="14" t="s">
        <v>100</v>
      </c>
      <c r="S18" s="14" t="s">
        <v>100</v>
      </c>
      <c r="T18" s="14" t="s">
        <v>100</v>
      </c>
      <c r="U18" s="14"/>
      <c r="V18" s="14"/>
      <c r="W18" s="14"/>
      <c r="X18" s="14"/>
      <c r="Y18" s="5">
        <v>45524</v>
      </c>
      <c r="Z18" s="5">
        <v>45526</v>
      </c>
      <c r="AA18" s="5" t="s">
        <v>103</v>
      </c>
      <c r="AB18" s="5"/>
      <c r="AC18" s="5" t="s">
        <v>97</v>
      </c>
      <c r="AD18" s="5" t="s">
        <v>97</v>
      </c>
      <c r="AE18" s="5" t="s">
        <v>103</v>
      </c>
      <c r="AF18" s="5" t="s">
        <v>103</v>
      </c>
      <c r="AG18" s="5" t="s">
        <v>103</v>
      </c>
      <c r="AH18" s="5" t="s">
        <v>103</v>
      </c>
      <c r="AI18" s="5">
        <v>45524</v>
      </c>
      <c r="AJ18" s="5"/>
      <c r="AK18" s="5"/>
      <c r="AL18" s="16" t="s">
        <v>103</v>
      </c>
      <c r="AM18" s="5" t="s">
        <v>103</v>
      </c>
      <c r="AN18" s="5" t="s">
        <v>103</v>
      </c>
      <c r="AO18" s="5" t="s">
        <v>103</v>
      </c>
      <c r="AP18" s="5" t="s">
        <v>103</v>
      </c>
      <c r="AQ18" s="5" t="s">
        <v>97</v>
      </c>
      <c r="AR18" s="5" t="s">
        <v>97</v>
      </c>
      <c r="AS18" s="5" t="s">
        <v>97</v>
      </c>
      <c r="AT18" s="5" t="s">
        <v>174</v>
      </c>
      <c r="AU18" s="5"/>
      <c r="AV18" s="8" t="s">
        <v>103</v>
      </c>
      <c r="AW18" s="16" t="s">
        <v>97</v>
      </c>
      <c r="AX18" s="9" t="s">
        <v>97</v>
      </c>
      <c r="AY18" s="16" t="s">
        <v>97</v>
      </c>
      <c r="AZ18" s="16" t="s">
        <v>103</v>
      </c>
      <c r="BA18" s="16" t="s">
        <v>97</v>
      </c>
      <c r="BB18" s="5">
        <v>45526</v>
      </c>
      <c r="BC18" s="5">
        <v>45526</v>
      </c>
      <c r="BD18" s="5">
        <v>45527</v>
      </c>
      <c r="BE18" s="5">
        <v>45527</v>
      </c>
      <c r="BF18" s="4" t="s">
        <v>98</v>
      </c>
      <c r="BG18" s="4" t="s">
        <v>103</v>
      </c>
      <c r="BH18" s="9" t="s">
        <v>103</v>
      </c>
      <c r="BI18" s="4" t="s">
        <v>115</v>
      </c>
    </row>
    <row r="19" spans="1:61" x14ac:dyDescent="0.35">
      <c r="A19" s="8" t="str">
        <f t="shared" si="3"/>
        <v>Semaine 32-2024</v>
      </c>
      <c r="B19" s="8" t="str">
        <f t="shared" si="4"/>
        <v>2024</v>
      </c>
      <c r="C19" s="2" t="s">
        <v>12</v>
      </c>
      <c r="D19" s="6" t="str">
        <f t="shared" si="5"/>
        <v>Ziguinchor</v>
      </c>
      <c r="E19" s="6">
        <f t="shared" si="6"/>
        <v>174689</v>
      </c>
      <c r="F19" s="6">
        <f t="shared" si="7"/>
        <v>729952</v>
      </c>
      <c r="G19" s="4" t="s">
        <v>142</v>
      </c>
      <c r="H19" s="9" t="s">
        <v>144</v>
      </c>
      <c r="I19" s="9">
        <v>37</v>
      </c>
      <c r="J19" s="9" t="s">
        <v>114</v>
      </c>
      <c r="K19" s="9"/>
      <c r="L19" s="9"/>
      <c r="M19" s="9"/>
      <c r="N19" s="9"/>
      <c r="O19" s="4" t="s">
        <v>238</v>
      </c>
      <c r="P19" s="9" t="s">
        <v>97</v>
      </c>
      <c r="Q19" s="9" t="s">
        <v>97</v>
      </c>
      <c r="R19" s="14" t="s">
        <v>100</v>
      </c>
      <c r="S19" s="14" t="s">
        <v>100</v>
      </c>
      <c r="T19" s="14" t="s">
        <v>100</v>
      </c>
      <c r="U19" s="14"/>
      <c r="V19" s="14"/>
      <c r="W19" s="14"/>
      <c r="X19" s="14"/>
      <c r="Y19" s="5">
        <v>45512</v>
      </c>
      <c r="Z19" s="5">
        <v>45526</v>
      </c>
      <c r="AA19" s="5" t="s">
        <v>103</v>
      </c>
      <c r="AB19" s="5"/>
      <c r="AC19" s="5" t="s">
        <v>103</v>
      </c>
      <c r="AD19" s="5" t="s">
        <v>103</v>
      </c>
      <c r="AE19" s="5" t="s">
        <v>97</v>
      </c>
      <c r="AF19" s="5" t="s">
        <v>103</v>
      </c>
      <c r="AG19" s="5" t="s">
        <v>103</v>
      </c>
      <c r="AH19" s="5" t="s">
        <v>103</v>
      </c>
      <c r="AI19" s="5">
        <v>45512</v>
      </c>
      <c r="AJ19" s="5"/>
      <c r="AK19" s="5"/>
      <c r="AL19" s="16"/>
      <c r="AM19" s="5" t="s">
        <v>97</v>
      </c>
      <c r="AN19" s="5" t="s">
        <v>97</v>
      </c>
      <c r="AO19" s="5" t="s">
        <v>103</v>
      </c>
      <c r="AP19" s="5" t="s">
        <v>103</v>
      </c>
      <c r="AQ19" s="5" t="s">
        <v>97</v>
      </c>
      <c r="AR19" s="5" t="s">
        <v>97</v>
      </c>
      <c r="AS19" s="5" t="s">
        <v>97</v>
      </c>
      <c r="AT19" s="5" t="s">
        <v>175</v>
      </c>
      <c r="AU19" s="5"/>
      <c r="AV19" s="8" t="s">
        <v>97</v>
      </c>
      <c r="AW19" s="16" t="s">
        <v>97</v>
      </c>
      <c r="AX19" s="9" t="s">
        <v>97</v>
      </c>
      <c r="AY19" s="16" t="s">
        <v>97</v>
      </c>
      <c r="AZ19" s="16" t="s">
        <v>103</v>
      </c>
      <c r="BA19" s="16" t="s">
        <v>97</v>
      </c>
      <c r="BB19" s="5">
        <v>45526</v>
      </c>
      <c r="BC19" s="5">
        <v>45526</v>
      </c>
      <c r="BD19" s="5">
        <v>45527</v>
      </c>
      <c r="BE19" s="5">
        <v>45527</v>
      </c>
      <c r="BF19" s="4" t="s">
        <v>98</v>
      </c>
      <c r="BG19" s="4" t="s">
        <v>97</v>
      </c>
      <c r="BH19" s="9" t="s">
        <v>103</v>
      </c>
      <c r="BI19" s="4" t="s">
        <v>145</v>
      </c>
    </row>
    <row r="20" spans="1:61" x14ac:dyDescent="0.35">
      <c r="A20" s="8" t="str">
        <f t="shared" si="3"/>
        <v>Semaine 34-2024</v>
      </c>
      <c r="B20" s="8" t="str">
        <f t="shared" si="4"/>
        <v>2024</v>
      </c>
      <c r="C20" s="2" t="s">
        <v>18</v>
      </c>
      <c r="D20" s="6" t="str">
        <f t="shared" si="5"/>
        <v>Dakar</v>
      </c>
      <c r="E20" s="6">
        <f t="shared" si="6"/>
        <v>419489</v>
      </c>
      <c r="F20" s="6">
        <f t="shared" si="7"/>
        <v>4042240</v>
      </c>
      <c r="G20" s="4" t="s">
        <v>176</v>
      </c>
      <c r="H20" s="9" t="s">
        <v>177</v>
      </c>
      <c r="I20" s="9">
        <v>12</v>
      </c>
      <c r="J20" s="9" t="s">
        <v>96</v>
      </c>
      <c r="K20" s="9"/>
      <c r="L20" s="9"/>
      <c r="M20" s="9"/>
      <c r="N20" s="9"/>
      <c r="O20" s="4" t="s">
        <v>238</v>
      </c>
      <c r="P20" s="9" t="s">
        <v>97</v>
      </c>
      <c r="Q20" s="9" t="s">
        <v>97</v>
      </c>
      <c r="R20" s="14" t="s">
        <v>100</v>
      </c>
      <c r="S20" s="14" t="s">
        <v>100</v>
      </c>
      <c r="T20" s="14" t="s">
        <v>100</v>
      </c>
      <c r="U20" s="14" t="s">
        <v>285</v>
      </c>
      <c r="V20" s="14"/>
      <c r="W20" s="14"/>
      <c r="X20" s="14"/>
      <c r="Y20" s="5">
        <v>45525</v>
      </c>
      <c r="Z20" s="5">
        <v>45527</v>
      </c>
      <c r="AA20" s="5" t="s">
        <v>103</v>
      </c>
      <c r="AB20" s="5"/>
      <c r="AC20" s="5" t="s">
        <v>97</v>
      </c>
      <c r="AD20" s="5" t="s">
        <v>97</v>
      </c>
      <c r="AE20" s="5" t="s">
        <v>103</v>
      </c>
      <c r="AF20" s="5" t="s">
        <v>97</v>
      </c>
      <c r="AG20" s="5" t="s">
        <v>103</v>
      </c>
      <c r="AH20" s="5" t="s">
        <v>103</v>
      </c>
      <c r="AI20" s="5">
        <v>45527</v>
      </c>
      <c r="AJ20" s="5"/>
      <c r="AK20" s="5"/>
      <c r="AL20" s="5" t="s">
        <v>103</v>
      </c>
      <c r="AM20" s="5" t="s">
        <v>103</v>
      </c>
      <c r="AN20" s="5" t="s">
        <v>103</v>
      </c>
      <c r="AO20" s="5" t="s">
        <v>103</v>
      </c>
      <c r="AP20" s="5" t="s">
        <v>103</v>
      </c>
      <c r="AQ20" s="5" t="s">
        <v>97</v>
      </c>
      <c r="AR20" s="5" t="s">
        <v>97</v>
      </c>
      <c r="AS20" s="5" t="s">
        <v>97</v>
      </c>
      <c r="AT20" s="5" t="s">
        <v>175</v>
      </c>
      <c r="AU20" s="5"/>
      <c r="AV20" s="4" t="s">
        <v>103</v>
      </c>
      <c r="AW20" s="4" t="s">
        <v>97</v>
      </c>
      <c r="AX20" s="4" t="s">
        <v>97</v>
      </c>
      <c r="AY20" s="4" t="s">
        <v>97</v>
      </c>
      <c r="AZ20" s="4" t="s">
        <v>103</v>
      </c>
      <c r="BA20" s="4" t="s">
        <v>97</v>
      </c>
      <c r="BB20" s="5">
        <v>45527</v>
      </c>
      <c r="BC20" s="5">
        <v>45528</v>
      </c>
      <c r="BD20" s="5">
        <v>45528</v>
      </c>
      <c r="BE20" s="5">
        <v>45528</v>
      </c>
      <c r="BF20" s="4" t="s">
        <v>98</v>
      </c>
      <c r="BG20" s="4" t="s">
        <v>103</v>
      </c>
      <c r="BH20" s="4" t="s">
        <v>103</v>
      </c>
      <c r="BI20" s="4" t="s">
        <v>115</v>
      </c>
    </row>
    <row r="21" spans="1:61" x14ac:dyDescent="0.35">
      <c r="A21" s="8" t="str">
        <f t="shared" si="3"/>
        <v>Semaine 34-2024</v>
      </c>
      <c r="B21" s="8" t="str">
        <f t="shared" si="4"/>
        <v>2024</v>
      </c>
      <c r="C21" s="2" t="s">
        <v>26</v>
      </c>
      <c r="D21" s="6" t="str">
        <f t="shared" si="5"/>
        <v>Diourbel</v>
      </c>
      <c r="E21" s="6">
        <f t="shared" si="6"/>
        <v>354792</v>
      </c>
      <c r="F21" s="6">
        <f t="shared" si="7"/>
        <v>1980827</v>
      </c>
      <c r="G21" s="4" t="s">
        <v>184</v>
      </c>
      <c r="H21" s="9" t="s">
        <v>185</v>
      </c>
      <c r="I21" s="9">
        <v>31</v>
      </c>
      <c r="J21" s="9" t="s">
        <v>114</v>
      </c>
      <c r="K21" s="9"/>
      <c r="L21" s="9"/>
      <c r="M21" s="9"/>
      <c r="N21" s="9"/>
      <c r="O21" s="4" t="s">
        <v>238</v>
      </c>
      <c r="P21" s="9" t="s">
        <v>97</v>
      </c>
      <c r="Q21" s="9" t="s">
        <v>97</v>
      </c>
      <c r="R21" s="14" t="s">
        <v>100</v>
      </c>
      <c r="S21" s="14" t="s">
        <v>100</v>
      </c>
      <c r="T21" s="14" t="s">
        <v>100</v>
      </c>
      <c r="U21" s="14" t="s">
        <v>285</v>
      </c>
      <c r="V21" s="14"/>
      <c r="W21" s="14"/>
      <c r="X21" s="14"/>
      <c r="Y21" s="5">
        <v>45525</v>
      </c>
      <c r="Z21" s="5">
        <v>45528</v>
      </c>
      <c r="AA21" s="5" t="s">
        <v>103</v>
      </c>
      <c r="AB21" s="5"/>
      <c r="AC21" s="5" t="s">
        <v>103</v>
      </c>
      <c r="AD21" s="5" t="s">
        <v>97</v>
      </c>
      <c r="AE21" s="5" t="s">
        <v>97</v>
      </c>
      <c r="AF21" s="5" t="s">
        <v>103</v>
      </c>
      <c r="AG21" s="5" t="s">
        <v>97</v>
      </c>
      <c r="AH21" s="5" t="s">
        <v>103</v>
      </c>
      <c r="AI21" s="5">
        <v>45525</v>
      </c>
      <c r="AJ21" s="5"/>
      <c r="AK21" s="5"/>
      <c r="AL21" s="5"/>
      <c r="AM21" s="5" t="s">
        <v>97</v>
      </c>
      <c r="AN21" s="5" t="s">
        <v>103</v>
      </c>
      <c r="AO21" s="5" t="s">
        <v>97</v>
      </c>
      <c r="AP21" s="5" t="s">
        <v>97</v>
      </c>
      <c r="AQ21" s="5" t="s">
        <v>97</v>
      </c>
      <c r="AR21" s="5" t="s">
        <v>97</v>
      </c>
      <c r="AS21" s="5" t="s">
        <v>97</v>
      </c>
      <c r="AT21" s="5" t="s">
        <v>186</v>
      </c>
      <c r="AU21" s="5"/>
      <c r="AV21" s="4" t="s">
        <v>97</v>
      </c>
      <c r="AW21" s="4" t="s">
        <v>97</v>
      </c>
      <c r="AX21" s="4" t="s">
        <v>97</v>
      </c>
      <c r="AY21" s="4" t="s">
        <v>97</v>
      </c>
      <c r="AZ21" s="4" t="s">
        <v>103</v>
      </c>
      <c r="BA21" s="4" t="s">
        <v>103</v>
      </c>
      <c r="BB21" s="5">
        <v>45528</v>
      </c>
      <c r="BC21" s="5">
        <v>45528</v>
      </c>
      <c r="BD21" s="5">
        <v>45528</v>
      </c>
      <c r="BE21" s="5">
        <v>45528</v>
      </c>
      <c r="BF21" s="4" t="s">
        <v>98</v>
      </c>
      <c r="BG21" s="11" t="s">
        <v>97</v>
      </c>
      <c r="BH21" s="11" t="s">
        <v>103</v>
      </c>
      <c r="BI21" s="4" t="s">
        <v>145</v>
      </c>
    </row>
    <row r="22" spans="1:61" x14ac:dyDescent="0.35">
      <c r="A22" s="8" t="str">
        <f t="shared" si="3"/>
        <v>Semaine 34-2024</v>
      </c>
      <c r="B22" s="8" t="str">
        <f t="shared" si="4"/>
        <v>2024</v>
      </c>
      <c r="C22" s="2" t="s">
        <v>18</v>
      </c>
      <c r="D22" s="6" t="str">
        <f t="shared" si="5"/>
        <v>Dakar</v>
      </c>
      <c r="E22" s="6">
        <f t="shared" si="6"/>
        <v>419489</v>
      </c>
      <c r="F22" s="6">
        <f t="shared" si="7"/>
        <v>4042240</v>
      </c>
      <c r="G22" s="4" t="s">
        <v>182</v>
      </c>
      <c r="H22" s="9" t="s">
        <v>183</v>
      </c>
      <c r="I22" s="9">
        <v>2</v>
      </c>
      <c r="J22" s="9" t="s">
        <v>114</v>
      </c>
      <c r="K22" s="9"/>
      <c r="L22" s="9"/>
      <c r="M22" s="9"/>
      <c r="N22" s="9"/>
      <c r="O22" s="4" t="s">
        <v>238</v>
      </c>
      <c r="P22" s="9" t="s">
        <v>97</v>
      </c>
      <c r="Q22" s="9" t="s">
        <v>97</v>
      </c>
      <c r="R22" s="14" t="s">
        <v>100</v>
      </c>
      <c r="S22" s="14" t="s">
        <v>100</v>
      </c>
      <c r="T22" s="14" t="s">
        <v>100</v>
      </c>
      <c r="U22" s="14"/>
      <c r="V22" s="14"/>
      <c r="W22" s="14"/>
      <c r="X22" s="14"/>
      <c r="Y22" s="5">
        <v>45525</v>
      </c>
      <c r="Z22" s="5">
        <v>45528</v>
      </c>
      <c r="AA22" s="5" t="s">
        <v>103</v>
      </c>
      <c r="AB22" s="5"/>
      <c r="AC22" s="5" t="s">
        <v>103</v>
      </c>
      <c r="AD22" s="5" t="s">
        <v>103</v>
      </c>
      <c r="AE22" s="5" t="s">
        <v>103</v>
      </c>
      <c r="AF22" s="5" t="s">
        <v>103</v>
      </c>
      <c r="AG22" s="5" t="s">
        <v>97</v>
      </c>
      <c r="AH22" s="5" t="s">
        <v>103</v>
      </c>
      <c r="AI22" s="5">
        <v>45525</v>
      </c>
      <c r="AJ22" s="5"/>
      <c r="AK22" s="5"/>
      <c r="AL22" s="5" t="s">
        <v>103</v>
      </c>
      <c r="AM22" s="5" t="s">
        <v>103</v>
      </c>
      <c r="AN22" s="5" t="s">
        <v>103</v>
      </c>
      <c r="AO22" s="5" t="s">
        <v>103</v>
      </c>
      <c r="AP22" s="5" t="s">
        <v>103</v>
      </c>
      <c r="AQ22" s="5" t="s">
        <v>103</v>
      </c>
      <c r="AR22" s="5" t="s">
        <v>97</v>
      </c>
      <c r="AS22" s="5" t="s">
        <v>97</v>
      </c>
      <c r="AT22" s="5"/>
      <c r="AU22" s="5"/>
      <c r="AV22" s="4" t="s">
        <v>103</v>
      </c>
      <c r="AW22" s="4" t="s">
        <v>97</v>
      </c>
      <c r="AX22" s="4" t="s">
        <v>97</v>
      </c>
      <c r="AY22" s="4" t="s">
        <v>97</v>
      </c>
      <c r="AZ22" s="4" t="s">
        <v>103</v>
      </c>
      <c r="BA22" s="4" t="s">
        <v>97</v>
      </c>
      <c r="BB22" s="5">
        <v>45528</v>
      </c>
      <c r="BC22" s="5">
        <v>45529</v>
      </c>
      <c r="BD22" s="5">
        <v>45529</v>
      </c>
      <c r="BE22" s="5">
        <v>45529</v>
      </c>
      <c r="BF22" s="4" t="s">
        <v>98</v>
      </c>
      <c r="BG22" s="11" t="s">
        <v>103</v>
      </c>
      <c r="BH22" s="11" t="s">
        <v>103</v>
      </c>
      <c r="BI22" s="4" t="s">
        <v>115</v>
      </c>
    </row>
    <row r="23" spans="1:61" x14ac:dyDescent="0.35">
      <c r="A23" s="8" t="str">
        <f t="shared" si="3"/>
        <v>Semaine 34-2024</v>
      </c>
      <c r="B23" s="8" t="str">
        <f t="shared" si="4"/>
        <v>2024</v>
      </c>
      <c r="C23" s="2" t="s">
        <v>6</v>
      </c>
      <c r="D23" s="6" t="str">
        <f t="shared" si="5"/>
        <v>Kaffrine</v>
      </c>
      <c r="E23" s="6">
        <f t="shared" si="6"/>
        <v>286531</v>
      </c>
      <c r="F23" s="6">
        <f t="shared" si="7"/>
        <v>782275</v>
      </c>
      <c r="G23" s="4" t="s">
        <v>187</v>
      </c>
      <c r="H23" s="9" t="s">
        <v>194</v>
      </c>
      <c r="I23" s="9">
        <v>14</v>
      </c>
      <c r="J23" s="9" t="s">
        <v>114</v>
      </c>
      <c r="K23" s="9"/>
      <c r="L23" s="9"/>
      <c r="M23" s="9"/>
      <c r="N23" s="9"/>
      <c r="O23" s="4" t="s">
        <v>238</v>
      </c>
      <c r="P23" s="9" t="s">
        <v>97</v>
      </c>
      <c r="Q23" s="9" t="s">
        <v>97</v>
      </c>
      <c r="R23" s="14" t="s">
        <v>100</v>
      </c>
      <c r="S23" s="14" t="s">
        <v>100</v>
      </c>
      <c r="T23" s="14" t="s">
        <v>100</v>
      </c>
      <c r="U23" s="14"/>
      <c r="V23" s="14"/>
      <c r="W23" s="14"/>
      <c r="X23" s="14"/>
      <c r="Y23" s="5">
        <v>45523</v>
      </c>
      <c r="Z23" s="5">
        <v>45525</v>
      </c>
      <c r="AA23" s="5" t="s">
        <v>97</v>
      </c>
      <c r="AB23" s="5"/>
      <c r="AC23" s="5" t="s">
        <v>97</v>
      </c>
      <c r="AD23" s="5" t="s">
        <v>97</v>
      </c>
      <c r="AE23" s="5" t="s">
        <v>97</v>
      </c>
      <c r="AF23" s="5" t="s">
        <v>97</v>
      </c>
      <c r="AG23" s="5" t="s">
        <v>97</v>
      </c>
      <c r="AH23" s="5" t="s">
        <v>103</v>
      </c>
      <c r="AI23" s="5">
        <v>45525</v>
      </c>
      <c r="AJ23" s="5"/>
      <c r="AK23" s="5"/>
      <c r="AL23" s="5"/>
      <c r="AM23" s="5" t="s">
        <v>97</v>
      </c>
      <c r="AN23" s="5" t="s">
        <v>103</v>
      </c>
      <c r="AO23" s="5" t="s">
        <v>103</v>
      </c>
      <c r="AP23" s="5" t="s">
        <v>103</v>
      </c>
      <c r="AQ23" s="5" t="s">
        <v>97</v>
      </c>
      <c r="AR23" s="5" t="s">
        <v>97</v>
      </c>
      <c r="AS23" s="5" t="s">
        <v>97</v>
      </c>
      <c r="AT23" s="5"/>
      <c r="AU23" s="5"/>
      <c r="AV23" s="4" t="s">
        <v>97</v>
      </c>
      <c r="AW23" s="4" t="s">
        <v>97</v>
      </c>
      <c r="AX23" s="4" t="s">
        <v>97</v>
      </c>
      <c r="AY23" s="4" t="s">
        <v>97</v>
      </c>
      <c r="AZ23" s="4" t="s">
        <v>103</v>
      </c>
      <c r="BA23" s="4" t="s">
        <v>97</v>
      </c>
      <c r="BB23" s="5">
        <v>45525</v>
      </c>
      <c r="BC23" s="5">
        <v>45526</v>
      </c>
      <c r="BD23" s="5">
        <v>45530</v>
      </c>
      <c r="BE23" s="5">
        <v>45530</v>
      </c>
      <c r="BF23" s="4" t="s">
        <v>98</v>
      </c>
      <c r="BG23" s="11" t="s">
        <v>97</v>
      </c>
      <c r="BH23" s="11" t="s">
        <v>103</v>
      </c>
      <c r="BI23" s="4" t="s">
        <v>145</v>
      </c>
    </row>
    <row r="24" spans="1:61" x14ac:dyDescent="0.35">
      <c r="A24" s="8" t="str">
        <f t="shared" si="3"/>
        <v>Semaine 34-2024</v>
      </c>
      <c r="B24" s="8" t="str">
        <f t="shared" si="4"/>
        <v>2024</v>
      </c>
      <c r="C24" s="2" t="s">
        <v>37</v>
      </c>
      <c r="D24" s="6" t="str">
        <f t="shared" si="5"/>
        <v>Dakar</v>
      </c>
      <c r="E24" s="6">
        <f t="shared" si="6"/>
        <v>301226</v>
      </c>
      <c r="F24" s="6">
        <f t="shared" si="7"/>
        <v>4042240</v>
      </c>
      <c r="G24" s="4" t="s">
        <v>188</v>
      </c>
      <c r="H24" s="9" t="s">
        <v>195</v>
      </c>
      <c r="I24" s="9">
        <v>7</v>
      </c>
      <c r="J24" s="9" t="s">
        <v>114</v>
      </c>
      <c r="K24" s="9"/>
      <c r="L24" s="9"/>
      <c r="M24" s="9"/>
      <c r="N24" s="9"/>
      <c r="O24" s="4" t="s">
        <v>238</v>
      </c>
      <c r="P24" s="9" t="s">
        <v>97</v>
      </c>
      <c r="Q24" s="9" t="s">
        <v>97</v>
      </c>
      <c r="R24" s="14" t="s">
        <v>100</v>
      </c>
      <c r="S24" s="14" t="s">
        <v>100</v>
      </c>
      <c r="T24" s="14" t="s">
        <v>100</v>
      </c>
      <c r="U24" s="14" t="s">
        <v>285</v>
      </c>
      <c r="V24" s="14"/>
      <c r="W24" s="14"/>
      <c r="X24" s="14"/>
      <c r="Y24" s="5">
        <v>45528</v>
      </c>
      <c r="Z24" s="5">
        <v>45529</v>
      </c>
      <c r="AA24" s="5" t="s">
        <v>103</v>
      </c>
      <c r="AB24" s="5"/>
      <c r="AC24" s="5" t="s">
        <v>97</v>
      </c>
      <c r="AD24" s="5" t="s">
        <v>103</v>
      </c>
      <c r="AE24" s="5" t="s">
        <v>103</v>
      </c>
      <c r="AF24" s="5" t="s">
        <v>97</v>
      </c>
      <c r="AG24" s="5" t="s">
        <v>97</v>
      </c>
      <c r="AH24" s="5" t="s">
        <v>103</v>
      </c>
      <c r="AI24" s="5">
        <v>45528</v>
      </c>
      <c r="AJ24" s="5"/>
      <c r="AK24" s="5"/>
      <c r="AL24" s="5"/>
      <c r="AM24" s="5" t="s">
        <v>103</v>
      </c>
      <c r="AN24" s="5" t="s">
        <v>103</v>
      </c>
      <c r="AO24" s="5" t="s">
        <v>103</v>
      </c>
      <c r="AP24" s="5" t="s">
        <v>103</v>
      </c>
      <c r="AQ24" s="5" t="s">
        <v>97</v>
      </c>
      <c r="AR24" s="5" t="s">
        <v>97</v>
      </c>
      <c r="AS24" s="5" t="s">
        <v>97</v>
      </c>
      <c r="AT24" s="5"/>
      <c r="AU24" s="5"/>
      <c r="AV24" s="4" t="s">
        <v>97</v>
      </c>
      <c r="AW24" s="4" t="s">
        <v>97</v>
      </c>
      <c r="AX24" s="4" t="s">
        <v>97</v>
      </c>
      <c r="AY24" s="4" t="s">
        <v>97</v>
      </c>
      <c r="AZ24" s="4" t="s">
        <v>103</v>
      </c>
      <c r="BA24" s="4" t="s">
        <v>97</v>
      </c>
      <c r="BB24" s="5">
        <v>45529</v>
      </c>
      <c r="BC24" s="5">
        <v>45530</v>
      </c>
      <c r="BD24" s="5">
        <v>45530</v>
      </c>
      <c r="BE24" s="5">
        <v>45530</v>
      </c>
      <c r="BF24" s="4" t="s">
        <v>98</v>
      </c>
      <c r="BG24" s="11" t="s">
        <v>97</v>
      </c>
      <c r="BH24" s="11" t="s">
        <v>103</v>
      </c>
      <c r="BI24" s="4" t="s">
        <v>145</v>
      </c>
    </row>
    <row r="25" spans="1:61" x14ac:dyDescent="0.35">
      <c r="A25" s="8" t="str">
        <f t="shared" si="3"/>
        <v>Semaine 33-2024</v>
      </c>
      <c r="B25" s="8" t="str">
        <f t="shared" si="4"/>
        <v>2024</v>
      </c>
      <c r="C25" s="2" t="s">
        <v>77</v>
      </c>
      <c r="D25" s="6" t="str">
        <f t="shared" si="5"/>
        <v>Dakar</v>
      </c>
      <c r="E25" s="6">
        <f t="shared" si="6"/>
        <v>341880</v>
      </c>
      <c r="F25" s="6">
        <f t="shared" si="7"/>
        <v>4042240</v>
      </c>
      <c r="G25" s="4" t="s">
        <v>189</v>
      </c>
      <c r="H25" s="9" t="s">
        <v>196</v>
      </c>
      <c r="I25" s="9">
        <v>1</v>
      </c>
      <c r="J25" s="9" t="s">
        <v>114</v>
      </c>
      <c r="K25" s="9"/>
      <c r="L25" s="9"/>
      <c r="M25" s="9"/>
      <c r="N25" s="9"/>
      <c r="O25" s="4" t="s">
        <v>238</v>
      </c>
      <c r="P25" s="9" t="s">
        <v>97</v>
      </c>
      <c r="Q25" s="9" t="s">
        <v>97</v>
      </c>
      <c r="R25" s="14" t="s">
        <v>100</v>
      </c>
      <c r="S25" s="14" t="s">
        <v>100</v>
      </c>
      <c r="T25" s="14" t="s">
        <v>100</v>
      </c>
      <c r="U25" s="14" t="s">
        <v>284</v>
      </c>
      <c r="V25" s="14"/>
      <c r="W25" s="14"/>
      <c r="X25" s="14"/>
      <c r="Y25" s="5">
        <v>45521</v>
      </c>
      <c r="Z25" s="5">
        <v>45523</v>
      </c>
      <c r="AA25" s="5" t="s">
        <v>103</v>
      </c>
      <c r="AB25" s="5"/>
      <c r="AC25" s="5" t="s">
        <v>97</v>
      </c>
      <c r="AD25" s="5" t="s">
        <v>97</v>
      </c>
      <c r="AE25" s="5" t="s">
        <v>97</v>
      </c>
      <c r="AF25" s="5" t="s">
        <v>97</v>
      </c>
      <c r="AG25" s="5" t="s">
        <v>103</v>
      </c>
      <c r="AH25" s="5" t="s">
        <v>103</v>
      </c>
      <c r="AI25" s="5">
        <v>45523</v>
      </c>
      <c r="AJ25" s="5"/>
      <c r="AK25" s="5"/>
      <c r="AL25" s="5"/>
      <c r="AM25" s="5" t="s">
        <v>97</v>
      </c>
      <c r="AN25" s="5" t="s">
        <v>103</v>
      </c>
      <c r="AO25" s="5" t="s">
        <v>103</v>
      </c>
      <c r="AP25" s="5" t="s">
        <v>103</v>
      </c>
      <c r="AQ25" s="5" t="s">
        <v>97</v>
      </c>
      <c r="AR25" s="5" t="s">
        <v>97</v>
      </c>
      <c r="AS25" s="5" t="s">
        <v>97</v>
      </c>
      <c r="AT25" s="5"/>
      <c r="AU25" s="5"/>
      <c r="AV25" s="4" t="s">
        <v>97</v>
      </c>
      <c r="AW25" s="4" t="s">
        <v>97</v>
      </c>
      <c r="AX25" s="4" t="s">
        <v>97</v>
      </c>
      <c r="AY25" s="4" t="s">
        <v>97</v>
      </c>
      <c r="AZ25" s="4" t="s">
        <v>103</v>
      </c>
      <c r="BA25" s="4" t="s">
        <v>97</v>
      </c>
      <c r="BB25" s="5">
        <v>45529</v>
      </c>
      <c r="BC25" s="5">
        <v>45530</v>
      </c>
      <c r="BD25" s="5">
        <v>45530</v>
      </c>
      <c r="BE25" s="5">
        <v>45530</v>
      </c>
      <c r="BF25" s="4" t="s">
        <v>98</v>
      </c>
      <c r="BG25" s="11" t="s">
        <v>97</v>
      </c>
      <c r="BH25" s="11" t="s">
        <v>103</v>
      </c>
      <c r="BI25" s="4" t="s">
        <v>145</v>
      </c>
    </row>
    <row r="26" spans="1:61" x14ac:dyDescent="0.35">
      <c r="A26" s="8" t="str">
        <f t="shared" si="3"/>
        <v>Semaine 34-2024</v>
      </c>
      <c r="B26" s="8" t="str">
        <f t="shared" si="4"/>
        <v>2024</v>
      </c>
      <c r="C26" s="2" t="s">
        <v>18</v>
      </c>
      <c r="D26" s="6" t="str">
        <f t="shared" si="5"/>
        <v>Dakar</v>
      </c>
      <c r="E26" s="6">
        <f t="shared" si="6"/>
        <v>419489</v>
      </c>
      <c r="F26" s="6">
        <f t="shared" si="7"/>
        <v>4042240</v>
      </c>
      <c r="G26" s="4" t="s">
        <v>190</v>
      </c>
      <c r="H26" s="9" t="s">
        <v>197</v>
      </c>
      <c r="I26" s="9">
        <v>1</v>
      </c>
      <c r="J26" s="9" t="s">
        <v>114</v>
      </c>
      <c r="K26" s="9"/>
      <c r="L26" s="9"/>
      <c r="M26" s="9"/>
      <c r="N26" s="9"/>
      <c r="O26" s="4" t="s">
        <v>238</v>
      </c>
      <c r="P26" s="9" t="s">
        <v>97</v>
      </c>
      <c r="Q26" s="9" t="s">
        <v>97</v>
      </c>
      <c r="R26" s="14" t="s">
        <v>100</v>
      </c>
      <c r="S26" s="14" t="s">
        <v>100</v>
      </c>
      <c r="T26" s="14" t="s">
        <v>100</v>
      </c>
      <c r="U26" s="14" t="s">
        <v>282</v>
      </c>
      <c r="V26" s="14"/>
      <c r="W26" s="14"/>
      <c r="X26" s="14"/>
      <c r="Y26" s="5">
        <v>45528</v>
      </c>
      <c r="Z26" s="5">
        <v>45529</v>
      </c>
      <c r="AA26" s="5" t="s">
        <v>103</v>
      </c>
      <c r="AB26" s="5"/>
      <c r="AC26" s="5" t="s">
        <v>97</v>
      </c>
      <c r="AD26" s="5" t="s">
        <v>97</v>
      </c>
      <c r="AE26" s="5" t="s">
        <v>97</v>
      </c>
      <c r="AF26" s="5" t="s">
        <v>97</v>
      </c>
      <c r="AG26" s="5" t="s">
        <v>97</v>
      </c>
      <c r="AH26" s="5" t="s">
        <v>103</v>
      </c>
      <c r="AI26" s="5">
        <v>45528</v>
      </c>
      <c r="AJ26" s="5"/>
      <c r="AK26" s="5"/>
      <c r="AL26" s="5" t="s">
        <v>103</v>
      </c>
      <c r="AM26" s="5" t="s">
        <v>97</v>
      </c>
      <c r="AN26" s="5" t="s">
        <v>103</v>
      </c>
      <c r="AO26" s="5" t="s">
        <v>103</v>
      </c>
      <c r="AP26" s="5" t="s">
        <v>103</v>
      </c>
      <c r="AQ26" s="5" t="s">
        <v>97</v>
      </c>
      <c r="AR26" s="5" t="s">
        <v>97</v>
      </c>
      <c r="AS26" s="5" t="s">
        <v>97</v>
      </c>
      <c r="AT26" s="5" t="s">
        <v>198</v>
      </c>
      <c r="AU26" s="5"/>
      <c r="AV26" s="4" t="s">
        <v>103</v>
      </c>
      <c r="AW26" s="4" t="s">
        <v>97</v>
      </c>
      <c r="AX26" s="4" t="s">
        <v>97</v>
      </c>
      <c r="AY26" s="4" t="s">
        <v>97</v>
      </c>
      <c r="AZ26" s="4" t="s">
        <v>103</v>
      </c>
      <c r="BA26" s="4" t="s">
        <v>97</v>
      </c>
      <c r="BB26" s="5">
        <v>45529</v>
      </c>
      <c r="BC26" s="5">
        <v>45530</v>
      </c>
      <c r="BD26" s="5">
        <v>45530</v>
      </c>
      <c r="BE26" s="5">
        <v>45530</v>
      </c>
      <c r="BF26" s="4" t="s">
        <v>98</v>
      </c>
      <c r="BG26" s="11" t="s">
        <v>97</v>
      </c>
      <c r="BH26" s="11" t="s">
        <v>103</v>
      </c>
      <c r="BI26" s="4" t="s">
        <v>115</v>
      </c>
    </row>
    <row r="27" spans="1:61" x14ac:dyDescent="0.35">
      <c r="A27" s="8" t="str">
        <f t="shared" si="3"/>
        <v>Semaine 34-2024</v>
      </c>
      <c r="B27" s="8" t="str">
        <f t="shared" si="4"/>
        <v>2024</v>
      </c>
      <c r="C27" s="2" t="s">
        <v>19</v>
      </c>
      <c r="D27" s="6" t="str">
        <f t="shared" si="5"/>
        <v>Dakar</v>
      </c>
      <c r="E27" s="6">
        <f t="shared" si="6"/>
        <v>565040</v>
      </c>
      <c r="F27" s="6">
        <f t="shared" si="7"/>
        <v>4042240</v>
      </c>
      <c r="G27" s="4" t="s">
        <v>191</v>
      </c>
      <c r="H27" s="9" t="s">
        <v>199</v>
      </c>
      <c r="I27" s="9">
        <v>32</v>
      </c>
      <c r="J27" s="9" t="s">
        <v>114</v>
      </c>
      <c r="K27" s="9"/>
      <c r="L27" s="9"/>
      <c r="M27" s="9"/>
      <c r="N27" s="9"/>
      <c r="O27" s="4" t="s">
        <v>238</v>
      </c>
      <c r="P27" s="9" t="s">
        <v>97</v>
      </c>
      <c r="Q27" s="9" t="s">
        <v>97</v>
      </c>
      <c r="R27" s="14" t="s">
        <v>100</v>
      </c>
      <c r="S27" s="14" t="s">
        <v>100</v>
      </c>
      <c r="T27" s="14" t="s">
        <v>100</v>
      </c>
      <c r="U27" s="14"/>
      <c r="V27" s="14"/>
      <c r="W27" s="14"/>
      <c r="X27" s="14"/>
      <c r="Y27" s="5">
        <v>45528</v>
      </c>
      <c r="Z27" s="5">
        <v>45529</v>
      </c>
      <c r="AA27" s="5" t="s">
        <v>97</v>
      </c>
      <c r="AB27" s="5"/>
      <c r="AC27" s="5" t="s">
        <v>97</v>
      </c>
      <c r="AD27" s="5" t="s">
        <v>97</v>
      </c>
      <c r="AE27" s="5" t="s">
        <v>97</v>
      </c>
      <c r="AF27" s="5" t="s">
        <v>97</v>
      </c>
      <c r="AG27" s="5" t="s">
        <v>97</v>
      </c>
      <c r="AH27" s="5" t="s">
        <v>103</v>
      </c>
      <c r="AI27" s="5">
        <v>45528</v>
      </c>
      <c r="AJ27" s="5"/>
      <c r="AK27" s="5"/>
      <c r="AL27" s="5"/>
      <c r="AM27" s="5" t="s">
        <v>97</v>
      </c>
      <c r="AN27" s="5" t="s">
        <v>103</v>
      </c>
      <c r="AO27" s="5" t="s">
        <v>103</v>
      </c>
      <c r="AP27" s="5" t="s">
        <v>103</v>
      </c>
      <c r="AQ27" s="5" t="s">
        <v>97</v>
      </c>
      <c r="AR27" s="5" t="s">
        <v>97</v>
      </c>
      <c r="AS27" s="5" t="s">
        <v>97</v>
      </c>
      <c r="AT27" s="5"/>
      <c r="AU27" s="5"/>
      <c r="AV27" s="4" t="s">
        <v>97</v>
      </c>
      <c r="AW27" s="4" t="s">
        <v>97</v>
      </c>
      <c r="AX27" s="4" t="s">
        <v>97</v>
      </c>
      <c r="AY27" s="4" t="s">
        <v>97</v>
      </c>
      <c r="AZ27" s="4" t="s">
        <v>103</v>
      </c>
      <c r="BA27" s="4" t="s">
        <v>97</v>
      </c>
      <c r="BB27" s="5">
        <v>45529</v>
      </c>
      <c r="BC27" s="5">
        <v>45530</v>
      </c>
      <c r="BD27" s="5">
        <v>45532</v>
      </c>
      <c r="BE27" s="5">
        <v>45532</v>
      </c>
      <c r="BF27" s="4" t="s">
        <v>98</v>
      </c>
      <c r="BG27" s="4" t="s">
        <v>97</v>
      </c>
      <c r="BH27" s="4" t="s">
        <v>103</v>
      </c>
      <c r="BI27" s="4" t="s">
        <v>145</v>
      </c>
    </row>
    <row r="28" spans="1:61" x14ac:dyDescent="0.35">
      <c r="A28" s="8" t="str">
        <f t="shared" si="3"/>
        <v>Semaine 34-2024</v>
      </c>
      <c r="B28" s="8" t="str">
        <f t="shared" si="4"/>
        <v>2024</v>
      </c>
      <c r="C28" s="2" t="s">
        <v>66</v>
      </c>
      <c r="D28" s="6" t="str">
        <f t="shared" si="5"/>
        <v>Louga</v>
      </c>
      <c r="E28" s="6">
        <f t="shared" si="6"/>
        <v>91992</v>
      </c>
      <c r="F28" s="6">
        <f t="shared" si="7"/>
        <v>1121619</v>
      </c>
      <c r="G28" s="4" t="s">
        <v>192</v>
      </c>
      <c r="H28" s="9" t="s">
        <v>200</v>
      </c>
      <c r="I28" s="9">
        <v>5</v>
      </c>
      <c r="J28" s="9" t="s">
        <v>114</v>
      </c>
      <c r="K28" s="9"/>
      <c r="L28" s="9"/>
      <c r="M28" s="9"/>
      <c r="N28" s="9"/>
      <c r="O28" s="4" t="s">
        <v>238</v>
      </c>
      <c r="P28" s="9" t="s">
        <v>97</v>
      </c>
      <c r="Q28" s="9" t="s">
        <v>97</v>
      </c>
      <c r="R28" s="14" t="s">
        <v>100</v>
      </c>
      <c r="S28" s="14" t="s">
        <v>100</v>
      </c>
      <c r="T28" s="14" t="s">
        <v>100</v>
      </c>
      <c r="U28" s="14"/>
      <c r="V28" s="14"/>
      <c r="W28" s="14"/>
      <c r="X28" s="14"/>
      <c r="Y28" s="5">
        <v>45523</v>
      </c>
      <c r="Z28" s="5">
        <v>45526</v>
      </c>
      <c r="AA28" s="5" t="s">
        <v>103</v>
      </c>
      <c r="AB28" s="5"/>
      <c r="AC28" s="5" t="s">
        <v>97</v>
      </c>
      <c r="AD28" s="5" t="s">
        <v>97</v>
      </c>
      <c r="AE28" s="5" t="s">
        <v>97</v>
      </c>
      <c r="AF28" s="5" t="s">
        <v>103</v>
      </c>
      <c r="AG28" s="5" t="s">
        <v>103</v>
      </c>
      <c r="AH28" s="5" t="s">
        <v>103</v>
      </c>
      <c r="AI28" s="5">
        <v>45526</v>
      </c>
      <c r="AJ28" s="5"/>
      <c r="AK28" s="5"/>
      <c r="AL28" s="5" t="s">
        <v>103</v>
      </c>
      <c r="AM28" s="5" t="s">
        <v>103</v>
      </c>
      <c r="AN28" s="5" t="s">
        <v>103</v>
      </c>
      <c r="AO28" s="5" t="s">
        <v>97</v>
      </c>
      <c r="AP28" s="5" t="s">
        <v>97</v>
      </c>
      <c r="AQ28" s="5" t="s">
        <v>97</v>
      </c>
      <c r="AR28" s="5" t="s">
        <v>97</v>
      </c>
      <c r="AS28" s="5" t="s">
        <v>97</v>
      </c>
      <c r="AT28" s="5" t="s">
        <v>346</v>
      </c>
      <c r="AU28" s="5"/>
      <c r="AV28" s="4" t="s">
        <v>103</v>
      </c>
      <c r="AW28" s="4" t="s">
        <v>97</v>
      </c>
      <c r="AX28" s="4" t="s">
        <v>97</v>
      </c>
      <c r="AY28" s="4" t="s">
        <v>97</v>
      </c>
      <c r="AZ28" s="4" t="s">
        <v>103</v>
      </c>
      <c r="BA28" s="4" t="s">
        <v>97</v>
      </c>
      <c r="BB28" s="5">
        <v>45528</v>
      </c>
      <c r="BC28" s="5">
        <v>45531</v>
      </c>
      <c r="BD28" s="5">
        <v>45531</v>
      </c>
      <c r="BE28" s="5">
        <v>45532</v>
      </c>
      <c r="BF28" s="4" t="s">
        <v>98</v>
      </c>
      <c r="BG28" s="4" t="s">
        <v>97</v>
      </c>
      <c r="BH28" s="4" t="s">
        <v>103</v>
      </c>
      <c r="BI28" s="4" t="s">
        <v>115</v>
      </c>
    </row>
    <row r="29" spans="1:61" x14ac:dyDescent="0.35">
      <c r="A29" s="8" t="str">
        <f t="shared" si="3"/>
        <v>Semaine 33-2024</v>
      </c>
      <c r="B29" s="8" t="str">
        <f t="shared" si="4"/>
        <v>2024</v>
      </c>
      <c r="C29" s="2" t="s">
        <v>63</v>
      </c>
      <c r="D29" s="6" t="str">
        <f t="shared" si="5"/>
        <v>Saint-Louis</v>
      </c>
      <c r="E29" s="6">
        <f t="shared" si="6"/>
        <v>205977</v>
      </c>
      <c r="F29" s="6">
        <f t="shared" si="7"/>
        <v>1150065</v>
      </c>
      <c r="G29" s="4" t="s">
        <v>193</v>
      </c>
      <c r="H29" s="9" t="s">
        <v>201</v>
      </c>
      <c r="I29" s="9">
        <v>22</v>
      </c>
      <c r="J29" s="9" t="s">
        <v>114</v>
      </c>
      <c r="K29" s="9"/>
      <c r="L29" s="9"/>
      <c r="M29" s="9"/>
      <c r="N29" s="9"/>
      <c r="O29" s="4" t="s">
        <v>238</v>
      </c>
      <c r="P29" s="9" t="s">
        <v>97</v>
      </c>
      <c r="Q29" s="9" t="s">
        <v>97</v>
      </c>
      <c r="R29" s="14" t="s">
        <v>100</v>
      </c>
      <c r="S29" s="14" t="s">
        <v>100</v>
      </c>
      <c r="T29" s="14" t="s">
        <v>100</v>
      </c>
      <c r="U29" s="14" t="s">
        <v>285</v>
      </c>
      <c r="V29" s="14"/>
      <c r="W29" s="14"/>
      <c r="X29" s="14"/>
      <c r="Y29" s="5">
        <v>45522</v>
      </c>
      <c r="Z29" s="5">
        <v>45526</v>
      </c>
      <c r="AA29" s="5" t="s">
        <v>103</v>
      </c>
      <c r="AB29" s="5"/>
      <c r="AC29" s="5" t="s">
        <v>97</v>
      </c>
      <c r="AD29" s="5" t="s">
        <v>97</v>
      </c>
      <c r="AE29" s="5" t="s">
        <v>97</v>
      </c>
      <c r="AF29" s="5" t="s">
        <v>103</v>
      </c>
      <c r="AG29" s="5" t="s">
        <v>97</v>
      </c>
      <c r="AH29" s="5" t="s">
        <v>103</v>
      </c>
      <c r="AI29" s="5">
        <v>45522</v>
      </c>
      <c r="AJ29" s="5"/>
      <c r="AK29" s="5"/>
      <c r="AL29" s="5" t="s">
        <v>103</v>
      </c>
      <c r="AM29" s="5" t="s">
        <v>103</v>
      </c>
      <c r="AN29" s="5" t="s">
        <v>103</v>
      </c>
      <c r="AO29" s="5" t="s">
        <v>103</v>
      </c>
      <c r="AP29" s="5" t="s">
        <v>103</v>
      </c>
      <c r="AQ29" s="5" t="s">
        <v>97</v>
      </c>
      <c r="AR29" s="5" t="s">
        <v>97</v>
      </c>
      <c r="AS29" s="5" t="s">
        <v>97</v>
      </c>
      <c r="AT29" s="5"/>
      <c r="AU29" s="5"/>
      <c r="AV29" s="4" t="s">
        <v>103</v>
      </c>
      <c r="AW29" s="4" t="s">
        <v>97</v>
      </c>
      <c r="AX29" s="4" t="s">
        <v>97</v>
      </c>
      <c r="AY29" s="4" t="s">
        <v>97</v>
      </c>
      <c r="AZ29" s="4" t="s">
        <v>103</v>
      </c>
      <c r="BA29" s="4" t="s">
        <v>97</v>
      </c>
      <c r="BB29" s="5">
        <v>45526</v>
      </c>
      <c r="BC29" s="5">
        <v>45531</v>
      </c>
      <c r="BD29" s="5">
        <v>45532</v>
      </c>
      <c r="BE29" s="5">
        <v>45532</v>
      </c>
      <c r="BF29" s="4" t="s">
        <v>98</v>
      </c>
      <c r="BG29" s="4" t="s">
        <v>97</v>
      </c>
      <c r="BH29" s="4" t="s">
        <v>103</v>
      </c>
      <c r="BI29" s="4" t="s">
        <v>115</v>
      </c>
    </row>
    <row r="30" spans="1:61" x14ac:dyDescent="0.35">
      <c r="A30" s="8" t="str">
        <f t="shared" si="3"/>
        <v>Semaine 34-2024</v>
      </c>
      <c r="B30" s="8" t="str">
        <f t="shared" si="4"/>
        <v>2024</v>
      </c>
      <c r="C30" s="2" t="s">
        <v>31</v>
      </c>
      <c r="D30" s="6" t="str">
        <f t="shared" si="5"/>
        <v>Dakar</v>
      </c>
      <c r="E30" s="6">
        <f t="shared" si="6"/>
        <v>424760</v>
      </c>
      <c r="F30" s="6">
        <f t="shared" si="7"/>
        <v>4042240</v>
      </c>
      <c r="G30" s="4" t="s">
        <v>202</v>
      </c>
      <c r="H30" s="9" t="s">
        <v>203</v>
      </c>
      <c r="I30" s="9">
        <v>23</v>
      </c>
      <c r="J30" s="9" t="s">
        <v>96</v>
      </c>
      <c r="K30" s="9"/>
      <c r="L30" s="9"/>
      <c r="M30" s="9"/>
      <c r="N30" s="9"/>
      <c r="O30" s="4" t="s">
        <v>238</v>
      </c>
      <c r="P30" s="9" t="s">
        <v>97</v>
      </c>
      <c r="Q30" s="9" t="s">
        <v>97</v>
      </c>
      <c r="R30" s="14" t="s">
        <v>100</v>
      </c>
      <c r="S30" s="14" t="s">
        <v>100</v>
      </c>
      <c r="T30" s="14" t="s">
        <v>100</v>
      </c>
      <c r="U30" s="14" t="s">
        <v>285</v>
      </c>
      <c r="V30" s="14"/>
      <c r="W30" s="14"/>
      <c r="X30" s="14"/>
      <c r="Y30" s="5">
        <v>45526</v>
      </c>
      <c r="Z30" s="5">
        <v>45530</v>
      </c>
      <c r="AA30" s="5" t="s">
        <v>103</v>
      </c>
      <c r="AB30" s="5"/>
      <c r="AC30" s="5" t="s">
        <v>97</v>
      </c>
      <c r="AD30" s="5" t="s">
        <v>97</v>
      </c>
      <c r="AE30" s="5" t="s">
        <v>97</v>
      </c>
      <c r="AF30" s="5" t="s">
        <v>103</v>
      </c>
      <c r="AG30" s="5" t="s">
        <v>103</v>
      </c>
      <c r="AH30" s="5" t="s">
        <v>103</v>
      </c>
      <c r="AI30" s="5">
        <v>45526</v>
      </c>
      <c r="AJ30" s="5"/>
      <c r="AK30" s="5"/>
      <c r="AL30" s="5" t="s">
        <v>103</v>
      </c>
      <c r="AM30" s="5" t="s">
        <v>103</v>
      </c>
      <c r="AN30" s="5" t="s">
        <v>103</v>
      </c>
      <c r="AO30" s="5" t="s">
        <v>103</v>
      </c>
      <c r="AP30" s="5" t="s">
        <v>103</v>
      </c>
      <c r="AQ30" s="5" t="s">
        <v>97</v>
      </c>
      <c r="AR30" s="5" t="s">
        <v>97</v>
      </c>
      <c r="AS30" s="5" t="s">
        <v>97</v>
      </c>
      <c r="AT30" s="5"/>
      <c r="AU30" s="5"/>
      <c r="AV30" s="4" t="s">
        <v>103</v>
      </c>
      <c r="AW30" s="4" t="s">
        <v>97</v>
      </c>
      <c r="AX30" s="4" t="s">
        <v>97</v>
      </c>
      <c r="AY30" s="4" t="s">
        <v>97</v>
      </c>
      <c r="AZ30" s="4" t="s">
        <v>97</v>
      </c>
      <c r="BA30" s="4" t="s">
        <v>97</v>
      </c>
      <c r="BB30" s="5">
        <v>45530</v>
      </c>
      <c r="BC30" s="5">
        <v>45531</v>
      </c>
      <c r="BD30" s="5">
        <v>45531</v>
      </c>
      <c r="BE30" s="5">
        <v>45532</v>
      </c>
      <c r="BF30" s="4" t="s">
        <v>98</v>
      </c>
      <c r="BG30" s="4" t="s">
        <v>103</v>
      </c>
      <c r="BH30" s="4" t="s">
        <v>103</v>
      </c>
      <c r="BI30" s="4" t="s">
        <v>115</v>
      </c>
    </row>
    <row r="31" spans="1:61" x14ac:dyDescent="0.35">
      <c r="A31" s="8" t="str">
        <f t="shared" si="3"/>
        <v>Semaine 33-2024</v>
      </c>
      <c r="B31" s="8" t="str">
        <f t="shared" si="4"/>
        <v>2024</v>
      </c>
      <c r="C31" s="2" t="s">
        <v>43</v>
      </c>
      <c r="D31" s="6" t="str">
        <f t="shared" si="5"/>
        <v>Tambacounda</v>
      </c>
      <c r="E31" s="6">
        <f t="shared" si="6"/>
        <v>225492</v>
      </c>
      <c r="F31" s="6">
        <f t="shared" si="7"/>
        <v>937181</v>
      </c>
      <c r="G31" s="4" t="s">
        <v>204</v>
      </c>
      <c r="H31" s="9" t="s">
        <v>212</v>
      </c>
      <c r="I31" s="9">
        <v>50</v>
      </c>
      <c r="J31" s="9" t="s">
        <v>96</v>
      </c>
      <c r="K31" s="9" t="s">
        <v>213</v>
      </c>
      <c r="L31" s="9"/>
      <c r="M31" s="9"/>
      <c r="N31" s="9"/>
      <c r="O31" s="4" t="s">
        <v>238</v>
      </c>
      <c r="P31" s="9" t="s">
        <v>97</v>
      </c>
      <c r="Q31" s="9" t="s">
        <v>97</v>
      </c>
      <c r="R31" s="14" t="s">
        <v>100</v>
      </c>
      <c r="S31" s="14" t="s">
        <v>100</v>
      </c>
      <c r="T31" s="14" t="s">
        <v>100</v>
      </c>
      <c r="U31" s="14"/>
      <c r="V31" s="14"/>
      <c r="W31" s="14"/>
      <c r="X31" s="14"/>
      <c r="Y31" s="5">
        <v>45517</v>
      </c>
      <c r="Z31" s="5">
        <v>45525</v>
      </c>
      <c r="AA31" s="5" t="s">
        <v>103</v>
      </c>
      <c r="AB31" s="5"/>
      <c r="AC31" s="5" t="s">
        <v>103</v>
      </c>
      <c r="AD31" s="5" t="s">
        <v>97</v>
      </c>
      <c r="AE31" s="5" t="s">
        <v>97</v>
      </c>
      <c r="AF31" s="5" t="s">
        <v>103</v>
      </c>
      <c r="AG31" s="5" t="s">
        <v>97</v>
      </c>
      <c r="AH31" s="5" t="s">
        <v>103</v>
      </c>
      <c r="AI31" s="5">
        <v>45517</v>
      </c>
      <c r="AJ31" s="5"/>
      <c r="AK31" s="5"/>
      <c r="AL31" s="5" t="s">
        <v>103</v>
      </c>
      <c r="AM31" s="5" t="s">
        <v>97</v>
      </c>
      <c r="AN31" s="5" t="s">
        <v>103</v>
      </c>
      <c r="AO31" s="5" t="s">
        <v>103</v>
      </c>
      <c r="AP31" s="5" t="s">
        <v>103</v>
      </c>
      <c r="AQ31" s="5" t="s">
        <v>97</v>
      </c>
      <c r="AR31" s="5" t="s">
        <v>97</v>
      </c>
      <c r="AS31" s="5" t="s">
        <v>97</v>
      </c>
      <c r="AT31" s="5" t="s">
        <v>175</v>
      </c>
      <c r="AU31" s="5"/>
      <c r="AV31" s="4" t="s">
        <v>103</v>
      </c>
      <c r="AW31" s="4" t="s">
        <v>97</v>
      </c>
      <c r="AX31" s="4" t="s">
        <v>97</v>
      </c>
      <c r="AY31" s="4" t="s">
        <v>97</v>
      </c>
      <c r="AZ31" s="4" t="s">
        <v>103</v>
      </c>
      <c r="BA31" s="4" t="s">
        <v>97</v>
      </c>
      <c r="BB31" s="5">
        <v>45525</v>
      </c>
      <c r="BC31" s="5">
        <v>45531</v>
      </c>
      <c r="BD31" s="5">
        <v>45532</v>
      </c>
      <c r="BE31" s="5">
        <v>45533</v>
      </c>
      <c r="BF31" s="4" t="s">
        <v>98</v>
      </c>
      <c r="BG31" s="4" t="s">
        <v>97</v>
      </c>
      <c r="BH31" s="4" t="s">
        <v>103</v>
      </c>
      <c r="BI31" s="4" t="s">
        <v>115</v>
      </c>
    </row>
    <row r="32" spans="1:61" x14ac:dyDescent="0.35">
      <c r="A32" s="8" t="str">
        <f t="shared" si="3"/>
        <v>Semaine 33-2024</v>
      </c>
      <c r="B32" s="8" t="str">
        <f t="shared" si="4"/>
        <v>2024</v>
      </c>
      <c r="C32" s="2" t="s">
        <v>8</v>
      </c>
      <c r="D32" s="6" t="str">
        <f t="shared" si="5"/>
        <v>Fatick</v>
      </c>
      <c r="E32" s="6">
        <f t="shared" si="6"/>
        <v>102630</v>
      </c>
      <c r="F32" s="6">
        <f t="shared" si="7"/>
        <v>965914</v>
      </c>
      <c r="G32" s="4" t="s">
        <v>205</v>
      </c>
      <c r="H32" s="9" t="s">
        <v>216</v>
      </c>
      <c r="I32" s="9">
        <v>9</v>
      </c>
      <c r="J32" s="9" t="s">
        <v>114</v>
      </c>
      <c r="K32" s="9"/>
      <c r="L32" s="9"/>
      <c r="M32" s="9"/>
      <c r="N32" s="9"/>
      <c r="O32" s="4" t="s">
        <v>238</v>
      </c>
      <c r="P32" s="9" t="s">
        <v>97</v>
      </c>
      <c r="Q32" s="9" t="s">
        <v>97</v>
      </c>
      <c r="R32" s="14" t="s">
        <v>100</v>
      </c>
      <c r="S32" s="14" t="s">
        <v>100</v>
      </c>
      <c r="T32" s="14" t="s">
        <v>100</v>
      </c>
      <c r="U32" s="14"/>
      <c r="V32" s="14"/>
      <c r="W32" s="14"/>
      <c r="X32" s="14"/>
      <c r="Y32" s="5">
        <v>45518</v>
      </c>
      <c r="Z32" s="5">
        <v>45523</v>
      </c>
      <c r="AA32" s="5" t="s">
        <v>103</v>
      </c>
      <c r="AB32" s="5"/>
      <c r="AC32" s="5" t="s">
        <v>97</v>
      </c>
      <c r="AD32" s="5" t="s">
        <v>97</v>
      </c>
      <c r="AE32" s="5" t="s">
        <v>97</v>
      </c>
      <c r="AF32" s="5" t="s">
        <v>97</v>
      </c>
      <c r="AG32" s="5" t="s">
        <v>97</v>
      </c>
      <c r="AH32" s="5" t="s">
        <v>103</v>
      </c>
      <c r="AI32" s="5">
        <v>45521</v>
      </c>
      <c r="AJ32" s="5"/>
      <c r="AK32" s="5"/>
      <c r="AL32" s="5" t="s">
        <v>97</v>
      </c>
      <c r="AM32" s="5" t="s">
        <v>97</v>
      </c>
      <c r="AN32" s="5" t="s">
        <v>97</v>
      </c>
      <c r="AO32" s="5" t="s">
        <v>103</v>
      </c>
      <c r="AP32" s="5" t="s">
        <v>103</v>
      </c>
      <c r="AQ32" s="5" t="s">
        <v>97</v>
      </c>
      <c r="AR32" s="5" t="s">
        <v>97</v>
      </c>
      <c r="AS32" s="5" t="s">
        <v>97</v>
      </c>
      <c r="AT32" s="5"/>
      <c r="AU32" s="5"/>
      <c r="AV32" s="4" t="s">
        <v>97</v>
      </c>
      <c r="AW32" s="4" t="s">
        <v>97</v>
      </c>
      <c r="AX32" s="4" t="s">
        <v>97</v>
      </c>
      <c r="AY32" s="4" t="s">
        <v>97</v>
      </c>
      <c r="AZ32" s="4" t="s">
        <v>103</v>
      </c>
      <c r="BA32" s="4" t="s">
        <v>97</v>
      </c>
      <c r="BB32" s="5">
        <v>45523</v>
      </c>
      <c r="BC32" s="5">
        <v>45525</v>
      </c>
      <c r="BD32" s="5">
        <v>45532</v>
      </c>
      <c r="BE32" s="5">
        <v>45533</v>
      </c>
      <c r="BF32" s="4" t="s">
        <v>98</v>
      </c>
      <c r="BG32" s="4" t="s">
        <v>97</v>
      </c>
      <c r="BH32" s="4" t="s">
        <v>103</v>
      </c>
      <c r="BI32" s="4" t="s">
        <v>145</v>
      </c>
    </row>
    <row r="33" spans="1:61" x14ac:dyDescent="0.35">
      <c r="A33" s="8" t="str">
        <f t="shared" si="3"/>
        <v>Semaine 32-2024</v>
      </c>
      <c r="B33" s="8" t="str">
        <f t="shared" si="4"/>
        <v>2024</v>
      </c>
      <c r="C33" s="2" t="s">
        <v>37</v>
      </c>
      <c r="D33" s="6" t="str">
        <f t="shared" si="5"/>
        <v>Dakar</v>
      </c>
      <c r="E33" s="6">
        <f t="shared" si="6"/>
        <v>301226</v>
      </c>
      <c r="F33" s="6">
        <f t="shared" si="7"/>
        <v>4042240</v>
      </c>
      <c r="G33" s="4" t="s">
        <v>206</v>
      </c>
      <c r="H33" s="9" t="s">
        <v>217</v>
      </c>
      <c r="I33" s="8">
        <v>12</v>
      </c>
      <c r="J33" s="8" t="s">
        <v>114</v>
      </c>
      <c r="K33" s="8"/>
      <c r="L33" s="8"/>
      <c r="M33" s="8"/>
      <c r="N33" s="8"/>
      <c r="O33" s="4" t="s">
        <v>238</v>
      </c>
      <c r="P33" s="8" t="s">
        <v>97</v>
      </c>
      <c r="Q33" s="8" t="s">
        <v>97</v>
      </c>
      <c r="R33" s="14" t="s">
        <v>100</v>
      </c>
      <c r="S33" s="14" t="s">
        <v>100</v>
      </c>
      <c r="T33" s="14" t="s">
        <v>100</v>
      </c>
      <c r="U33" s="14"/>
      <c r="V33" s="14"/>
      <c r="W33" s="14"/>
      <c r="X33" s="14"/>
      <c r="Y33" s="5">
        <v>45514</v>
      </c>
      <c r="Z33" s="5">
        <v>45531</v>
      </c>
      <c r="AA33" s="5" t="s">
        <v>103</v>
      </c>
      <c r="AB33" s="5"/>
      <c r="AC33" s="5" t="s">
        <v>103</v>
      </c>
      <c r="AD33" s="5" t="s">
        <v>97</v>
      </c>
      <c r="AE33" s="5" t="s">
        <v>97</v>
      </c>
      <c r="AF33" s="5" t="s">
        <v>97</v>
      </c>
      <c r="AG33" s="5" t="s">
        <v>103</v>
      </c>
      <c r="AH33" s="5" t="s">
        <v>103</v>
      </c>
      <c r="AI33" s="5">
        <v>45514</v>
      </c>
      <c r="AJ33" s="5"/>
      <c r="AK33" s="5"/>
      <c r="AL33" s="5" t="s">
        <v>103</v>
      </c>
      <c r="AM33" s="5" t="s">
        <v>97</v>
      </c>
      <c r="AN33" s="5" t="s">
        <v>97</v>
      </c>
      <c r="AO33" s="5" t="s">
        <v>103</v>
      </c>
      <c r="AP33" s="5" t="s">
        <v>103</v>
      </c>
      <c r="AQ33" s="5" t="s">
        <v>97</v>
      </c>
      <c r="AR33" s="5" t="s">
        <v>97</v>
      </c>
      <c r="AS33" s="5" t="s">
        <v>97</v>
      </c>
      <c r="AT33" s="5"/>
      <c r="AU33" s="5"/>
      <c r="AV33" s="4" t="s">
        <v>103</v>
      </c>
      <c r="AW33" s="4" t="s">
        <v>97</v>
      </c>
      <c r="AX33" s="4" t="s">
        <v>97</v>
      </c>
      <c r="AY33" s="4" t="s">
        <v>97</v>
      </c>
      <c r="AZ33" s="4" t="s">
        <v>103</v>
      </c>
      <c r="BA33" s="4" t="s">
        <v>97</v>
      </c>
      <c r="BB33" s="5">
        <v>45531</v>
      </c>
      <c r="BC33" s="5">
        <v>45531</v>
      </c>
      <c r="BD33" s="5">
        <v>45532</v>
      </c>
      <c r="BE33" s="5">
        <v>45533</v>
      </c>
      <c r="BF33" s="4" t="s">
        <v>98</v>
      </c>
      <c r="BG33" s="4" t="s">
        <v>103</v>
      </c>
      <c r="BH33" s="4" t="s">
        <v>103</v>
      </c>
      <c r="BI33" s="4" t="s">
        <v>115</v>
      </c>
    </row>
    <row r="34" spans="1:61" x14ac:dyDescent="0.35">
      <c r="A34" s="8" t="str">
        <f t="shared" si="3"/>
        <v>Semaine 34-2024</v>
      </c>
      <c r="B34" s="8" t="str">
        <f t="shared" si="4"/>
        <v>2024</v>
      </c>
      <c r="C34" s="2" t="s">
        <v>24</v>
      </c>
      <c r="D34" s="6" t="str">
        <f t="shared" si="5"/>
        <v>Tambacounda</v>
      </c>
      <c r="E34" s="6">
        <f t="shared" si="6"/>
        <v>57207</v>
      </c>
      <c r="F34" s="6">
        <f t="shared" si="7"/>
        <v>937181</v>
      </c>
      <c r="G34" s="4" t="s">
        <v>207</v>
      </c>
      <c r="H34" s="9" t="s">
        <v>218</v>
      </c>
      <c r="I34" s="9">
        <v>2</v>
      </c>
      <c r="J34" s="9" t="s">
        <v>114</v>
      </c>
      <c r="K34" s="9"/>
      <c r="L34" s="9"/>
      <c r="M34" s="9"/>
      <c r="N34" s="9"/>
      <c r="O34" s="4" t="s">
        <v>238</v>
      </c>
      <c r="P34" s="9" t="s">
        <v>97</v>
      </c>
      <c r="Q34" s="9" t="s">
        <v>97</v>
      </c>
      <c r="R34" s="14" t="s">
        <v>100</v>
      </c>
      <c r="S34" s="14" t="s">
        <v>100</v>
      </c>
      <c r="T34" s="14" t="s">
        <v>100</v>
      </c>
      <c r="U34" s="14"/>
      <c r="V34" s="14"/>
      <c r="W34" s="14"/>
      <c r="X34" s="14"/>
      <c r="Y34" s="5">
        <v>45524</v>
      </c>
      <c r="Z34" s="5">
        <v>45526</v>
      </c>
      <c r="AA34" s="5" t="s">
        <v>97</v>
      </c>
      <c r="AB34" s="5"/>
      <c r="AC34" s="5" t="s">
        <v>97</v>
      </c>
      <c r="AD34" s="5" t="s">
        <v>97</v>
      </c>
      <c r="AE34" s="5" t="s">
        <v>97</v>
      </c>
      <c r="AF34" s="5" t="s">
        <v>97</v>
      </c>
      <c r="AG34" s="5" t="s">
        <v>97</v>
      </c>
      <c r="AH34" s="5" t="s">
        <v>103</v>
      </c>
      <c r="AI34" s="5">
        <v>45524</v>
      </c>
      <c r="AJ34" s="5"/>
      <c r="AK34" s="5"/>
      <c r="AL34" s="5" t="s">
        <v>97</v>
      </c>
      <c r="AM34" s="5" t="s">
        <v>103</v>
      </c>
      <c r="AN34" s="5" t="s">
        <v>103</v>
      </c>
      <c r="AO34" s="5" t="s">
        <v>103</v>
      </c>
      <c r="AP34" s="5" t="s">
        <v>103</v>
      </c>
      <c r="AQ34" s="5" t="s">
        <v>97</v>
      </c>
      <c r="AR34" s="5" t="s">
        <v>97</v>
      </c>
      <c r="AS34" s="5" t="s">
        <v>97</v>
      </c>
      <c r="AT34" s="5"/>
      <c r="AU34" s="5"/>
      <c r="AV34" s="4" t="s">
        <v>97</v>
      </c>
      <c r="AW34" s="4" t="s">
        <v>97</v>
      </c>
      <c r="AX34" s="4" t="s">
        <v>97</v>
      </c>
      <c r="AY34" s="4" t="s">
        <v>97</v>
      </c>
      <c r="AZ34" s="4" t="s">
        <v>103</v>
      </c>
      <c r="BA34" s="4" t="s">
        <v>97</v>
      </c>
      <c r="BB34" s="5">
        <v>45526</v>
      </c>
      <c r="BC34" s="5">
        <v>45531</v>
      </c>
      <c r="BD34" s="5">
        <v>45532</v>
      </c>
      <c r="BE34" s="5">
        <v>45533</v>
      </c>
      <c r="BF34" s="4" t="s">
        <v>98</v>
      </c>
      <c r="BG34" s="4" t="s">
        <v>97</v>
      </c>
      <c r="BH34" s="4" t="s">
        <v>103</v>
      </c>
      <c r="BI34" s="4" t="s">
        <v>145</v>
      </c>
    </row>
    <row r="35" spans="1:61" x14ac:dyDescent="0.35">
      <c r="A35" s="8" t="str">
        <f t="shared" si="3"/>
        <v>Semaine 34-2024</v>
      </c>
      <c r="B35" s="8" t="str">
        <f t="shared" si="4"/>
        <v>2024</v>
      </c>
      <c r="C35" s="2" t="s">
        <v>61</v>
      </c>
      <c r="D35" s="6" t="str">
        <f t="shared" si="5"/>
        <v>Thies</v>
      </c>
      <c r="E35" s="6">
        <f t="shared" si="6"/>
        <v>153582</v>
      </c>
      <c r="F35" s="6">
        <f t="shared" si="7"/>
        <v>2280463</v>
      </c>
      <c r="G35" s="4" t="s">
        <v>208</v>
      </c>
      <c r="H35" s="9" t="s">
        <v>219</v>
      </c>
      <c r="I35" s="9">
        <v>22</v>
      </c>
      <c r="J35" s="9" t="s">
        <v>96</v>
      </c>
      <c r="K35" s="9"/>
      <c r="L35" s="9"/>
      <c r="M35" s="9"/>
      <c r="N35" s="9"/>
      <c r="O35" s="4" t="s">
        <v>238</v>
      </c>
      <c r="P35" s="9" t="s">
        <v>97</v>
      </c>
      <c r="Q35" s="9" t="s">
        <v>97</v>
      </c>
      <c r="R35" s="14" t="s">
        <v>100</v>
      </c>
      <c r="S35" s="14" t="s">
        <v>100</v>
      </c>
      <c r="T35" s="14" t="s">
        <v>100</v>
      </c>
      <c r="U35" s="14"/>
      <c r="V35" s="14"/>
      <c r="W35" s="14"/>
      <c r="X35" s="14"/>
      <c r="Y35" s="5">
        <v>45526</v>
      </c>
      <c r="Z35" s="5">
        <v>45532</v>
      </c>
      <c r="AA35" s="5" t="s">
        <v>97</v>
      </c>
      <c r="AB35" s="5"/>
      <c r="AC35" s="5" t="s">
        <v>97</v>
      </c>
      <c r="AD35" s="5" t="s">
        <v>97</v>
      </c>
      <c r="AE35" s="5" t="s">
        <v>97</v>
      </c>
      <c r="AF35" s="5" t="s">
        <v>97</v>
      </c>
      <c r="AG35" s="5" t="s">
        <v>103</v>
      </c>
      <c r="AH35" s="5" t="s">
        <v>103</v>
      </c>
      <c r="AI35" s="5">
        <v>45526</v>
      </c>
      <c r="AJ35" s="5"/>
      <c r="AK35" s="5"/>
      <c r="AL35" s="5" t="s">
        <v>97</v>
      </c>
      <c r="AM35" s="5" t="s">
        <v>97</v>
      </c>
      <c r="AN35" s="5" t="s">
        <v>103</v>
      </c>
      <c r="AO35" s="5" t="s">
        <v>97</v>
      </c>
      <c r="AP35" s="5" t="s">
        <v>97</v>
      </c>
      <c r="AQ35" s="5" t="s">
        <v>97</v>
      </c>
      <c r="AR35" s="5" t="s">
        <v>97</v>
      </c>
      <c r="AS35" s="5" t="s">
        <v>97</v>
      </c>
      <c r="AT35" s="5" t="s">
        <v>175</v>
      </c>
      <c r="AU35" s="5"/>
      <c r="AV35" s="4" t="s">
        <v>97</v>
      </c>
      <c r="AW35" s="4" t="s">
        <v>97</v>
      </c>
      <c r="AX35" s="4" t="s">
        <v>97</v>
      </c>
      <c r="AY35" s="4" t="s">
        <v>97</v>
      </c>
      <c r="AZ35" s="4" t="s">
        <v>103</v>
      </c>
      <c r="BA35" s="4" t="s">
        <v>97</v>
      </c>
      <c r="BB35" s="5">
        <v>45532</v>
      </c>
      <c r="BC35" s="5">
        <v>45532</v>
      </c>
      <c r="BD35" s="5">
        <v>45532</v>
      </c>
      <c r="BE35" s="5">
        <v>45533</v>
      </c>
      <c r="BF35" s="4" t="s">
        <v>98</v>
      </c>
      <c r="BG35" s="4" t="s">
        <v>97</v>
      </c>
      <c r="BH35" s="4" t="s">
        <v>103</v>
      </c>
      <c r="BI35" s="4" t="s">
        <v>145</v>
      </c>
    </row>
    <row r="36" spans="1:61" x14ac:dyDescent="0.35">
      <c r="A36" s="8" t="str">
        <f t="shared" si="3"/>
        <v>Semaine 34-2024</v>
      </c>
      <c r="B36" s="8" t="str">
        <f t="shared" si="4"/>
        <v>2024</v>
      </c>
      <c r="C36" s="2" t="s">
        <v>75</v>
      </c>
      <c r="D36" s="6" t="str">
        <f t="shared" si="5"/>
        <v>Diourbel</v>
      </c>
      <c r="E36" s="6">
        <f t="shared" si="6"/>
        <v>996481</v>
      </c>
      <c r="F36" s="6">
        <f t="shared" si="7"/>
        <v>1980827</v>
      </c>
      <c r="G36" s="4" t="s">
        <v>210</v>
      </c>
      <c r="H36" s="9" t="s">
        <v>220</v>
      </c>
      <c r="I36" s="9">
        <v>7</v>
      </c>
      <c r="J36" s="9" t="s">
        <v>114</v>
      </c>
      <c r="K36" s="9"/>
      <c r="L36" s="9"/>
      <c r="M36" s="9"/>
      <c r="N36" s="9"/>
      <c r="O36" s="4" t="s">
        <v>238</v>
      </c>
      <c r="P36" s="9" t="s">
        <v>97</v>
      </c>
      <c r="Q36" s="9" t="s">
        <v>97</v>
      </c>
      <c r="R36" s="14" t="s">
        <v>100</v>
      </c>
      <c r="S36" s="14" t="s">
        <v>100</v>
      </c>
      <c r="T36" s="14" t="s">
        <v>100</v>
      </c>
      <c r="U36" s="14" t="s">
        <v>282</v>
      </c>
      <c r="V36" s="14"/>
      <c r="W36" s="14"/>
      <c r="X36" s="14"/>
      <c r="Y36" s="5">
        <v>45524</v>
      </c>
      <c r="Z36" s="5">
        <v>45531</v>
      </c>
      <c r="AA36" s="5" t="s">
        <v>103</v>
      </c>
      <c r="AB36" s="5"/>
      <c r="AC36" s="5" t="s">
        <v>97</v>
      </c>
      <c r="AD36" s="5" t="s">
        <v>97</v>
      </c>
      <c r="AE36" s="5" t="s">
        <v>97</v>
      </c>
      <c r="AF36" s="5" t="s">
        <v>97</v>
      </c>
      <c r="AG36" s="5" t="s">
        <v>97</v>
      </c>
      <c r="AH36" s="5" t="s">
        <v>103</v>
      </c>
      <c r="AI36" s="5">
        <v>45524</v>
      </c>
      <c r="AJ36" s="5"/>
      <c r="AK36" s="5"/>
      <c r="AL36" s="5" t="s">
        <v>103</v>
      </c>
      <c r="AM36" s="5" t="s">
        <v>103</v>
      </c>
      <c r="AN36" s="5" t="s">
        <v>103</v>
      </c>
      <c r="AO36" s="5" t="s">
        <v>103</v>
      </c>
      <c r="AP36" s="5" t="s">
        <v>103</v>
      </c>
      <c r="AQ36" s="5" t="s">
        <v>103</v>
      </c>
      <c r="AR36" s="5" t="s">
        <v>97</v>
      </c>
      <c r="AS36" s="5" t="s">
        <v>97</v>
      </c>
      <c r="AT36" s="5"/>
      <c r="AU36" s="5"/>
      <c r="AV36" s="4" t="s">
        <v>103</v>
      </c>
      <c r="AW36" s="4" t="s">
        <v>97</v>
      </c>
      <c r="AX36" s="4" t="s">
        <v>97</v>
      </c>
      <c r="AY36" s="4" t="s">
        <v>97</v>
      </c>
      <c r="AZ36" s="4" t="s">
        <v>103</v>
      </c>
      <c r="BA36" s="4" t="s">
        <v>97</v>
      </c>
      <c r="BB36" s="5">
        <v>45531</v>
      </c>
      <c r="BC36" s="5">
        <v>45531</v>
      </c>
      <c r="BD36" s="5">
        <v>45532</v>
      </c>
      <c r="BE36" s="5">
        <v>45533</v>
      </c>
      <c r="BF36" s="4" t="s">
        <v>98</v>
      </c>
      <c r="BG36" s="4" t="s">
        <v>97</v>
      </c>
      <c r="BH36" s="4" t="s">
        <v>103</v>
      </c>
      <c r="BI36" s="4" t="s">
        <v>115</v>
      </c>
    </row>
    <row r="37" spans="1:61" x14ac:dyDescent="0.35">
      <c r="A37" s="8" t="str">
        <f t="shared" si="3"/>
        <v>Semaine 34-2024</v>
      </c>
      <c r="B37" s="8" t="str">
        <f t="shared" si="4"/>
        <v>2024</v>
      </c>
      <c r="C37" s="2" t="s">
        <v>75</v>
      </c>
      <c r="D37" s="6" t="str">
        <f t="shared" si="5"/>
        <v>Diourbel</v>
      </c>
      <c r="E37" s="6">
        <f t="shared" si="6"/>
        <v>996481</v>
      </c>
      <c r="F37" s="6">
        <f t="shared" si="7"/>
        <v>1980827</v>
      </c>
      <c r="G37" s="4" t="s">
        <v>211</v>
      </c>
      <c r="H37" s="9" t="s">
        <v>221</v>
      </c>
      <c r="I37" s="9">
        <v>5</v>
      </c>
      <c r="J37" s="9" t="s">
        <v>114</v>
      </c>
      <c r="K37" s="9"/>
      <c r="L37" s="9"/>
      <c r="M37" s="9"/>
      <c r="N37" s="9"/>
      <c r="O37" s="4" t="s">
        <v>238</v>
      </c>
      <c r="P37" s="9" t="s">
        <v>97</v>
      </c>
      <c r="Q37" s="9" t="s">
        <v>97</v>
      </c>
      <c r="R37" s="14" t="s">
        <v>100</v>
      </c>
      <c r="S37" s="14" t="s">
        <v>100</v>
      </c>
      <c r="T37" s="14" t="s">
        <v>100</v>
      </c>
      <c r="U37" s="14" t="s">
        <v>285</v>
      </c>
      <c r="V37" s="14"/>
      <c r="W37" s="14"/>
      <c r="X37" s="14"/>
      <c r="Y37" s="5">
        <v>45527</v>
      </c>
      <c r="Z37" s="5">
        <v>45532</v>
      </c>
      <c r="AA37" s="5" t="s">
        <v>103</v>
      </c>
      <c r="AB37" s="5"/>
      <c r="AC37" s="5" t="s">
        <v>97</v>
      </c>
      <c r="AD37" s="5" t="s">
        <v>103</v>
      </c>
      <c r="AE37" s="5" t="s">
        <v>97</v>
      </c>
      <c r="AF37" s="5" t="s">
        <v>103</v>
      </c>
      <c r="AG37" s="5" t="s">
        <v>103</v>
      </c>
      <c r="AH37" s="5" t="s">
        <v>103</v>
      </c>
      <c r="AI37" s="5">
        <v>45527</v>
      </c>
      <c r="AJ37" s="5"/>
      <c r="AK37" s="5" t="s">
        <v>103</v>
      </c>
      <c r="AL37" s="5" t="s">
        <v>97</v>
      </c>
      <c r="AM37" s="5" t="s">
        <v>103</v>
      </c>
      <c r="AN37" s="5" t="s">
        <v>103</v>
      </c>
      <c r="AO37" s="5" t="s">
        <v>103</v>
      </c>
      <c r="AP37" s="5" t="s">
        <v>103</v>
      </c>
      <c r="AQ37" s="5" t="s">
        <v>97</v>
      </c>
      <c r="AR37" s="5" t="s">
        <v>103</v>
      </c>
      <c r="AS37" s="5" t="s">
        <v>103</v>
      </c>
      <c r="AT37" s="5" t="s">
        <v>345</v>
      </c>
      <c r="AU37" s="5" t="s">
        <v>222</v>
      </c>
      <c r="AV37" s="4" t="s">
        <v>103</v>
      </c>
      <c r="AW37" s="4" t="s">
        <v>97</v>
      </c>
      <c r="AX37" s="4" t="s">
        <v>97</v>
      </c>
      <c r="AY37" s="4" t="s">
        <v>97</v>
      </c>
      <c r="AZ37" s="4" t="s">
        <v>103</v>
      </c>
      <c r="BA37" s="4" t="s">
        <v>97</v>
      </c>
      <c r="BB37" s="5">
        <v>45532</v>
      </c>
      <c r="BC37" s="5">
        <v>45532</v>
      </c>
      <c r="BD37" s="5">
        <v>45533</v>
      </c>
      <c r="BE37" s="5">
        <v>45533</v>
      </c>
      <c r="BF37" s="4" t="s">
        <v>98</v>
      </c>
      <c r="BG37" s="4" t="s">
        <v>103</v>
      </c>
      <c r="BH37" s="4" t="s">
        <v>103</v>
      </c>
      <c r="BI37" s="4" t="s">
        <v>115</v>
      </c>
    </row>
    <row r="38" spans="1:61" x14ac:dyDescent="0.35">
      <c r="A38" s="8" t="str">
        <f t="shared" si="3"/>
        <v>Semaine 35-2024</v>
      </c>
      <c r="B38" s="8" t="str">
        <f t="shared" si="4"/>
        <v>2024</v>
      </c>
      <c r="C38" s="2" t="s">
        <v>0</v>
      </c>
      <c r="D38" s="6" t="str">
        <f t="shared" si="5"/>
        <v>Matam</v>
      </c>
      <c r="E38" s="6">
        <f t="shared" si="6"/>
        <v>271560</v>
      </c>
      <c r="F38" s="6">
        <f t="shared" si="7"/>
        <v>789215</v>
      </c>
      <c r="G38" s="4" t="s">
        <v>209</v>
      </c>
      <c r="H38" s="9" t="s">
        <v>223</v>
      </c>
      <c r="I38" s="9">
        <v>33</v>
      </c>
      <c r="J38" s="9" t="s">
        <v>114</v>
      </c>
      <c r="K38" s="9"/>
      <c r="L38" s="9"/>
      <c r="M38" s="9"/>
      <c r="N38" s="9"/>
      <c r="O38" s="4" t="s">
        <v>238</v>
      </c>
      <c r="P38" s="9" t="s">
        <v>97</v>
      </c>
      <c r="Q38" s="9" t="s">
        <v>97</v>
      </c>
      <c r="R38" s="14" t="s">
        <v>100</v>
      </c>
      <c r="S38" s="14" t="s">
        <v>100</v>
      </c>
      <c r="T38" s="14" t="s">
        <v>100</v>
      </c>
      <c r="U38" s="14" t="s">
        <v>285</v>
      </c>
      <c r="V38" s="14"/>
      <c r="W38" s="14"/>
      <c r="X38" s="14"/>
      <c r="Y38" s="5">
        <v>45530</v>
      </c>
      <c r="Z38" s="5">
        <v>45531</v>
      </c>
      <c r="AA38" s="5" t="s">
        <v>103</v>
      </c>
      <c r="AB38" s="5"/>
      <c r="AC38" s="5" t="s">
        <v>97</v>
      </c>
      <c r="AD38" s="5" t="s">
        <v>97</v>
      </c>
      <c r="AE38" s="5" t="s">
        <v>97</v>
      </c>
      <c r="AF38" s="5" t="s">
        <v>97</v>
      </c>
      <c r="AG38" s="5" t="s">
        <v>97</v>
      </c>
      <c r="AH38" s="5" t="s">
        <v>103</v>
      </c>
      <c r="AI38" s="5">
        <v>45530</v>
      </c>
      <c r="AJ38" s="5"/>
      <c r="AK38" s="5"/>
      <c r="AL38" s="5" t="s">
        <v>103</v>
      </c>
      <c r="AM38" s="5" t="s">
        <v>97</v>
      </c>
      <c r="AN38" s="5" t="s">
        <v>103</v>
      </c>
      <c r="AO38" s="5" t="s">
        <v>97</v>
      </c>
      <c r="AP38" s="5" t="s">
        <v>97</v>
      </c>
      <c r="AQ38" s="5" t="s">
        <v>97</v>
      </c>
      <c r="AR38" s="5" t="s">
        <v>97</v>
      </c>
      <c r="AS38" s="5" t="s">
        <v>97</v>
      </c>
      <c r="AT38" s="5"/>
      <c r="AU38" s="5"/>
      <c r="AV38" s="4" t="s">
        <v>103</v>
      </c>
      <c r="AW38" s="4" t="s">
        <v>97</v>
      </c>
      <c r="AX38" s="4" t="s">
        <v>97</v>
      </c>
      <c r="AY38" s="4" t="s">
        <v>97</v>
      </c>
      <c r="AZ38" s="4" t="s">
        <v>103</v>
      </c>
      <c r="BA38" s="4" t="s">
        <v>97</v>
      </c>
      <c r="BB38" s="5">
        <v>45531</v>
      </c>
      <c r="BC38" s="5">
        <v>45532</v>
      </c>
      <c r="BD38" s="5">
        <v>45533</v>
      </c>
      <c r="BE38" s="5">
        <v>45533</v>
      </c>
      <c r="BF38" s="4" t="s">
        <v>98</v>
      </c>
      <c r="BG38" s="4" t="s">
        <v>97</v>
      </c>
      <c r="BH38" s="4" t="s">
        <v>103</v>
      </c>
      <c r="BI38" s="4" t="s">
        <v>115</v>
      </c>
    </row>
    <row r="39" spans="1:61" x14ac:dyDescent="0.35">
      <c r="A39" s="8" t="str">
        <f t="shared" si="3"/>
        <v>Semaine 34-2024</v>
      </c>
      <c r="B39" s="8" t="str">
        <f t="shared" si="4"/>
        <v>2024</v>
      </c>
      <c r="C39" s="2" t="s">
        <v>32</v>
      </c>
      <c r="D39" s="6" t="str">
        <f t="shared" si="5"/>
        <v>Kaolack</v>
      </c>
      <c r="E39" s="6">
        <f t="shared" si="6"/>
        <v>151881</v>
      </c>
      <c r="F39" s="6">
        <f t="shared" si="7"/>
        <v>1267013</v>
      </c>
      <c r="G39" s="4" t="s">
        <v>214</v>
      </c>
      <c r="H39" s="9" t="s">
        <v>224</v>
      </c>
      <c r="I39" s="9">
        <v>1</v>
      </c>
      <c r="J39" s="9" t="s">
        <v>114</v>
      </c>
      <c r="K39" s="9"/>
      <c r="L39" s="9"/>
      <c r="M39" s="9"/>
      <c r="N39" s="9"/>
      <c r="O39" s="4" t="s">
        <v>238</v>
      </c>
      <c r="P39" s="9" t="s">
        <v>97</v>
      </c>
      <c r="Q39" s="9" t="s">
        <v>97</v>
      </c>
      <c r="R39" s="14" t="s">
        <v>100</v>
      </c>
      <c r="S39" s="14" t="s">
        <v>100</v>
      </c>
      <c r="T39" s="14" t="s">
        <v>100</v>
      </c>
      <c r="U39" s="14" t="s">
        <v>285</v>
      </c>
      <c r="V39" s="14"/>
      <c r="W39" s="14"/>
      <c r="X39" s="14"/>
      <c r="Y39" s="5">
        <v>45528</v>
      </c>
      <c r="Z39" s="5">
        <v>45531</v>
      </c>
      <c r="AA39" s="5" t="s">
        <v>103</v>
      </c>
      <c r="AB39" s="5"/>
      <c r="AC39" s="5" t="s">
        <v>97</v>
      </c>
      <c r="AD39" s="5" t="s">
        <v>103</v>
      </c>
      <c r="AE39" s="5" t="s">
        <v>103</v>
      </c>
      <c r="AF39" s="5" t="s">
        <v>97</v>
      </c>
      <c r="AG39" s="5" t="s">
        <v>97</v>
      </c>
      <c r="AH39" s="5" t="s">
        <v>103</v>
      </c>
      <c r="AI39" s="5">
        <v>45528</v>
      </c>
      <c r="AJ39" s="5"/>
      <c r="AK39" s="5"/>
      <c r="AL39" s="5" t="s">
        <v>103</v>
      </c>
      <c r="AM39" s="5" t="s">
        <v>97</v>
      </c>
      <c r="AN39" s="5" t="s">
        <v>103</v>
      </c>
      <c r="AO39" s="5" t="s">
        <v>97</v>
      </c>
      <c r="AP39" s="5" t="s">
        <v>97</v>
      </c>
      <c r="AQ39" s="5" t="s">
        <v>97</v>
      </c>
      <c r="AR39" s="5" t="s">
        <v>97</v>
      </c>
      <c r="AS39" s="5" t="s">
        <v>97</v>
      </c>
      <c r="AT39" s="5"/>
      <c r="AU39" s="5"/>
      <c r="AV39" s="4" t="s">
        <v>103</v>
      </c>
      <c r="AW39" s="4" t="s">
        <v>97</v>
      </c>
      <c r="AX39" s="4" t="s">
        <v>97</v>
      </c>
      <c r="AY39" s="4" t="s">
        <v>97</v>
      </c>
      <c r="AZ39" s="4" t="s">
        <v>103</v>
      </c>
      <c r="BA39" s="4" t="s">
        <v>97</v>
      </c>
      <c r="BB39" s="5">
        <v>45532</v>
      </c>
      <c r="BC39" s="5">
        <v>45532</v>
      </c>
      <c r="BD39" s="5">
        <v>45533</v>
      </c>
      <c r="BE39" s="5">
        <v>45533</v>
      </c>
      <c r="BF39" s="4" t="s">
        <v>98</v>
      </c>
      <c r="BG39" s="4" t="s">
        <v>103</v>
      </c>
      <c r="BH39" s="4" t="s">
        <v>103</v>
      </c>
      <c r="BI39" s="4" t="s">
        <v>115</v>
      </c>
    </row>
    <row r="40" spans="1:61" x14ac:dyDescent="0.35">
      <c r="A40" s="8" t="str">
        <f t="shared" si="3"/>
        <v>Semaine 34-2024</v>
      </c>
      <c r="B40" s="8" t="str">
        <f t="shared" si="4"/>
        <v>2024</v>
      </c>
      <c r="C40" s="2" t="s">
        <v>75</v>
      </c>
      <c r="D40" s="6" t="str">
        <f t="shared" si="5"/>
        <v>Diourbel</v>
      </c>
      <c r="E40" s="6">
        <f t="shared" si="6"/>
        <v>996481</v>
      </c>
      <c r="F40" s="6">
        <f t="shared" si="7"/>
        <v>1980827</v>
      </c>
      <c r="G40" s="4" t="s">
        <v>215</v>
      </c>
      <c r="H40" s="9" t="s">
        <v>225</v>
      </c>
      <c r="I40" s="9">
        <v>12</v>
      </c>
      <c r="J40" s="9" t="s">
        <v>96</v>
      </c>
      <c r="K40" s="9"/>
      <c r="L40" s="9"/>
      <c r="M40" s="9"/>
      <c r="N40" s="9"/>
      <c r="O40" s="4" t="s">
        <v>238</v>
      </c>
      <c r="P40" s="9" t="s">
        <v>97</v>
      </c>
      <c r="Q40" s="9" t="s">
        <v>97</v>
      </c>
      <c r="R40" s="14" t="s">
        <v>100</v>
      </c>
      <c r="S40" s="14" t="s">
        <v>100</v>
      </c>
      <c r="T40" s="14" t="s">
        <v>100</v>
      </c>
      <c r="U40" s="14" t="s">
        <v>285</v>
      </c>
      <c r="V40" s="14" t="s">
        <v>286</v>
      </c>
      <c r="W40" s="14"/>
      <c r="X40" s="14"/>
      <c r="Y40" s="5">
        <v>45525</v>
      </c>
      <c r="Z40" s="5">
        <v>45531</v>
      </c>
      <c r="AA40" s="5" t="s">
        <v>103</v>
      </c>
      <c r="AB40" s="5"/>
      <c r="AC40" s="5" t="s">
        <v>103</v>
      </c>
      <c r="AD40" s="5" t="s">
        <v>97</v>
      </c>
      <c r="AE40" s="5" t="s">
        <v>97</v>
      </c>
      <c r="AF40" s="5" t="s">
        <v>97</v>
      </c>
      <c r="AG40" s="5" t="s">
        <v>97</v>
      </c>
      <c r="AH40" s="5" t="s">
        <v>103</v>
      </c>
      <c r="AI40" s="5">
        <v>45525</v>
      </c>
      <c r="AJ40" s="5"/>
      <c r="AK40" s="5"/>
      <c r="AL40" s="5" t="s">
        <v>103</v>
      </c>
      <c r="AM40" s="5" t="s">
        <v>103</v>
      </c>
      <c r="AN40" s="5" t="s">
        <v>103</v>
      </c>
      <c r="AO40" s="5" t="s">
        <v>103</v>
      </c>
      <c r="AP40" s="5" t="s">
        <v>103</v>
      </c>
      <c r="AQ40" s="5" t="s">
        <v>97</v>
      </c>
      <c r="AR40" s="5" t="s">
        <v>97</v>
      </c>
      <c r="AS40" s="5" t="s">
        <v>97</v>
      </c>
      <c r="AT40" s="5"/>
      <c r="AU40" s="5"/>
      <c r="AV40" s="4" t="s">
        <v>103</v>
      </c>
      <c r="AW40" s="4" t="s">
        <v>97</v>
      </c>
      <c r="AX40" s="4" t="s">
        <v>97</v>
      </c>
      <c r="AY40" s="4" t="s">
        <v>97</v>
      </c>
      <c r="AZ40" s="4" t="s">
        <v>103</v>
      </c>
      <c r="BA40" s="4" t="s">
        <v>97</v>
      </c>
      <c r="BB40" s="5">
        <v>45531</v>
      </c>
      <c r="BC40" s="5">
        <v>45532</v>
      </c>
      <c r="BD40" s="5">
        <v>45533</v>
      </c>
      <c r="BE40" s="5">
        <v>45533</v>
      </c>
      <c r="BF40" s="4" t="s">
        <v>98</v>
      </c>
      <c r="BG40" s="4" t="s">
        <v>97</v>
      </c>
      <c r="BH40" s="4" t="s">
        <v>103</v>
      </c>
      <c r="BI40" s="4" t="s">
        <v>115</v>
      </c>
    </row>
    <row r="41" spans="1:61" x14ac:dyDescent="0.35">
      <c r="A41" s="8" t="str">
        <f t="shared" si="3"/>
        <v>Semaine 34-2024</v>
      </c>
      <c r="B41" s="8" t="str">
        <f t="shared" si="4"/>
        <v>2024</v>
      </c>
      <c r="C41" s="2" t="s">
        <v>58</v>
      </c>
      <c r="D41" s="6" t="str">
        <f t="shared" si="5"/>
        <v>Dakar</v>
      </c>
      <c r="E41" s="6">
        <f t="shared" si="6"/>
        <v>423495</v>
      </c>
      <c r="F41" s="6">
        <f t="shared" si="7"/>
        <v>4042240</v>
      </c>
      <c r="G41" s="4" t="s">
        <v>226</v>
      </c>
      <c r="H41" s="9" t="s">
        <v>227</v>
      </c>
      <c r="I41" s="9">
        <v>32</v>
      </c>
      <c r="J41" s="9" t="s">
        <v>114</v>
      </c>
      <c r="K41" s="9"/>
      <c r="L41" s="9"/>
      <c r="M41" s="9"/>
      <c r="N41" s="9"/>
      <c r="O41" s="4" t="s">
        <v>238</v>
      </c>
      <c r="P41" s="9" t="s">
        <v>97</v>
      </c>
      <c r="Q41" s="9" t="s">
        <v>97</v>
      </c>
      <c r="R41" s="14" t="s">
        <v>100</v>
      </c>
      <c r="S41" s="14" t="s">
        <v>100</v>
      </c>
      <c r="T41" s="14" t="s">
        <v>100</v>
      </c>
      <c r="U41" s="14"/>
      <c r="V41" s="14"/>
      <c r="W41" s="14"/>
      <c r="X41" s="14"/>
      <c r="Y41" s="5">
        <v>45527</v>
      </c>
      <c r="Z41" s="5">
        <v>45533</v>
      </c>
      <c r="AA41" s="5" t="s">
        <v>103</v>
      </c>
      <c r="AB41" s="5"/>
      <c r="AC41" s="5" t="s">
        <v>97</v>
      </c>
      <c r="AD41" s="5" t="s">
        <v>103</v>
      </c>
      <c r="AE41" s="5" t="s">
        <v>97</v>
      </c>
      <c r="AF41" s="5" t="s">
        <v>103</v>
      </c>
      <c r="AG41" s="5" t="s">
        <v>103</v>
      </c>
      <c r="AH41" s="5" t="s">
        <v>103</v>
      </c>
      <c r="AI41" s="5">
        <v>45527</v>
      </c>
      <c r="AJ41" s="5"/>
      <c r="AK41" s="5"/>
      <c r="AL41" s="5" t="s">
        <v>103</v>
      </c>
      <c r="AM41" s="5" t="s">
        <v>97</v>
      </c>
      <c r="AN41" s="5" t="s">
        <v>103</v>
      </c>
      <c r="AO41" s="5" t="s">
        <v>97</v>
      </c>
      <c r="AP41" s="5" t="s">
        <v>97</v>
      </c>
      <c r="AQ41" s="5" t="s">
        <v>97</v>
      </c>
      <c r="AR41" s="5" t="s">
        <v>97</v>
      </c>
      <c r="AS41" s="5" t="s">
        <v>97</v>
      </c>
      <c r="AT41" s="5" t="s">
        <v>344</v>
      </c>
      <c r="AU41" s="5"/>
      <c r="AV41" s="4" t="s">
        <v>103</v>
      </c>
      <c r="AW41" s="4" t="s">
        <v>103</v>
      </c>
      <c r="AX41" s="4" t="s">
        <v>97</v>
      </c>
      <c r="AY41" s="4" t="s">
        <v>103</v>
      </c>
      <c r="AZ41" s="4" t="s">
        <v>97</v>
      </c>
      <c r="BA41" s="4" t="s">
        <v>97</v>
      </c>
      <c r="BB41" s="5">
        <v>45533</v>
      </c>
      <c r="BC41" s="5">
        <v>45533</v>
      </c>
      <c r="BD41" s="5">
        <v>45534</v>
      </c>
      <c r="BE41" s="5">
        <v>45534</v>
      </c>
      <c r="BF41" s="4" t="s">
        <v>98</v>
      </c>
      <c r="BG41" s="4" t="s">
        <v>103</v>
      </c>
      <c r="BH41" s="4" t="s">
        <v>103</v>
      </c>
      <c r="BI41" s="4" t="s">
        <v>115</v>
      </c>
    </row>
    <row r="42" spans="1:61" x14ac:dyDescent="0.35">
      <c r="A42" s="8" t="str">
        <f t="shared" si="3"/>
        <v>Semaine 35-2024</v>
      </c>
      <c r="B42" s="8" t="str">
        <f t="shared" si="4"/>
        <v>2024</v>
      </c>
      <c r="C42" s="2" t="s">
        <v>57</v>
      </c>
      <c r="D42" s="6" t="str">
        <f t="shared" si="5"/>
        <v>Saint-Louis</v>
      </c>
      <c r="E42" s="6">
        <f t="shared" si="6"/>
        <v>207969</v>
      </c>
      <c r="F42" s="6">
        <f t="shared" si="7"/>
        <v>1150065</v>
      </c>
      <c r="G42" s="4" t="s">
        <v>228</v>
      </c>
      <c r="H42" s="9" t="s">
        <v>231</v>
      </c>
      <c r="I42" s="9">
        <v>18</v>
      </c>
      <c r="J42" s="9" t="s">
        <v>96</v>
      </c>
      <c r="K42" s="9"/>
      <c r="L42" s="9"/>
      <c r="M42" s="9"/>
      <c r="N42" s="9"/>
      <c r="O42" s="4" t="s">
        <v>238</v>
      </c>
      <c r="P42" s="9" t="s">
        <v>97</v>
      </c>
      <c r="Q42" s="9" t="s">
        <v>97</v>
      </c>
      <c r="R42" s="14" t="s">
        <v>100</v>
      </c>
      <c r="S42" s="14" t="s">
        <v>100</v>
      </c>
      <c r="T42" s="14" t="s">
        <v>100</v>
      </c>
      <c r="U42" s="14" t="s">
        <v>285</v>
      </c>
      <c r="V42" s="14"/>
      <c r="W42" s="14"/>
      <c r="X42" s="14"/>
      <c r="Y42" s="5">
        <v>45531</v>
      </c>
      <c r="Z42" s="5">
        <v>45533</v>
      </c>
      <c r="AA42" s="5" t="s">
        <v>103</v>
      </c>
      <c r="AB42" s="5"/>
      <c r="AC42" s="5" t="s">
        <v>103</v>
      </c>
      <c r="AD42" s="5" t="s">
        <v>103</v>
      </c>
      <c r="AE42" s="5" t="s">
        <v>97</v>
      </c>
      <c r="AF42" s="5" t="s">
        <v>103</v>
      </c>
      <c r="AG42" s="5" t="s">
        <v>103</v>
      </c>
      <c r="AH42" s="5" t="s">
        <v>103</v>
      </c>
      <c r="AI42" s="5">
        <v>45531</v>
      </c>
      <c r="AJ42" s="5"/>
      <c r="AK42" s="5"/>
      <c r="AL42" s="5" t="s">
        <v>103</v>
      </c>
      <c r="AM42" s="5" t="s">
        <v>103</v>
      </c>
      <c r="AN42" s="5" t="s">
        <v>103</v>
      </c>
      <c r="AO42" s="5" t="s">
        <v>103</v>
      </c>
      <c r="AP42" s="5" t="s">
        <v>103</v>
      </c>
      <c r="AQ42" s="5" t="s">
        <v>97</v>
      </c>
      <c r="AR42" s="5" t="s">
        <v>97</v>
      </c>
      <c r="AS42" s="5" t="s">
        <v>97</v>
      </c>
      <c r="AT42" s="5" t="s">
        <v>175</v>
      </c>
      <c r="AU42" s="5"/>
      <c r="AV42" s="4" t="s">
        <v>103</v>
      </c>
      <c r="AW42" s="4" t="s">
        <v>97</v>
      </c>
      <c r="AX42" s="4" t="s">
        <v>97</v>
      </c>
      <c r="AY42" s="4" t="s">
        <v>97</v>
      </c>
      <c r="AZ42" s="4" t="s">
        <v>103</v>
      </c>
      <c r="BA42" s="4" t="s">
        <v>97</v>
      </c>
      <c r="BB42" s="5">
        <v>45533</v>
      </c>
      <c r="BC42" s="5">
        <v>45534</v>
      </c>
      <c r="BD42" s="5">
        <v>45535</v>
      </c>
      <c r="BE42" s="5">
        <v>45536</v>
      </c>
      <c r="BF42" s="4" t="s">
        <v>98</v>
      </c>
      <c r="BG42" s="4" t="s">
        <v>103</v>
      </c>
      <c r="BH42" s="4" t="s">
        <v>103</v>
      </c>
      <c r="BI42" s="4" t="s">
        <v>115</v>
      </c>
    </row>
    <row r="43" spans="1:61" x14ac:dyDescent="0.35">
      <c r="A43" s="8" t="str">
        <f t="shared" si="3"/>
        <v>Semaine 35-2024</v>
      </c>
      <c r="B43" s="8" t="str">
        <f t="shared" si="4"/>
        <v>2024</v>
      </c>
      <c r="C43" s="2" t="s">
        <v>61</v>
      </c>
      <c r="D43" s="6" t="str">
        <f t="shared" si="5"/>
        <v>Thies</v>
      </c>
      <c r="E43" s="6">
        <f t="shared" si="6"/>
        <v>153582</v>
      </c>
      <c r="F43" s="6">
        <f t="shared" si="7"/>
        <v>2280463</v>
      </c>
      <c r="G43" s="4" t="s">
        <v>229</v>
      </c>
      <c r="H43" s="4" t="s">
        <v>232</v>
      </c>
      <c r="I43" s="4">
        <v>41</v>
      </c>
      <c r="J43" s="4" t="s">
        <v>114</v>
      </c>
      <c r="K43" s="4"/>
      <c r="L43" s="4"/>
      <c r="M43" s="4"/>
      <c r="N43" s="4"/>
      <c r="O43" s="4" t="s">
        <v>238</v>
      </c>
      <c r="P43" s="4" t="s">
        <v>97</v>
      </c>
      <c r="Q43" s="4" t="s">
        <v>97</v>
      </c>
      <c r="R43" s="14" t="s">
        <v>100</v>
      </c>
      <c r="S43" s="14" t="s">
        <v>100</v>
      </c>
      <c r="T43" s="14" t="s">
        <v>100</v>
      </c>
      <c r="U43" s="14" t="s">
        <v>281</v>
      </c>
      <c r="V43" s="14"/>
      <c r="W43" s="14"/>
      <c r="X43" s="14"/>
      <c r="Y43" s="5">
        <v>45531</v>
      </c>
      <c r="Z43" s="5">
        <v>45533</v>
      </c>
      <c r="AA43" s="5" t="s">
        <v>103</v>
      </c>
      <c r="AB43" s="5"/>
      <c r="AC43" s="5" t="s">
        <v>103</v>
      </c>
      <c r="AD43" s="5" t="s">
        <v>97</v>
      </c>
      <c r="AE43" s="5" t="s">
        <v>97</v>
      </c>
      <c r="AF43" s="5" t="s">
        <v>97</v>
      </c>
      <c r="AG43" s="5" t="s">
        <v>97</v>
      </c>
      <c r="AH43" s="5" t="s">
        <v>103</v>
      </c>
      <c r="AI43" s="5">
        <v>45531</v>
      </c>
      <c r="AJ43" s="5"/>
      <c r="AK43" s="5"/>
      <c r="AL43" s="5" t="s">
        <v>103</v>
      </c>
      <c r="AM43" s="5" t="s">
        <v>103</v>
      </c>
      <c r="AN43" s="5" t="s">
        <v>103</v>
      </c>
      <c r="AO43" s="5" t="s">
        <v>103</v>
      </c>
      <c r="AP43" s="5" t="s">
        <v>103</v>
      </c>
      <c r="AQ43" s="5" t="s">
        <v>97</v>
      </c>
      <c r="AR43" s="5" t="s">
        <v>97</v>
      </c>
      <c r="AS43" s="5" t="s">
        <v>97</v>
      </c>
      <c r="AT43" s="5"/>
      <c r="AU43" s="5"/>
      <c r="AV43" s="4" t="s">
        <v>103</v>
      </c>
      <c r="AW43" s="4" t="s">
        <v>97</v>
      </c>
      <c r="AX43" s="4" t="s">
        <v>97</v>
      </c>
      <c r="AY43" s="4" t="s">
        <v>97</v>
      </c>
      <c r="AZ43" s="4" t="s">
        <v>103</v>
      </c>
      <c r="BA43" s="4" t="s">
        <v>97</v>
      </c>
      <c r="BB43" s="5">
        <v>45533</v>
      </c>
      <c r="BC43" s="5">
        <v>45534</v>
      </c>
      <c r="BD43" s="5">
        <v>45535</v>
      </c>
      <c r="BE43" s="5">
        <v>45536</v>
      </c>
      <c r="BF43" s="4" t="s">
        <v>98</v>
      </c>
      <c r="BG43" s="4" t="s">
        <v>97</v>
      </c>
      <c r="BH43" s="4" t="s">
        <v>103</v>
      </c>
      <c r="BI43" s="4" t="s">
        <v>115</v>
      </c>
    </row>
    <row r="44" spans="1:61" x14ac:dyDescent="0.35">
      <c r="A44" s="8" t="str">
        <f t="shared" si="3"/>
        <v>Semaine 35-2024</v>
      </c>
      <c r="B44" s="8" t="str">
        <f t="shared" si="4"/>
        <v>2024</v>
      </c>
      <c r="C44" s="2" t="s">
        <v>14</v>
      </c>
      <c r="D44" s="6" t="str">
        <f t="shared" si="5"/>
        <v>Sedhiou</v>
      </c>
      <c r="E44" s="6">
        <f t="shared" si="6"/>
        <v>196874</v>
      </c>
      <c r="F44" s="6">
        <f t="shared" si="7"/>
        <v>612650</v>
      </c>
      <c r="G44" s="4" t="s">
        <v>230</v>
      </c>
      <c r="H44" s="9" t="s">
        <v>233</v>
      </c>
      <c r="I44" s="9">
        <v>7</v>
      </c>
      <c r="J44" s="9" t="s">
        <v>96</v>
      </c>
      <c r="K44" s="9" t="s">
        <v>213</v>
      </c>
      <c r="L44" s="9"/>
      <c r="M44" s="9"/>
      <c r="N44" s="9"/>
      <c r="O44" s="4" t="s">
        <v>238</v>
      </c>
      <c r="P44" s="9" t="s">
        <v>97</v>
      </c>
      <c r="Q44" s="9" t="s">
        <v>97</v>
      </c>
      <c r="R44" s="14" t="s">
        <v>100</v>
      </c>
      <c r="S44" s="14" t="s">
        <v>100</v>
      </c>
      <c r="T44" s="14" t="s">
        <v>100</v>
      </c>
      <c r="U44" s="14"/>
      <c r="V44" s="14"/>
      <c r="W44" s="14"/>
      <c r="X44" s="14"/>
      <c r="Y44" s="5">
        <v>45531</v>
      </c>
      <c r="Z44" s="5">
        <v>45533</v>
      </c>
      <c r="AA44" s="5" t="s">
        <v>97</v>
      </c>
      <c r="AB44" s="5"/>
      <c r="AC44" s="5" t="s">
        <v>103</v>
      </c>
      <c r="AD44" s="5" t="s">
        <v>103</v>
      </c>
      <c r="AE44" s="5" t="s">
        <v>97</v>
      </c>
      <c r="AF44" s="5" t="s">
        <v>97</v>
      </c>
      <c r="AG44" s="5" t="s">
        <v>97</v>
      </c>
      <c r="AH44" s="5" t="s">
        <v>103</v>
      </c>
      <c r="AI44" s="5">
        <v>45531</v>
      </c>
      <c r="AJ44" s="5"/>
      <c r="AK44" s="5"/>
      <c r="AL44" s="5" t="s">
        <v>103</v>
      </c>
      <c r="AM44" s="5" t="s">
        <v>97</v>
      </c>
      <c r="AN44" s="5" t="s">
        <v>97</v>
      </c>
      <c r="AO44" s="5" t="s">
        <v>97</v>
      </c>
      <c r="AP44" s="5" t="s">
        <v>103</v>
      </c>
      <c r="AQ44" s="5" t="s">
        <v>97</v>
      </c>
      <c r="AR44" s="5" t="s">
        <v>97</v>
      </c>
      <c r="AS44" s="5" t="s">
        <v>97</v>
      </c>
      <c r="AT44" s="5"/>
      <c r="AU44" s="5"/>
      <c r="AV44" s="4" t="s">
        <v>103</v>
      </c>
      <c r="AW44" s="4" t="s">
        <v>103</v>
      </c>
      <c r="AX44" s="4" t="s">
        <v>97</v>
      </c>
      <c r="AY44" s="4" t="s">
        <v>103</v>
      </c>
      <c r="AZ44" s="4" t="s">
        <v>97</v>
      </c>
      <c r="BA44" s="4" t="s">
        <v>97</v>
      </c>
      <c r="BB44" s="5">
        <v>45533</v>
      </c>
      <c r="BC44" s="5">
        <v>45534</v>
      </c>
      <c r="BD44" s="5">
        <v>45535</v>
      </c>
      <c r="BE44" s="5">
        <v>45536</v>
      </c>
      <c r="BF44" s="4" t="s">
        <v>98</v>
      </c>
      <c r="BG44" s="4" t="s">
        <v>97</v>
      </c>
      <c r="BH44" s="4" t="s">
        <v>103</v>
      </c>
      <c r="BI44" s="4" t="s">
        <v>115</v>
      </c>
    </row>
    <row r="45" spans="1:61" x14ac:dyDescent="0.35">
      <c r="A45" s="8" t="str">
        <f t="shared" si="3"/>
        <v>Semaine 35-2024</v>
      </c>
      <c r="B45" s="8" t="str">
        <f t="shared" si="4"/>
        <v>2024</v>
      </c>
      <c r="C45" s="2" t="s">
        <v>49</v>
      </c>
      <c r="D45" s="6" t="str">
        <f t="shared" si="5"/>
        <v>Dakar</v>
      </c>
      <c r="E45" s="6">
        <f t="shared" si="6"/>
        <v>441950</v>
      </c>
      <c r="F45" s="6">
        <f t="shared" si="7"/>
        <v>4042240</v>
      </c>
      <c r="G45" s="4" t="s">
        <v>239</v>
      </c>
      <c r="H45" s="9" t="s">
        <v>242</v>
      </c>
      <c r="I45" s="9">
        <v>1</v>
      </c>
      <c r="J45" s="9" t="s">
        <v>114</v>
      </c>
      <c r="K45" s="9"/>
      <c r="L45" s="9"/>
      <c r="M45" s="9"/>
      <c r="N45" s="9"/>
      <c r="O45" s="4" t="s">
        <v>238</v>
      </c>
      <c r="P45" s="9" t="s">
        <v>97</v>
      </c>
      <c r="Q45" s="9" t="s">
        <v>97</v>
      </c>
      <c r="R45" s="14" t="s">
        <v>100</v>
      </c>
      <c r="S45" s="14" t="s">
        <v>100</v>
      </c>
      <c r="T45" s="14" t="s">
        <v>100</v>
      </c>
      <c r="U45" s="14" t="s">
        <v>282</v>
      </c>
      <c r="V45" s="14"/>
      <c r="W45" s="14"/>
      <c r="X45" s="14"/>
      <c r="Y45" s="5">
        <v>45532</v>
      </c>
      <c r="Z45" s="5">
        <v>45533</v>
      </c>
      <c r="AA45" s="5" t="s">
        <v>103</v>
      </c>
      <c r="AB45" s="5"/>
      <c r="AC45" s="5" t="s">
        <v>97</v>
      </c>
      <c r="AD45" s="5" t="s">
        <v>97</v>
      </c>
      <c r="AE45" s="5" t="s">
        <v>97</v>
      </c>
      <c r="AF45" s="5" t="s">
        <v>97</v>
      </c>
      <c r="AG45" s="5" t="s">
        <v>97</v>
      </c>
      <c r="AH45" s="5" t="s">
        <v>103</v>
      </c>
      <c r="AI45" s="5">
        <v>45532</v>
      </c>
      <c r="AJ45" s="5"/>
      <c r="AK45" s="5"/>
      <c r="AL45" s="5" t="s">
        <v>103</v>
      </c>
      <c r="AM45" s="5" t="s">
        <v>103</v>
      </c>
      <c r="AN45" s="5" t="s">
        <v>103</v>
      </c>
      <c r="AO45" s="5" t="s">
        <v>103</v>
      </c>
      <c r="AP45" s="5" t="s">
        <v>103</v>
      </c>
      <c r="AQ45" s="5" t="s">
        <v>97</v>
      </c>
      <c r="AR45" s="5" t="s">
        <v>97</v>
      </c>
      <c r="AS45" s="5" t="s">
        <v>97</v>
      </c>
      <c r="AT45" s="5"/>
      <c r="AU45" s="5"/>
      <c r="AV45" s="4" t="s">
        <v>103</v>
      </c>
      <c r="AW45" s="4" t="s">
        <v>97</v>
      </c>
      <c r="AX45" s="4" t="s">
        <v>97</v>
      </c>
      <c r="AY45" s="4" t="s">
        <v>97</v>
      </c>
      <c r="AZ45" s="4" t="s">
        <v>97</v>
      </c>
      <c r="BA45" s="4" t="s">
        <v>97</v>
      </c>
      <c r="BB45" s="5">
        <v>45534</v>
      </c>
      <c r="BC45" s="5">
        <v>45535</v>
      </c>
      <c r="BD45" s="5">
        <v>45537</v>
      </c>
      <c r="BE45" s="5">
        <v>45537</v>
      </c>
      <c r="BF45" s="4" t="s">
        <v>98</v>
      </c>
      <c r="BG45" s="4" t="s">
        <v>97</v>
      </c>
      <c r="BH45" s="4" t="s">
        <v>103</v>
      </c>
      <c r="BI45" s="4" t="s">
        <v>115</v>
      </c>
    </row>
    <row r="46" spans="1:61" x14ac:dyDescent="0.35">
      <c r="A46" s="8" t="str">
        <f t="shared" si="3"/>
        <v>Semaine 35-2024</v>
      </c>
      <c r="B46" s="8" t="str">
        <f t="shared" si="4"/>
        <v>2024</v>
      </c>
      <c r="C46" s="2" t="s">
        <v>21</v>
      </c>
      <c r="D46" s="6" t="str">
        <f t="shared" si="5"/>
        <v>Dakar</v>
      </c>
      <c r="E46" s="6">
        <f t="shared" si="6"/>
        <v>219872</v>
      </c>
      <c r="F46" s="6">
        <f t="shared" si="7"/>
        <v>4042240</v>
      </c>
      <c r="G46" s="4" t="s">
        <v>240</v>
      </c>
      <c r="H46" s="9" t="s">
        <v>243</v>
      </c>
      <c r="I46" s="9">
        <v>58</v>
      </c>
      <c r="J46" s="9" t="s">
        <v>96</v>
      </c>
      <c r="K46" s="9"/>
      <c r="L46" s="9"/>
      <c r="M46" s="9"/>
      <c r="N46" s="9"/>
      <c r="O46" s="9" t="s">
        <v>238</v>
      </c>
      <c r="P46" s="9" t="s">
        <v>97</v>
      </c>
      <c r="Q46" s="9" t="s">
        <v>97</v>
      </c>
      <c r="R46" s="14" t="s">
        <v>100</v>
      </c>
      <c r="S46" s="14" t="s">
        <v>100</v>
      </c>
      <c r="T46" s="14" t="s">
        <v>100</v>
      </c>
      <c r="U46" s="14"/>
      <c r="V46" s="14"/>
      <c r="W46" s="14"/>
      <c r="X46" s="14"/>
      <c r="Y46" s="5">
        <v>45530</v>
      </c>
      <c r="Z46" s="5">
        <v>45537</v>
      </c>
      <c r="AA46" s="5" t="s">
        <v>103</v>
      </c>
      <c r="AB46" s="5"/>
      <c r="AC46" s="5" t="s">
        <v>97</v>
      </c>
      <c r="AD46" s="5" t="s">
        <v>97</v>
      </c>
      <c r="AE46" s="5" t="s">
        <v>97</v>
      </c>
      <c r="AF46" s="5" t="s">
        <v>103</v>
      </c>
      <c r="AG46" s="5" t="s">
        <v>103</v>
      </c>
      <c r="AH46" s="5" t="s">
        <v>103</v>
      </c>
      <c r="AI46" s="5">
        <v>45530</v>
      </c>
      <c r="AJ46" s="5"/>
      <c r="AK46" s="5"/>
      <c r="AL46" s="5" t="s">
        <v>103</v>
      </c>
      <c r="AM46" s="5" t="s">
        <v>103</v>
      </c>
      <c r="AN46" s="5" t="s">
        <v>103</v>
      </c>
      <c r="AO46" s="5" t="s">
        <v>103</v>
      </c>
      <c r="AP46" s="5" t="s">
        <v>103</v>
      </c>
      <c r="AQ46" s="5" t="s">
        <v>97</v>
      </c>
      <c r="AR46" s="5" t="s">
        <v>97</v>
      </c>
      <c r="AS46" s="5" t="s">
        <v>97</v>
      </c>
      <c r="AT46" s="5"/>
      <c r="AU46" s="5"/>
      <c r="AV46" s="4" t="s">
        <v>103</v>
      </c>
      <c r="AW46" s="4" t="s">
        <v>97</v>
      </c>
      <c r="AX46" s="4" t="s">
        <v>103</v>
      </c>
      <c r="AY46" s="4" t="s">
        <v>97</v>
      </c>
      <c r="AZ46" s="4" t="s">
        <v>103</v>
      </c>
      <c r="BA46" s="4" t="s">
        <v>97</v>
      </c>
      <c r="BB46" s="5">
        <v>45537</v>
      </c>
      <c r="BC46" s="5">
        <v>45537</v>
      </c>
      <c r="BD46" s="5">
        <v>45537</v>
      </c>
      <c r="BE46" s="5">
        <v>45537</v>
      </c>
      <c r="BF46" s="4" t="s">
        <v>98</v>
      </c>
      <c r="BG46" s="4" t="s">
        <v>103</v>
      </c>
      <c r="BH46" s="4" t="s">
        <v>103</v>
      </c>
      <c r="BI46" s="4" t="s">
        <v>115</v>
      </c>
    </row>
    <row r="47" spans="1:61" x14ac:dyDescent="0.35">
      <c r="A47" s="8" t="str">
        <f t="shared" si="3"/>
        <v>Semaine 35-2024</v>
      </c>
      <c r="B47" s="8" t="str">
        <f t="shared" si="4"/>
        <v>2024</v>
      </c>
      <c r="C47" s="2" t="s">
        <v>19</v>
      </c>
      <c r="D47" s="6" t="str">
        <f t="shared" si="5"/>
        <v>Dakar</v>
      </c>
      <c r="E47" s="6">
        <f t="shared" si="6"/>
        <v>565040</v>
      </c>
      <c r="F47" s="6">
        <f t="shared" si="7"/>
        <v>4042240</v>
      </c>
      <c r="G47" s="4" t="s">
        <v>241</v>
      </c>
      <c r="H47" s="9" t="s">
        <v>244</v>
      </c>
      <c r="I47" s="9">
        <v>42</v>
      </c>
      <c r="J47" s="9" t="s">
        <v>114</v>
      </c>
      <c r="K47" s="9"/>
      <c r="L47" s="9"/>
      <c r="M47" s="9"/>
      <c r="N47" s="9"/>
      <c r="O47" s="9" t="s">
        <v>238</v>
      </c>
      <c r="P47" s="9" t="s">
        <v>97</v>
      </c>
      <c r="Q47" s="9" t="s">
        <v>97</v>
      </c>
      <c r="R47" s="14" t="s">
        <v>100</v>
      </c>
      <c r="S47" s="14" t="s">
        <v>100</v>
      </c>
      <c r="T47" s="14" t="s">
        <v>100</v>
      </c>
      <c r="U47" s="14"/>
      <c r="V47" s="14"/>
      <c r="W47" s="14"/>
      <c r="X47" s="14"/>
      <c r="Y47" s="5">
        <v>45534</v>
      </c>
      <c r="Z47" s="5">
        <v>45537</v>
      </c>
      <c r="AA47" s="5" t="s">
        <v>103</v>
      </c>
      <c r="AB47" s="5"/>
      <c r="AC47" s="5" t="s">
        <v>97</v>
      </c>
      <c r="AD47" s="5" t="s">
        <v>97</v>
      </c>
      <c r="AE47" s="5" t="s">
        <v>97</v>
      </c>
      <c r="AF47" s="5" t="s">
        <v>97</v>
      </c>
      <c r="AG47" s="5" t="s">
        <v>97</v>
      </c>
      <c r="AH47" s="5" t="s">
        <v>103</v>
      </c>
      <c r="AI47" s="5">
        <v>45534</v>
      </c>
      <c r="AJ47" s="5"/>
      <c r="AK47" s="5"/>
      <c r="AL47" s="5" t="s">
        <v>103</v>
      </c>
      <c r="AM47" s="5" t="s">
        <v>103</v>
      </c>
      <c r="AN47" s="5" t="s">
        <v>97</v>
      </c>
      <c r="AO47" s="5" t="s">
        <v>97</v>
      </c>
      <c r="AP47" s="5" t="s">
        <v>97</v>
      </c>
      <c r="AQ47" s="5" t="s">
        <v>97</v>
      </c>
      <c r="AR47" s="5" t="s">
        <v>97</v>
      </c>
      <c r="AS47" s="5" t="s">
        <v>97</v>
      </c>
      <c r="AT47" s="5"/>
      <c r="AU47" s="5"/>
      <c r="AV47" s="4" t="s">
        <v>103</v>
      </c>
      <c r="AW47" s="4" t="s">
        <v>97</v>
      </c>
      <c r="AX47" s="4" t="s">
        <v>97</v>
      </c>
      <c r="AY47" s="4" t="s">
        <v>97</v>
      </c>
      <c r="AZ47" s="4" t="s">
        <v>97</v>
      </c>
      <c r="BA47" s="4" t="s">
        <v>97</v>
      </c>
      <c r="BB47" s="5">
        <v>45537</v>
      </c>
      <c r="BC47" s="5">
        <v>45537</v>
      </c>
      <c r="BD47" s="5">
        <v>45537</v>
      </c>
      <c r="BE47" s="5">
        <v>45537</v>
      </c>
      <c r="BF47" s="4" t="s">
        <v>98</v>
      </c>
      <c r="BG47" s="4" t="s">
        <v>97</v>
      </c>
      <c r="BH47" s="4" t="s">
        <v>103</v>
      </c>
      <c r="BI47" s="4" t="s">
        <v>115</v>
      </c>
    </row>
    <row r="48" spans="1:61" x14ac:dyDescent="0.35">
      <c r="A48" s="8" t="str">
        <f t="shared" si="3"/>
        <v>Semaine 35-2024</v>
      </c>
      <c r="B48" s="8" t="str">
        <f t="shared" si="4"/>
        <v>2024</v>
      </c>
      <c r="C48" s="2" t="s">
        <v>34</v>
      </c>
      <c r="D48" s="6" t="str">
        <f t="shared" si="5"/>
        <v>Matam</v>
      </c>
      <c r="E48" s="6">
        <f t="shared" si="6"/>
        <v>334751</v>
      </c>
      <c r="F48" s="6">
        <f t="shared" si="7"/>
        <v>789215</v>
      </c>
      <c r="G48" s="4" t="s">
        <v>245</v>
      </c>
      <c r="H48" s="9" t="s">
        <v>246</v>
      </c>
      <c r="I48" s="9">
        <v>15</v>
      </c>
      <c r="J48" s="9" t="s">
        <v>114</v>
      </c>
      <c r="K48" s="9"/>
      <c r="L48" s="9"/>
      <c r="M48" s="9"/>
      <c r="N48" s="9"/>
      <c r="O48" s="9" t="s">
        <v>238</v>
      </c>
      <c r="P48" s="9" t="s">
        <v>97</v>
      </c>
      <c r="Q48" s="9" t="s">
        <v>97</v>
      </c>
      <c r="R48" s="14" t="s">
        <v>100</v>
      </c>
      <c r="S48" s="14" t="s">
        <v>100</v>
      </c>
      <c r="T48" s="14" t="s">
        <v>100</v>
      </c>
      <c r="U48" s="14"/>
      <c r="V48" s="14"/>
      <c r="W48" s="14"/>
      <c r="X48" s="14"/>
      <c r="Y48" s="5">
        <v>45531</v>
      </c>
      <c r="Z48" s="5">
        <v>45533</v>
      </c>
      <c r="AA48" s="5" t="s">
        <v>103</v>
      </c>
      <c r="AB48" s="5"/>
      <c r="AC48" s="5" t="s">
        <v>103</v>
      </c>
      <c r="AD48" s="5" t="s">
        <v>97</v>
      </c>
      <c r="AE48" s="5" t="s">
        <v>97</v>
      </c>
      <c r="AF48" s="5" t="s">
        <v>103</v>
      </c>
      <c r="AG48" s="5" t="s">
        <v>103</v>
      </c>
      <c r="AH48" s="5" t="s">
        <v>103</v>
      </c>
      <c r="AI48" s="5">
        <v>45531</v>
      </c>
      <c r="AJ48" s="5"/>
      <c r="AK48" s="5"/>
      <c r="AL48" s="5" t="s">
        <v>103</v>
      </c>
      <c r="AM48" s="5" t="s">
        <v>103</v>
      </c>
      <c r="AN48" s="5" t="s">
        <v>103</v>
      </c>
      <c r="AO48" s="5" t="s">
        <v>97</v>
      </c>
      <c r="AP48" s="5" t="s">
        <v>97</v>
      </c>
      <c r="AQ48" s="5" t="s">
        <v>97</v>
      </c>
      <c r="AR48" s="5" t="s">
        <v>97</v>
      </c>
      <c r="AS48" s="5" t="s">
        <v>97</v>
      </c>
      <c r="AT48" s="5"/>
      <c r="AU48" s="5"/>
      <c r="AV48" s="4" t="s">
        <v>97</v>
      </c>
      <c r="AW48" s="4" t="s">
        <v>97</v>
      </c>
      <c r="AX48" s="4" t="s">
        <v>97</v>
      </c>
      <c r="AY48" s="4" t="s">
        <v>97</v>
      </c>
      <c r="AZ48" s="4" t="s">
        <v>103</v>
      </c>
      <c r="BA48" s="4" t="s">
        <v>97</v>
      </c>
      <c r="BB48" s="5">
        <v>45533</v>
      </c>
      <c r="BC48" s="5">
        <v>45533</v>
      </c>
      <c r="BD48" s="5">
        <v>45537</v>
      </c>
      <c r="BE48" s="5">
        <v>45537</v>
      </c>
      <c r="BF48" s="4" t="s">
        <v>98</v>
      </c>
      <c r="BG48" s="4" t="s">
        <v>103</v>
      </c>
      <c r="BH48" s="4" t="s">
        <v>103</v>
      </c>
      <c r="BI48" s="4" t="s">
        <v>115</v>
      </c>
    </row>
    <row r="49" spans="1:61" x14ac:dyDescent="0.35">
      <c r="A49" s="8" t="str">
        <f t="shared" si="3"/>
        <v>Semaine 35-2024</v>
      </c>
      <c r="B49" s="8" t="str">
        <f t="shared" si="4"/>
        <v>2024</v>
      </c>
      <c r="C49" s="2" t="s">
        <v>77</v>
      </c>
      <c r="D49" s="6" t="str">
        <f t="shared" si="5"/>
        <v>Dakar</v>
      </c>
      <c r="E49" s="6">
        <f t="shared" si="6"/>
        <v>341880</v>
      </c>
      <c r="F49" s="6">
        <f t="shared" si="7"/>
        <v>4042240</v>
      </c>
      <c r="G49" s="4" t="s">
        <v>247</v>
      </c>
      <c r="H49" s="9" t="s">
        <v>252</v>
      </c>
      <c r="I49" s="9">
        <v>9</v>
      </c>
      <c r="J49" s="9" t="s">
        <v>114</v>
      </c>
      <c r="K49" s="9"/>
      <c r="L49" s="9"/>
      <c r="M49" s="9"/>
      <c r="N49" s="9"/>
      <c r="O49" s="9" t="s">
        <v>238</v>
      </c>
      <c r="P49" s="9" t="s">
        <v>97</v>
      </c>
      <c r="Q49" s="9" t="s">
        <v>97</v>
      </c>
      <c r="R49" s="14" t="s">
        <v>100</v>
      </c>
      <c r="S49" s="14" t="s">
        <v>100</v>
      </c>
      <c r="T49" s="14" t="s">
        <v>100</v>
      </c>
      <c r="U49" s="14"/>
      <c r="V49" s="14"/>
      <c r="W49" s="14"/>
      <c r="X49" s="14"/>
      <c r="Y49" s="5">
        <v>45531</v>
      </c>
      <c r="Z49" s="5">
        <v>45533</v>
      </c>
      <c r="AA49" s="5" t="s">
        <v>103</v>
      </c>
      <c r="AB49" s="5"/>
      <c r="AC49" s="5" t="s">
        <v>97</v>
      </c>
      <c r="AD49" s="5" t="s">
        <v>97</v>
      </c>
      <c r="AE49" s="5" t="s">
        <v>97</v>
      </c>
      <c r="AF49" s="5" t="s">
        <v>97</v>
      </c>
      <c r="AG49" s="5" t="s">
        <v>97</v>
      </c>
      <c r="AH49" s="5" t="s">
        <v>103</v>
      </c>
      <c r="AI49" s="5">
        <v>45531</v>
      </c>
      <c r="AJ49" s="5"/>
      <c r="AK49" s="5"/>
      <c r="AL49" s="5" t="s">
        <v>103</v>
      </c>
      <c r="AM49" s="5" t="s">
        <v>103</v>
      </c>
      <c r="AN49" s="5" t="s">
        <v>103</v>
      </c>
      <c r="AO49" s="5" t="s">
        <v>103</v>
      </c>
      <c r="AP49" s="5" t="s">
        <v>103</v>
      </c>
      <c r="AQ49" s="5" t="s">
        <v>97</v>
      </c>
      <c r="AR49" s="5" t="s">
        <v>97</v>
      </c>
      <c r="AS49" s="5" t="s">
        <v>97</v>
      </c>
      <c r="AT49" s="5"/>
      <c r="AU49" s="5"/>
      <c r="AV49" s="4" t="s">
        <v>97</v>
      </c>
      <c r="AW49" s="4" t="s">
        <v>97</v>
      </c>
      <c r="AX49" s="4" t="s">
        <v>97</v>
      </c>
      <c r="AY49" s="4" t="s">
        <v>97</v>
      </c>
      <c r="AZ49" s="4" t="s">
        <v>103</v>
      </c>
      <c r="BA49" s="4" t="s">
        <v>97</v>
      </c>
      <c r="BB49" s="5">
        <v>45533</v>
      </c>
      <c r="BC49" s="5">
        <v>45539</v>
      </c>
      <c r="BD49" s="5">
        <v>45539</v>
      </c>
      <c r="BE49" s="5">
        <v>45539</v>
      </c>
      <c r="BF49" s="4" t="s">
        <v>98</v>
      </c>
      <c r="BG49" s="4" t="s">
        <v>97</v>
      </c>
      <c r="BH49" s="4" t="s">
        <v>103</v>
      </c>
      <c r="BI49" s="4" t="s">
        <v>145</v>
      </c>
    </row>
    <row r="50" spans="1:61" x14ac:dyDescent="0.35">
      <c r="A50" s="8" t="str">
        <f t="shared" si="3"/>
        <v>Semaine 35-2024</v>
      </c>
      <c r="B50" s="8" t="str">
        <f t="shared" si="4"/>
        <v>2024</v>
      </c>
      <c r="C50" s="2" t="s">
        <v>6</v>
      </c>
      <c r="D50" s="6" t="str">
        <f t="shared" si="5"/>
        <v>Kaffrine</v>
      </c>
      <c r="E50" s="6">
        <f t="shared" si="6"/>
        <v>286531</v>
      </c>
      <c r="F50" s="6">
        <f t="shared" si="7"/>
        <v>782275</v>
      </c>
      <c r="G50" s="4" t="s">
        <v>248</v>
      </c>
      <c r="H50" s="9" t="s">
        <v>253</v>
      </c>
      <c r="I50" s="9">
        <v>8</v>
      </c>
      <c r="J50" s="9" t="s">
        <v>114</v>
      </c>
      <c r="K50" s="9"/>
      <c r="L50" s="9"/>
      <c r="M50" s="9"/>
      <c r="N50" s="9"/>
      <c r="O50" s="9" t="s">
        <v>238</v>
      </c>
      <c r="P50" s="9" t="s">
        <v>97</v>
      </c>
      <c r="Q50" s="9" t="s">
        <v>97</v>
      </c>
      <c r="R50" s="14" t="s">
        <v>100</v>
      </c>
      <c r="S50" s="14" t="s">
        <v>100</v>
      </c>
      <c r="T50" s="14" t="s">
        <v>100</v>
      </c>
      <c r="U50" s="14"/>
      <c r="V50" s="14"/>
      <c r="W50" s="14"/>
      <c r="X50" s="14"/>
      <c r="Y50" s="5">
        <v>45533</v>
      </c>
      <c r="Z50" s="5">
        <v>45535</v>
      </c>
      <c r="AA50" s="5" t="s">
        <v>97</v>
      </c>
      <c r="AB50" s="5"/>
      <c r="AC50" s="5" t="s">
        <v>97</v>
      </c>
      <c r="AD50" s="5" t="s">
        <v>97</v>
      </c>
      <c r="AE50" s="5" t="s">
        <v>97</v>
      </c>
      <c r="AF50" s="5" t="s">
        <v>97</v>
      </c>
      <c r="AG50" s="5" t="s">
        <v>97</v>
      </c>
      <c r="AH50" s="5" t="s">
        <v>103</v>
      </c>
      <c r="AI50" s="5">
        <v>45533</v>
      </c>
      <c r="AJ50" s="5"/>
      <c r="AK50" s="5"/>
      <c r="AL50" s="5" t="s">
        <v>103</v>
      </c>
      <c r="AM50" s="5" t="s">
        <v>103</v>
      </c>
      <c r="AN50" s="5" t="s">
        <v>97</v>
      </c>
      <c r="AO50" s="5" t="s">
        <v>103</v>
      </c>
      <c r="AP50" s="5" t="s">
        <v>103</v>
      </c>
      <c r="AQ50" s="5" t="s">
        <v>97</v>
      </c>
      <c r="AR50" s="5" t="s">
        <v>97</v>
      </c>
      <c r="AS50" s="5" t="s">
        <v>97</v>
      </c>
      <c r="AT50" s="5"/>
      <c r="AU50" s="5"/>
      <c r="AV50" s="4" t="s">
        <v>97</v>
      </c>
      <c r="AW50" s="4" t="s">
        <v>97</v>
      </c>
      <c r="AX50" s="4" t="s">
        <v>97</v>
      </c>
      <c r="AY50" s="4" t="s">
        <v>97</v>
      </c>
      <c r="AZ50" s="4" t="s">
        <v>103</v>
      </c>
      <c r="BA50" s="4" t="s">
        <v>97</v>
      </c>
      <c r="BB50" s="5">
        <v>45535</v>
      </c>
      <c r="BC50" s="5">
        <v>45537</v>
      </c>
      <c r="BD50" s="5">
        <v>45539</v>
      </c>
      <c r="BE50" s="5">
        <v>45539</v>
      </c>
      <c r="BF50" s="4" t="s">
        <v>98</v>
      </c>
      <c r="BG50" s="4" t="s">
        <v>97</v>
      </c>
      <c r="BH50" s="4" t="s">
        <v>103</v>
      </c>
      <c r="BI50" s="4" t="s">
        <v>145</v>
      </c>
    </row>
    <row r="51" spans="1:61" x14ac:dyDescent="0.35">
      <c r="A51" s="8" t="str">
        <f t="shared" si="3"/>
        <v>Semaine 35-2024</v>
      </c>
      <c r="B51" s="8" t="str">
        <f t="shared" si="4"/>
        <v>2024</v>
      </c>
      <c r="C51" s="2" t="s">
        <v>6</v>
      </c>
      <c r="D51" s="6" t="str">
        <f t="shared" si="5"/>
        <v>Kaffrine</v>
      </c>
      <c r="E51" s="6">
        <f t="shared" si="6"/>
        <v>286531</v>
      </c>
      <c r="F51" s="6">
        <f t="shared" si="7"/>
        <v>782275</v>
      </c>
      <c r="G51" s="4" t="s">
        <v>249</v>
      </c>
      <c r="H51" s="9" t="s">
        <v>254</v>
      </c>
      <c r="I51" s="9">
        <v>4</v>
      </c>
      <c r="J51" s="9" t="s">
        <v>114</v>
      </c>
      <c r="K51" s="9"/>
      <c r="L51" s="9"/>
      <c r="M51" s="9"/>
      <c r="N51" s="9"/>
      <c r="O51" s="9" t="s">
        <v>238</v>
      </c>
      <c r="P51" s="9" t="s">
        <v>97</v>
      </c>
      <c r="Q51" s="9" t="s">
        <v>97</v>
      </c>
      <c r="R51" s="14" t="s">
        <v>100</v>
      </c>
      <c r="S51" s="14" t="s">
        <v>100</v>
      </c>
      <c r="T51" s="14" t="s">
        <v>100</v>
      </c>
      <c r="U51" s="14"/>
      <c r="V51" s="14"/>
      <c r="W51" s="14"/>
      <c r="X51" s="14"/>
      <c r="Y51" s="5">
        <v>45532</v>
      </c>
      <c r="Z51" s="5">
        <v>45534</v>
      </c>
      <c r="AA51" s="5" t="s">
        <v>97</v>
      </c>
      <c r="AB51" s="5"/>
      <c r="AC51" s="5" t="s">
        <v>97</v>
      </c>
      <c r="AD51" s="5" t="s">
        <v>97</v>
      </c>
      <c r="AE51" s="5" t="s">
        <v>97</v>
      </c>
      <c r="AF51" s="5" t="s">
        <v>97</v>
      </c>
      <c r="AG51" s="5" t="s">
        <v>97</v>
      </c>
      <c r="AH51" s="5" t="s">
        <v>103</v>
      </c>
      <c r="AI51" s="5">
        <v>45532</v>
      </c>
      <c r="AJ51" s="5"/>
      <c r="AK51" s="5"/>
      <c r="AL51" s="5" t="s">
        <v>103</v>
      </c>
      <c r="AM51" s="5" t="s">
        <v>97</v>
      </c>
      <c r="AN51" s="5" t="s">
        <v>103</v>
      </c>
      <c r="AO51" s="5" t="s">
        <v>103</v>
      </c>
      <c r="AP51" s="5" t="s">
        <v>103</v>
      </c>
      <c r="AQ51" s="5" t="s">
        <v>97</v>
      </c>
      <c r="AR51" s="5" t="s">
        <v>97</v>
      </c>
      <c r="AS51" s="5" t="s">
        <v>97</v>
      </c>
      <c r="AT51" s="5"/>
      <c r="AU51" s="5"/>
      <c r="AV51" s="4" t="s">
        <v>97</v>
      </c>
      <c r="AW51" s="4" t="s">
        <v>97</v>
      </c>
      <c r="AX51" s="4" t="s">
        <v>97</v>
      </c>
      <c r="AY51" s="4" t="s">
        <v>97</v>
      </c>
      <c r="AZ51" s="4" t="s">
        <v>103</v>
      </c>
      <c r="BA51" s="4" t="s">
        <v>97</v>
      </c>
      <c r="BB51" s="5">
        <v>45534</v>
      </c>
      <c r="BC51" s="5">
        <v>45537</v>
      </c>
      <c r="BD51" s="5">
        <v>45539</v>
      </c>
      <c r="BE51" s="5">
        <v>45539</v>
      </c>
      <c r="BF51" s="4" t="s">
        <v>98</v>
      </c>
      <c r="BG51" s="4" t="s">
        <v>97</v>
      </c>
      <c r="BH51" s="4" t="s">
        <v>103</v>
      </c>
      <c r="BI51" s="4" t="s">
        <v>145</v>
      </c>
    </row>
    <row r="52" spans="1:61" x14ac:dyDescent="0.35">
      <c r="A52" s="8" t="str">
        <f t="shared" si="3"/>
        <v>Semaine 35-2024</v>
      </c>
      <c r="B52" s="8" t="str">
        <f t="shared" si="4"/>
        <v>2024</v>
      </c>
      <c r="C52" s="2" t="s">
        <v>4</v>
      </c>
      <c r="D52" s="6" t="str">
        <f t="shared" si="5"/>
        <v>Thies</v>
      </c>
      <c r="E52" s="6">
        <f t="shared" si="6"/>
        <v>462449</v>
      </c>
      <c r="F52" s="6">
        <f t="shared" si="7"/>
        <v>2280463</v>
      </c>
      <c r="G52" s="4" t="s">
        <v>250</v>
      </c>
      <c r="H52" s="9" t="s">
        <v>255</v>
      </c>
      <c r="I52" s="9">
        <v>33</v>
      </c>
      <c r="J52" s="9" t="s">
        <v>114</v>
      </c>
      <c r="K52" s="9" t="s">
        <v>258</v>
      </c>
      <c r="L52" s="19">
        <v>45535</v>
      </c>
      <c r="M52" s="9" t="s">
        <v>256</v>
      </c>
      <c r="N52" s="19">
        <v>45536</v>
      </c>
      <c r="O52" s="9" t="s">
        <v>238</v>
      </c>
      <c r="P52" s="9" t="s">
        <v>97</v>
      </c>
      <c r="Q52" s="9" t="s">
        <v>103</v>
      </c>
      <c r="R52" s="14" t="s">
        <v>100</v>
      </c>
      <c r="S52" s="14" t="s">
        <v>100</v>
      </c>
      <c r="T52" s="14" t="s">
        <v>100</v>
      </c>
      <c r="U52" s="14"/>
      <c r="V52" s="14"/>
      <c r="W52" s="14"/>
      <c r="X52" s="14"/>
      <c r="Y52" s="5">
        <v>45536</v>
      </c>
      <c r="Z52" s="5">
        <v>45539</v>
      </c>
      <c r="AA52" s="5" t="s">
        <v>103</v>
      </c>
      <c r="AB52" s="5" t="s">
        <v>257</v>
      </c>
      <c r="AC52" s="5" t="s">
        <v>103</v>
      </c>
      <c r="AD52" s="5" t="s">
        <v>103</v>
      </c>
      <c r="AE52" s="5" t="s">
        <v>97</v>
      </c>
      <c r="AF52" s="5" t="s">
        <v>97</v>
      </c>
      <c r="AG52" s="5" t="s">
        <v>97</v>
      </c>
      <c r="AH52" s="5" t="s">
        <v>103</v>
      </c>
      <c r="AI52" s="5">
        <v>45536</v>
      </c>
      <c r="AJ52" s="5" t="s">
        <v>103</v>
      </c>
      <c r="AK52" s="5" t="s">
        <v>103</v>
      </c>
      <c r="AL52" s="5" t="s">
        <v>103</v>
      </c>
      <c r="AM52" s="5" t="s">
        <v>103</v>
      </c>
      <c r="AN52" s="5" t="s">
        <v>103</v>
      </c>
      <c r="AO52" s="5" t="s">
        <v>97</v>
      </c>
      <c r="AP52" s="5" t="s">
        <v>97</v>
      </c>
      <c r="AQ52" s="5" t="s">
        <v>103</v>
      </c>
      <c r="AR52" s="5" t="s">
        <v>97</v>
      </c>
      <c r="AS52" s="5" t="s">
        <v>103</v>
      </c>
      <c r="AT52" s="5"/>
      <c r="AU52" s="5"/>
      <c r="AV52" s="4" t="s">
        <v>103</v>
      </c>
      <c r="AW52" s="4" t="s">
        <v>97</v>
      </c>
      <c r="AX52" s="4" t="s">
        <v>97</v>
      </c>
      <c r="AY52" s="4" t="s">
        <v>97</v>
      </c>
      <c r="AZ52" s="4" t="s">
        <v>103</v>
      </c>
      <c r="BA52" s="4" t="s">
        <v>97</v>
      </c>
      <c r="BB52" s="5">
        <v>45539</v>
      </c>
      <c r="BC52" s="5">
        <v>45539</v>
      </c>
      <c r="BD52" s="5">
        <v>45539</v>
      </c>
      <c r="BE52" s="5">
        <v>45539</v>
      </c>
      <c r="BF52" s="4" t="s">
        <v>98</v>
      </c>
      <c r="BG52" s="4" t="s">
        <v>97</v>
      </c>
      <c r="BH52" s="4" t="s">
        <v>103</v>
      </c>
      <c r="BI52" s="4" t="s">
        <v>115</v>
      </c>
    </row>
    <row r="53" spans="1:61" x14ac:dyDescent="0.35">
      <c r="A53" s="8" t="str">
        <f t="shared" si="3"/>
        <v>Semaine 35-2024</v>
      </c>
      <c r="B53" s="8" t="str">
        <f t="shared" si="4"/>
        <v>2024</v>
      </c>
      <c r="C53" s="2" t="s">
        <v>66</v>
      </c>
      <c r="D53" s="6" t="str">
        <f t="shared" si="5"/>
        <v>Louga</v>
      </c>
      <c r="E53" s="6">
        <f t="shared" si="6"/>
        <v>91992</v>
      </c>
      <c r="F53" s="6">
        <f t="shared" si="7"/>
        <v>1121619</v>
      </c>
      <c r="G53" s="4" t="s">
        <v>251</v>
      </c>
      <c r="H53" s="9" t="s">
        <v>259</v>
      </c>
      <c r="I53" s="9">
        <v>1</v>
      </c>
      <c r="J53" s="9" t="s">
        <v>114</v>
      </c>
      <c r="K53" s="9"/>
      <c r="L53" s="9"/>
      <c r="M53" s="9"/>
      <c r="N53" s="9"/>
      <c r="O53" s="9" t="s">
        <v>238</v>
      </c>
      <c r="P53" s="9" t="s">
        <v>97</v>
      </c>
      <c r="Q53" s="9" t="s">
        <v>97</v>
      </c>
      <c r="R53" s="14" t="s">
        <v>100</v>
      </c>
      <c r="S53" s="14" t="s">
        <v>100</v>
      </c>
      <c r="T53" s="14" t="s">
        <v>100</v>
      </c>
      <c r="U53" s="14"/>
      <c r="V53" s="14"/>
      <c r="W53" s="14"/>
      <c r="X53" s="14"/>
      <c r="Y53" s="5">
        <v>45535</v>
      </c>
      <c r="Z53" s="5">
        <v>45537</v>
      </c>
      <c r="AA53" s="5" t="s">
        <v>103</v>
      </c>
      <c r="AB53" s="5"/>
      <c r="AC53" s="5" t="s">
        <v>97</v>
      </c>
      <c r="AD53" s="5" t="s">
        <v>97</v>
      </c>
      <c r="AE53" s="5" t="s">
        <v>97</v>
      </c>
      <c r="AF53" s="5" t="s">
        <v>97</v>
      </c>
      <c r="AG53" s="5" t="s">
        <v>97</v>
      </c>
      <c r="AH53" s="5" t="s">
        <v>103</v>
      </c>
      <c r="AI53" s="5">
        <v>45536</v>
      </c>
      <c r="AJ53" s="5"/>
      <c r="AK53" s="5"/>
      <c r="AL53" s="5" t="s">
        <v>103</v>
      </c>
      <c r="AM53" s="5" t="s">
        <v>103</v>
      </c>
      <c r="AN53" s="5" t="s">
        <v>103</v>
      </c>
      <c r="AO53" s="5" t="s">
        <v>103</v>
      </c>
      <c r="AP53" s="5" t="s">
        <v>103</v>
      </c>
      <c r="AQ53" s="5" t="s">
        <v>97</v>
      </c>
      <c r="AR53" s="5" t="s">
        <v>97</v>
      </c>
      <c r="AS53" s="5" t="s">
        <v>97</v>
      </c>
      <c r="AT53" s="5"/>
      <c r="AU53" s="5"/>
      <c r="AV53" s="4" t="s">
        <v>103</v>
      </c>
      <c r="AW53" s="4" t="s">
        <v>97</v>
      </c>
      <c r="AX53" s="4" t="s">
        <v>97</v>
      </c>
      <c r="AY53" s="4" t="s">
        <v>97</v>
      </c>
      <c r="AZ53" s="4" t="s">
        <v>103</v>
      </c>
      <c r="BA53" s="4" t="s">
        <v>97</v>
      </c>
      <c r="BB53" s="5">
        <v>45537</v>
      </c>
      <c r="BC53" s="5">
        <v>45537</v>
      </c>
      <c r="BD53" s="5">
        <v>45539</v>
      </c>
      <c r="BE53" s="5">
        <v>45539</v>
      </c>
      <c r="BF53" s="4" t="s">
        <v>98</v>
      </c>
      <c r="BG53" s="4" t="s">
        <v>97</v>
      </c>
      <c r="BH53" s="4" t="s">
        <v>103</v>
      </c>
      <c r="BI53" s="4" t="s">
        <v>115</v>
      </c>
    </row>
    <row r="54" spans="1:61" x14ac:dyDescent="0.35">
      <c r="A54" s="8" t="str">
        <f t="shared" si="3"/>
        <v>Semaine 35-2024</v>
      </c>
      <c r="B54" s="8" t="str">
        <f t="shared" si="4"/>
        <v>2024</v>
      </c>
      <c r="C54" s="2" t="s">
        <v>58</v>
      </c>
      <c r="D54" s="6" t="str">
        <f t="shared" si="5"/>
        <v>Dakar</v>
      </c>
      <c r="E54" s="6">
        <f t="shared" si="6"/>
        <v>423495</v>
      </c>
      <c r="F54" s="6">
        <f t="shared" si="7"/>
        <v>4042240</v>
      </c>
      <c r="G54" s="4" t="s">
        <v>260</v>
      </c>
      <c r="H54" s="9" t="s">
        <v>263</v>
      </c>
      <c r="I54" s="9">
        <v>43</v>
      </c>
      <c r="J54" s="9" t="s">
        <v>114</v>
      </c>
      <c r="K54" s="9"/>
      <c r="L54" s="9"/>
      <c r="M54" s="9"/>
      <c r="N54" s="9"/>
      <c r="O54" s="9" t="s">
        <v>238</v>
      </c>
      <c r="P54" s="9" t="s">
        <v>97</v>
      </c>
      <c r="Q54" s="9" t="s">
        <v>97</v>
      </c>
      <c r="R54" s="14" t="s">
        <v>100</v>
      </c>
      <c r="S54" s="14" t="s">
        <v>100</v>
      </c>
      <c r="T54" s="14" t="s">
        <v>100</v>
      </c>
      <c r="U54" s="14"/>
      <c r="V54" s="14"/>
      <c r="W54" s="14"/>
      <c r="X54" s="14"/>
      <c r="Y54" s="5">
        <v>45536</v>
      </c>
      <c r="Z54" s="5">
        <v>45539</v>
      </c>
      <c r="AA54" s="5" t="s">
        <v>103</v>
      </c>
      <c r="AB54" s="5" t="s">
        <v>264</v>
      </c>
      <c r="AC54" s="5" t="s">
        <v>97</v>
      </c>
      <c r="AD54" s="5" t="s">
        <v>97</v>
      </c>
      <c r="AE54" s="5" t="s">
        <v>103</v>
      </c>
      <c r="AF54" s="5" t="s">
        <v>103</v>
      </c>
      <c r="AG54" s="5" t="s">
        <v>103</v>
      </c>
      <c r="AH54" s="5" t="s">
        <v>103</v>
      </c>
      <c r="AI54" s="5">
        <v>45536</v>
      </c>
      <c r="AJ54" s="5" t="s">
        <v>103</v>
      </c>
      <c r="AK54" s="5"/>
      <c r="AL54" s="5" t="s">
        <v>103</v>
      </c>
      <c r="AM54" s="5" t="s">
        <v>103</v>
      </c>
      <c r="AN54" s="5" t="s">
        <v>103</v>
      </c>
      <c r="AO54" s="5" t="s">
        <v>97</v>
      </c>
      <c r="AP54" s="5" t="s">
        <v>97</v>
      </c>
      <c r="AQ54" s="5" t="s">
        <v>97</v>
      </c>
      <c r="AR54" s="5" t="s">
        <v>97</v>
      </c>
      <c r="AS54" s="5" t="s">
        <v>97</v>
      </c>
      <c r="AT54" s="5"/>
      <c r="AU54" s="5"/>
      <c r="AV54" s="4" t="s">
        <v>103</v>
      </c>
      <c r="AW54" s="4" t="s">
        <v>103</v>
      </c>
      <c r="AX54" s="4" t="s">
        <v>97</v>
      </c>
      <c r="AY54" s="4" t="s">
        <v>97</v>
      </c>
      <c r="AZ54" s="4" t="s">
        <v>103</v>
      </c>
      <c r="BA54" s="4" t="s">
        <v>97</v>
      </c>
      <c r="BB54" s="5">
        <v>45539</v>
      </c>
      <c r="BC54" s="5">
        <v>45539</v>
      </c>
      <c r="BD54" s="5">
        <v>45540</v>
      </c>
      <c r="BE54" s="5">
        <v>45540</v>
      </c>
      <c r="BF54" s="4" t="s">
        <v>98</v>
      </c>
      <c r="BG54" s="4" t="s">
        <v>97</v>
      </c>
      <c r="BH54" s="4" t="s">
        <v>103</v>
      </c>
      <c r="BI54" s="4" t="s">
        <v>115</v>
      </c>
    </row>
    <row r="55" spans="1:61" x14ac:dyDescent="0.35">
      <c r="A55" s="8" t="str">
        <f t="shared" si="3"/>
        <v>Semaine 36-2024</v>
      </c>
      <c r="B55" s="8" t="str">
        <f t="shared" si="4"/>
        <v>2024</v>
      </c>
      <c r="C55" s="2" t="s">
        <v>20</v>
      </c>
      <c r="D55" s="6" t="str">
        <f t="shared" si="5"/>
        <v>Dakar</v>
      </c>
      <c r="E55" s="6">
        <f t="shared" si="6"/>
        <v>272276</v>
      </c>
      <c r="F55" s="6">
        <f t="shared" si="7"/>
        <v>4042240</v>
      </c>
      <c r="G55" s="4" t="s">
        <v>261</v>
      </c>
      <c r="H55" s="9" t="s">
        <v>265</v>
      </c>
      <c r="I55" s="9">
        <v>32</v>
      </c>
      <c r="J55" s="9" t="s">
        <v>114</v>
      </c>
      <c r="K55" s="9"/>
      <c r="L55" s="9"/>
      <c r="M55" s="9"/>
      <c r="N55" s="9"/>
      <c r="O55" s="9" t="s">
        <v>238</v>
      </c>
      <c r="P55" s="9" t="s">
        <v>97</v>
      </c>
      <c r="Q55" s="9" t="s">
        <v>97</v>
      </c>
      <c r="R55" s="14" t="s">
        <v>100</v>
      </c>
      <c r="S55" s="14" t="s">
        <v>100</v>
      </c>
      <c r="T55" s="14" t="s">
        <v>100</v>
      </c>
      <c r="U55" s="14" t="s">
        <v>283</v>
      </c>
      <c r="V55" s="14" t="s">
        <v>284</v>
      </c>
      <c r="W55" s="14"/>
      <c r="X55" s="14"/>
      <c r="Y55" s="5">
        <v>45538</v>
      </c>
      <c r="Z55" s="5">
        <v>45540</v>
      </c>
      <c r="AA55" s="5" t="s">
        <v>103</v>
      </c>
      <c r="AB55" s="5"/>
      <c r="AC55" s="5" t="s">
        <v>97</v>
      </c>
      <c r="AD55" s="5" t="s">
        <v>97</v>
      </c>
      <c r="AE55" s="5" t="s">
        <v>97</v>
      </c>
      <c r="AF55" s="5" t="s">
        <v>103</v>
      </c>
      <c r="AG55" s="5" t="s">
        <v>103</v>
      </c>
      <c r="AH55" s="5" t="s">
        <v>103</v>
      </c>
      <c r="AI55" s="5">
        <v>45538</v>
      </c>
      <c r="AJ55" s="5"/>
      <c r="AK55" s="5"/>
      <c r="AL55" s="5" t="s">
        <v>103</v>
      </c>
      <c r="AM55" s="5" t="s">
        <v>103</v>
      </c>
      <c r="AN55" s="5" t="s">
        <v>103</v>
      </c>
      <c r="AO55" s="5" t="s">
        <v>103</v>
      </c>
      <c r="AP55" s="5" t="s">
        <v>103</v>
      </c>
      <c r="AQ55" s="5" t="s">
        <v>97</v>
      </c>
      <c r="AR55" s="5" t="s">
        <v>97</v>
      </c>
      <c r="AS55" s="5" t="s">
        <v>97</v>
      </c>
      <c r="AT55" s="5" t="s">
        <v>266</v>
      </c>
      <c r="AU55" s="5"/>
      <c r="AV55" s="4" t="s">
        <v>103</v>
      </c>
      <c r="AW55" s="4" t="s">
        <v>97</v>
      </c>
      <c r="AX55" s="4" t="s">
        <v>97</v>
      </c>
      <c r="AY55" s="4" t="s">
        <v>97</v>
      </c>
      <c r="AZ55" s="4" t="s">
        <v>103</v>
      </c>
      <c r="BA55" s="4" t="s">
        <v>97</v>
      </c>
      <c r="BB55" s="5">
        <v>45540</v>
      </c>
      <c r="BC55" s="5">
        <v>45540</v>
      </c>
      <c r="BD55" s="5">
        <v>45540</v>
      </c>
      <c r="BE55" s="5">
        <v>45540</v>
      </c>
      <c r="BF55" s="4" t="s">
        <v>98</v>
      </c>
      <c r="BG55" s="4" t="s">
        <v>97</v>
      </c>
      <c r="BH55" s="4" t="s">
        <v>103</v>
      </c>
      <c r="BI55" s="4" t="s">
        <v>115</v>
      </c>
    </row>
    <row r="56" spans="1:61" x14ac:dyDescent="0.35">
      <c r="A56" s="8" t="str">
        <f t="shared" si="3"/>
        <v>Semaine 34-2024</v>
      </c>
      <c r="B56" s="8" t="str">
        <f t="shared" si="4"/>
        <v>2024</v>
      </c>
      <c r="C56" s="2" t="s">
        <v>21</v>
      </c>
      <c r="D56" s="6" t="str">
        <f t="shared" si="5"/>
        <v>Dakar</v>
      </c>
      <c r="E56" s="6">
        <f t="shared" si="6"/>
        <v>219872</v>
      </c>
      <c r="F56" s="6">
        <f t="shared" si="7"/>
        <v>4042240</v>
      </c>
      <c r="G56" s="4" t="s">
        <v>262</v>
      </c>
      <c r="H56" s="9" t="s">
        <v>267</v>
      </c>
      <c r="I56" s="9">
        <v>30</v>
      </c>
      <c r="J56" s="9" t="s">
        <v>114</v>
      </c>
      <c r="K56" s="9" t="s">
        <v>268</v>
      </c>
      <c r="L56" s="9"/>
      <c r="M56" s="9"/>
      <c r="N56" s="9"/>
      <c r="O56" s="9" t="s">
        <v>238</v>
      </c>
      <c r="P56" s="9" t="s">
        <v>97</v>
      </c>
      <c r="Q56" s="9" t="s">
        <v>97</v>
      </c>
      <c r="R56" s="14" t="s">
        <v>100</v>
      </c>
      <c r="S56" s="14" t="s">
        <v>100</v>
      </c>
      <c r="T56" s="14" t="s">
        <v>100</v>
      </c>
      <c r="U56" s="14" t="s">
        <v>287</v>
      </c>
      <c r="V56" s="14"/>
      <c r="W56" s="14"/>
      <c r="X56" s="14"/>
      <c r="Y56" s="5">
        <v>45526</v>
      </c>
      <c r="Z56" s="5">
        <v>45540</v>
      </c>
      <c r="AA56" s="5" t="s">
        <v>103</v>
      </c>
      <c r="AB56" s="5"/>
      <c r="AC56" s="5" t="s">
        <v>103</v>
      </c>
      <c r="AD56" s="5" t="s">
        <v>97</v>
      </c>
      <c r="AE56" s="5" t="s">
        <v>103</v>
      </c>
      <c r="AF56" s="5" t="s">
        <v>97</v>
      </c>
      <c r="AG56" s="5" t="s">
        <v>103</v>
      </c>
      <c r="AH56" s="5" t="s">
        <v>103</v>
      </c>
      <c r="AI56" s="5">
        <v>45526</v>
      </c>
      <c r="AJ56" s="5" t="s">
        <v>103</v>
      </c>
      <c r="AK56" s="5"/>
      <c r="AL56" s="5" t="s">
        <v>103</v>
      </c>
      <c r="AM56" s="5" t="s">
        <v>103</v>
      </c>
      <c r="AN56" s="5" t="s">
        <v>103</v>
      </c>
      <c r="AO56" s="5" t="s">
        <v>97</v>
      </c>
      <c r="AP56" s="5" t="s">
        <v>97</v>
      </c>
      <c r="AQ56" s="5" t="s">
        <v>103</v>
      </c>
      <c r="AR56" s="5" t="s">
        <v>97</v>
      </c>
      <c r="AS56" s="5" t="s">
        <v>103</v>
      </c>
      <c r="AT56" s="5"/>
      <c r="AU56" s="5" t="s">
        <v>269</v>
      </c>
      <c r="AV56" s="4" t="s">
        <v>103</v>
      </c>
      <c r="AW56" s="4" t="s">
        <v>97</v>
      </c>
      <c r="AX56" s="4" t="s">
        <v>103</v>
      </c>
      <c r="AY56" s="4" t="s">
        <v>97</v>
      </c>
      <c r="AZ56" s="4" t="s">
        <v>97</v>
      </c>
      <c r="BA56" s="4" t="s">
        <v>97</v>
      </c>
      <c r="BB56" s="5">
        <v>45540</v>
      </c>
      <c r="BC56" s="5">
        <v>45540</v>
      </c>
      <c r="BD56" s="5">
        <v>45540</v>
      </c>
      <c r="BE56" s="5">
        <v>45540</v>
      </c>
      <c r="BF56" s="4" t="s">
        <v>98</v>
      </c>
      <c r="BG56" s="4" t="s">
        <v>97</v>
      </c>
      <c r="BH56" s="4" t="s">
        <v>103</v>
      </c>
      <c r="BI56" s="4" t="s">
        <v>115</v>
      </c>
    </row>
    <row r="57" spans="1:61" x14ac:dyDescent="0.35">
      <c r="A57" s="8" t="str">
        <f t="shared" si="3"/>
        <v>Semaine 35-2024</v>
      </c>
      <c r="B57" s="8" t="str">
        <f t="shared" si="4"/>
        <v>2024</v>
      </c>
      <c r="C57" s="2" t="s">
        <v>32</v>
      </c>
      <c r="D57" s="6" t="str">
        <f t="shared" si="5"/>
        <v>Kaolack</v>
      </c>
      <c r="E57" s="6">
        <f t="shared" si="6"/>
        <v>151881</v>
      </c>
      <c r="F57" s="6">
        <f t="shared" si="7"/>
        <v>1267013</v>
      </c>
      <c r="G57" s="4" t="s">
        <v>270</v>
      </c>
      <c r="H57" s="9" t="s">
        <v>271</v>
      </c>
      <c r="I57" s="9">
        <v>5</v>
      </c>
      <c r="J57" s="9" t="s">
        <v>114</v>
      </c>
      <c r="K57" s="9"/>
      <c r="L57" s="9"/>
      <c r="M57" s="9"/>
      <c r="N57" s="9"/>
      <c r="O57" s="9" t="s">
        <v>238</v>
      </c>
      <c r="P57" s="9" t="s">
        <v>97</v>
      </c>
      <c r="Q57" s="9" t="s">
        <v>97</v>
      </c>
      <c r="R57" s="14" t="s">
        <v>100</v>
      </c>
      <c r="S57" s="14" t="s">
        <v>100</v>
      </c>
      <c r="T57" s="14" t="s">
        <v>100</v>
      </c>
      <c r="U57" s="14"/>
      <c r="V57" s="14"/>
      <c r="W57" s="14"/>
      <c r="X57" s="14"/>
      <c r="Y57" s="5">
        <v>45533</v>
      </c>
      <c r="Z57" s="5">
        <v>45538</v>
      </c>
      <c r="AA57" s="5" t="s">
        <v>103</v>
      </c>
      <c r="AB57" s="5" t="s">
        <v>272</v>
      </c>
      <c r="AC57" s="5" t="s">
        <v>97</v>
      </c>
      <c r="AD57" s="5" t="s">
        <v>103</v>
      </c>
      <c r="AE57" s="5" t="s">
        <v>97</v>
      </c>
      <c r="AF57" s="5" t="s">
        <v>97</v>
      </c>
      <c r="AG57" s="5" t="s">
        <v>97</v>
      </c>
      <c r="AH57" s="5" t="s">
        <v>103</v>
      </c>
      <c r="AI57" s="5">
        <v>45534</v>
      </c>
      <c r="AJ57" s="5" t="s">
        <v>103</v>
      </c>
      <c r="AK57" s="5" t="s">
        <v>103</v>
      </c>
      <c r="AL57" s="5" t="s">
        <v>97</v>
      </c>
      <c r="AM57" s="5" t="s">
        <v>103</v>
      </c>
      <c r="AN57" s="5" t="s">
        <v>103</v>
      </c>
      <c r="AO57" s="5" t="s">
        <v>97</v>
      </c>
      <c r="AP57" s="5" t="s">
        <v>97</v>
      </c>
      <c r="AQ57" s="5" t="s">
        <v>97</v>
      </c>
      <c r="AR57" s="5" t="s">
        <v>97</v>
      </c>
      <c r="AS57" s="5" t="s">
        <v>97</v>
      </c>
      <c r="AT57" s="5"/>
      <c r="AU57" s="5"/>
      <c r="AV57" s="4" t="s">
        <v>103</v>
      </c>
      <c r="AW57" s="4" t="s">
        <v>97</v>
      </c>
      <c r="AX57" s="4" t="s">
        <v>97</v>
      </c>
      <c r="AY57" s="4" t="s">
        <v>97</v>
      </c>
      <c r="AZ57" s="4" t="s">
        <v>97</v>
      </c>
      <c r="BA57" s="4" t="s">
        <v>97</v>
      </c>
      <c r="BB57" s="5">
        <v>45538</v>
      </c>
      <c r="BC57" s="5">
        <v>45539</v>
      </c>
      <c r="BD57" s="5">
        <v>45541</v>
      </c>
      <c r="BE57" s="5">
        <v>45541</v>
      </c>
      <c r="BF57" s="4" t="s">
        <v>98</v>
      </c>
      <c r="BG57" s="4" t="s">
        <v>97</v>
      </c>
      <c r="BH57" s="4" t="s">
        <v>103</v>
      </c>
      <c r="BI57" s="4" t="s">
        <v>115</v>
      </c>
    </row>
    <row r="58" spans="1:61" x14ac:dyDescent="0.35">
      <c r="A58" s="8" t="str">
        <f t="shared" si="3"/>
        <v>Semaine 35-2024</v>
      </c>
      <c r="B58" s="8" t="str">
        <f t="shared" si="4"/>
        <v>2024</v>
      </c>
      <c r="C58" s="2" t="s">
        <v>32</v>
      </c>
      <c r="D58" s="6" t="str">
        <f t="shared" si="5"/>
        <v>Kaolack</v>
      </c>
      <c r="E58" s="6">
        <f t="shared" si="6"/>
        <v>151881</v>
      </c>
      <c r="F58" s="6">
        <f t="shared" si="7"/>
        <v>1267013</v>
      </c>
      <c r="G58" s="4" t="s">
        <v>273</v>
      </c>
      <c r="H58" s="9" t="s">
        <v>275</v>
      </c>
      <c r="I58" s="9">
        <v>2</v>
      </c>
      <c r="J58" s="9" t="s">
        <v>96</v>
      </c>
      <c r="K58" s="9"/>
      <c r="L58" s="9"/>
      <c r="M58" s="9"/>
      <c r="N58" s="9"/>
      <c r="O58" s="9" t="s">
        <v>238</v>
      </c>
      <c r="P58" s="9" t="s">
        <v>97</v>
      </c>
      <c r="Q58" s="9" t="s">
        <v>97</v>
      </c>
      <c r="R58" s="14" t="s">
        <v>100</v>
      </c>
      <c r="S58" s="14" t="s">
        <v>100</v>
      </c>
      <c r="T58" s="14" t="s">
        <v>100</v>
      </c>
      <c r="U58" s="14"/>
      <c r="V58" s="14"/>
      <c r="W58" s="14"/>
      <c r="X58" s="14"/>
      <c r="Y58" s="5">
        <v>45532</v>
      </c>
      <c r="Z58" s="5">
        <v>45538</v>
      </c>
      <c r="AA58" s="5" t="s">
        <v>103</v>
      </c>
      <c r="AB58" s="5" t="s">
        <v>276</v>
      </c>
      <c r="AC58" s="5" t="s">
        <v>97</v>
      </c>
      <c r="AD58" s="5" t="s">
        <v>103</v>
      </c>
      <c r="AE58" s="5" t="s">
        <v>97</v>
      </c>
      <c r="AF58" s="5" t="s">
        <v>97</v>
      </c>
      <c r="AG58" s="5" t="s">
        <v>97</v>
      </c>
      <c r="AH58" s="5" t="s">
        <v>103</v>
      </c>
      <c r="AI58" s="5">
        <v>45533</v>
      </c>
      <c r="AJ58" s="5" t="s">
        <v>103</v>
      </c>
      <c r="AK58" s="5" t="s">
        <v>103</v>
      </c>
      <c r="AL58" s="5" t="s">
        <v>97</v>
      </c>
      <c r="AM58" s="5" t="s">
        <v>103</v>
      </c>
      <c r="AN58" s="5" t="s">
        <v>103</v>
      </c>
      <c r="AO58" s="5" t="s">
        <v>97</v>
      </c>
      <c r="AP58" s="5" t="s">
        <v>97</v>
      </c>
      <c r="AQ58" s="5" t="s">
        <v>97</v>
      </c>
      <c r="AR58" s="5" t="s">
        <v>97</v>
      </c>
      <c r="AS58" s="5" t="s">
        <v>97</v>
      </c>
      <c r="AT58" s="5"/>
      <c r="AU58" s="5"/>
      <c r="AV58" s="4" t="s">
        <v>103</v>
      </c>
      <c r="AW58" s="4" t="s">
        <v>97</v>
      </c>
      <c r="AX58" s="4" t="s">
        <v>97</v>
      </c>
      <c r="AY58" s="4" t="s">
        <v>97</v>
      </c>
      <c r="AZ58" s="4" t="s">
        <v>97</v>
      </c>
      <c r="BA58" s="4" t="s">
        <v>97</v>
      </c>
      <c r="BB58" s="5">
        <v>45538</v>
      </c>
      <c r="BC58" s="5">
        <v>45539</v>
      </c>
      <c r="BD58" s="5">
        <v>45541</v>
      </c>
      <c r="BE58" s="5">
        <v>45541</v>
      </c>
      <c r="BF58" s="4" t="s">
        <v>98</v>
      </c>
      <c r="BG58" s="4" t="s">
        <v>97</v>
      </c>
      <c r="BH58" s="4" t="s">
        <v>103</v>
      </c>
      <c r="BI58" s="4" t="s">
        <v>115</v>
      </c>
    </row>
    <row r="59" spans="1:61" x14ac:dyDescent="0.35">
      <c r="A59" s="8" t="str">
        <f t="shared" si="3"/>
        <v>Semaine 35-2024</v>
      </c>
      <c r="B59" s="8" t="str">
        <f t="shared" si="4"/>
        <v>2024</v>
      </c>
      <c r="C59" s="2" t="s">
        <v>32</v>
      </c>
      <c r="D59" s="6" t="str">
        <f t="shared" si="5"/>
        <v>Kaolack</v>
      </c>
      <c r="E59" s="6">
        <f t="shared" si="6"/>
        <v>151881</v>
      </c>
      <c r="F59" s="6">
        <f t="shared" si="7"/>
        <v>1267013</v>
      </c>
      <c r="G59" s="4" t="s">
        <v>274</v>
      </c>
      <c r="H59" s="9" t="s">
        <v>277</v>
      </c>
      <c r="I59" s="9">
        <v>2</v>
      </c>
      <c r="J59" s="9" t="s">
        <v>114</v>
      </c>
      <c r="K59" s="9"/>
      <c r="L59" s="9"/>
      <c r="M59" s="9"/>
      <c r="N59" s="9"/>
      <c r="O59" s="9" t="s">
        <v>238</v>
      </c>
      <c r="P59" s="9" t="s">
        <v>97</v>
      </c>
      <c r="Q59" s="9" t="s">
        <v>97</v>
      </c>
      <c r="R59" s="14" t="s">
        <v>100</v>
      </c>
      <c r="S59" s="14" t="s">
        <v>100</v>
      </c>
      <c r="T59" s="14" t="s">
        <v>100</v>
      </c>
      <c r="U59" s="14"/>
      <c r="V59" s="14"/>
      <c r="W59" s="14"/>
      <c r="X59" s="14"/>
      <c r="Y59" s="5">
        <v>45535</v>
      </c>
      <c r="Z59" s="5">
        <v>45537</v>
      </c>
      <c r="AA59" s="5" t="s">
        <v>103</v>
      </c>
      <c r="AB59" s="5"/>
      <c r="AC59" s="5" t="s">
        <v>97</v>
      </c>
      <c r="AD59" s="5" t="s">
        <v>97</v>
      </c>
      <c r="AE59" s="5" t="s">
        <v>97</v>
      </c>
      <c r="AF59" s="5" t="s">
        <v>97</v>
      </c>
      <c r="AG59" s="5" t="s">
        <v>97</v>
      </c>
      <c r="AH59" s="5" t="s">
        <v>103</v>
      </c>
      <c r="AI59" s="5">
        <v>45535</v>
      </c>
      <c r="AJ59" s="5" t="s">
        <v>103</v>
      </c>
      <c r="AK59" s="5" t="s">
        <v>103</v>
      </c>
      <c r="AL59" s="5" t="s">
        <v>97</v>
      </c>
      <c r="AM59" s="5" t="s">
        <v>103</v>
      </c>
      <c r="AN59" s="5" t="s">
        <v>103</v>
      </c>
      <c r="AO59" s="5" t="s">
        <v>97</v>
      </c>
      <c r="AP59" s="5" t="s">
        <v>97</v>
      </c>
      <c r="AQ59" s="5" t="s">
        <v>97</v>
      </c>
      <c r="AR59" s="5" t="s">
        <v>97</v>
      </c>
      <c r="AS59" s="5" t="s">
        <v>97</v>
      </c>
      <c r="AT59" s="5"/>
      <c r="AU59" s="5"/>
      <c r="AV59" s="4" t="s">
        <v>103</v>
      </c>
      <c r="AW59" s="4" t="s">
        <v>97</v>
      </c>
      <c r="AX59" s="4" t="s">
        <v>97</v>
      </c>
      <c r="AY59" s="4" t="s">
        <v>97</v>
      </c>
      <c r="AZ59" s="4" t="s">
        <v>97</v>
      </c>
      <c r="BA59" s="4" t="s">
        <v>97</v>
      </c>
      <c r="BB59" s="5">
        <v>45538</v>
      </c>
      <c r="BC59" s="5">
        <v>45539</v>
      </c>
      <c r="BD59" s="5">
        <v>45541</v>
      </c>
      <c r="BE59" s="5">
        <v>45541</v>
      </c>
      <c r="BF59" s="4" t="s">
        <v>98</v>
      </c>
      <c r="BG59" s="4" t="s">
        <v>97</v>
      </c>
      <c r="BH59" s="4" t="s">
        <v>103</v>
      </c>
      <c r="BI59" s="4" t="s">
        <v>115</v>
      </c>
    </row>
    <row r="60" spans="1:61" x14ac:dyDescent="0.35">
      <c r="A60" s="8" t="str">
        <f t="shared" si="3"/>
        <v>Semaine 34-2024</v>
      </c>
      <c r="B60" s="8" t="str">
        <f t="shared" si="4"/>
        <v>2024</v>
      </c>
      <c r="C60" s="2" t="s">
        <v>76</v>
      </c>
      <c r="D60" s="6" t="str">
        <f t="shared" si="5"/>
        <v>Kolda</v>
      </c>
      <c r="E60" s="6">
        <f t="shared" si="6"/>
        <v>367976</v>
      </c>
      <c r="F60" s="6">
        <f t="shared" si="7"/>
        <v>875661</v>
      </c>
      <c r="G60" s="4" t="s">
        <v>288</v>
      </c>
      <c r="H60" s="9" t="s">
        <v>293</v>
      </c>
      <c r="I60" s="9">
        <v>1</v>
      </c>
      <c r="J60" s="9" t="s">
        <v>114</v>
      </c>
      <c r="K60" s="9"/>
      <c r="L60" s="9"/>
      <c r="M60" s="9"/>
      <c r="N60" s="9"/>
      <c r="O60" s="9" t="s">
        <v>238</v>
      </c>
      <c r="P60" s="9" t="s">
        <v>97</v>
      </c>
      <c r="Q60" s="9" t="s">
        <v>97</v>
      </c>
      <c r="R60" s="14" t="s">
        <v>100</v>
      </c>
      <c r="S60" s="14" t="s">
        <v>100</v>
      </c>
      <c r="T60" s="14" t="s">
        <v>100</v>
      </c>
      <c r="U60" s="14"/>
      <c r="V60" s="14"/>
      <c r="W60" s="14"/>
      <c r="X60" s="14"/>
      <c r="Y60" s="5">
        <v>45527</v>
      </c>
      <c r="Z60" s="5">
        <v>45530</v>
      </c>
      <c r="AA60" s="5" t="s">
        <v>103</v>
      </c>
      <c r="AB60" s="5"/>
      <c r="AC60" s="5" t="s">
        <v>97</v>
      </c>
      <c r="AD60" s="5" t="s">
        <v>97</v>
      </c>
      <c r="AE60" s="5" t="s">
        <v>97</v>
      </c>
      <c r="AF60" s="5" t="s">
        <v>97</v>
      </c>
      <c r="AG60" s="5" t="s">
        <v>97</v>
      </c>
      <c r="AH60" s="5" t="s">
        <v>103</v>
      </c>
      <c r="AI60" s="5">
        <v>45527</v>
      </c>
      <c r="AJ60" s="5"/>
      <c r="AK60" s="5"/>
      <c r="AL60" s="5" t="s">
        <v>103</v>
      </c>
      <c r="AM60" s="5" t="s">
        <v>103</v>
      </c>
      <c r="AN60" s="5" t="s">
        <v>97</v>
      </c>
      <c r="AO60" s="5" t="s">
        <v>97</v>
      </c>
      <c r="AP60" s="5" t="s">
        <v>97</v>
      </c>
      <c r="AQ60" s="5" t="s">
        <v>97</v>
      </c>
      <c r="AR60" s="5" t="s">
        <v>97</v>
      </c>
      <c r="AS60" s="5" t="s">
        <v>97</v>
      </c>
      <c r="AT60" s="5"/>
      <c r="AU60" s="5"/>
      <c r="AV60" s="4" t="s">
        <v>97</v>
      </c>
      <c r="AW60" s="4" t="s">
        <v>97</v>
      </c>
      <c r="AX60" s="4" t="s">
        <v>97</v>
      </c>
      <c r="AY60" s="4" t="s">
        <v>97</v>
      </c>
      <c r="AZ60" s="4" t="s">
        <v>103</v>
      </c>
      <c r="BA60" s="4" t="s">
        <v>97</v>
      </c>
      <c r="BB60" s="5">
        <v>45530</v>
      </c>
      <c r="BC60" s="5">
        <v>45541</v>
      </c>
      <c r="BD60" s="5">
        <v>45542</v>
      </c>
      <c r="BE60" s="5">
        <v>45542</v>
      </c>
      <c r="BF60" s="4" t="s">
        <v>98</v>
      </c>
      <c r="BG60" s="4" t="s">
        <v>97</v>
      </c>
      <c r="BH60" s="4" t="s">
        <v>103</v>
      </c>
      <c r="BI60" s="4" t="s">
        <v>145</v>
      </c>
    </row>
    <row r="61" spans="1:61" x14ac:dyDescent="0.35">
      <c r="A61" s="8" t="str">
        <f t="shared" si="3"/>
        <v>Semaine 34-2024</v>
      </c>
      <c r="B61" s="8" t="str">
        <f t="shared" si="4"/>
        <v>2024</v>
      </c>
      <c r="C61" s="2" t="s">
        <v>76</v>
      </c>
      <c r="D61" s="6" t="str">
        <f t="shared" si="5"/>
        <v>Kolda</v>
      </c>
      <c r="E61" s="6">
        <f t="shared" si="6"/>
        <v>367976</v>
      </c>
      <c r="F61" s="6">
        <f t="shared" si="7"/>
        <v>875661</v>
      </c>
      <c r="G61" s="4" t="s">
        <v>289</v>
      </c>
      <c r="H61" s="9" t="s">
        <v>294</v>
      </c>
      <c r="I61" s="9">
        <v>2</v>
      </c>
      <c r="J61" s="9" t="s">
        <v>96</v>
      </c>
      <c r="K61" s="9"/>
      <c r="L61" s="9"/>
      <c r="M61" s="9"/>
      <c r="N61" s="9"/>
      <c r="O61" s="9" t="s">
        <v>238</v>
      </c>
      <c r="P61" s="9" t="s">
        <v>97</v>
      </c>
      <c r="Q61" s="9" t="s">
        <v>97</v>
      </c>
      <c r="R61" s="14" t="s">
        <v>100</v>
      </c>
      <c r="S61" s="14" t="s">
        <v>100</v>
      </c>
      <c r="T61" s="14" t="s">
        <v>100</v>
      </c>
      <c r="U61" s="14"/>
      <c r="V61" s="14"/>
      <c r="W61" s="14"/>
      <c r="X61" s="14"/>
      <c r="Y61" s="5">
        <v>45527</v>
      </c>
      <c r="Z61" s="5">
        <v>45530</v>
      </c>
      <c r="AA61" s="5" t="s">
        <v>103</v>
      </c>
      <c r="AB61" s="5"/>
      <c r="AC61" s="5" t="s">
        <v>97</v>
      </c>
      <c r="AD61" s="5" t="s">
        <v>103</v>
      </c>
      <c r="AE61" s="5" t="s">
        <v>97</v>
      </c>
      <c r="AF61" s="5" t="s">
        <v>97</v>
      </c>
      <c r="AG61" s="5" t="s">
        <v>97</v>
      </c>
      <c r="AH61" s="5" t="s">
        <v>103</v>
      </c>
      <c r="AI61" s="5">
        <v>45527</v>
      </c>
      <c r="AJ61" s="5"/>
      <c r="AK61" s="5"/>
      <c r="AL61" s="5" t="s">
        <v>103</v>
      </c>
      <c r="AM61" s="5" t="s">
        <v>103</v>
      </c>
      <c r="AN61" s="5" t="s">
        <v>97</v>
      </c>
      <c r="AO61" s="5" t="s">
        <v>97</v>
      </c>
      <c r="AP61" s="5" t="s">
        <v>97</v>
      </c>
      <c r="AQ61" s="5" t="s">
        <v>97</v>
      </c>
      <c r="AR61" s="5" t="s">
        <v>97</v>
      </c>
      <c r="AS61" s="5" t="s">
        <v>97</v>
      </c>
      <c r="AT61" s="5"/>
      <c r="AU61" s="5"/>
      <c r="AV61" s="4" t="s">
        <v>97</v>
      </c>
      <c r="AW61" s="4" t="s">
        <v>97</v>
      </c>
      <c r="AX61" s="4" t="s">
        <v>97</v>
      </c>
      <c r="AY61" s="4" t="s">
        <v>97</v>
      </c>
      <c r="AZ61" s="4" t="s">
        <v>103</v>
      </c>
      <c r="BA61" s="4" t="s">
        <v>97</v>
      </c>
      <c r="BB61" s="5">
        <v>45530</v>
      </c>
      <c r="BC61" s="5">
        <v>45541</v>
      </c>
      <c r="BD61" s="5">
        <v>45542</v>
      </c>
      <c r="BE61" s="5">
        <v>45542</v>
      </c>
      <c r="BF61" s="4" t="s">
        <v>98</v>
      </c>
      <c r="BG61" s="4" t="s">
        <v>97</v>
      </c>
      <c r="BH61" s="4" t="s">
        <v>103</v>
      </c>
      <c r="BI61" s="4" t="s">
        <v>145</v>
      </c>
    </row>
    <row r="62" spans="1:61" x14ac:dyDescent="0.35">
      <c r="A62" s="8" t="str">
        <f t="shared" si="3"/>
        <v>Semaine 34-2024</v>
      </c>
      <c r="B62" s="8" t="str">
        <f t="shared" si="4"/>
        <v>2024</v>
      </c>
      <c r="C62" s="2" t="s">
        <v>24</v>
      </c>
      <c r="D62" s="6" t="str">
        <f t="shared" si="5"/>
        <v>Tambacounda</v>
      </c>
      <c r="E62" s="6">
        <f t="shared" si="6"/>
        <v>57207</v>
      </c>
      <c r="F62" s="6">
        <f t="shared" si="7"/>
        <v>937181</v>
      </c>
      <c r="G62" s="4" t="s">
        <v>290</v>
      </c>
      <c r="H62" s="9" t="s">
        <v>295</v>
      </c>
      <c r="I62" s="9">
        <v>1</v>
      </c>
      <c r="J62" s="9" t="s">
        <v>96</v>
      </c>
      <c r="K62" s="9"/>
      <c r="L62" s="9"/>
      <c r="M62" s="9"/>
      <c r="N62" s="9"/>
      <c r="O62" s="9" t="s">
        <v>238</v>
      </c>
      <c r="P62" s="9" t="s">
        <v>97</v>
      </c>
      <c r="Q62" s="9" t="s">
        <v>97</v>
      </c>
      <c r="R62" s="14" t="s">
        <v>100</v>
      </c>
      <c r="S62" s="14" t="s">
        <v>100</v>
      </c>
      <c r="T62" s="14" t="s">
        <v>100</v>
      </c>
      <c r="U62" s="14"/>
      <c r="V62" s="14"/>
      <c r="W62" s="14"/>
      <c r="X62" s="14"/>
      <c r="Y62" s="5">
        <v>45527</v>
      </c>
      <c r="Z62" s="5">
        <v>45538</v>
      </c>
      <c r="AA62" s="5" t="s">
        <v>103</v>
      </c>
      <c r="AB62" s="5" t="s">
        <v>296</v>
      </c>
      <c r="AC62" s="5" t="s">
        <v>103</v>
      </c>
      <c r="AD62" s="5" t="s">
        <v>103</v>
      </c>
      <c r="AE62" s="5" t="s">
        <v>97</v>
      </c>
      <c r="AF62" s="5" t="s">
        <v>97</v>
      </c>
      <c r="AG62" s="5" t="s">
        <v>97</v>
      </c>
      <c r="AH62" s="5" t="s">
        <v>103</v>
      </c>
      <c r="AI62" s="5">
        <v>45536</v>
      </c>
      <c r="AJ62" s="5" t="s">
        <v>103</v>
      </c>
      <c r="AK62" s="5" t="s">
        <v>103</v>
      </c>
      <c r="AL62" s="5" t="s">
        <v>97</v>
      </c>
      <c r="AM62" s="5" t="s">
        <v>103</v>
      </c>
      <c r="AN62" s="5" t="s">
        <v>103</v>
      </c>
      <c r="AO62" s="5" t="s">
        <v>103</v>
      </c>
      <c r="AP62" s="5" t="s">
        <v>97</v>
      </c>
      <c r="AQ62" s="5" t="s">
        <v>97</v>
      </c>
      <c r="AR62" s="5" t="s">
        <v>97</v>
      </c>
      <c r="AS62" s="5" t="s">
        <v>97</v>
      </c>
      <c r="AT62" s="5"/>
      <c r="AU62" s="5"/>
      <c r="AV62" s="4" t="s">
        <v>97</v>
      </c>
      <c r="AW62" s="4" t="s">
        <v>97</v>
      </c>
      <c r="AX62" s="4" t="s">
        <v>97</v>
      </c>
      <c r="AY62" s="4" t="s">
        <v>97</v>
      </c>
      <c r="AZ62" s="4" t="s">
        <v>103</v>
      </c>
      <c r="BA62" s="4" t="s">
        <v>97</v>
      </c>
      <c r="BB62" s="5">
        <v>45538</v>
      </c>
      <c r="BC62" s="5">
        <v>45541</v>
      </c>
      <c r="BD62" s="5">
        <v>45542</v>
      </c>
      <c r="BE62" s="5">
        <v>45542</v>
      </c>
      <c r="BF62" s="4" t="s">
        <v>98</v>
      </c>
      <c r="BG62" s="4" t="s">
        <v>97</v>
      </c>
      <c r="BH62" s="4" t="s">
        <v>103</v>
      </c>
      <c r="BI62" s="4" t="s">
        <v>145</v>
      </c>
    </row>
    <row r="63" spans="1:61" x14ac:dyDescent="0.35">
      <c r="A63" s="8" t="str">
        <f t="shared" si="3"/>
        <v>Semaine 33-2024</v>
      </c>
      <c r="B63" s="8" t="str">
        <f t="shared" si="4"/>
        <v>2024</v>
      </c>
      <c r="C63" s="2" t="s">
        <v>24</v>
      </c>
      <c r="D63" s="6" t="str">
        <f t="shared" si="5"/>
        <v>Tambacounda</v>
      </c>
      <c r="E63" s="6">
        <f t="shared" si="6"/>
        <v>57207</v>
      </c>
      <c r="F63" s="6">
        <f t="shared" si="7"/>
        <v>937181</v>
      </c>
      <c r="G63" s="4" t="s">
        <v>291</v>
      </c>
      <c r="H63" s="9" t="s">
        <v>297</v>
      </c>
      <c r="I63" s="9">
        <v>9</v>
      </c>
      <c r="J63" s="9" t="s">
        <v>96</v>
      </c>
      <c r="K63" s="9"/>
      <c r="L63" s="9"/>
      <c r="M63" s="9"/>
      <c r="N63" s="9"/>
      <c r="O63" s="9" t="s">
        <v>238</v>
      </c>
      <c r="P63" s="9" t="s">
        <v>97</v>
      </c>
      <c r="Q63" s="9" t="s">
        <v>97</v>
      </c>
      <c r="R63" s="14" t="s">
        <v>100</v>
      </c>
      <c r="S63" s="14" t="s">
        <v>100</v>
      </c>
      <c r="T63" s="14" t="s">
        <v>100</v>
      </c>
      <c r="U63" s="14"/>
      <c r="V63" s="14"/>
      <c r="W63" s="14"/>
      <c r="X63" s="14"/>
      <c r="Y63" s="5">
        <v>45516</v>
      </c>
      <c r="Z63" s="5">
        <v>45531</v>
      </c>
      <c r="AA63" s="5" t="s">
        <v>103</v>
      </c>
      <c r="AB63" s="5"/>
      <c r="AC63" s="5" t="s">
        <v>97</v>
      </c>
      <c r="AD63" s="5" t="s">
        <v>97</v>
      </c>
      <c r="AE63" s="5" t="s">
        <v>97</v>
      </c>
      <c r="AF63" s="5" t="s">
        <v>103</v>
      </c>
      <c r="AG63" s="5" t="s">
        <v>97</v>
      </c>
      <c r="AH63" s="5" t="s">
        <v>103</v>
      </c>
      <c r="AI63" s="5">
        <v>45524</v>
      </c>
      <c r="AJ63" s="5"/>
      <c r="AK63" s="5"/>
      <c r="AL63" s="5" t="s">
        <v>103</v>
      </c>
      <c r="AM63" s="5" t="s">
        <v>103</v>
      </c>
      <c r="AN63" s="5" t="s">
        <v>103</v>
      </c>
      <c r="AO63" s="5" t="s">
        <v>103</v>
      </c>
      <c r="AP63" s="5" t="s">
        <v>103</v>
      </c>
      <c r="AQ63" s="5" t="s">
        <v>97</v>
      </c>
      <c r="AR63" s="5" t="s">
        <v>97</v>
      </c>
      <c r="AS63" s="5" t="s">
        <v>97</v>
      </c>
      <c r="AT63" s="5" t="s">
        <v>298</v>
      </c>
      <c r="AU63" s="5"/>
      <c r="AV63" s="4" t="s">
        <v>97</v>
      </c>
      <c r="AW63" s="4" t="s">
        <v>97</v>
      </c>
      <c r="AX63" s="4" t="s">
        <v>97</v>
      </c>
      <c r="AY63" s="4" t="s">
        <v>97</v>
      </c>
      <c r="AZ63" s="4" t="s">
        <v>103</v>
      </c>
      <c r="BA63" s="4" t="s">
        <v>97</v>
      </c>
      <c r="BB63" s="5">
        <v>45531</v>
      </c>
      <c r="BC63" s="5">
        <v>45541</v>
      </c>
      <c r="BD63" s="5">
        <v>45542</v>
      </c>
      <c r="BE63" s="5">
        <v>45542</v>
      </c>
      <c r="BF63" s="4" t="s">
        <v>98</v>
      </c>
      <c r="BG63" s="4" t="s">
        <v>97</v>
      </c>
      <c r="BH63" s="4" t="s">
        <v>103</v>
      </c>
      <c r="BI63" s="4" t="s">
        <v>145</v>
      </c>
    </row>
    <row r="64" spans="1:61" x14ac:dyDescent="0.35">
      <c r="A64" s="8" t="str">
        <f t="shared" si="3"/>
        <v>Semaine 36-2024</v>
      </c>
      <c r="B64" s="8" t="str">
        <f t="shared" si="4"/>
        <v>2024</v>
      </c>
      <c r="C64" s="2" t="s">
        <v>58</v>
      </c>
      <c r="D64" s="6" t="str">
        <f t="shared" si="5"/>
        <v>Dakar</v>
      </c>
      <c r="E64" s="6">
        <f t="shared" si="6"/>
        <v>423495</v>
      </c>
      <c r="F64" s="6">
        <f t="shared" si="7"/>
        <v>4042240</v>
      </c>
      <c r="G64" s="4" t="s">
        <v>292</v>
      </c>
      <c r="H64" s="9" t="s">
        <v>299</v>
      </c>
      <c r="I64" s="9">
        <v>34</v>
      </c>
      <c r="J64" s="9" t="s">
        <v>114</v>
      </c>
      <c r="K64" s="9"/>
      <c r="L64" s="9"/>
      <c r="M64" s="9"/>
      <c r="N64" s="9"/>
      <c r="O64" s="9" t="s">
        <v>238</v>
      </c>
      <c r="P64" s="9" t="s">
        <v>97</v>
      </c>
      <c r="Q64" s="9" t="s">
        <v>97</v>
      </c>
      <c r="R64" s="14" t="s">
        <v>100</v>
      </c>
      <c r="S64" s="14" t="s">
        <v>100</v>
      </c>
      <c r="T64" s="14" t="s">
        <v>100</v>
      </c>
      <c r="U64" s="14" t="s">
        <v>285</v>
      </c>
      <c r="V64" s="14"/>
      <c r="W64" s="14"/>
      <c r="X64" s="14"/>
      <c r="Y64" s="5">
        <v>45537</v>
      </c>
      <c r="Z64" s="5">
        <v>45540</v>
      </c>
      <c r="AA64" s="5" t="s">
        <v>103</v>
      </c>
      <c r="AB64" s="5" t="s">
        <v>300</v>
      </c>
      <c r="AC64" s="5" t="s">
        <v>103</v>
      </c>
      <c r="AD64" s="5" t="s">
        <v>97</v>
      </c>
      <c r="AE64" s="5" t="s">
        <v>97</v>
      </c>
      <c r="AF64" s="5" t="s">
        <v>97</v>
      </c>
      <c r="AG64" s="5" t="s">
        <v>103</v>
      </c>
      <c r="AH64" s="5" t="s">
        <v>103</v>
      </c>
      <c r="AI64" s="5">
        <v>45537</v>
      </c>
      <c r="AJ64" s="5" t="s">
        <v>103</v>
      </c>
      <c r="AK64" s="5" t="s">
        <v>103</v>
      </c>
      <c r="AL64" s="5" t="s">
        <v>97</v>
      </c>
      <c r="AM64" s="5" t="s">
        <v>103</v>
      </c>
      <c r="AN64" s="5" t="s">
        <v>103</v>
      </c>
      <c r="AO64" s="5" t="s">
        <v>103</v>
      </c>
      <c r="AP64" s="5" t="s">
        <v>103</v>
      </c>
      <c r="AQ64" s="5" t="s">
        <v>97</v>
      </c>
      <c r="AR64" s="5" t="s">
        <v>97</v>
      </c>
      <c r="AS64" s="5" t="s">
        <v>97</v>
      </c>
      <c r="AT64" s="5"/>
      <c r="AU64" s="5"/>
      <c r="AV64" s="4" t="s">
        <v>103</v>
      </c>
      <c r="AW64" s="4" t="s">
        <v>97</v>
      </c>
      <c r="AX64" s="4" t="s">
        <v>97</v>
      </c>
      <c r="AY64" s="4" t="s">
        <v>97</v>
      </c>
      <c r="AZ64" s="4" t="s">
        <v>97</v>
      </c>
      <c r="BA64" s="4" t="s">
        <v>97</v>
      </c>
      <c r="BB64" s="5">
        <v>45540</v>
      </c>
      <c r="BC64" s="5">
        <v>45541</v>
      </c>
      <c r="BD64" s="5">
        <v>45542</v>
      </c>
      <c r="BE64" s="5">
        <v>45542</v>
      </c>
      <c r="BF64" s="4" t="s">
        <v>98</v>
      </c>
      <c r="BG64" s="4" t="s">
        <v>97</v>
      </c>
      <c r="BH64" s="4" t="s">
        <v>103</v>
      </c>
      <c r="BI64" s="4" t="s">
        <v>115</v>
      </c>
    </row>
    <row r="65" spans="1:61" x14ac:dyDescent="0.35">
      <c r="A65" s="8" t="str">
        <f t="shared" si="3"/>
        <v>Semaine 36-2024</v>
      </c>
      <c r="B65" s="8" t="str">
        <f t="shared" si="4"/>
        <v>2024</v>
      </c>
      <c r="C65" s="2" t="s">
        <v>1</v>
      </c>
      <c r="D65" s="6" t="str">
        <f t="shared" si="5"/>
        <v>Matam</v>
      </c>
      <c r="E65" s="6">
        <f t="shared" si="6"/>
        <v>110915</v>
      </c>
      <c r="F65" s="6">
        <f t="shared" si="7"/>
        <v>789215</v>
      </c>
      <c r="G65" s="4" t="s">
        <v>301</v>
      </c>
      <c r="H65" s="9" t="s">
        <v>302</v>
      </c>
      <c r="I65" s="9">
        <v>15</v>
      </c>
      <c r="J65" s="9" t="s">
        <v>96</v>
      </c>
      <c r="K65" s="9"/>
      <c r="L65" s="9"/>
      <c r="M65" s="9"/>
      <c r="N65" s="9"/>
      <c r="O65" s="9" t="s">
        <v>238</v>
      </c>
      <c r="P65" s="9" t="s">
        <v>97</v>
      </c>
      <c r="Q65" s="9" t="s">
        <v>97</v>
      </c>
      <c r="R65" s="14" t="s">
        <v>100</v>
      </c>
      <c r="S65" s="14" t="s">
        <v>100</v>
      </c>
      <c r="T65" s="14" t="s">
        <v>100</v>
      </c>
      <c r="U65" s="14"/>
      <c r="V65" s="14"/>
      <c r="W65" s="14"/>
      <c r="X65" s="14"/>
      <c r="Y65" s="5">
        <v>45537</v>
      </c>
      <c r="Z65" s="5">
        <v>45541</v>
      </c>
      <c r="AA65" s="5" t="s">
        <v>103</v>
      </c>
      <c r="AB65" s="5" t="s">
        <v>303</v>
      </c>
      <c r="AC65" s="5" t="s">
        <v>103</v>
      </c>
      <c r="AD65" s="5" t="s">
        <v>97</v>
      </c>
      <c r="AE65" s="5" t="s">
        <v>97</v>
      </c>
      <c r="AF65" s="5" t="s">
        <v>97</v>
      </c>
      <c r="AG65" s="5" t="s">
        <v>97</v>
      </c>
      <c r="AH65" s="5" t="s">
        <v>103</v>
      </c>
      <c r="AI65" s="5">
        <v>45537</v>
      </c>
      <c r="AJ65" s="5" t="s">
        <v>97</v>
      </c>
      <c r="AK65" s="5" t="s">
        <v>97</v>
      </c>
      <c r="AL65" s="5" t="s">
        <v>97</v>
      </c>
      <c r="AM65" s="5" t="s">
        <v>103</v>
      </c>
      <c r="AN65" s="5" t="s">
        <v>103</v>
      </c>
      <c r="AO65" s="5" t="s">
        <v>103</v>
      </c>
      <c r="AP65" s="5" t="s">
        <v>103</v>
      </c>
      <c r="AQ65" s="5" t="s">
        <v>103</v>
      </c>
      <c r="AR65" s="5" t="s">
        <v>103</v>
      </c>
      <c r="AS65" s="5" t="s">
        <v>103</v>
      </c>
      <c r="AT65" s="5" t="s">
        <v>304</v>
      </c>
      <c r="AU65" s="5"/>
      <c r="AV65" s="4" t="s">
        <v>103</v>
      </c>
      <c r="AW65" s="4" t="s">
        <v>97</v>
      </c>
      <c r="AX65" s="4" t="s">
        <v>97</v>
      </c>
      <c r="AY65" s="4" t="s">
        <v>97</v>
      </c>
      <c r="AZ65" s="4" t="s">
        <v>103</v>
      </c>
      <c r="BA65" s="4" t="s">
        <v>97</v>
      </c>
      <c r="BB65" s="5">
        <v>45541</v>
      </c>
      <c r="BC65" s="5">
        <v>45542</v>
      </c>
      <c r="BD65" s="5">
        <v>45543</v>
      </c>
      <c r="BE65" s="5">
        <v>45543</v>
      </c>
      <c r="BF65" s="4" t="s">
        <v>98</v>
      </c>
      <c r="BG65" s="4" t="s">
        <v>103</v>
      </c>
      <c r="BH65" s="4" t="s">
        <v>103</v>
      </c>
      <c r="BI65" s="4" t="s">
        <v>115</v>
      </c>
    </row>
    <row r="66" spans="1:61" x14ac:dyDescent="0.35">
      <c r="A66" s="8" t="str">
        <f t="shared" si="3"/>
        <v>Semaine 36-2024</v>
      </c>
      <c r="B66" s="8" t="str">
        <f t="shared" si="4"/>
        <v>2024</v>
      </c>
      <c r="C66" s="2" t="s">
        <v>63</v>
      </c>
      <c r="D66" s="6" t="str">
        <f t="shared" si="5"/>
        <v>Saint-Louis</v>
      </c>
      <c r="E66" s="6">
        <f t="shared" si="6"/>
        <v>205977</v>
      </c>
      <c r="F66" s="6">
        <f t="shared" si="7"/>
        <v>1150065</v>
      </c>
      <c r="G66" s="4" t="s">
        <v>305</v>
      </c>
      <c r="H66" s="9" t="s">
        <v>307</v>
      </c>
      <c r="I66" s="9">
        <v>28</v>
      </c>
      <c r="J66" s="9" t="s">
        <v>96</v>
      </c>
      <c r="K66" s="9"/>
      <c r="L66" s="9"/>
      <c r="M66" s="9"/>
      <c r="N66" s="9"/>
      <c r="O66" s="9" t="s">
        <v>238</v>
      </c>
      <c r="P66" s="9" t="s">
        <v>97</v>
      </c>
      <c r="Q66" s="9" t="s">
        <v>97</v>
      </c>
      <c r="R66" s="14" t="s">
        <v>100</v>
      </c>
      <c r="S66" s="14" t="s">
        <v>100</v>
      </c>
      <c r="T66" s="14" t="s">
        <v>100</v>
      </c>
      <c r="U66" s="14"/>
      <c r="V66" s="14"/>
      <c r="W66" s="14"/>
      <c r="X66" s="14"/>
      <c r="Y66" s="5">
        <v>45539</v>
      </c>
      <c r="Z66" s="5">
        <v>45540</v>
      </c>
      <c r="AA66" s="5" t="s">
        <v>103</v>
      </c>
      <c r="AB66" s="5"/>
      <c r="AC66" s="5" t="s">
        <v>97</v>
      </c>
      <c r="AD66" s="5" t="s">
        <v>103</v>
      </c>
      <c r="AE66" s="5" t="s">
        <v>97</v>
      </c>
      <c r="AF66" s="5" t="s">
        <v>97</v>
      </c>
      <c r="AG66" s="5" t="s">
        <v>103</v>
      </c>
      <c r="AH66" s="5" t="s">
        <v>103</v>
      </c>
      <c r="AI66" s="5">
        <v>45539</v>
      </c>
      <c r="AJ66" s="5" t="s">
        <v>103</v>
      </c>
      <c r="AK66" s="5"/>
      <c r="AL66" s="5" t="s">
        <v>103</v>
      </c>
      <c r="AM66" s="5" t="s">
        <v>103</v>
      </c>
      <c r="AN66" s="5" t="s">
        <v>103</v>
      </c>
      <c r="AO66" s="5" t="s">
        <v>103</v>
      </c>
      <c r="AP66" s="5" t="s">
        <v>103</v>
      </c>
      <c r="AQ66" s="5" t="s">
        <v>97</v>
      </c>
      <c r="AR66" s="5" t="s">
        <v>97</v>
      </c>
      <c r="AS66" s="5" t="s">
        <v>97</v>
      </c>
      <c r="AT66" s="5" t="s">
        <v>308</v>
      </c>
      <c r="AU66" s="5"/>
      <c r="AV66" s="4" t="s">
        <v>103</v>
      </c>
      <c r="AW66" s="4" t="s">
        <v>97</v>
      </c>
      <c r="AX66" s="4" t="s">
        <v>97</v>
      </c>
      <c r="AY66" s="4" t="s">
        <v>97</v>
      </c>
      <c r="AZ66" s="4" t="s">
        <v>103</v>
      </c>
      <c r="BA66" s="4" t="s">
        <v>97</v>
      </c>
      <c r="BB66" s="5">
        <v>45540</v>
      </c>
      <c r="BC66" s="5">
        <v>45543</v>
      </c>
      <c r="BD66" s="5">
        <v>45544</v>
      </c>
      <c r="BE66" s="5">
        <v>45544</v>
      </c>
      <c r="BF66" s="4" t="s">
        <v>98</v>
      </c>
      <c r="BG66" s="4" t="s">
        <v>103</v>
      </c>
      <c r="BH66" s="4" t="s">
        <v>103</v>
      </c>
      <c r="BI66" s="4" t="s">
        <v>115</v>
      </c>
    </row>
    <row r="67" spans="1:61" x14ac:dyDescent="0.35">
      <c r="A67" s="8" t="str">
        <f t="shared" si="3"/>
        <v>Semaine 36-2024</v>
      </c>
      <c r="B67" s="8" t="str">
        <f t="shared" si="4"/>
        <v>2024</v>
      </c>
      <c r="C67" s="2" t="s">
        <v>32</v>
      </c>
      <c r="D67" s="6" t="str">
        <f t="shared" si="5"/>
        <v>Kaolack</v>
      </c>
      <c r="E67" s="6">
        <f t="shared" si="6"/>
        <v>151881</v>
      </c>
      <c r="F67" s="6">
        <f t="shared" si="7"/>
        <v>1267013</v>
      </c>
      <c r="G67" s="4" t="s">
        <v>306</v>
      </c>
      <c r="H67" s="9" t="s">
        <v>309</v>
      </c>
      <c r="I67" s="9">
        <v>58</v>
      </c>
      <c r="J67" s="9" t="s">
        <v>114</v>
      </c>
      <c r="K67" s="9"/>
      <c r="L67" s="9"/>
      <c r="M67" s="9"/>
      <c r="N67" s="9"/>
      <c r="O67" s="9" t="s">
        <v>238</v>
      </c>
      <c r="P67" s="9" t="s">
        <v>97</v>
      </c>
      <c r="Q67" s="9" t="s">
        <v>97</v>
      </c>
      <c r="R67" s="14" t="s">
        <v>100</v>
      </c>
      <c r="S67" s="14" t="s">
        <v>100</v>
      </c>
      <c r="T67" s="14" t="s">
        <v>100</v>
      </c>
      <c r="U67" s="14"/>
      <c r="V67" s="14"/>
      <c r="W67" s="14"/>
      <c r="X67" s="14"/>
      <c r="Y67" s="5">
        <v>45539</v>
      </c>
      <c r="Z67" s="5">
        <v>45541</v>
      </c>
      <c r="AA67" s="5" t="s">
        <v>103</v>
      </c>
      <c r="AB67" s="5"/>
      <c r="AC67" s="5" t="s">
        <v>103</v>
      </c>
      <c r="AD67" s="5" t="s">
        <v>97</v>
      </c>
      <c r="AE67" s="5" t="s">
        <v>97</v>
      </c>
      <c r="AF67" s="5" t="s">
        <v>97</v>
      </c>
      <c r="AG67" s="5" t="s">
        <v>97</v>
      </c>
      <c r="AH67" s="5" t="s">
        <v>103</v>
      </c>
      <c r="AI67" s="5">
        <v>45539</v>
      </c>
      <c r="AJ67" s="5" t="s">
        <v>103</v>
      </c>
      <c r="AK67" s="5" t="s">
        <v>103</v>
      </c>
      <c r="AL67" s="5" t="s">
        <v>97</v>
      </c>
      <c r="AM67" s="5" t="s">
        <v>97</v>
      </c>
      <c r="AN67" s="5" t="s">
        <v>103</v>
      </c>
      <c r="AO67" s="5" t="s">
        <v>103</v>
      </c>
      <c r="AP67" s="5" t="s">
        <v>103</v>
      </c>
      <c r="AQ67" s="5" t="s">
        <v>97</v>
      </c>
      <c r="AR67" s="5" t="s">
        <v>97</v>
      </c>
      <c r="AS67" s="5" t="s">
        <v>97</v>
      </c>
      <c r="AT67" s="5"/>
      <c r="AU67" s="5"/>
      <c r="AV67" s="4" t="s">
        <v>103</v>
      </c>
      <c r="AW67" s="4" t="s">
        <v>97</v>
      </c>
      <c r="AX67" s="4" t="s">
        <v>97</v>
      </c>
      <c r="AY67" s="4" t="s">
        <v>97</v>
      </c>
      <c r="AZ67" s="4" t="s">
        <v>103</v>
      </c>
      <c r="BA67" s="4" t="s">
        <v>97</v>
      </c>
      <c r="BB67" s="5">
        <v>45541</v>
      </c>
      <c r="BC67" s="5">
        <v>45543</v>
      </c>
      <c r="BD67" s="5">
        <v>45544</v>
      </c>
      <c r="BE67" s="5">
        <v>45544</v>
      </c>
      <c r="BF67" s="4" t="s">
        <v>98</v>
      </c>
      <c r="BG67" s="4" t="s">
        <v>97</v>
      </c>
      <c r="BH67" s="4" t="s">
        <v>103</v>
      </c>
      <c r="BI67" s="4" t="s">
        <v>115</v>
      </c>
    </row>
    <row r="68" spans="1:61" x14ac:dyDescent="0.35">
      <c r="A68" s="8" t="str">
        <f t="shared" si="3"/>
        <v>Semaine 36-2024</v>
      </c>
      <c r="B68" s="8" t="str">
        <f t="shared" si="4"/>
        <v>2024</v>
      </c>
      <c r="C68" s="2" t="s">
        <v>17</v>
      </c>
      <c r="D68" s="6" t="str">
        <f t="shared" si="5"/>
        <v>Louga</v>
      </c>
      <c r="E68" s="6">
        <f t="shared" si="6"/>
        <v>169119</v>
      </c>
      <c r="F68" s="6">
        <f t="shared" si="7"/>
        <v>1121619</v>
      </c>
      <c r="G68" s="4" t="s">
        <v>310</v>
      </c>
      <c r="H68" s="9" t="s">
        <v>311</v>
      </c>
      <c r="I68" s="9">
        <v>46</v>
      </c>
      <c r="J68" s="9" t="s">
        <v>96</v>
      </c>
      <c r="K68" s="9"/>
      <c r="L68" s="9"/>
      <c r="M68" s="9"/>
      <c r="N68" s="9"/>
      <c r="O68" s="9" t="s">
        <v>238</v>
      </c>
      <c r="P68" s="9" t="s">
        <v>97</v>
      </c>
      <c r="Q68" s="9" t="s">
        <v>97</v>
      </c>
      <c r="R68" s="14" t="s">
        <v>100</v>
      </c>
      <c r="S68" s="14" t="s">
        <v>100</v>
      </c>
      <c r="T68" s="14" t="s">
        <v>100</v>
      </c>
      <c r="U68" s="14"/>
      <c r="V68" s="14"/>
      <c r="W68" s="14"/>
      <c r="X68" s="14"/>
      <c r="Y68" s="5">
        <v>45542</v>
      </c>
      <c r="Z68" s="5">
        <v>45544</v>
      </c>
      <c r="AA68" s="5" t="s">
        <v>103</v>
      </c>
      <c r="AB68" s="5"/>
      <c r="AC68" s="5" t="s">
        <v>97</v>
      </c>
      <c r="AD68" s="5" t="s">
        <v>103</v>
      </c>
      <c r="AE68" s="5" t="s">
        <v>97</v>
      </c>
      <c r="AF68" s="5" t="s">
        <v>97</v>
      </c>
      <c r="AG68" s="5" t="s">
        <v>97</v>
      </c>
      <c r="AH68" s="5" t="s">
        <v>103</v>
      </c>
      <c r="AI68" s="5">
        <v>45542</v>
      </c>
      <c r="AJ68" s="5" t="s">
        <v>103</v>
      </c>
      <c r="AK68" s="5"/>
      <c r="AL68" s="5" t="s">
        <v>103</v>
      </c>
      <c r="AM68" s="5" t="s">
        <v>97</v>
      </c>
      <c r="AN68" s="5" t="s">
        <v>103</v>
      </c>
      <c r="AO68" s="5" t="s">
        <v>97</v>
      </c>
      <c r="AP68" s="5" t="s">
        <v>97</v>
      </c>
      <c r="AQ68" s="5" t="s">
        <v>97</v>
      </c>
      <c r="AR68" s="5" t="s">
        <v>97</v>
      </c>
      <c r="AS68" s="5" t="s">
        <v>97</v>
      </c>
      <c r="AT68" s="5"/>
      <c r="AU68" s="5"/>
      <c r="AV68" s="4" t="s">
        <v>103</v>
      </c>
      <c r="AW68" s="4" t="s">
        <v>97</v>
      </c>
      <c r="AX68" s="4" t="s">
        <v>97</v>
      </c>
      <c r="AY68" s="4" t="s">
        <v>97</v>
      </c>
      <c r="AZ68" s="4" t="s">
        <v>103</v>
      </c>
      <c r="BA68" s="4" t="s">
        <v>97</v>
      </c>
      <c r="BB68" s="5">
        <v>45544</v>
      </c>
      <c r="BC68" s="5">
        <v>45545</v>
      </c>
      <c r="BD68" s="5">
        <v>45545</v>
      </c>
      <c r="BE68" s="5">
        <v>45545</v>
      </c>
      <c r="BF68" s="4" t="s">
        <v>98</v>
      </c>
      <c r="BG68" s="4" t="s">
        <v>97</v>
      </c>
      <c r="BH68" s="4" t="s">
        <v>103</v>
      </c>
      <c r="BI68" s="4" t="s">
        <v>115</v>
      </c>
    </row>
    <row r="69" spans="1:61" x14ac:dyDescent="0.35">
      <c r="A69" s="8" t="str">
        <f t="shared" ref="A69:A133" si="8">"Semaine " &amp; _xlfn.ISOWEEKNUM(Y69) &amp; "-" &amp; YEAR(Y69)</f>
        <v>Semaine 36-2024</v>
      </c>
      <c r="B69" s="8" t="str">
        <f t="shared" ref="B69:B132" si="9">RIGHT(A69,4)</f>
        <v>2024</v>
      </c>
      <c r="C69" s="2" t="s">
        <v>48</v>
      </c>
      <c r="D69" s="6" t="str">
        <f t="shared" ref="D69:D132" si="10">IF(C69="","",VLOOKUP(C69,district_region,2,FALSE))</f>
        <v>Diourbel</v>
      </c>
      <c r="E69" s="6">
        <f t="shared" ref="E69:E132" si="11">IF(C69="","",VLOOKUP(C69,liste_pop,3,FALSE))</f>
        <v>233408</v>
      </c>
      <c r="F69" s="6">
        <f t="shared" ref="F69:F132" si="12">IF(D69="","",IF(D69="Dakar",4042240,VLOOKUP(D69,liste_pop,4,FALSE)))</f>
        <v>1980827</v>
      </c>
      <c r="G69" s="4" t="s">
        <v>312</v>
      </c>
      <c r="H69" s="9" t="s">
        <v>313</v>
      </c>
      <c r="I69" s="9">
        <v>20</v>
      </c>
      <c r="J69" s="9" t="s">
        <v>96</v>
      </c>
      <c r="K69" s="9"/>
      <c r="L69" s="9"/>
      <c r="M69" s="9"/>
      <c r="N69" s="9"/>
      <c r="O69" s="9" t="s">
        <v>238</v>
      </c>
      <c r="P69" s="9" t="s">
        <v>97</v>
      </c>
      <c r="Q69" s="9" t="s">
        <v>97</v>
      </c>
      <c r="R69" s="14" t="s">
        <v>100</v>
      </c>
      <c r="S69" s="14" t="s">
        <v>100</v>
      </c>
      <c r="T69" s="14" t="s">
        <v>100</v>
      </c>
      <c r="U69" s="14"/>
      <c r="V69" s="14"/>
      <c r="W69" s="14"/>
      <c r="X69" s="14"/>
      <c r="Y69" s="5">
        <v>45540</v>
      </c>
      <c r="Z69" s="5">
        <v>45547</v>
      </c>
      <c r="AA69" s="5" t="s">
        <v>103</v>
      </c>
      <c r="AB69" s="5" t="s">
        <v>314</v>
      </c>
      <c r="AC69" s="5" t="s">
        <v>103</v>
      </c>
      <c r="AD69" s="5" t="s">
        <v>103</v>
      </c>
      <c r="AE69" s="5" t="s">
        <v>97</v>
      </c>
      <c r="AF69" s="5" t="s">
        <v>103</v>
      </c>
      <c r="AG69" s="5" t="s">
        <v>103</v>
      </c>
      <c r="AH69" s="5" t="s">
        <v>103</v>
      </c>
      <c r="AI69" s="5">
        <v>45540</v>
      </c>
      <c r="AJ69" s="5"/>
      <c r="AK69" s="5"/>
      <c r="AL69" s="5" t="s">
        <v>97</v>
      </c>
      <c r="AM69" s="5" t="s">
        <v>103</v>
      </c>
      <c r="AN69" s="5" t="s">
        <v>103</v>
      </c>
      <c r="AO69" s="5" t="s">
        <v>97</v>
      </c>
      <c r="AP69" s="5" t="s">
        <v>103</v>
      </c>
      <c r="AQ69" s="5" t="s">
        <v>97</v>
      </c>
      <c r="AR69" s="5" t="s">
        <v>97</v>
      </c>
      <c r="AS69" s="5" t="s">
        <v>103</v>
      </c>
      <c r="AT69" s="5"/>
      <c r="AU69" s="5"/>
      <c r="AV69" s="4" t="s">
        <v>103</v>
      </c>
      <c r="AW69" s="4" t="s">
        <v>97</v>
      </c>
      <c r="AX69" s="4" t="s">
        <v>97</v>
      </c>
      <c r="AY69" s="4" t="s">
        <v>97</v>
      </c>
      <c r="AZ69" s="4" t="s">
        <v>103</v>
      </c>
      <c r="BA69" s="4" t="s">
        <v>97</v>
      </c>
      <c r="BB69" s="5">
        <v>45547</v>
      </c>
      <c r="BC69" s="5">
        <v>45547</v>
      </c>
      <c r="BD69" s="5">
        <v>45548</v>
      </c>
      <c r="BE69" s="5">
        <v>45548</v>
      </c>
      <c r="BF69" s="4" t="s">
        <v>98</v>
      </c>
      <c r="BG69" s="4" t="s">
        <v>97</v>
      </c>
      <c r="BH69" s="4" t="s">
        <v>103</v>
      </c>
      <c r="BI69" s="4" t="s">
        <v>115</v>
      </c>
    </row>
    <row r="70" spans="1:61" x14ac:dyDescent="0.35">
      <c r="A70" s="8" t="str">
        <f t="shared" si="8"/>
        <v>Semaine 36-2024</v>
      </c>
      <c r="B70" s="8" t="str">
        <f t="shared" si="9"/>
        <v>2024</v>
      </c>
      <c r="C70" s="2" t="s">
        <v>69</v>
      </c>
      <c r="D70" s="6" t="str">
        <f t="shared" si="10"/>
        <v>Sedhiou</v>
      </c>
      <c r="E70" s="6">
        <f t="shared" si="11"/>
        <v>204663</v>
      </c>
      <c r="F70" s="6">
        <f t="shared" si="12"/>
        <v>612650</v>
      </c>
      <c r="G70" s="4" t="s">
        <v>315</v>
      </c>
      <c r="H70" s="9" t="s">
        <v>316</v>
      </c>
      <c r="I70" s="9">
        <v>4</v>
      </c>
      <c r="J70" s="9" t="s">
        <v>114</v>
      </c>
      <c r="K70" s="9"/>
      <c r="L70" s="9"/>
      <c r="M70" s="9"/>
      <c r="N70" s="9"/>
      <c r="O70" s="9" t="s">
        <v>238</v>
      </c>
      <c r="P70" s="9" t="s">
        <v>97</v>
      </c>
      <c r="Q70" s="9" t="s">
        <v>97</v>
      </c>
      <c r="R70" s="14" t="s">
        <v>100</v>
      </c>
      <c r="S70" s="14" t="s">
        <v>100</v>
      </c>
      <c r="T70" s="14" t="s">
        <v>100</v>
      </c>
      <c r="U70" s="14"/>
      <c r="V70" s="14"/>
      <c r="W70" s="14"/>
      <c r="X70" s="14"/>
      <c r="Y70" s="5">
        <v>45543</v>
      </c>
      <c r="Z70" s="5">
        <v>45546</v>
      </c>
      <c r="AA70" s="5" t="s">
        <v>103</v>
      </c>
      <c r="AB70" s="5"/>
      <c r="AC70" s="5" t="s">
        <v>97</v>
      </c>
      <c r="AD70" s="5" t="s">
        <v>97</v>
      </c>
      <c r="AE70" s="5" t="s">
        <v>97</v>
      </c>
      <c r="AF70" s="5" t="s">
        <v>97</v>
      </c>
      <c r="AG70" s="5" t="s">
        <v>97</v>
      </c>
      <c r="AH70" s="5" t="s">
        <v>103</v>
      </c>
      <c r="AI70" s="5">
        <v>45543</v>
      </c>
      <c r="AJ70" s="5"/>
      <c r="AK70" s="5"/>
      <c r="AL70" s="5" t="s">
        <v>97</v>
      </c>
      <c r="AM70" s="5" t="s">
        <v>103</v>
      </c>
      <c r="AN70" s="5" t="s">
        <v>103</v>
      </c>
      <c r="AO70" s="5" t="s">
        <v>97</v>
      </c>
      <c r="AP70" s="5" t="s">
        <v>97</v>
      </c>
      <c r="AQ70" s="5" t="s">
        <v>97</v>
      </c>
      <c r="AR70" s="5" t="s">
        <v>97</v>
      </c>
      <c r="AS70" s="5" t="s">
        <v>97</v>
      </c>
      <c r="AT70" s="5"/>
      <c r="AU70" s="5"/>
      <c r="AV70" s="4" t="s">
        <v>103</v>
      </c>
      <c r="AW70" s="4" t="s">
        <v>97</v>
      </c>
      <c r="AX70" s="4" t="s">
        <v>97</v>
      </c>
      <c r="AY70" s="4" t="s">
        <v>97</v>
      </c>
      <c r="AZ70" s="4" t="s">
        <v>103</v>
      </c>
      <c r="BA70" s="4" t="s">
        <v>97</v>
      </c>
      <c r="BB70" s="5">
        <v>45546</v>
      </c>
      <c r="BC70" s="5">
        <v>45547</v>
      </c>
      <c r="BD70" s="5">
        <v>45548</v>
      </c>
      <c r="BE70" s="5">
        <v>45548</v>
      </c>
      <c r="BF70" s="4" t="s">
        <v>98</v>
      </c>
      <c r="BG70" s="4" t="s">
        <v>97</v>
      </c>
      <c r="BH70" s="4" t="s">
        <v>103</v>
      </c>
      <c r="BI70" s="4" t="s">
        <v>115</v>
      </c>
    </row>
    <row r="71" spans="1:61" x14ac:dyDescent="0.35">
      <c r="A71" s="8" t="str">
        <f t="shared" si="8"/>
        <v>Semaine 36-2024</v>
      </c>
      <c r="B71" s="8" t="str">
        <f t="shared" si="9"/>
        <v>2024</v>
      </c>
      <c r="C71" s="2" t="s">
        <v>41</v>
      </c>
      <c r="D71" s="6" t="str">
        <f t="shared" si="10"/>
        <v>Kolda</v>
      </c>
      <c r="E71" s="6">
        <f t="shared" si="11"/>
        <v>325160</v>
      </c>
      <c r="F71" s="6">
        <f t="shared" si="12"/>
        <v>875661</v>
      </c>
      <c r="G71" s="4" t="s">
        <v>317</v>
      </c>
      <c r="H71" s="9" t="s">
        <v>318</v>
      </c>
      <c r="I71" s="9">
        <v>55</v>
      </c>
      <c r="J71" s="9" t="s">
        <v>96</v>
      </c>
      <c r="K71" s="9"/>
      <c r="L71" s="9"/>
      <c r="M71" s="9"/>
      <c r="N71" s="9"/>
      <c r="O71" s="9" t="s">
        <v>238</v>
      </c>
      <c r="P71" s="9" t="s">
        <v>97</v>
      </c>
      <c r="Q71" s="9" t="s">
        <v>97</v>
      </c>
      <c r="R71" s="14" t="s">
        <v>100</v>
      </c>
      <c r="S71" s="14" t="s">
        <v>100</v>
      </c>
      <c r="T71" s="14" t="s">
        <v>100</v>
      </c>
      <c r="U71" s="14"/>
      <c r="V71" s="14"/>
      <c r="W71" s="14"/>
      <c r="X71" s="14"/>
      <c r="Y71" s="5">
        <v>45542</v>
      </c>
      <c r="Z71" s="5">
        <v>45545</v>
      </c>
      <c r="AA71" s="5" t="s">
        <v>103</v>
      </c>
      <c r="AB71" s="5"/>
      <c r="AC71" s="5" t="s">
        <v>97</v>
      </c>
      <c r="AD71" s="5" t="s">
        <v>97</v>
      </c>
      <c r="AE71" s="5" t="s">
        <v>97</v>
      </c>
      <c r="AF71" s="5" t="s">
        <v>97</v>
      </c>
      <c r="AG71" s="5" t="s">
        <v>97</v>
      </c>
      <c r="AH71" s="5" t="s">
        <v>103</v>
      </c>
      <c r="AI71" s="5">
        <v>45542</v>
      </c>
      <c r="AJ71" s="5"/>
      <c r="AK71" s="5"/>
      <c r="AL71" s="5" t="s">
        <v>97</v>
      </c>
      <c r="AM71" s="5" t="s">
        <v>97</v>
      </c>
      <c r="AN71" s="5" t="s">
        <v>97</v>
      </c>
      <c r="AO71" s="5" t="s">
        <v>103</v>
      </c>
      <c r="AP71" s="5" t="s">
        <v>103</v>
      </c>
      <c r="AQ71" s="5" t="s">
        <v>97</v>
      </c>
      <c r="AR71" s="5" t="s">
        <v>97</v>
      </c>
      <c r="AS71" s="5" t="s">
        <v>97</v>
      </c>
      <c r="AT71" s="5" t="s">
        <v>343</v>
      </c>
      <c r="AU71" s="5"/>
      <c r="AV71" s="4" t="s">
        <v>97</v>
      </c>
      <c r="AW71" s="4" t="s">
        <v>97</v>
      </c>
      <c r="AX71" s="4" t="s">
        <v>97</v>
      </c>
      <c r="AY71" s="4" t="s">
        <v>97</v>
      </c>
      <c r="AZ71" s="4" t="s">
        <v>103</v>
      </c>
      <c r="BA71" s="4" t="s">
        <v>97</v>
      </c>
      <c r="BB71" s="5">
        <v>45545</v>
      </c>
      <c r="BC71" s="5">
        <v>45546</v>
      </c>
      <c r="BD71" s="5">
        <v>45548</v>
      </c>
      <c r="BE71" s="5">
        <v>45548</v>
      </c>
      <c r="BF71" s="4" t="s">
        <v>98</v>
      </c>
      <c r="BG71" s="4" t="s">
        <v>97</v>
      </c>
      <c r="BH71" s="4" t="s">
        <v>103</v>
      </c>
      <c r="BI71" s="4" t="s">
        <v>145</v>
      </c>
    </row>
    <row r="72" spans="1:61" x14ac:dyDescent="0.35">
      <c r="A72" s="8" t="str">
        <f t="shared" si="8"/>
        <v>Semaine 37-2024</v>
      </c>
      <c r="B72" s="8" t="str">
        <f t="shared" si="9"/>
        <v>2024</v>
      </c>
      <c r="C72" s="2" t="s">
        <v>44</v>
      </c>
      <c r="D72" s="6" t="str">
        <f t="shared" si="10"/>
        <v>Louga</v>
      </c>
      <c r="E72" s="6">
        <f t="shared" si="11"/>
        <v>141243</v>
      </c>
      <c r="F72" s="6">
        <f t="shared" si="12"/>
        <v>1121619</v>
      </c>
      <c r="G72" s="4" t="s">
        <v>319</v>
      </c>
      <c r="H72" s="9" t="s">
        <v>321</v>
      </c>
      <c r="I72" s="9">
        <v>1</v>
      </c>
      <c r="J72" s="9" t="s">
        <v>96</v>
      </c>
      <c r="K72" s="9"/>
      <c r="L72" s="9"/>
      <c r="M72" s="9"/>
      <c r="N72" s="9"/>
      <c r="O72" s="9" t="s">
        <v>238</v>
      </c>
      <c r="P72" s="9" t="s">
        <v>97</v>
      </c>
      <c r="Q72" s="9" t="s">
        <v>97</v>
      </c>
      <c r="R72" s="14" t="s">
        <v>100</v>
      </c>
      <c r="S72" s="14" t="s">
        <v>100</v>
      </c>
      <c r="T72" s="14" t="s">
        <v>100</v>
      </c>
      <c r="U72" s="14" t="s">
        <v>285</v>
      </c>
      <c r="V72" s="14"/>
      <c r="W72" s="14"/>
      <c r="X72" s="14"/>
      <c r="Y72" s="5">
        <v>45545</v>
      </c>
      <c r="Z72" s="5">
        <v>45548</v>
      </c>
      <c r="AA72" s="5" t="s">
        <v>103</v>
      </c>
      <c r="AB72" s="5"/>
      <c r="AC72" s="5" t="s">
        <v>103</v>
      </c>
      <c r="AD72" s="5" t="s">
        <v>97</v>
      </c>
      <c r="AE72" s="5" t="s">
        <v>97</v>
      </c>
      <c r="AF72" s="5" t="s">
        <v>97</v>
      </c>
      <c r="AG72" s="5" t="s">
        <v>97</v>
      </c>
      <c r="AH72" s="5" t="s">
        <v>103</v>
      </c>
      <c r="AI72" s="5">
        <v>45545</v>
      </c>
      <c r="AJ72" s="5"/>
      <c r="AK72" s="5"/>
      <c r="AL72" s="5" t="s">
        <v>103</v>
      </c>
      <c r="AM72" s="5" t="s">
        <v>103</v>
      </c>
      <c r="AN72" s="5" t="s">
        <v>103</v>
      </c>
      <c r="AO72" s="5" t="s">
        <v>103</v>
      </c>
      <c r="AP72" s="5" t="s">
        <v>103</v>
      </c>
      <c r="AQ72" s="5" t="s">
        <v>97</v>
      </c>
      <c r="AR72" s="5" t="s">
        <v>97</v>
      </c>
      <c r="AS72" s="5" t="s">
        <v>97</v>
      </c>
      <c r="AT72" s="5"/>
      <c r="AU72" s="5"/>
      <c r="AV72" s="4" t="s">
        <v>103</v>
      </c>
      <c r="AW72" s="4" t="s">
        <v>97</v>
      </c>
      <c r="AX72" s="4" t="s">
        <v>97</v>
      </c>
      <c r="AY72" s="4" t="s">
        <v>97</v>
      </c>
      <c r="AZ72" s="4" t="s">
        <v>97</v>
      </c>
      <c r="BA72" s="4" t="s">
        <v>97</v>
      </c>
      <c r="BB72" s="5">
        <v>45548</v>
      </c>
      <c r="BC72" s="5">
        <v>45548</v>
      </c>
      <c r="BD72" s="5">
        <v>45549</v>
      </c>
      <c r="BE72" s="5">
        <v>45549</v>
      </c>
      <c r="BF72" s="4" t="s">
        <v>98</v>
      </c>
      <c r="BG72" s="4" t="s">
        <v>97</v>
      </c>
      <c r="BH72" s="4" t="s">
        <v>103</v>
      </c>
      <c r="BI72" s="4" t="s">
        <v>115</v>
      </c>
    </row>
    <row r="73" spans="1:61" x14ac:dyDescent="0.35">
      <c r="A73" s="8" t="str">
        <f t="shared" si="8"/>
        <v>Semaine 36-2024</v>
      </c>
      <c r="B73" s="8" t="str">
        <f t="shared" si="9"/>
        <v>2024</v>
      </c>
      <c r="C73" s="2" t="s">
        <v>44</v>
      </c>
      <c r="D73" s="6" t="str">
        <f t="shared" si="10"/>
        <v>Louga</v>
      </c>
      <c r="E73" s="6">
        <f t="shared" si="11"/>
        <v>141243</v>
      </c>
      <c r="F73" s="6">
        <f t="shared" si="12"/>
        <v>1121619</v>
      </c>
      <c r="G73" s="4" t="s">
        <v>320</v>
      </c>
      <c r="H73" s="9" t="s">
        <v>322</v>
      </c>
      <c r="I73" s="9">
        <v>18</v>
      </c>
      <c r="J73" s="9" t="s">
        <v>96</v>
      </c>
      <c r="K73" s="9"/>
      <c r="L73" s="9"/>
      <c r="M73" s="9"/>
      <c r="N73" s="9"/>
      <c r="O73" s="9" t="s">
        <v>238</v>
      </c>
      <c r="P73" s="9" t="s">
        <v>97</v>
      </c>
      <c r="Q73" s="9" t="s">
        <v>97</v>
      </c>
      <c r="R73" s="14" t="s">
        <v>100</v>
      </c>
      <c r="S73" s="14" t="s">
        <v>100</v>
      </c>
      <c r="T73" s="14" t="s">
        <v>100</v>
      </c>
      <c r="U73" s="14"/>
      <c r="V73" s="14"/>
      <c r="W73" s="14"/>
      <c r="X73" s="14"/>
      <c r="Y73" s="5">
        <v>45543</v>
      </c>
      <c r="Z73" s="5">
        <v>45548</v>
      </c>
      <c r="AA73" s="5" t="s">
        <v>103</v>
      </c>
      <c r="AB73" s="5"/>
      <c r="AC73" s="5" t="s">
        <v>103</v>
      </c>
      <c r="AD73" s="5" t="s">
        <v>97</v>
      </c>
      <c r="AE73" s="5" t="s">
        <v>97</v>
      </c>
      <c r="AF73" s="5" t="s">
        <v>103</v>
      </c>
      <c r="AG73" s="5" t="s">
        <v>97</v>
      </c>
      <c r="AH73" s="5" t="s">
        <v>103</v>
      </c>
      <c r="AI73" s="5">
        <v>45543</v>
      </c>
      <c r="AJ73" s="5"/>
      <c r="AK73" s="5"/>
      <c r="AL73" s="5" t="s">
        <v>103</v>
      </c>
      <c r="AM73" s="5" t="s">
        <v>103</v>
      </c>
      <c r="AN73" s="5" t="s">
        <v>103</v>
      </c>
      <c r="AO73" s="5" t="s">
        <v>103</v>
      </c>
      <c r="AP73" s="5" t="s">
        <v>103</v>
      </c>
      <c r="AQ73" s="5" t="s">
        <v>97</v>
      </c>
      <c r="AR73" s="5" t="s">
        <v>97</v>
      </c>
      <c r="AS73" s="5" t="s">
        <v>97</v>
      </c>
      <c r="AT73" s="5"/>
      <c r="AU73" s="5"/>
      <c r="AV73" s="4" t="s">
        <v>103</v>
      </c>
      <c r="AW73" s="4" t="s">
        <v>97</v>
      </c>
      <c r="AX73" s="4" t="s">
        <v>97</v>
      </c>
      <c r="AY73" s="4" t="s">
        <v>97</v>
      </c>
      <c r="AZ73" s="4" t="s">
        <v>97</v>
      </c>
      <c r="BA73" s="4" t="s">
        <v>97</v>
      </c>
      <c r="BB73" s="5">
        <v>45548</v>
      </c>
      <c r="BC73" s="5">
        <v>45548</v>
      </c>
      <c r="BD73" s="5">
        <v>45549</v>
      </c>
      <c r="BE73" s="5">
        <v>45549</v>
      </c>
      <c r="BF73" s="4" t="s">
        <v>98</v>
      </c>
      <c r="BG73" s="4" t="s">
        <v>97</v>
      </c>
      <c r="BH73" s="4" t="s">
        <v>103</v>
      </c>
      <c r="BI73" s="4" t="s">
        <v>115</v>
      </c>
    </row>
    <row r="74" spans="1:61" x14ac:dyDescent="0.35">
      <c r="A74" s="8" t="str">
        <f t="shared" si="8"/>
        <v>Semaine 35-2024</v>
      </c>
      <c r="B74" s="8" t="str">
        <f t="shared" si="9"/>
        <v>2024</v>
      </c>
      <c r="C74" s="2" t="s">
        <v>42</v>
      </c>
      <c r="D74" s="6" t="str">
        <f t="shared" si="10"/>
        <v>Kaffrine</v>
      </c>
      <c r="E74" s="6">
        <f t="shared" si="11"/>
        <v>176666</v>
      </c>
      <c r="F74" s="6">
        <f t="shared" si="12"/>
        <v>782275</v>
      </c>
      <c r="G74" s="4" t="s">
        <v>323</v>
      </c>
      <c r="H74" s="9" t="s">
        <v>325</v>
      </c>
      <c r="I74" s="9">
        <v>1</v>
      </c>
      <c r="J74" s="9" t="s">
        <v>114</v>
      </c>
      <c r="K74" s="9"/>
      <c r="L74" s="9"/>
      <c r="M74" s="9"/>
      <c r="N74" s="9"/>
      <c r="O74" s="9" t="s">
        <v>238</v>
      </c>
      <c r="P74" s="9" t="s">
        <v>97</v>
      </c>
      <c r="Q74" s="9" t="s">
        <v>97</v>
      </c>
      <c r="R74" s="14" t="s">
        <v>100</v>
      </c>
      <c r="S74" s="14" t="s">
        <v>100</v>
      </c>
      <c r="T74" s="14" t="s">
        <v>100</v>
      </c>
      <c r="U74" s="14"/>
      <c r="V74" s="14"/>
      <c r="W74" s="14"/>
      <c r="X74" s="14"/>
      <c r="Y74" s="5">
        <v>45536</v>
      </c>
      <c r="Z74" s="5">
        <v>45546</v>
      </c>
      <c r="AA74" s="5" t="s">
        <v>103</v>
      </c>
      <c r="AB74" s="5"/>
      <c r="AC74" s="5" t="s">
        <v>97</v>
      </c>
      <c r="AD74" s="5" t="s">
        <v>97</v>
      </c>
      <c r="AE74" s="5" t="s">
        <v>97</v>
      </c>
      <c r="AF74" s="5" t="s">
        <v>97</v>
      </c>
      <c r="AG74" s="5" t="s">
        <v>97</v>
      </c>
      <c r="AH74" s="5" t="s">
        <v>103</v>
      </c>
      <c r="AI74" s="5">
        <v>45546</v>
      </c>
      <c r="AJ74" s="5"/>
      <c r="AK74" s="5"/>
      <c r="AL74" s="5" t="s">
        <v>103</v>
      </c>
      <c r="AM74" s="5" t="s">
        <v>97</v>
      </c>
      <c r="AN74" s="5" t="s">
        <v>103</v>
      </c>
      <c r="AO74" s="5" t="s">
        <v>103</v>
      </c>
      <c r="AP74" s="5" t="s">
        <v>103</v>
      </c>
      <c r="AQ74" s="5" t="s">
        <v>97</v>
      </c>
      <c r="AR74" s="5" t="s">
        <v>97</v>
      </c>
      <c r="AS74" s="5" t="s">
        <v>97</v>
      </c>
      <c r="AT74" s="5"/>
      <c r="AU74" s="5"/>
      <c r="AV74" s="4" t="s">
        <v>97</v>
      </c>
      <c r="AW74" s="4" t="s">
        <v>97</v>
      </c>
      <c r="AX74" s="4" t="s">
        <v>97</v>
      </c>
      <c r="AY74" s="4" t="s">
        <v>97</v>
      </c>
      <c r="AZ74" s="4" t="s">
        <v>103</v>
      </c>
      <c r="BA74" s="4" t="s">
        <v>97</v>
      </c>
      <c r="BB74" s="5">
        <v>45546</v>
      </c>
      <c r="BC74" s="5">
        <v>45547</v>
      </c>
      <c r="BD74" s="5">
        <v>45552</v>
      </c>
      <c r="BE74" s="5">
        <v>45552</v>
      </c>
      <c r="BF74" s="4" t="s">
        <v>98</v>
      </c>
      <c r="BG74" s="4" t="s">
        <v>97</v>
      </c>
      <c r="BH74" s="4" t="s">
        <v>103</v>
      </c>
      <c r="BI74" s="4" t="s">
        <v>145</v>
      </c>
    </row>
    <row r="75" spans="1:61" x14ac:dyDescent="0.35">
      <c r="A75" s="8" t="str">
        <f t="shared" si="8"/>
        <v>Semaine 35-2024</v>
      </c>
      <c r="B75" s="8" t="str">
        <f t="shared" si="9"/>
        <v>2024</v>
      </c>
      <c r="C75" s="2" t="s">
        <v>42</v>
      </c>
      <c r="D75" s="6" t="str">
        <f t="shared" si="10"/>
        <v>Kaffrine</v>
      </c>
      <c r="E75" s="6">
        <f t="shared" si="11"/>
        <v>176666</v>
      </c>
      <c r="F75" s="6">
        <f t="shared" si="12"/>
        <v>782275</v>
      </c>
      <c r="G75" s="4" t="s">
        <v>324</v>
      </c>
      <c r="H75" s="9" t="s">
        <v>326</v>
      </c>
      <c r="I75" s="9">
        <v>2</v>
      </c>
      <c r="J75" s="9" t="s">
        <v>96</v>
      </c>
      <c r="K75" s="9"/>
      <c r="L75" s="9"/>
      <c r="M75" s="9"/>
      <c r="N75" s="9"/>
      <c r="O75" s="9" t="s">
        <v>238</v>
      </c>
      <c r="P75" s="9" t="s">
        <v>97</v>
      </c>
      <c r="Q75" s="9" t="s">
        <v>97</v>
      </c>
      <c r="R75" s="14" t="s">
        <v>100</v>
      </c>
      <c r="S75" s="14" t="s">
        <v>100</v>
      </c>
      <c r="T75" s="14" t="s">
        <v>100</v>
      </c>
      <c r="U75" s="14" t="s">
        <v>327</v>
      </c>
      <c r="V75" s="14"/>
      <c r="W75" s="14"/>
      <c r="X75" s="14"/>
      <c r="Y75" s="5">
        <v>45536</v>
      </c>
      <c r="Z75" s="5">
        <v>45546</v>
      </c>
      <c r="AA75" s="5" t="s">
        <v>97</v>
      </c>
      <c r="AB75" s="5"/>
      <c r="AC75" s="5" t="s">
        <v>97</v>
      </c>
      <c r="AD75" s="5" t="s">
        <v>97</v>
      </c>
      <c r="AE75" s="5" t="s">
        <v>97</v>
      </c>
      <c r="AF75" s="5" t="s">
        <v>97</v>
      </c>
      <c r="AG75" s="5" t="s">
        <v>97</v>
      </c>
      <c r="AH75" s="5" t="s">
        <v>103</v>
      </c>
      <c r="AI75" s="5">
        <v>45546</v>
      </c>
      <c r="AJ75" s="5"/>
      <c r="AK75" s="5"/>
      <c r="AL75" s="5" t="s">
        <v>103</v>
      </c>
      <c r="AM75" s="5" t="s">
        <v>97</v>
      </c>
      <c r="AN75" s="5" t="s">
        <v>103</v>
      </c>
      <c r="AO75" s="5" t="s">
        <v>103</v>
      </c>
      <c r="AP75" s="5" t="s">
        <v>103</v>
      </c>
      <c r="AQ75" s="5" t="s">
        <v>97</v>
      </c>
      <c r="AR75" s="5" t="s">
        <v>97</v>
      </c>
      <c r="AS75" s="5" t="s">
        <v>97</v>
      </c>
      <c r="AT75" s="5"/>
      <c r="AU75" s="5"/>
      <c r="AV75" s="4" t="s">
        <v>97</v>
      </c>
      <c r="AW75" s="4" t="s">
        <v>97</v>
      </c>
      <c r="AX75" s="4" t="s">
        <v>97</v>
      </c>
      <c r="AY75" s="4" t="s">
        <v>97</v>
      </c>
      <c r="AZ75" s="4" t="s">
        <v>103</v>
      </c>
      <c r="BA75" s="4" t="s">
        <v>97</v>
      </c>
      <c r="BB75" s="5">
        <v>45546</v>
      </c>
      <c r="BC75" s="5">
        <v>45547</v>
      </c>
      <c r="BD75" s="5">
        <v>45552</v>
      </c>
      <c r="BE75" s="5">
        <v>45552</v>
      </c>
      <c r="BF75" s="4" t="s">
        <v>98</v>
      </c>
      <c r="BG75" s="4" t="s">
        <v>97</v>
      </c>
      <c r="BH75" s="4" t="s">
        <v>103</v>
      </c>
      <c r="BI75" s="4" t="s">
        <v>145</v>
      </c>
    </row>
    <row r="76" spans="1:61" x14ac:dyDescent="0.35">
      <c r="A76" s="8" t="str">
        <f t="shared" si="8"/>
        <v>Semaine 37-2024</v>
      </c>
      <c r="B76" s="8" t="str">
        <f t="shared" si="9"/>
        <v>2024</v>
      </c>
      <c r="C76" s="2" t="s">
        <v>91</v>
      </c>
      <c r="D76" s="6" t="str">
        <f t="shared" si="10"/>
        <v>Dakar</v>
      </c>
      <c r="E76" s="6">
        <f t="shared" si="11"/>
        <v>179835</v>
      </c>
      <c r="F76" s="6">
        <f t="shared" si="12"/>
        <v>4042240</v>
      </c>
      <c r="G76" s="4" t="s">
        <v>329</v>
      </c>
      <c r="H76" s="9" t="s">
        <v>333</v>
      </c>
      <c r="I76" s="9">
        <v>49</v>
      </c>
      <c r="J76" s="9" t="s">
        <v>114</v>
      </c>
      <c r="K76" s="9"/>
      <c r="L76" s="9"/>
      <c r="M76" s="9"/>
      <c r="N76" s="9"/>
      <c r="O76" s="9" t="s">
        <v>238</v>
      </c>
      <c r="P76" s="9" t="s">
        <v>97</v>
      </c>
      <c r="Q76" s="9" t="s">
        <v>97</v>
      </c>
      <c r="R76" s="14" t="s">
        <v>100</v>
      </c>
      <c r="S76" s="14" t="s">
        <v>100</v>
      </c>
      <c r="T76" s="14" t="s">
        <v>100</v>
      </c>
      <c r="U76" s="14"/>
      <c r="V76" s="14"/>
      <c r="W76" s="14"/>
      <c r="X76" s="14"/>
      <c r="Y76" s="5">
        <v>45549</v>
      </c>
      <c r="Z76" s="5">
        <v>45552</v>
      </c>
      <c r="AA76" s="5" t="s">
        <v>103</v>
      </c>
      <c r="AB76" s="5" t="s">
        <v>303</v>
      </c>
      <c r="AC76" s="5" t="s">
        <v>103</v>
      </c>
      <c r="AD76" s="5" t="s">
        <v>97</v>
      </c>
      <c r="AE76" s="5" t="s">
        <v>97</v>
      </c>
      <c r="AF76" s="5" t="s">
        <v>97</v>
      </c>
      <c r="AG76" s="5" t="s">
        <v>97</v>
      </c>
      <c r="AH76" s="5" t="s">
        <v>103</v>
      </c>
      <c r="AI76" s="5">
        <v>45550</v>
      </c>
      <c r="AJ76" s="5" t="s">
        <v>103</v>
      </c>
      <c r="AK76" s="5" t="s">
        <v>103</v>
      </c>
      <c r="AL76" s="5" t="s">
        <v>97</v>
      </c>
      <c r="AM76" s="5" t="s">
        <v>103</v>
      </c>
      <c r="AN76" s="5" t="s">
        <v>103</v>
      </c>
      <c r="AO76" s="5" t="s">
        <v>97</v>
      </c>
      <c r="AP76" s="5" t="s">
        <v>103</v>
      </c>
      <c r="AQ76" s="5" t="s">
        <v>97</v>
      </c>
      <c r="AR76" s="5" t="s">
        <v>97</v>
      </c>
      <c r="AS76" s="5" t="s">
        <v>103</v>
      </c>
      <c r="AT76" s="5"/>
      <c r="AU76" s="5"/>
      <c r="AV76" s="4" t="s">
        <v>103</v>
      </c>
      <c r="AW76" s="4" t="s">
        <v>97</v>
      </c>
      <c r="AX76" s="4" t="s">
        <v>103</v>
      </c>
      <c r="AY76" s="4" t="s">
        <v>97</v>
      </c>
      <c r="AZ76" s="4" t="s">
        <v>97</v>
      </c>
      <c r="BA76" s="4" t="s">
        <v>97</v>
      </c>
      <c r="BB76" s="5">
        <v>45552</v>
      </c>
      <c r="BC76" s="5">
        <v>45552</v>
      </c>
      <c r="BD76" s="5">
        <v>45553</v>
      </c>
      <c r="BE76" s="5">
        <v>45558</v>
      </c>
      <c r="BF76" s="4" t="s">
        <v>98</v>
      </c>
      <c r="BG76" s="4" t="s">
        <v>97</v>
      </c>
      <c r="BH76" s="4" t="s">
        <v>103</v>
      </c>
      <c r="BI76" s="4" t="s">
        <v>115</v>
      </c>
    </row>
    <row r="77" spans="1:61" x14ac:dyDescent="0.35">
      <c r="A77" s="8" t="str">
        <f t="shared" si="8"/>
        <v>Semaine 38-2024</v>
      </c>
      <c r="B77" s="8" t="str">
        <f t="shared" si="9"/>
        <v>2024</v>
      </c>
      <c r="C77" s="2" t="s">
        <v>18</v>
      </c>
      <c r="D77" s="6" t="str">
        <f t="shared" si="10"/>
        <v>Dakar</v>
      </c>
      <c r="E77" s="6">
        <f t="shared" si="11"/>
        <v>419489</v>
      </c>
      <c r="F77" s="6">
        <f t="shared" si="12"/>
        <v>4042240</v>
      </c>
      <c r="G77" s="4" t="s">
        <v>330</v>
      </c>
      <c r="H77" s="9" t="s">
        <v>334</v>
      </c>
      <c r="I77" s="9">
        <v>57</v>
      </c>
      <c r="J77" s="9" t="s">
        <v>114</v>
      </c>
      <c r="K77" s="9"/>
      <c r="L77" s="9"/>
      <c r="M77" s="9"/>
      <c r="N77" s="9"/>
      <c r="O77" s="9" t="s">
        <v>238</v>
      </c>
      <c r="P77" s="9" t="s">
        <v>97</v>
      </c>
      <c r="Q77" s="9" t="s">
        <v>97</v>
      </c>
      <c r="R77" s="14" t="s">
        <v>100</v>
      </c>
      <c r="S77" s="14" t="s">
        <v>100</v>
      </c>
      <c r="T77" s="14" t="s">
        <v>100</v>
      </c>
      <c r="U77" s="14"/>
      <c r="V77" s="14"/>
      <c r="W77" s="14"/>
      <c r="X77" s="14"/>
      <c r="Y77" s="5">
        <v>45551</v>
      </c>
      <c r="Z77" s="5">
        <v>45555</v>
      </c>
      <c r="AA77" s="5" t="s">
        <v>103</v>
      </c>
      <c r="AB77" s="5"/>
      <c r="AC77" s="5" t="s">
        <v>103</v>
      </c>
      <c r="AD77" s="5" t="s">
        <v>97</v>
      </c>
      <c r="AE77" s="5" t="s">
        <v>97</v>
      </c>
      <c r="AF77" s="5" t="s">
        <v>97</v>
      </c>
      <c r="AG77" s="5" t="s">
        <v>103</v>
      </c>
      <c r="AH77" s="5" t="s">
        <v>97</v>
      </c>
      <c r="AI77" s="5"/>
      <c r="AJ77" s="5"/>
      <c r="AK77" s="5"/>
      <c r="AL77" s="5"/>
      <c r="AM77" s="5"/>
      <c r="AN77" s="5"/>
      <c r="AO77" s="5"/>
      <c r="AP77" s="5"/>
      <c r="AQ77" s="5"/>
      <c r="AR77" s="5"/>
      <c r="AS77" s="5"/>
      <c r="AT77" s="5" t="s">
        <v>342</v>
      </c>
      <c r="AU77" s="5"/>
      <c r="AV77" s="4" t="s">
        <v>97</v>
      </c>
      <c r="AW77" s="4" t="s">
        <v>97</v>
      </c>
      <c r="AX77" s="4" t="s">
        <v>97</v>
      </c>
      <c r="AY77" s="4" t="s">
        <v>97</v>
      </c>
      <c r="AZ77" s="4" t="s">
        <v>103</v>
      </c>
      <c r="BA77" s="4" t="s">
        <v>97</v>
      </c>
      <c r="BB77" s="5">
        <v>45555</v>
      </c>
      <c r="BC77" s="5">
        <v>45558</v>
      </c>
      <c r="BD77" s="5">
        <v>45558</v>
      </c>
      <c r="BE77" s="5">
        <v>45558</v>
      </c>
      <c r="BF77" s="4" t="s">
        <v>98</v>
      </c>
      <c r="BG77" s="4" t="s">
        <v>97</v>
      </c>
      <c r="BH77" s="4" t="s">
        <v>103</v>
      </c>
      <c r="BI77" s="4" t="s">
        <v>145</v>
      </c>
    </row>
    <row r="78" spans="1:61" x14ac:dyDescent="0.35">
      <c r="A78" s="8" t="str">
        <f t="shared" si="8"/>
        <v>Semaine 38-2024</v>
      </c>
      <c r="B78" s="8" t="str">
        <f t="shared" si="9"/>
        <v>2024</v>
      </c>
      <c r="C78" s="2" t="s">
        <v>18</v>
      </c>
      <c r="D78" s="6" t="str">
        <f t="shared" si="10"/>
        <v>Dakar</v>
      </c>
      <c r="E78" s="6">
        <f t="shared" si="11"/>
        <v>419489</v>
      </c>
      <c r="F78" s="6">
        <f t="shared" si="12"/>
        <v>4042240</v>
      </c>
      <c r="G78" s="4" t="s">
        <v>331</v>
      </c>
      <c r="H78" s="9" t="s">
        <v>335</v>
      </c>
      <c r="I78" s="9">
        <v>1</v>
      </c>
      <c r="J78" s="9" t="s">
        <v>96</v>
      </c>
      <c r="K78" s="9"/>
      <c r="L78" s="9"/>
      <c r="M78" s="9"/>
      <c r="N78" s="9"/>
      <c r="O78" s="9" t="s">
        <v>238</v>
      </c>
      <c r="P78" s="9" t="s">
        <v>97</v>
      </c>
      <c r="Q78" s="9" t="s">
        <v>97</v>
      </c>
      <c r="R78" s="14" t="s">
        <v>100</v>
      </c>
      <c r="S78" s="14" t="s">
        <v>100</v>
      </c>
      <c r="T78" s="14" t="s">
        <v>100</v>
      </c>
      <c r="U78" s="14"/>
      <c r="V78" s="14"/>
      <c r="W78" s="14"/>
      <c r="X78" s="14"/>
      <c r="Y78" s="5">
        <v>45551</v>
      </c>
      <c r="Z78" s="5">
        <v>45558</v>
      </c>
      <c r="AA78" s="5" t="s">
        <v>103</v>
      </c>
      <c r="AB78" s="5"/>
      <c r="AC78" s="5" t="s">
        <v>97</v>
      </c>
      <c r="AD78" s="5" t="s">
        <v>97</v>
      </c>
      <c r="AE78" s="5" t="s">
        <v>97</v>
      </c>
      <c r="AF78" s="5" t="s">
        <v>103</v>
      </c>
      <c r="AG78" s="5" t="s">
        <v>97</v>
      </c>
      <c r="AH78" s="5" t="s">
        <v>103</v>
      </c>
      <c r="AI78" s="5">
        <v>45551</v>
      </c>
      <c r="AJ78" s="5" t="s">
        <v>103</v>
      </c>
      <c r="AK78" s="5" t="s">
        <v>103</v>
      </c>
      <c r="AL78" s="5" t="s">
        <v>97</v>
      </c>
      <c r="AM78" s="5" t="s">
        <v>103</v>
      </c>
      <c r="AN78" s="5" t="s">
        <v>103</v>
      </c>
      <c r="AO78" s="5" t="s">
        <v>103</v>
      </c>
      <c r="AP78" s="5" t="s">
        <v>103</v>
      </c>
      <c r="AQ78" s="5" t="s">
        <v>97</v>
      </c>
      <c r="AR78" s="5" t="s">
        <v>97</v>
      </c>
      <c r="AS78" s="5" t="s">
        <v>103</v>
      </c>
      <c r="AT78" s="5"/>
      <c r="AU78" s="5"/>
      <c r="AV78" s="4" t="s">
        <v>97</v>
      </c>
      <c r="AW78" s="4" t="s">
        <v>103</v>
      </c>
      <c r="AX78" s="4" t="s">
        <v>97</v>
      </c>
      <c r="AY78" s="4" t="s">
        <v>97</v>
      </c>
      <c r="AZ78" s="4" t="s">
        <v>97</v>
      </c>
      <c r="BA78" s="4" t="s">
        <v>97</v>
      </c>
      <c r="BB78" s="5">
        <v>45558</v>
      </c>
      <c r="BC78" s="5">
        <v>45558</v>
      </c>
      <c r="BD78" s="5">
        <v>45558</v>
      </c>
      <c r="BE78" s="5">
        <v>45558</v>
      </c>
      <c r="BF78" s="4" t="s">
        <v>98</v>
      </c>
      <c r="BG78" s="4" t="s">
        <v>97</v>
      </c>
      <c r="BH78" s="4" t="s">
        <v>103</v>
      </c>
      <c r="BI78" s="4" t="s">
        <v>145</v>
      </c>
    </row>
    <row r="79" spans="1:61" x14ac:dyDescent="0.35">
      <c r="A79" s="8" t="str">
        <f t="shared" si="8"/>
        <v>Semaine 38-2024</v>
      </c>
      <c r="B79" s="8" t="str">
        <f t="shared" si="9"/>
        <v>2024</v>
      </c>
      <c r="C79" s="2" t="s">
        <v>18</v>
      </c>
      <c r="D79" s="6" t="str">
        <f t="shared" si="10"/>
        <v>Dakar</v>
      </c>
      <c r="E79" s="6">
        <f t="shared" si="11"/>
        <v>419489</v>
      </c>
      <c r="F79" s="6">
        <f t="shared" si="12"/>
        <v>4042240</v>
      </c>
      <c r="G79" s="4" t="s">
        <v>332</v>
      </c>
      <c r="H79" s="9" t="s">
        <v>336</v>
      </c>
      <c r="I79" s="9">
        <v>1</v>
      </c>
      <c r="J79" s="9" t="s">
        <v>96</v>
      </c>
      <c r="K79" s="9"/>
      <c r="L79" s="9"/>
      <c r="M79" s="9"/>
      <c r="N79" s="9"/>
      <c r="O79" s="9" t="s">
        <v>238</v>
      </c>
      <c r="P79" s="9" t="s">
        <v>97</v>
      </c>
      <c r="Q79" s="9" t="s">
        <v>97</v>
      </c>
      <c r="R79" s="14" t="s">
        <v>100</v>
      </c>
      <c r="S79" s="14" t="s">
        <v>100</v>
      </c>
      <c r="T79" s="14" t="s">
        <v>100</v>
      </c>
      <c r="U79" s="14"/>
      <c r="V79" s="14"/>
      <c r="W79" s="14"/>
      <c r="X79" s="14"/>
      <c r="Y79" s="5">
        <v>45551</v>
      </c>
      <c r="Z79" s="5">
        <v>45558</v>
      </c>
      <c r="AA79" s="5" t="s">
        <v>103</v>
      </c>
      <c r="AB79" s="5"/>
      <c r="AC79" s="5" t="s">
        <v>97</v>
      </c>
      <c r="AD79" s="5" t="s">
        <v>97</v>
      </c>
      <c r="AE79" s="5" t="s">
        <v>103</v>
      </c>
      <c r="AF79" s="5" t="s">
        <v>97</v>
      </c>
      <c r="AG79" s="5" t="s">
        <v>97</v>
      </c>
      <c r="AH79" s="5" t="s">
        <v>103</v>
      </c>
      <c r="AI79" s="5">
        <v>45551</v>
      </c>
      <c r="AJ79" s="5" t="s">
        <v>103</v>
      </c>
      <c r="AK79" s="5" t="s">
        <v>103</v>
      </c>
      <c r="AL79" s="5" t="s">
        <v>97</v>
      </c>
      <c r="AM79" s="5" t="s">
        <v>103</v>
      </c>
      <c r="AN79" s="5" t="s">
        <v>103</v>
      </c>
      <c r="AO79" s="5" t="s">
        <v>103</v>
      </c>
      <c r="AP79" s="5" t="s">
        <v>103</v>
      </c>
      <c r="AQ79" s="5" t="s">
        <v>97</v>
      </c>
      <c r="AR79" s="5" t="s">
        <v>97</v>
      </c>
      <c r="AS79" s="5" t="s">
        <v>103</v>
      </c>
      <c r="AT79" s="5"/>
      <c r="AU79" s="5"/>
      <c r="AV79" s="4" t="s">
        <v>103</v>
      </c>
      <c r="AW79" s="4" t="s">
        <v>97</v>
      </c>
      <c r="AX79" s="4" t="s">
        <v>97</v>
      </c>
      <c r="AY79" s="4" t="s">
        <v>97</v>
      </c>
      <c r="AZ79" s="4" t="s">
        <v>97</v>
      </c>
      <c r="BA79" s="4" t="s">
        <v>97</v>
      </c>
      <c r="BB79" s="5">
        <v>45558</v>
      </c>
      <c r="BC79" s="5">
        <v>45558</v>
      </c>
      <c r="BD79" s="5">
        <v>45558</v>
      </c>
      <c r="BE79" s="5">
        <v>45558</v>
      </c>
      <c r="BF79" s="4" t="s">
        <v>98</v>
      </c>
      <c r="BG79" s="4" t="s">
        <v>97</v>
      </c>
      <c r="BH79" s="4" t="s">
        <v>103</v>
      </c>
      <c r="BI79" s="4" t="s">
        <v>145</v>
      </c>
    </row>
    <row r="80" spans="1:61" x14ac:dyDescent="0.35">
      <c r="A80" s="8" t="str">
        <f t="shared" si="8"/>
        <v>Semaine 37-2024</v>
      </c>
      <c r="B80" s="8" t="str">
        <f t="shared" si="9"/>
        <v>2024</v>
      </c>
      <c r="C80" s="2" t="s">
        <v>9</v>
      </c>
      <c r="D80" s="6" t="str">
        <f t="shared" si="10"/>
        <v>Tambacounda</v>
      </c>
      <c r="E80" s="6">
        <f t="shared" si="11"/>
        <v>317016</v>
      </c>
      <c r="F80" s="6">
        <f t="shared" si="12"/>
        <v>937181</v>
      </c>
      <c r="G80" s="4" t="s">
        <v>337</v>
      </c>
      <c r="H80" s="9" t="s">
        <v>339</v>
      </c>
      <c r="I80" s="9">
        <v>34</v>
      </c>
      <c r="J80" s="9" t="s">
        <v>114</v>
      </c>
      <c r="K80" s="9"/>
      <c r="L80" s="9"/>
      <c r="M80" s="9"/>
      <c r="N80" s="9"/>
      <c r="O80" s="9" t="s">
        <v>238</v>
      </c>
      <c r="P80" s="9" t="s">
        <v>97</v>
      </c>
      <c r="Q80" s="9" t="s">
        <v>97</v>
      </c>
      <c r="R80" s="14" t="s">
        <v>100</v>
      </c>
      <c r="S80" s="14" t="s">
        <v>100</v>
      </c>
      <c r="T80" s="14" t="s">
        <v>100</v>
      </c>
      <c r="U80" s="14" t="s">
        <v>285</v>
      </c>
      <c r="V80" s="14" t="s">
        <v>287</v>
      </c>
      <c r="W80" s="14"/>
      <c r="X80" s="14"/>
      <c r="Y80" s="5">
        <v>45550</v>
      </c>
      <c r="Z80" s="5">
        <v>45557</v>
      </c>
      <c r="AA80" s="5" t="s">
        <v>103</v>
      </c>
      <c r="AB80" s="5"/>
      <c r="AC80" s="5" t="s">
        <v>103</v>
      </c>
      <c r="AD80" s="5" t="s">
        <v>97</v>
      </c>
      <c r="AE80" s="5" t="s">
        <v>97</v>
      </c>
      <c r="AF80" s="5" t="s">
        <v>97</v>
      </c>
      <c r="AG80" s="5" t="s">
        <v>97</v>
      </c>
      <c r="AH80" s="5" t="s">
        <v>103</v>
      </c>
      <c r="AI80" s="5">
        <v>45550</v>
      </c>
      <c r="AJ80" s="5"/>
      <c r="AK80" s="5"/>
      <c r="AL80" s="5" t="s">
        <v>103</v>
      </c>
      <c r="AM80" s="5" t="s">
        <v>103</v>
      </c>
      <c r="AN80" s="5" t="s">
        <v>97</v>
      </c>
      <c r="AO80" s="5" t="s">
        <v>103</v>
      </c>
      <c r="AP80" s="5" t="s">
        <v>103</v>
      </c>
      <c r="AQ80" s="5" t="s">
        <v>97</v>
      </c>
      <c r="AR80" s="5" t="s">
        <v>97</v>
      </c>
      <c r="AS80" s="5" t="s">
        <v>97</v>
      </c>
      <c r="AT80" s="5" t="s">
        <v>340</v>
      </c>
      <c r="AU80" s="5"/>
      <c r="AV80" s="4" t="s">
        <v>103</v>
      </c>
      <c r="AW80" s="4" t="s">
        <v>97</v>
      </c>
      <c r="AX80" s="4" t="s">
        <v>97</v>
      </c>
      <c r="AY80" s="4" t="s">
        <v>97</v>
      </c>
      <c r="AZ80" s="4" t="s">
        <v>97</v>
      </c>
      <c r="BA80" s="4" t="s">
        <v>97</v>
      </c>
      <c r="BB80" s="5">
        <v>45557</v>
      </c>
      <c r="BC80" s="5">
        <v>45558</v>
      </c>
      <c r="BD80" s="5">
        <v>45559</v>
      </c>
      <c r="BE80" s="5">
        <v>45559</v>
      </c>
      <c r="BF80" s="4" t="s">
        <v>98</v>
      </c>
      <c r="BG80" s="4" t="s">
        <v>103</v>
      </c>
      <c r="BH80" s="4" t="s">
        <v>103</v>
      </c>
      <c r="BI80" s="4" t="s">
        <v>115</v>
      </c>
    </row>
    <row r="81" spans="1:61" x14ac:dyDescent="0.35">
      <c r="A81" s="8" t="str">
        <f t="shared" si="8"/>
        <v>Semaine 38-2024</v>
      </c>
      <c r="B81" s="8" t="str">
        <f t="shared" si="9"/>
        <v>2024</v>
      </c>
      <c r="C81" s="2" t="s">
        <v>78</v>
      </c>
      <c r="D81" s="6" t="str">
        <f t="shared" si="10"/>
        <v>Ziguinchor</v>
      </c>
      <c r="E81" s="6">
        <f t="shared" si="11"/>
        <v>330001</v>
      </c>
      <c r="F81" s="6">
        <f t="shared" si="12"/>
        <v>729952</v>
      </c>
      <c r="G81" s="4" t="s">
        <v>338</v>
      </c>
      <c r="H81" s="9" t="s">
        <v>341</v>
      </c>
      <c r="I81" s="9">
        <v>20</v>
      </c>
      <c r="J81" s="9" t="s">
        <v>96</v>
      </c>
      <c r="K81" s="9"/>
      <c r="L81" s="9"/>
      <c r="M81" s="9"/>
      <c r="N81" s="9"/>
      <c r="O81" s="9" t="s">
        <v>238</v>
      </c>
      <c r="P81" s="9" t="s">
        <v>97</v>
      </c>
      <c r="Q81" s="9" t="s">
        <v>97</v>
      </c>
      <c r="R81" s="14" t="s">
        <v>100</v>
      </c>
      <c r="S81" s="14" t="s">
        <v>100</v>
      </c>
      <c r="T81" s="14" t="s">
        <v>100</v>
      </c>
      <c r="U81" s="14"/>
      <c r="V81" s="14"/>
      <c r="W81" s="14"/>
      <c r="X81" s="14"/>
      <c r="Y81" s="5">
        <v>45555</v>
      </c>
      <c r="Z81" s="5">
        <v>45558</v>
      </c>
      <c r="AA81" s="5" t="s">
        <v>103</v>
      </c>
      <c r="AB81" s="5"/>
      <c r="AC81" s="5" t="s">
        <v>103</v>
      </c>
      <c r="AD81" s="5" t="s">
        <v>97</v>
      </c>
      <c r="AE81" s="5" t="s">
        <v>97</v>
      </c>
      <c r="AF81" s="5" t="s">
        <v>97</v>
      </c>
      <c r="AG81" s="5" t="s">
        <v>103</v>
      </c>
      <c r="AH81" s="5" t="s">
        <v>103</v>
      </c>
      <c r="AI81" s="5">
        <v>45555</v>
      </c>
      <c r="AJ81" s="5" t="s">
        <v>103</v>
      </c>
      <c r="AK81" s="5"/>
      <c r="AL81" s="5" t="s">
        <v>103</v>
      </c>
      <c r="AM81" s="5" t="s">
        <v>103</v>
      </c>
      <c r="AN81" s="5" t="s">
        <v>103</v>
      </c>
      <c r="AO81" s="5" t="s">
        <v>103</v>
      </c>
      <c r="AP81" s="5" t="s">
        <v>103</v>
      </c>
      <c r="AQ81" s="5" t="s">
        <v>97</v>
      </c>
      <c r="AR81" s="5" t="s">
        <v>97</v>
      </c>
      <c r="AS81" s="5" t="s">
        <v>97</v>
      </c>
      <c r="AT81" s="5" t="s">
        <v>347</v>
      </c>
      <c r="AU81" s="5"/>
      <c r="AV81" s="4" t="s">
        <v>103</v>
      </c>
      <c r="AW81" s="4" t="s">
        <v>97</v>
      </c>
      <c r="AX81" s="4" t="s">
        <v>97</v>
      </c>
      <c r="AY81" s="4" t="s">
        <v>97</v>
      </c>
      <c r="AZ81" s="4" t="s">
        <v>103</v>
      </c>
      <c r="BA81" s="4" t="s">
        <v>97</v>
      </c>
      <c r="BB81" s="5">
        <v>45558</v>
      </c>
      <c r="BC81" s="5">
        <v>45559</v>
      </c>
      <c r="BD81" s="5">
        <v>45559</v>
      </c>
      <c r="BE81" s="5">
        <v>45560</v>
      </c>
      <c r="BF81" s="4" t="s">
        <v>98</v>
      </c>
      <c r="BG81" s="4" t="s">
        <v>97</v>
      </c>
      <c r="BH81" s="4" t="s">
        <v>103</v>
      </c>
      <c r="BI81" s="4" t="s">
        <v>145</v>
      </c>
    </row>
    <row r="82" spans="1:61" x14ac:dyDescent="0.35">
      <c r="A82" s="8" t="str">
        <f t="shared" si="8"/>
        <v>Semaine 38-2024</v>
      </c>
      <c r="B82" s="8" t="str">
        <f t="shared" si="9"/>
        <v>2024</v>
      </c>
      <c r="C82" s="2" t="s">
        <v>0</v>
      </c>
      <c r="D82" s="6" t="str">
        <f t="shared" si="10"/>
        <v>Matam</v>
      </c>
      <c r="E82" s="6">
        <f t="shared" si="11"/>
        <v>271560</v>
      </c>
      <c r="F82" s="6">
        <f t="shared" si="12"/>
        <v>789215</v>
      </c>
      <c r="G82" s="4" t="s">
        <v>348</v>
      </c>
      <c r="H82" s="9" t="s">
        <v>349</v>
      </c>
      <c r="I82" s="9">
        <v>67</v>
      </c>
      <c r="J82" s="9" t="s">
        <v>114</v>
      </c>
      <c r="K82" s="9" t="s">
        <v>350</v>
      </c>
      <c r="L82" s="9"/>
      <c r="M82" s="9"/>
      <c r="N82" s="9"/>
      <c r="O82" s="9" t="s">
        <v>238</v>
      </c>
      <c r="P82" s="9" t="s">
        <v>97</v>
      </c>
      <c r="Q82" s="9" t="s">
        <v>97</v>
      </c>
      <c r="R82" s="14" t="s">
        <v>100</v>
      </c>
      <c r="S82" s="14" t="s">
        <v>100</v>
      </c>
      <c r="T82" s="14" t="s">
        <v>100</v>
      </c>
      <c r="U82" s="14"/>
      <c r="V82" s="14"/>
      <c r="W82" s="14"/>
      <c r="X82" s="14"/>
      <c r="Y82" s="5">
        <v>45553</v>
      </c>
      <c r="Z82" s="5">
        <v>45562</v>
      </c>
      <c r="AA82" s="5" t="s">
        <v>97</v>
      </c>
      <c r="AB82" s="5"/>
      <c r="AC82" s="5" t="s">
        <v>97</v>
      </c>
      <c r="AD82" s="5" t="s">
        <v>97</v>
      </c>
      <c r="AE82" s="5" t="s">
        <v>97</v>
      </c>
      <c r="AF82" s="5" t="s">
        <v>97</v>
      </c>
      <c r="AG82" s="5" t="s">
        <v>97</v>
      </c>
      <c r="AH82" s="5" t="s">
        <v>103</v>
      </c>
      <c r="AI82" s="5">
        <v>45553</v>
      </c>
      <c r="AJ82" s="5" t="s">
        <v>97</v>
      </c>
      <c r="AK82" s="5" t="s">
        <v>97</v>
      </c>
      <c r="AL82" s="5" t="s">
        <v>97</v>
      </c>
      <c r="AM82" s="5" t="s">
        <v>97</v>
      </c>
      <c r="AN82" s="5" t="s">
        <v>103</v>
      </c>
      <c r="AO82" s="5" t="s">
        <v>97</v>
      </c>
      <c r="AP82" s="5" t="s">
        <v>97</v>
      </c>
      <c r="AQ82" s="5" t="s">
        <v>97</v>
      </c>
      <c r="AR82" s="5" t="s">
        <v>97</v>
      </c>
      <c r="AS82" s="5" t="s">
        <v>97</v>
      </c>
      <c r="AT82" s="5"/>
      <c r="AU82" s="5"/>
      <c r="AV82" s="4" t="s">
        <v>103</v>
      </c>
      <c r="AW82" s="4" t="s">
        <v>97</v>
      </c>
      <c r="AX82" s="4" t="s">
        <v>97</v>
      </c>
      <c r="AY82" s="4" t="s">
        <v>97</v>
      </c>
      <c r="AZ82" s="4" t="s">
        <v>103</v>
      </c>
      <c r="BA82" s="4" t="s">
        <v>97</v>
      </c>
      <c r="BB82" s="5">
        <v>45562</v>
      </c>
      <c r="BC82" s="5">
        <v>45563</v>
      </c>
      <c r="BD82" s="5">
        <v>45563</v>
      </c>
      <c r="BE82" s="5">
        <v>45565</v>
      </c>
      <c r="BF82" s="4" t="s">
        <v>98</v>
      </c>
      <c r="BG82" s="4" t="s">
        <v>103</v>
      </c>
      <c r="BH82" s="4" t="s">
        <v>103</v>
      </c>
      <c r="BI82" s="4" t="s">
        <v>115</v>
      </c>
    </row>
    <row r="83" spans="1:61" x14ac:dyDescent="0.35">
      <c r="A83" s="8" t="str">
        <f t="shared" si="8"/>
        <v>Semaine 39-2024</v>
      </c>
      <c r="B83" s="8" t="str">
        <f t="shared" si="9"/>
        <v>2024</v>
      </c>
      <c r="C83" s="2" t="s">
        <v>78</v>
      </c>
      <c r="D83" s="6" t="str">
        <f t="shared" si="10"/>
        <v>Ziguinchor</v>
      </c>
      <c r="E83" s="6">
        <f t="shared" si="11"/>
        <v>330001</v>
      </c>
      <c r="F83" s="6">
        <f t="shared" si="12"/>
        <v>729952</v>
      </c>
      <c r="G83" s="4" t="s">
        <v>351</v>
      </c>
      <c r="H83" s="9" t="s">
        <v>354</v>
      </c>
      <c r="I83" s="9">
        <v>48</v>
      </c>
      <c r="J83" s="9" t="s">
        <v>114</v>
      </c>
      <c r="K83" s="9"/>
      <c r="L83" s="9"/>
      <c r="M83" s="9"/>
      <c r="N83" s="9"/>
      <c r="O83" s="9" t="s">
        <v>238</v>
      </c>
      <c r="P83" s="9" t="s">
        <v>97</v>
      </c>
      <c r="Q83" s="9" t="s">
        <v>97</v>
      </c>
      <c r="R83" s="14" t="s">
        <v>100</v>
      </c>
      <c r="S83" s="14" t="s">
        <v>100</v>
      </c>
      <c r="T83" s="14" t="s">
        <v>100</v>
      </c>
      <c r="U83" s="14" t="s">
        <v>285</v>
      </c>
      <c r="V83" s="14"/>
      <c r="W83" s="14"/>
      <c r="X83" s="14"/>
      <c r="Y83" s="5">
        <v>45560</v>
      </c>
      <c r="Z83" s="5">
        <v>45562</v>
      </c>
      <c r="AA83" s="5" t="s">
        <v>103</v>
      </c>
      <c r="AB83" s="5"/>
      <c r="AC83" s="5" t="s">
        <v>103</v>
      </c>
      <c r="AD83" s="5" t="s">
        <v>103</v>
      </c>
      <c r="AE83" s="5" t="s">
        <v>97</v>
      </c>
      <c r="AF83" s="5" t="s">
        <v>103</v>
      </c>
      <c r="AG83" s="5" t="s">
        <v>97</v>
      </c>
      <c r="AH83" s="5" t="s">
        <v>103</v>
      </c>
      <c r="AI83" s="5">
        <v>45560</v>
      </c>
      <c r="AJ83" s="5"/>
      <c r="AK83" s="5"/>
      <c r="AL83" s="5" t="s">
        <v>103</v>
      </c>
      <c r="AM83" s="5" t="s">
        <v>103</v>
      </c>
      <c r="AN83" s="5" t="s">
        <v>103</v>
      </c>
      <c r="AO83" s="5" t="s">
        <v>103</v>
      </c>
      <c r="AP83" s="5" t="s">
        <v>103</v>
      </c>
      <c r="AQ83" s="5" t="s">
        <v>97</v>
      </c>
      <c r="AR83" s="5" t="s">
        <v>97</v>
      </c>
      <c r="AS83" s="5" t="s">
        <v>97</v>
      </c>
      <c r="AT83" s="5" t="s">
        <v>355</v>
      </c>
      <c r="AU83" s="5"/>
      <c r="AV83" s="4" t="s">
        <v>103</v>
      </c>
      <c r="AW83" s="4" t="s">
        <v>97</v>
      </c>
      <c r="AX83" s="4" t="s">
        <v>97</v>
      </c>
      <c r="AY83" s="4" t="s">
        <v>97</v>
      </c>
      <c r="AZ83" s="4" t="s">
        <v>103</v>
      </c>
      <c r="BA83" s="4" t="s">
        <v>97</v>
      </c>
      <c r="BB83" s="5">
        <v>45562</v>
      </c>
      <c r="BC83" s="5">
        <v>45562</v>
      </c>
      <c r="BD83" s="5">
        <v>45563</v>
      </c>
      <c r="BE83" s="5">
        <v>45566</v>
      </c>
      <c r="BF83" s="4" t="s">
        <v>98</v>
      </c>
      <c r="BG83" s="4" t="s">
        <v>103</v>
      </c>
      <c r="BH83" s="4" t="s">
        <v>103</v>
      </c>
      <c r="BI83" s="4" t="s">
        <v>115</v>
      </c>
    </row>
    <row r="84" spans="1:61" x14ac:dyDescent="0.35">
      <c r="A84" s="8" t="str">
        <f t="shared" si="8"/>
        <v>Semaine 37-2024</v>
      </c>
      <c r="B84" s="8" t="str">
        <f t="shared" si="9"/>
        <v>2024</v>
      </c>
      <c r="C84" s="2" t="s">
        <v>67</v>
      </c>
      <c r="D84" s="6" t="str">
        <f t="shared" si="10"/>
        <v>Kedougou</v>
      </c>
      <c r="E84" s="6">
        <f t="shared" si="11"/>
        <v>29759</v>
      </c>
      <c r="F84" s="6">
        <f t="shared" si="12"/>
        <v>203720</v>
      </c>
      <c r="G84" s="4" t="s">
        <v>352</v>
      </c>
      <c r="H84" s="9" t="s">
        <v>356</v>
      </c>
      <c r="I84" s="9">
        <v>5</v>
      </c>
      <c r="J84" s="9" t="s">
        <v>114</v>
      </c>
      <c r="K84" s="9"/>
      <c r="L84" s="9"/>
      <c r="M84" s="9"/>
      <c r="N84" s="9"/>
      <c r="O84" s="9" t="s">
        <v>238</v>
      </c>
      <c r="P84" s="9" t="s">
        <v>97</v>
      </c>
      <c r="Q84" s="9" t="s">
        <v>97</v>
      </c>
      <c r="R84" s="14" t="s">
        <v>100</v>
      </c>
      <c r="S84" s="14" t="s">
        <v>100</v>
      </c>
      <c r="T84" s="14" t="s">
        <v>100</v>
      </c>
      <c r="U84" s="14" t="s">
        <v>287</v>
      </c>
      <c r="V84" s="14"/>
      <c r="W84" s="14"/>
      <c r="X84" s="14"/>
      <c r="Y84" s="5">
        <v>45547</v>
      </c>
      <c r="Z84" s="5">
        <v>45558</v>
      </c>
      <c r="AA84" s="5" t="s">
        <v>103</v>
      </c>
      <c r="AB84" s="5"/>
      <c r="AC84" s="5" t="s">
        <v>97</v>
      </c>
      <c r="AD84" s="5" t="s">
        <v>97</v>
      </c>
      <c r="AE84" s="5" t="s">
        <v>97</v>
      </c>
      <c r="AF84" s="5" t="s">
        <v>97</v>
      </c>
      <c r="AG84" s="5" t="s">
        <v>97</v>
      </c>
      <c r="AH84" s="5" t="s">
        <v>103</v>
      </c>
      <c r="AI84" s="5">
        <v>45548</v>
      </c>
      <c r="AJ84" s="5"/>
      <c r="AK84" s="5"/>
      <c r="AL84" s="5" t="s">
        <v>97</v>
      </c>
      <c r="AM84" s="5" t="s">
        <v>97</v>
      </c>
      <c r="AN84" s="5" t="s">
        <v>103</v>
      </c>
      <c r="AO84" s="5" t="s">
        <v>97</v>
      </c>
      <c r="AP84" s="5" t="s">
        <v>97</v>
      </c>
      <c r="AQ84" s="5" t="s">
        <v>97</v>
      </c>
      <c r="AR84" s="5" t="s">
        <v>97</v>
      </c>
      <c r="AS84" s="5" t="s">
        <v>97</v>
      </c>
      <c r="AT84" s="5"/>
      <c r="AU84" s="5"/>
      <c r="AV84" s="4" t="s">
        <v>103</v>
      </c>
      <c r="AW84" s="4" t="s">
        <v>97</v>
      </c>
      <c r="AX84" s="4" t="s">
        <v>97</v>
      </c>
      <c r="AY84" s="4" t="s">
        <v>97</v>
      </c>
      <c r="AZ84" s="4" t="s">
        <v>97</v>
      </c>
      <c r="BA84" s="4" t="s">
        <v>97</v>
      </c>
      <c r="BB84" s="5">
        <v>45558</v>
      </c>
      <c r="BC84" s="5">
        <v>45562</v>
      </c>
      <c r="BD84" s="5">
        <v>45562</v>
      </c>
      <c r="BE84" s="5">
        <v>45566</v>
      </c>
      <c r="BF84" s="4" t="s">
        <v>98</v>
      </c>
      <c r="BG84" s="4" t="s">
        <v>97</v>
      </c>
      <c r="BH84" s="4" t="s">
        <v>103</v>
      </c>
      <c r="BI84" s="4" t="s">
        <v>115</v>
      </c>
    </row>
    <row r="85" spans="1:61" x14ac:dyDescent="0.35">
      <c r="A85" s="8" t="str">
        <f t="shared" si="8"/>
        <v>Semaine 38-2024</v>
      </c>
      <c r="B85" s="8" t="str">
        <f t="shared" si="9"/>
        <v>2024</v>
      </c>
      <c r="C85" s="2" t="s">
        <v>67</v>
      </c>
      <c r="D85" s="6" t="str">
        <f t="shared" si="10"/>
        <v>Kedougou</v>
      </c>
      <c r="E85" s="6">
        <f t="shared" si="11"/>
        <v>29759</v>
      </c>
      <c r="F85" s="6">
        <f t="shared" si="12"/>
        <v>203720</v>
      </c>
      <c r="G85" s="4" t="s">
        <v>353</v>
      </c>
      <c r="H85" s="9" t="s">
        <v>357</v>
      </c>
      <c r="I85" s="9">
        <v>3</v>
      </c>
      <c r="J85" s="9" t="s">
        <v>114</v>
      </c>
      <c r="K85" s="9"/>
      <c r="L85" s="9"/>
      <c r="M85" s="9"/>
      <c r="N85" s="9"/>
      <c r="O85" s="9" t="s">
        <v>238</v>
      </c>
      <c r="P85" s="9" t="s">
        <v>97</v>
      </c>
      <c r="Q85" s="9" t="s">
        <v>97</v>
      </c>
      <c r="R85" s="14" t="s">
        <v>100</v>
      </c>
      <c r="S85" s="14" t="s">
        <v>100</v>
      </c>
      <c r="T85" s="14" t="s">
        <v>100</v>
      </c>
      <c r="U85" s="14" t="s">
        <v>285</v>
      </c>
      <c r="V85" s="14"/>
      <c r="W85" s="14"/>
      <c r="X85" s="14"/>
      <c r="Y85" s="5">
        <v>45556</v>
      </c>
      <c r="Z85" s="5">
        <v>45558</v>
      </c>
      <c r="AA85" s="5" t="s">
        <v>97</v>
      </c>
      <c r="AB85" s="5"/>
      <c r="AC85" s="5" t="s">
        <v>97</v>
      </c>
      <c r="AD85" s="5" t="s">
        <v>103</v>
      </c>
      <c r="AE85" s="5" t="s">
        <v>97</v>
      </c>
      <c r="AF85" s="5" t="s">
        <v>97</v>
      </c>
      <c r="AG85" s="5" t="s">
        <v>97</v>
      </c>
      <c r="AH85" s="5" t="s">
        <v>103</v>
      </c>
      <c r="AI85" s="5">
        <v>45556</v>
      </c>
      <c r="AJ85" s="5"/>
      <c r="AK85" s="5"/>
      <c r="AL85" s="5" t="s">
        <v>97</v>
      </c>
      <c r="AM85" s="5" t="s">
        <v>103</v>
      </c>
      <c r="AN85" s="5" t="s">
        <v>103</v>
      </c>
      <c r="AO85" s="5" t="s">
        <v>97</v>
      </c>
      <c r="AP85" s="5" t="s">
        <v>97</v>
      </c>
      <c r="AQ85" s="5" t="s">
        <v>97</v>
      </c>
      <c r="AR85" s="5" t="s">
        <v>97</v>
      </c>
      <c r="AS85" s="5" t="s">
        <v>97</v>
      </c>
      <c r="AT85" s="5"/>
      <c r="AU85" s="5"/>
      <c r="AV85" s="4" t="s">
        <v>97</v>
      </c>
      <c r="AW85" s="4" t="s">
        <v>97</v>
      </c>
      <c r="AX85" s="4" t="s">
        <v>97</v>
      </c>
      <c r="AY85" s="4" t="s">
        <v>97</v>
      </c>
      <c r="AZ85" s="4" t="s">
        <v>103</v>
      </c>
      <c r="BA85" s="4" t="s">
        <v>97</v>
      </c>
      <c r="BB85" s="5">
        <v>45558</v>
      </c>
      <c r="BC85" s="5">
        <v>45562</v>
      </c>
      <c r="BD85" s="5">
        <v>45562</v>
      </c>
      <c r="BE85" s="5">
        <v>45566</v>
      </c>
      <c r="BF85" s="4" t="s">
        <v>98</v>
      </c>
      <c r="BG85" s="4" t="s">
        <v>97</v>
      </c>
      <c r="BH85" s="4" t="s">
        <v>103</v>
      </c>
      <c r="BI85" s="4" t="s">
        <v>145</v>
      </c>
    </row>
    <row r="86" spans="1:61" x14ac:dyDescent="0.35">
      <c r="A86" s="8" t="str">
        <f t="shared" si="8"/>
        <v>Semaine 39-2024</v>
      </c>
      <c r="B86" s="8" t="str">
        <f t="shared" si="9"/>
        <v>2024</v>
      </c>
      <c r="C86" s="2" t="s">
        <v>60</v>
      </c>
      <c r="D86" s="6" t="str">
        <f t="shared" si="10"/>
        <v>Thies</v>
      </c>
      <c r="E86" s="6">
        <f t="shared" si="11"/>
        <v>92691</v>
      </c>
      <c r="F86" s="6">
        <f t="shared" si="12"/>
        <v>2280463</v>
      </c>
      <c r="G86" s="4" t="s">
        <v>358</v>
      </c>
      <c r="H86" s="4" t="s">
        <v>359</v>
      </c>
      <c r="I86" s="4">
        <v>16</v>
      </c>
      <c r="J86" s="4" t="s">
        <v>96</v>
      </c>
      <c r="K86" s="4"/>
      <c r="L86" s="4"/>
      <c r="M86" s="4"/>
      <c r="N86" s="4"/>
      <c r="O86" s="9" t="s">
        <v>238</v>
      </c>
      <c r="P86" s="4" t="s">
        <v>97</v>
      </c>
      <c r="Q86" s="4" t="s">
        <v>97</v>
      </c>
      <c r="R86" s="14" t="s">
        <v>100</v>
      </c>
      <c r="S86" s="14" t="s">
        <v>100</v>
      </c>
      <c r="T86" s="14" t="s">
        <v>100</v>
      </c>
      <c r="U86" s="14"/>
      <c r="V86" s="14"/>
      <c r="W86" s="14"/>
      <c r="X86" s="14"/>
      <c r="Y86" s="5">
        <v>45558</v>
      </c>
      <c r="Z86" s="5">
        <v>45565</v>
      </c>
      <c r="AA86" s="5" t="s">
        <v>103</v>
      </c>
      <c r="AB86" s="5"/>
      <c r="AC86" s="5" t="s">
        <v>97</v>
      </c>
      <c r="AD86" s="5" t="s">
        <v>97</v>
      </c>
      <c r="AE86" s="5" t="s">
        <v>97</v>
      </c>
      <c r="AF86" s="5" t="s">
        <v>97</v>
      </c>
      <c r="AG86" s="5" t="s">
        <v>97</v>
      </c>
      <c r="AH86" s="5" t="s">
        <v>103</v>
      </c>
      <c r="AI86" s="5">
        <v>45558</v>
      </c>
      <c r="AJ86" s="5"/>
      <c r="AK86" s="5"/>
      <c r="AL86" s="5" t="s">
        <v>103</v>
      </c>
      <c r="AM86" s="5" t="s">
        <v>97</v>
      </c>
      <c r="AN86" s="5" t="s">
        <v>103</v>
      </c>
      <c r="AO86" s="5" t="s">
        <v>103</v>
      </c>
      <c r="AP86" s="5" t="s">
        <v>103</v>
      </c>
      <c r="AQ86" s="5" t="s">
        <v>97</v>
      </c>
      <c r="AR86" s="5" t="s">
        <v>97</v>
      </c>
      <c r="AS86" s="5" t="s">
        <v>97</v>
      </c>
      <c r="AT86" s="5"/>
      <c r="AU86" s="5"/>
      <c r="AV86" s="4" t="s">
        <v>103</v>
      </c>
      <c r="AW86" s="4" t="s">
        <v>97</v>
      </c>
      <c r="AX86" s="4" t="s">
        <v>103</v>
      </c>
      <c r="AY86" s="4" t="s">
        <v>97</v>
      </c>
      <c r="AZ86" s="4" t="s">
        <v>103</v>
      </c>
      <c r="BA86" s="4" t="s">
        <v>97</v>
      </c>
      <c r="BB86" s="5">
        <v>45567</v>
      </c>
      <c r="BC86" s="5">
        <v>45567</v>
      </c>
      <c r="BD86" s="5">
        <v>45567</v>
      </c>
      <c r="BE86" s="5">
        <v>45567</v>
      </c>
      <c r="BF86" s="4" t="s">
        <v>98</v>
      </c>
      <c r="BG86" s="5" t="s">
        <v>97</v>
      </c>
      <c r="BH86" s="5" t="s">
        <v>103</v>
      </c>
      <c r="BI86" s="5" t="s">
        <v>360</v>
      </c>
    </row>
    <row r="87" spans="1:61" x14ac:dyDescent="0.35">
      <c r="A87" s="8" t="str">
        <f t="shared" si="8"/>
        <v>Semaine 36-2024</v>
      </c>
      <c r="B87" s="8" t="str">
        <f t="shared" si="9"/>
        <v>2024</v>
      </c>
      <c r="C87" s="2" t="s">
        <v>0</v>
      </c>
      <c r="D87" s="6" t="str">
        <f t="shared" si="10"/>
        <v>Matam</v>
      </c>
      <c r="E87" s="6">
        <f t="shared" si="11"/>
        <v>271560</v>
      </c>
      <c r="F87" s="6">
        <f t="shared" si="12"/>
        <v>789215</v>
      </c>
      <c r="G87" s="4" t="s">
        <v>361</v>
      </c>
      <c r="H87" s="4" t="s">
        <v>362</v>
      </c>
      <c r="I87" s="4">
        <v>30</v>
      </c>
      <c r="J87" s="4" t="s">
        <v>114</v>
      </c>
      <c r="K87" s="4"/>
      <c r="L87" s="4"/>
      <c r="M87" s="4"/>
      <c r="N87" s="4"/>
      <c r="O87" s="9" t="s">
        <v>238</v>
      </c>
      <c r="P87" s="4" t="s">
        <v>97</v>
      </c>
      <c r="Q87" s="4" t="s">
        <v>97</v>
      </c>
      <c r="R87" s="14" t="s">
        <v>100</v>
      </c>
      <c r="S87" s="14" t="s">
        <v>100</v>
      </c>
      <c r="T87" s="14" t="s">
        <v>100</v>
      </c>
      <c r="U87" s="14"/>
      <c r="V87" s="14"/>
      <c r="W87" s="14"/>
      <c r="X87" s="14"/>
      <c r="Y87" s="5">
        <v>45540</v>
      </c>
      <c r="Z87" s="5">
        <v>45570</v>
      </c>
      <c r="AA87" s="5" t="s">
        <v>103</v>
      </c>
      <c r="AB87" s="5"/>
      <c r="AC87" s="5" t="s">
        <v>97</v>
      </c>
      <c r="AD87" s="5" t="s">
        <v>97</v>
      </c>
      <c r="AE87" s="5" t="s">
        <v>97</v>
      </c>
      <c r="AF87" s="5" t="s">
        <v>97</v>
      </c>
      <c r="AG87" s="5" t="s">
        <v>97</v>
      </c>
      <c r="AH87" s="5" t="s">
        <v>103</v>
      </c>
      <c r="AI87" s="5">
        <v>45540</v>
      </c>
      <c r="AJ87" s="5"/>
      <c r="AK87" s="5"/>
      <c r="AL87" s="5" t="s">
        <v>103</v>
      </c>
      <c r="AM87" s="5" t="s">
        <v>97</v>
      </c>
      <c r="AN87" s="5" t="s">
        <v>103</v>
      </c>
      <c r="AO87" s="5" t="s">
        <v>97</v>
      </c>
      <c r="AP87" s="5" t="s">
        <v>97</v>
      </c>
      <c r="AQ87" s="5" t="s">
        <v>97</v>
      </c>
      <c r="AR87" s="5" t="s">
        <v>97</v>
      </c>
      <c r="AS87" s="5" t="s">
        <v>103</v>
      </c>
      <c r="AT87" s="5"/>
      <c r="AU87" s="5"/>
      <c r="AV87" s="4" t="s">
        <v>103</v>
      </c>
      <c r="AW87" s="4" t="s">
        <v>97</v>
      </c>
      <c r="AX87" s="4" t="s">
        <v>97</v>
      </c>
      <c r="AY87" s="4" t="s">
        <v>97</v>
      </c>
      <c r="AZ87" s="4" t="s">
        <v>103</v>
      </c>
      <c r="BA87" s="4" t="s">
        <v>97</v>
      </c>
      <c r="BB87" s="5">
        <v>45540</v>
      </c>
      <c r="BC87" s="5">
        <v>45572</v>
      </c>
      <c r="BD87" s="5">
        <v>45573</v>
      </c>
      <c r="BE87" s="5">
        <v>45574</v>
      </c>
      <c r="BF87" s="4" t="s">
        <v>98</v>
      </c>
      <c r="BG87" s="5" t="s">
        <v>103</v>
      </c>
      <c r="BH87" s="5" t="s">
        <v>103</v>
      </c>
      <c r="BI87" s="5" t="s">
        <v>115</v>
      </c>
    </row>
    <row r="88" spans="1:61" x14ac:dyDescent="0.35">
      <c r="A88" s="8" t="str">
        <f t="shared" si="8"/>
        <v>Semaine 42-2024</v>
      </c>
      <c r="B88" s="8" t="str">
        <f t="shared" si="9"/>
        <v>2024</v>
      </c>
      <c r="C88" s="2" t="s">
        <v>26</v>
      </c>
      <c r="D88" s="6" t="str">
        <f t="shared" si="10"/>
        <v>Diourbel</v>
      </c>
      <c r="E88" s="6">
        <f t="shared" si="11"/>
        <v>354792</v>
      </c>
      <c r="F88" s="6">
        <f t="shared" si="12"/>
        <v>1980827</v>
      </c>
      <c r="G88" s="4" t="s">
        <v>363</v>
      </c>
      <c r="H88" s="4" t="s">
        <v>364</v>
      </c>
      <c r="I88" s="4">
        <v>15</v>
      </c>
      <c r="J88" s="4" t="s">
        <v>114</v>
      </c>
      <c r="K88" s="4"/>
      <c r="L88" s="4"/>
      <c r="M88" s="4"/>
      <c r="N88" s="4"/>
      <c r="O88" s="4" t="s">
        <v>238</v>
      </c>
      <c r="P88" s="4" t="s">
        <v>97</v>
      </c>
      <c r="Q88" s="4" t="s">
        <v>97</v>
      </c>
      <c r="R88" s="14" t="s">
        <v>100</v>
      </c>
      <c r="S88" s="14" t="s">
        <v>100</v>
      </c>
      <c r="T88" s="14" t="s">
        <v>100</v>
      </c>
      <c r="U88" s="14"/>
      <c r="V88" s="14"/>
      <c r="W88" s="14"/>
      <c r="X88" s="14"/>
      <c r="Y88" s="5">
        <v>45582</v>
      </c>
      <c r="Z88" s="5">
        <v>45584</v>
      </c>
      <c r="AA88" s="5" t="s">
        <v>103</v>
      </c>
      <c r="AB88" s="5" t="s">
        <v>365</v>
      </c>
      <c r="AC88" s="5" t="s">
        <v>103</v>
      </c>
      <c r="AD88" s="5" t="s">
        <v>103</v>
      </c>
      <c r="AE88" s="5" t="s">
        <v>97</v>
      </c>
      <c r="AF88" s="5" t="s">
        <v>103</v>
      </c>
      <c r="AG88" s="5" t="s">
        <v>103</v>
      </c>
      <c r="AH88" s="5" t="s">
        <v>103</v>
      </c>
      <c r="AI88" s="5">
        <v>45584</v>
      </c>
      <c r="AJ88" s="5"/>
      <c r="AK88" s="5"/>
      <c r="AL88" s="5" t="s">
        <v>103</v>
      </c>
      <c r="AM88" s="5" t="s">
        <v>103</v>
      </c>
      <c r="AN88" s="5" t="s">
        <v>103</v>
      </c>
      <c r="AO88" s="5" t="s">
        <v>103</v>
      </c>
      <c r="AP88" s="5" t="s">
        <v>103</v>
      </c>
      <c r="AQ88" s="5" t="s">
        <v>97</v>
      </c>
      <c r="AR88" s="5" t="s">
        <v>97</v>
      </c>
      <c r="AS88" s="5" t="s">
        <v>97</v>
      </c>
      <c r="AT88" s="5" t="s">
        <v>304</v>
      </c>
      <c r="AU88" s="5"/>
      <c r="AV88" s="4" t="s">
        <v>103</v>
      </c>
      <c r="AW88" s="4" t="s">
        <v>97</v>
      </c>
      <c r="AX88" s="4" t="s">
        <v>97</v>
      </c>
      <c r="AY88" s="4" t="s">
        <v>97</v>
      </c>
      <c r="AZ88" s="4" t="s">
        <v>103</v>
      </c>
      <c r="BA88" s="4" t="s">
        <v>97</v>
      </c>
      <c r="BB88" s="5">
        <v>45584</v>
      </c>
      <c r="BC88" s="5">
        <v>45585</v>
      </c>
      <c r="BD88" s="5">
        <v>45585</v>
      </c>
      <c r="BE88" s="5">
        <v>45585</v>
      </c>
      <c r="BF88" s="5" t="s">
        <v>98</v>
      </c>
      <c r="BG88" s="5" t="s">
        <v>103</v>
      </c>
      <c r="BH88" s="5" t="s">
        <v>103</v>
      </c>
      <c r="BI88" s="5" t="s">
        <v>115</v>
      </c>
    </row>
    <row r="89" spans="1:61" x14ac:dyDescent="0.35">
      <c r="A89" s="8" t="str">
        <f t="shared" si="8"/>
        <v>Semaine 42-2024</v>
      </c>
      <c r="B89" s="8" t="str">
        <f t="shared" si="9"/>
        <v>2024</v>
      </c>
      <c r="C89" s="2" t="s">
        <v>56</v>
      </c>
      <c r="D89" s="6" t="str">
        <f t="shared" si="10"/>
        <v>Fatick</v>
      </c>
      <c r="E89" s="6">
        <f t="shared" si="11"/>
        <v>110521</v>
      </c>
      <c r="F89" s="6">
        <f t="shared" si="12"/>
        <v>965914</v>
      </c>
      <c r="G89" s="4" t="s">
        <v>366</v>
      </c>
      <c r="H89" s="4" t="s">
        <v>367</v>
      </c>
      <c r="I89" s="4">
        <v>7</v>
      </c>
      <c r="J89" s="4" t="s">
        <v>114</v>
      </c>
      <c r="K89" s="4"/>
      <c r="L89" s="4"/>
      <c r="M89" s="4"/>
      <c r="N89" s="4"/>
      <c r="O89" s="4" t="s">
        <v>238</v>
      </c>
      <c r="P89" s="4" t="s">
        <v>97</v>
      </c>
      <c r="Q89" s="4" t="s">
        <v>97</v>
      </c>
      <c r="R89" s="14" t="s">
        <v>100</v>
      </c>
      <c r="S89" s="14" t="s">
        <v>100</v>
      </c>
      <c r="T89" s="14" t="s">
        <v>100</v>
      </c>
      <c r="U89" s="14"/>
      <c r="V89" s="14"/>
      <c r="W89" s="14"/>
      <c r="X89" s="14"/>
      <c r="Y89" s="5">
        <v>45579</v>
      </c>
      <c r="Z89" s="5">
        <v>45581</v>
      </c>
      <c r="AA89" s="5" t="s">
        <v>103</v>
      </c>
      <c r="AB89" s="5" t="s">
        <v>272</v>
      </c>
      <c r="AC89" s="5" t="s">
        <v>97</v>
      </c>
      <c r="AD89" s="5" t="s">
        <v>97</v>
      </c>
      <c r="AE89" s="5" t="s">
        <v>97</v>
      </c>
      <c r="AF89" s="5" t="s">
        <v>97</v>
      </c>
      <c r="AG89" s="5" t="s">
        <v>97</v>
      </c>
      <c r="AH89" s="5" t="s">
        <v>103</v>
      </c>
      <c r="AI89" s="5">
        <v>45581</v>
      </c>
      <c r="AJ89" s="5"/>
      <c r="AK89" s="5"/>
      <c r="AL89" s="5" t="s">
        <v>103</v>
      </c>
      <c r="AM89" s="5" t="s">
        <v>103</v>
      </c>
      <c r="AN89" s="5" t="s">
        <v>103</v>
      </c>
      <c r="AO89" s="5" t="s">
        <v>103</v>
      </c>
      <c r="AP89" s="5" t="s">
        <v>103</v>
      </c>
      <c r="AQ89" s="5" t="s">
        <v>97</v>
      </c>
      <c r="AR89" s="5" t="s">
        <v>97</v>
      </c>
      <c r="AS89" s="5" t="s">
        <v>97</v>
      </c>
      <c r="AT89" s="5" t="s">
        <v>368</v>
      </c>
      <c r="AU89" s="5"/>
      <c r="AV89" s="4" t="s">
        <v>97</v>
      </c>
      <c r="AW89" s="4" t="s">
        <v>97</v>
      </c>
      <c r="AX89" s="4" t="s">
        <v>97</v>
      </c>
      <c r="AY89" s="4" t="s">
        <v>97</v>
      </c>
      <c r="AZ89" s="4" t="s">
        <v>103</v>
      </c>
      <c r="BA89" s="4" t="s">
        <v>97</v>
      </c>
      <c r="BB89" s="5">
        <v>45581</v>
      </c>
      <c r="BC89" s="5">
        <v>45582</v>
      </c>
      <c r="BD89" s="5">
        <v>45582</v>
      </c>
      <c r="BE89" s="5">
        <v>45585</v>
      </c>
      <c r="BF89" s="5" t="s">
        <v>98</v>
      </c>
      <c r="BG89" s="5" t="s">
        <v>97</v>
      </c>
      <c r="BH89" s="5" t="s">
        <v>103</v>
      </c>
      <c r="BI89" s="4" t="s">
        <v>145</v>
      </c>
    </row>
    <row r="90" spans="1:61" x14ac:dyDescent="0.35">
      <c r="A90" s="8" t="str">
        <f t="shared" si="8"/>
        <v>Semaine 42-2024</v>
      </c>
      <c r="B90" s="8" t="str">
        <f t="shared" si="9"/>
        <v>2024</v>
      </c>
      <c r="C90" s="2" t="s">
        <v>41</v>
      </c>
      <c r="D90" s="6" t="str">
        <f t="shared" si="10"/>
        <v>Kolda</v>
      </c>
      <c r="E90" s="6">
        <f t="shared" si="11"/>
        <v>325160</v>
      </c>
      <c r="F90" s="6">
        <f t="shared" si="12"/>
        <v>875661</v>
      </c>
      <c r="G90" s="4" t="s">
        <v>369</v>
      </c>
      <c r="H90" s="4" t="s">
        <v>370</v>
      </c>
      <c r="I90" s="4">
        <v>67</v>
      </c>
      <c r="J90" s="4" t="s">
        <v>96</v>
      </c>
      <c r="K90" s="4"/>
      <c r="L90" s="4"/>
      <c r="M90" s="4"/>
      <c r="N90" s="4"/>
      <c r="O90" s="4" t="s">
        <v>238</v>
      </c>
      <c r="P90" s="4" t="s">
        <v>97</v>
      </c>
      <c r="Q90" s="4" t="s">
        <v>97</v>
      </c>
      <c r="R90" s="14" t="s">
        <v>100</v>
      </c>
      <c r="S90" s="14" t="s">
        <v>100</v>
      </c>
      <c r="T90" s="14" t="s">
        <v>100</v>
      </c>
      <c r="U90" s="14"/>
      <c r="V90" s="14"/>
      <c r="W90" s="14"/>
      <c r="X90" s="14"/>
      <c r="Y90" s="5">
        <v>45583</v>
      </c>
      <c r="Z90" s="5">
        <v>45584</v>
      </c>
      <c r="AA90" s="5" t="s">
        <v>103</v>
      </c>
      <c r="AB90" s="5"/>
      <c r="AC90" s="5" t="s">
        <v>97</v>
      </c>
      <c r="AD90" s="5" t="s">
        <v>97</v>
      </c>
      <c r="AE90" s="5" t="s">
        <v>97</v>
      </c>
      <c r="AF90" s="5" t="s">
        <v>97</v>
      </c>
      <c r="AG90" s="5" t="s">
        <v>103</v>
      </c>
      <c r="AH90" s="5" t="s">
        <v>103</v>
      </c>
      <c r="AI90" s="5">
        <v>45583</v>
      </c>
      <c r="AJ90" s="5"/>
      <c r="AK90" s="5"/>
      <c r="AL90" s="5" t="s">
        <v>103</v>
      </c>
      <c r="AM90" s="5" t="s">
        <v>97</v>
      </c>
      <c r="AN90" s="5" t="s">
        <v>103</v>
      </c>
      <c r="AO90" s="5" t="s">
        <v>103</v>
      </c>
      <c r="AP90" s="5" t="s">
        <v>103</v>
      </c>
      <c r="AQ90" s="5" t="s">
        <v>97</v>
      </c>
      <c r="AR90" s="5" t="s">
        <v>97</v>
      </c>
      <c r="AS90" s="5" t="s">
        <v>97</v>
      </c>
      <c r="AT90" s="5"/>
      <c r="AU90" s="5"/>
      <c r="AV90" s="4" t="s">
        <v>103</v>
      </c>
      <c r="AW90" s="4" t="s">
        <v>97</v>
      </c>
      <c r="AX90" s="4" t="s">
        <v>97</v>
      </c>
      <c r="AY90" s="4" t="s">
        <v>97</v>
      </c>
      <c r="AZ90" s="4" t="s">
        <v>97</v>
      </c>
      <c r="BA90" s="4" t="s">
        <v>97</v>
      </c>
      <c r="BB90" s="5">
        <v>45584</v>
      </c>
      <c r="BC90" s="5">
        <v>45586</v>
      </c>
      <c r="BD90" s="5">
        <v>45587</v>
      </c>
      <c r="BE90" s="5">
        <v>45588</v>
      </c>
      <c r="BF90" s="5" t="s">
        <v>98</v>
      </c>
      <c r="BG90" s="5" t="s">
        <v>103</v>
      </c>
      <c r="BH90" s="5" t="s">
        <v>103</v>
      </c>
      <c r="BI90" s="5" t="s">
        <v>115</v>
      </c>
    </row>
    <row r="91" spans="1:61" x14ac:dyDescent="0.35">
      <c r="A91" s="8" t="str">
        <f t="shared" si="8"/>
        <v>Semaine 40-2024</v>
      </c>
      <c r="B91" s="8" t="str">
        <f t="shared" si="9"/>
        <v>2024</v>
      </c>
      <c r="C91" s="2" t="s">
        <v>20</v>
      </c>
      <c r="D91" s="6" t="str">
        <f t="shared" si="10"/>
        <v>Dakar</v>
      </c>
      <c r="E91" s="6">
        <f t="shared" si="11"/>
        <v>272276</v>
      </c>
      <c r="F91" s="6">
        <f t="shared" si="12"/>
        <v>4042240</v>
      </c>
      <c r="G91" s="4" t="s">
        <v>371</v>
      </c>
      <c r="H91" s="4" t="s">
        <v>372</v>
      </c>
      <c r="I91" s="4">
        <v>7</v>
      </c>
      <c r="J91" s="4" t="s">
        <v>96</v>
      </c>
      <c r="K91" s="4"/>
      <c r="L91" s="4"/>
      <c r="M91" s="4"/>
      <c r="N91" s="4"/>
      <c r="O91" s="4" t="s">
        <v>238</v>
      </c>
      <c r="P91" s="4" t="s">
        <v>97</v>
      </c>
      <c r="Q91" s="4" t="s">
        <v>97</v>
      </c>
      <c r="R91" s="14" t="s">
        <v>100</v>
      </c>
      <c r="S91" s="14" t="s">
        <v>100</v>
      </c>
      <c r="T91" s="14" t="s">
        <v>100</v>
      </c>
      <c r="U91" s="14"/>
      <c r="V91" s="14"/>
      <c r="W91" s="14"/>
      <c r="X91" s="14"/>
      <c r="Y91" s="5">
        <v>45570</v>
      </c>
      <c r="Z91" s="5">
        <v>45572</v>
      </c>
      <c r="AA91" s="5" t="s">
        <v>103</v>
      </c>
      <c r="AB91" s="5"/>
      <c r="AC91" s="5" t="s">
        <v>103</v>
      </c>
      <c r="AD91" s="5" t="s">
        <v>97</v>
      </c>
      <c r="AE91" s="5" t="s">
        <v>97</v>
      </c>
      <c r="AF91" s="5" t="s">
        <v>103</v>
      </c>
      <c r="AG91" s="5" t="s">
        <v>97</v>
      </c>
      <c r="AH91" s="5" t="s">
        <v>103</v>
      </c>
      <c r="AI91" s="5">
        <v>45570</v>
      </c>
      <c r="AJ91" s="5"/>
      <c r="AK91" s="5"/>
      <c r="AL91" s="5" t="s">
        <v>103</v>
      </c>
      <c r="AM91" s="5" t="s">
        <v>97</v>
      </c>
      <c r="AN91" s="5" t="s">
        <v>97</v>
      </c>
      <c r="AO91" s="5" t="s">
        <v>103</v>
      </c>
      <c r="AP91" s="5" t="s">
        <v>103</v>
      </c>
      <c r="AQ91" s="5" t="s">
        <v>97</v>
      </c>
      <c r="AR91" s="5" t="s">
        <v>97</v>
      </c>
      <c r="AS91" s="5" t="s">
        <v>97</v>
      </c>
      <c r="AT91" s="5"/>
      <c r="AU91" s="5"/>
      <c r="AV91" s="4" t="s">
        <v>103</v>
      </c>
      <c r="AW91" s="4" t="s">
        <v>97</v>
      </c>
      <c r="AX91" s="4" t="s">
        <v>97</v>
      </c>
      <c r="AY91" s="4" t="s">
        <v>97</v>
      </c>
      <c r="AZ91" s="4" t="s">
        <v>103</v>
      </c>
      <c r="BA91" s="4" t="s">
        <v>97</v>
      </c>
      <c r="BB91" s="5">
        <v>45572</v>
      </c>
      <c r="BC91" s="5">
        <v>45572</v>
      </c>
      <c r="BD91" s="5">
        <v>45572</v>
      </c>
      <c r="BE91" s="5">
        <v>45591</v>
      </c>
      <c r="BF91" s="5" t="s">
        <v>98</v>
      </c>
      <c r="BG91" s="5" t="s">
        <v>97</v>
      </c>
      <c r="BH91" s="5" t="s">
        <v>103</v>
      </c>
      <c r="BI91" s="5" t="s">
        <v>115</v>
      </c>
    </row>
    <row r="92" spans="1:61" x14ac:dyDescent="0.35">
      <c r="A92" s="8" t="str">
        <f t="shared" si="8"/>
        <v>Semaine 43-2024</v>
      </c>
      <c r="B92" s="8" t="str">
        <f t="shared" si="9"/>
        <v>2024</v>
      </c>
      <c r="C92" s="2" t="s">
        <v>62</v>
      </c>
      <c r="D92" s="6" t="str">
        <f t="shared" si="10"/>
        <v>Matam</v>
      </c>
      <c r="E92" s="6">
        <f t="shared" si="11"/>
        <v>71989</v>
      </c>
      <c r="F92" s="6">
        <f t="shared" si="12"/>
        <v>789215</v>
      </c>
      <c r="G92" s="4" t="s">
        <v>373</v>
      </c>
      <c r="H92" s="4" t="s">
        <v>376</v>
      </c>
      <c r="I92" s="4">
        <v>8</v>
      </c>
      <c r="J92" s="4" t="s">
        <v>96</v>
      </c>
      <c r="K92" s="4"/>
      <c r="L92" s="4"/>
      <c r="M92" s="4"/>
      <c r="N92" s="4"/>
      <c r="O92" s="4" t="s">
        <v>238</v>
      </c>
      <c r="P92" s="4" t="s">
        <v>97</v>
      </c>
      <c r="Q92" s="4" t="s">
        <v>97</v>
      </c>
      <c r="R92" s="14" t="s">
        <v>100</v>
      </c>
      <c r="S92" s="14" t="s">
        <v>100</v>
      </c>
      <c r="T92" s="14" t="s">
        <v>100</v>
      </c>
      <c r="U92" s="14"/>
      <c r="V92" s="14"/>
      <c r="W92" s="14"/>
      <c r="X92" s="14"/>
      <c r="Y92" s="5">
        <v>45589</v>
      </c>
      <c r="Z92" s="5">
        <v>45593</v>
      </c>
      <c r="AA92" s="5" t="s">
        <v>103</v>
      </c>
      <c r="AB92" s="5" t="s">
        <v>272</v>
      </c>
      <c r="AC92" s="5" t="s">
        <v>97</v>
      </c>
      <c r="AD92" s="5" t="s">
        <v>97</v>
      </c>
      <c r="AE92" s="5" t="s">
        <v>97</v>
      </c>
      <c r="AF92" s="5" t="s">
        <v>97</v>
      </c>
      <c r="AG92" s="5" t="s">
        <v>97</v>
      </c>
      <c r="AH92" s="5" t="s">
        <v>103</v>
      </c>
      <c r="AI92" s="5">
        <v>45589</v>
      </c>
      <c r="AJ92" s="5" t="s">
        <v>103</v>
      </c>
      <c r="AK92" s="5" t="s">
        <v>103</v>
      </c>
      <c r="AL92" s="5" t="s">
        <v>97</v>
      </c>
      <c r="AM92" s="5" t="s">
        <v>97</v>
      </c>
      <c r="AN92" s="5" t="s">
        <v>103</v>
      </c>
      <c r="AO92" s="5" t="s">
        <v>97</v>
      </c>
      <c r="AP92" s="5" t="s">
        <v>97</v>
      </c>
      <c r="AQ92" s="5" t="s">
        <v>97</v>
      </c>
      <c r="AR92" s="5" t="s">
        <v>97</v>
      </c>
      <c r="AS92" s="5" t="s">
        <v>97</v>
      </c>
      <c r="AT92" s="5"/>
      <c r="AU92" s="5"/>
      <c r="AV92" s="4" t="s">
        <v>103</v>
      </c>
      <c r="AW92" s="4" t="s">
        <v>97</v>
      </c>
      <c r="AX92" s="4" t="s">
        <v>97</v>
      </c>
      <c r="AY92" s="4" t="s">
        <v>97</v>
      </c>
      <c r="AZ92" s="4" t="s">
        <v>103</v>
      </c>
      <c r="BA92" s="4" t="s">
        <v>97</v>
      </c>
      <c r="BB92" s="5">
        <v>45593</v>
      </c>
      <c r="BC92" s="5">
        <v>45594</v>
      </c>
      <c r="BD92" s="5">
        <v>45595</v>
      </c>
      <c r="BE92" s="5">
        <v>45596</v>
      </c>
      <c r="BF92" s="5" t="s">
        <v>98</v>
      </c>
      <c r="BG92" s="5" t="s">
        <v>97</v>
      </c>
      <c r="BH92" s="5" t="s">
        <v>103</v>
      </c>
      <c r="BI92" s="5" t="s">
        <v>115</v>
      </c>
    </row>
    <row r="93" spans="1:61" x14ac:dyDescent="0.35">
      <c r="A93" s="8" t="str">
        <f t="shared" si="8"/>
        <v>Semaine 43-2024</v>
      </c>
      <c r="B93" s="8" t="str">
        <f t="shared" si="9"/>
        <v>2024</v>
      </c>
      <c r="C93" s="2" t="s">
        <v>75</v>
      </c>
      <c r="D93" s="6" t="str">
        <f t="shared" si="10"/>
        <v>Diourbel</v>
      </c>
      <c r="E93" s="6">
        <f t="shared" si="11"/>
        <v>996481</v>
      </c>
      <c r="F93" s="6">
        <f t="shared" si="12"/>
        <v>1980827</v>
      </c>
      <c r="G93" s="4" t="s">
        <v>374</v>
      </c>
      <c r="H93" s="4" t="s">
        <v>377</v>
      </c>
      <c r="I93" s="4">
        <v>1</v>
      </c>
      <c r="J93" s="4" t="s">
        <v>114</v>
      </c>
      <c r="K93" s="4"/>
      <c r="L93" s="4"/>
      <c r="M93" s="4"/>
      <c r="N93" s="4"/>
      <c r="O93" s="4" t="s">
        <v>238</v>
      </c>
      <c r="P93" s="4" t="s">
        <v>97</v>
      </c>
      <c r="Q93" s="4" t="s">
        <v>97</v>
      </c>
      <c r="R93" s="14" t="s">
        <v>100</v>
      </c>
      <c r="S93" s="14" t="s">
        <v>100</v>
      </c>
      <c r="T93" s="14" t="s">
        <v>100</v>
      </c>
      <c r="U93" s="14"/>
      <c r="V93" s="14"/>
      <c r="W93" s="14"/>
      <c r="X93" s="14"/>
      <c r="Y93" s="5">
        <v>45586</v>
      </c>
      <c r="Z93" s="5">
        <v>45595</v>
      </c>
      <c r="AA93" s="5" t="s">
        <v>103</v>
      </c>
      <c r="AB93" s="5"/>
      <c r="AC93" s="5" t="s">
        <v>97</v>
      </c>
      <c r="AD93" s="5" t="s">
        <v>97</v>
      </c>
      <c r="AE93" s="5" t="s">
        <v>97</v>
      </c>
      <c r="AF93" s="5" t="s">
        <v>97</v>
      </c>
      <c r="AG93" s="5" t="s">
        <v>97</v>
      </c>
      <c r="AH93" s="5" t="s">
        <v>103</v>
      </c>
      <c r="AI93" s="5">
        <v>45591</v>
      </c>
      <c r="AJ93" s="5" t="s">
        <v>103</v>
      </c>
      <c r="AK93" s="5" t="s">
        <v>103</v>
      </c>
      <c r="AL93" s="5" t="s">
        <v>97</v>
      </c>
      <c r="AM93" s="5" t="s">
        <v>103</v>
      </c>
      <c r="AN93" s="5" t="s">
        <v>103</v>
      </c>
      <c r="AO93" s="5" t="s">
        <v>103</v>
      </c>
      <c r="AP93" s="5" t="s">
        <v>103</v>
      </c>
      <c r="AQ93" s="5" t="s">
        <v>97</v>
      </c>
      <c r="AR93" s="5" t="s">
        <v>97</v>
      </c>
      <c r="AS93" s="5" t="s">
        <v>97</v>
      </c>
      <c r="AT93" s="5"/>
      <c r="AU93" s="5"/>
      <c r="AV93" s="4" t="s">
        <v>103</v>
      </c>
      <c r="AW93" s="4" t="s">
        <v>97</v>
      </c>
      <c r="AX93" s="4" t="s">
        <v>97</v>
      </c>
      <c r="AY93" s="4" t="s">
        <v>97</v>
      </c>
      <c r="AZ93" s="4" t="s">
        <v>97</v>
      </c>
      <c r="BA93" s="4" t="s">
        <v>97</v>
      </c>
      <c r="BB93" s="5">
        <v>45595</v>
      </c>
      <c r="BC93" s="5">
        <v>45595</v>
      </c>
      <c r="BD93" s="5">
        <v>45595</v>
      </c>
      <c r="BE93" s="5">
        <v>45596</v>
      </c>
      <c r="BF93" s="5" t="s">
        <v>98</v>
      </c>
      <c r="BG93" s="5" t="s">
        <v>97</v>
      </c>
      <c r="BH93" s="5" t="s">
        <v>103</v>
      </c>
      <c r="BI93" s="5" t="s">
        <v>115</v>
      </c>
    </row>
    <row r="94" spans="1:61" x14ac:dyDescent="0.35">
      <c r="A94" s="8" t="str">
        <f t="shared" si="8"/>
        <v>Semaine 43-2024</v>
      </c>
      <c r="B94" s="8" t="str">
        <f t="shared" si="9"/>
        <v>2024</v>
      </c>
      <c r="C94" s="2" t="s">
        <v>40</v>
      </c>
      <c r="D94" s="6" t="str">
        <f t="shared" si="10"/>
        <v>Tambacounda</v>
      </c>
      <c r="E94" s="6">
        <f t="shared" si="11"/>
        <v>74367</v>
      </c>
      <c r="F94" s="6">
        <f t="shared" si="12"/>
        <v>937181</v>
      </c>
      <c r="G94" s="4" t="s">
        <v>375</v>
      </c>
      <c r="H94" s="4" t="s">
        <v>378</v>
      </c>
      <c r="I94" s="4">
        <v>35</v>
      </c>
      <c r="J94" s="4" t="s">
        <v>114</v>
      </c>
      <c r="K94" s="4"/>
      <c r="L94" s="4"/>
      <c r="M94" s="4"/>
      <c r="N94" s="4"/>
      <c r="O94" s="4" t="s">
        <v>238</v>
      </c>
      <c r="P94" s="4" t="s">
        <v>97</v>
      </c>
      <c r="Q94" s="4" t="s">
        <v>97</v>
      </c>
      <c r="R94" s="14" t="s">
        <v>100</v>
      </c>
      <c r="S94" s="14" t="s">
        <v>100</v>
      </c>
      <c r="T94" s="14" t="s">
        <v>100</v>
      </c>
      <c r="U94" s="14"/>
      <c r="V94" s="14"/>
      <c r="W94" s="14"/>
      <c r="X94" s="14"/>
      <c r="Y94" s="5">
        <v>45589</v>
      </c>
      <c r="Z94" s="5">
        <v>45591</v>
      </c>
      <c r="AA94" s="5" t="s">
        <v>103</v>
      </c>
      <c r="AB94" s="5"/>
      <c r="AC94" s="5" t="s">
        <v>103</v>
      </c>
      <c r="AD94" s="5" t="s">
        <v>103</v>
      </c>
      <c r="AE94" s="5" t="s">
        <v>97</v>
      </c>
      <c r="AF94" s="5" t="s">
        <v>103</v>
      </c>
      <c r="AG94" s="5" t="s">
        <v>103</v>
      </c>
      <c r="AH94" s="5" t="s">
        <v>103</v>
      </c>
      <c r="AI94" s="5">
        <v>45589</v>
      </c>
      <c r="AJ94" s="5"/>
      <c r="AK94" s="5"/>
      <c r="AL94" s="5" t="s">
        <v>103</v>
      </c>
      <c r="AM94" s="5" t="s">
        <v>103</v>
      </c>
      <c r="AN94" s="5" t="s">
        <v>103</v>
      </c>
      <c r="AO94" s="5" t="s">
        <v>103</v>
      </c>
      <c r="AP94" s="5" t="s">
        <v>103</v>
      </c>
      <c r="AQ94" s="5" t="s">
        <v>97</v>
      </c>
      <c r="AR94" s="5" t="s">
        <v>97</v>
      </c>
      <c r="AS94" s="5" t="s">
        <v>97</v>
      </c>
      <c r="AT94" s="5"/>
      <c r="AU94" s="5"/>
      <c r="AV94" s="4" t="s">
        <v>103</v>
      </c>
      <c r="AW94" s="4" t="s">
        <v>97</v>
      </c>
      <c r="AX94" s="4" t="s">
        <v>97</v>
      </c>
      <c r="AY94" s="4" t="s">
        <v>97</v>
      </c>
      <c r="AZ94" s="4" t="s">
        <v>103</v>
      </c>
      <c r="BA94" s="4" t="s">
        <v>97</v>
      </c>
      <c r="BB94" s="5">
        <v>45592</v>
      </c>
      <c r="BC94" s="5">
        <v>45594</v>
      </c>
      <c r="BD94" s="5">
        <v>45595</v>
      </c>
      <c r="BE94" s="5">
        <v>45596</v>
      </c>
      <c r="BF94" s="5" t="s">
        <v>98</v>
      </c>
      <c r="BG94" s="5" t="s">
        <v>97</v>
      </c>
      <c r="BH94" s="5" t="s">
        <v>103</v>
      </c>
      <c r="BI94" s="5" t="s">
        <v>115</v>
      </c>
    </row>
    <row r="95" spans="1:61" x14ac:dyDescent="0.35">
      <c r="A95" s="8" t="str">
        <f t="shared" si="8"/>
        <v>Semaine 44-2024</v>
      </c>
      <c r="B95" s="8" t="str">
        <f t="shared" si="9"/>
        <v>2024</v>
      </c>
      <c r="C95" s="2" t="s">
        <v>20</v>
      </c>
      <c r="D95" s="6" t="str">
        <f t="shared" si="10"/>
        <v>Dakar</v>
      </c>
      <c r="E95" s="6">
        <f t="shared" si="11"/>
        <v>272276</v>
      </c>
      <c r="F95" s="6">
        <f t="shared" si="12"/>
        <v>4042240</v>
      </c>
      <c r="G95" s="4" t="s">
        <v>379</v>
      </c>
      <c r="H95" s="4" t="s">
        <v>380</v>
      </c>
      <c r="I95" s="4">
        <v>9</v>
      </c>
      <c r="J95" s="4" t="s">
        <v>114</v>
      </c>
      <c r="K95" s="4"/>
      <c r="L95" s="4"/>
      <c r="M95" s="4"/>
      <c r="N95" s="4"/>
      <c r="O95" s="4" t="s">
        <v>238</v>
      </c>
      <c r="P95" s="4" t="s">
        <v>97</v>
      </c>
      <c r="Q95" s="4" t="s">
        <v>97</v>
      </c>
      <c r="R95" s="14" t="s">
        <v>100</v>
      </c>
      <c r="S95" s="14" t="s">
        <v>100</v>
      </c>
      <c r="T95" s="14" t="s">
        <v>100</v>
      </c>
      <c r="U95" s="14"/>
      <c r="V95" s="14"/>
      <c r="W95" s="14"/>
      <c r="X95" s="14"/>
      <c r="Y95" s="5">
        <v>45595</v>
      </c>
      <c r="Z95" s="5">
        <v>45596</v>
      </c>
      <c r="AA95" s="5" t="s">
        <v>103</v>
      </c>
      <c r="AB95" s="5"/>
      <c r="AC95" s="5" t="s">
        <v>103</v>
      </c>
      <c r="AD95" s="5" t="s">
        <v>97</v>
      </c>
      <c r="AE95" s="5" t="s">
        <v>97</v>
      </c>
      <c r="AF95" s="5" t="s">
        <v>103</v>
      </c>
      <c r="AG95" s="5" t="s">
        <v>97</v>
      </c>
      <c r="AH95" s="5" t="s">
        <v>103</v>
      </c>
      <c r="AI95" s="5">
        <v>45595</v>
      </c>
      <c r="AJ95" s="5"/>
      <c r="AK95" s="5"/>
      <c r="AL95" s="5" t="s">
        <v>103</v>
      </c>
      <c r="AM95" s="5" t="s">
        <v>103</v>
      </c>
      <c r="AN95" s="5" t="s">
        <v>103</v>
      </c>
      <c r="AO95" s="5" t="s">
        <v>103</v>
      </c>
      <c r="AP95" s="5" t="s">
        <v>103</v>
      </c>
      <c r="AQ95" s="5" t="s">
        <v>97</v>
      </c>
      <c r="AR95" s="5" t="s">
        <v>97</v>
      </c>
      <c r="AS95" s="5" t="s">
        <v>97</v>
      </c>
      <c r="AT95" s="5" t="s">
        <v>382</v>
      </c>
      <c r="AU95" s="5"/>
      <c r="AV95" s="4" t="s">
        <v>97</v>
      </c>
      <c r="AW95" s="4" t="s">
        <v>97</v>
      </c>
      <c r="AX95" s="4" t="s">
        <v>97</v>
      </c>
      <c r="AY95" s="4" t="s">
        <v>97</v>
      </c>
      <c r="AZ95" s="4" t="s">
        <v>103</v>
      </c>
      <c r="BA95" s="4" t="s">
        <v>97</v>
      </c>
      <c r="BB95" s="5">
        <v>45595</v>
      </c>
      <c r="BC95" s="5">
        <v>45596</v>
      </c>
      <c r="BD95" s="5">
        <v>45596</v>
      </c>
      <c r="BE95" s="5">
        <v>45597</v>
      </c>
      <c r="BF95" s="5" t="s">
        <v>98</v>
      </c>
      <c r="BG95" s="5" t="s">
        <v>97</v>
      </c>
      <c r="BH95" s="5" t="s">
        <v>103</v>
      </c>
      <c r="BI95" s="5" t="s">
        <v>381</v>
      </c>
    </row>
    <row r="96" spans="1:61" x14ac:dyDescent="0.35">
      <c r="A96" s="8" t="str">
        <f t="shared" si="8"/>
        <v>Semaine 28-2024</v>
      </c>
      <c r="B96" s="8" t="str">
        <f t="shared" si="9"/>
        <v>2024</v>
      </c>
      <c r="C96" s="2" t="s">
        <v>67</v>
      </c>
      <c r="D96" s="6" t="str">
        <f t="shared" si="10"/>
        <v>Kedougou</v>
      </c>
      <c r="E96" s="6">
        <f t="shared" si="11"/>
        <v>29759</v>
      </c>
      <c r="F96" s="6">
        <f t="shared" si="12"/>
        <v>203720</v>
      </c>
      <c r="G96" s="4" t="s">
        <v>384</v>
      </c>
      <c r="H96" s="4" t="s">
        <v>385</v>
      </c>
      <c r="I96" s="4">
        <v>45</v>
      </c>
      <c r="J96" s="4" t="s">
        <v>114</v>
      </c>
      <c r="K96" s="9" t="s">
        <v>256</v>
      </c>
      <c r="L96" s="19">
        <v>45540</v>
      </c>
      <c r="M96" s="4"/>
      <c r="N96" s="4"/>
      <c r="O96" s="4" t="s">
        <v>238</v>
      </c>
      <c r="P96" s="4" t="s">
        <v>97</v>
      </c>
      <c r="Q96" s="4" t="s">
        <v>97</v>
      </c>
      <c r="R96" s="14" t="s">
        <v>100</v>
      </c>
      <c r="S96" s="14" t="s">
        <v>100</v>
      </c>
      <c r="T96" s="14" t="s">
        <v>100</v>
      </c>
      <c r="U96" s="14"/>
      <c r="V96" s="14"/>
      <c r="W96" s="14"/>
      <c r="X96" s="14"/>
      <c r="Y96" s="5">
        <v>45483</v>
      </c>
      <c r="Z96" s="5">
        <v>45569</v>
      </c>
      <c r="AA96" s="5" t="s">
        <v>103</v>
      </c>
      <c r="AB96" s="5"/>
      <c r="AC96" s="5" t="s">
        <v>103</v>
      </c>
      <c r="AD96" s="5" t="s">
        <v>97</v>
      </c>
      <c r="AE96" s="5" t="s">
        <v>97</v>
      </c>
      <c r="AF96" s="5" t="s">
        <v>97</v>
      </c>
      <c r="AG96" s="5" t="s">
        <v>103</v>
      </c>
      <c r="AH96" s="5" t="s">
        <v>103</v>
      </c>
      <c r="AI96" s="5">
        <v>45483</v>
      </c>
      <c r="AJ96" s="5"/>
      <c r="AK96" s="5"/>
      <c r="AL96" s="5" t="s">
        <v>103</v>
      </c>
      <c r="AM96" s="5" t="s">
        <v>103</v>
      </c>
      <c r="AN96" s="5" t="s">
        <v>103</v>
      </c>
      <c r="AO96" s="5" t="s">
        <v>97</v>
      </c>
      <c r="AP96" s="5" t="s">
        <v>97</v>
      </c>
      <c r="AQ96" s="5" t="s">
        <v>103</v>
      </c>
      <c r="AR96" s="5" t="s">
        <v>103</v>
      </c>
      <c r="AS96" s="5" t="s">
        <v>103</v>
      </c>
      <c r="AT96" s="5"/>
      <c r="AU96" s="5"/>
      <c r="AV96" s="4" t="s">
        <v>103</v>
      </c>
      <c r="AW96" s="4" t="s">
        <v>97</v>
      </c>
      <c r="AX96" s="4" t="s">
        <v>97</v>
      </c>
      <c r="AY96" s="4" t="s">
        <v>97</v>
      </c>
      <c r="AZ96" s="4" t="s">
        <v>103</v>
      </c>
      <c r="BA96" s="4" t="s">
        <v>97</v>
      </c>
      <c r="BB96" s="5">
        <v>45569</v>
      </c>
      <c r="BC96" s="5">
        <v>45569</v>
      </c>
      <c r="BD96" s="5">
        <v>45572</v>
      </c>
      <c r="BE96" s="5">
        <v>45601</v>
      </c>
      <c r="BF96" s="5" t="s">
        <v>98</v>
      </c>
      <c r="BG96" s="5" t="s">
        <v>97</v>
      </c>
      <c r="BH96" s="5" t="s">
        <v>103</v>
      </c>
      <c r="BI96" s="5" t="s">
        <v>115</v>
      </c>
    </row>
    <row r="97" spans="1:61" x14ac:dyDescent="0.35">
      <c r="A97" s="8" t="str">
        <f t="shared" si="8"/>
        <v>Semaine 42-2024</v>
      </c>
      <c r="B97" s="8" t="str">
        <f t="shared" si="9"/>
        <v>2024</v>
      </c>
      <c r="C97" s="2" t="s">
        <v>63</v>
      </c>
      <c r="D97" s="6" t="str">
        <f t="shared" si="10"/>
        <v>Saint-Louis</v>
      </c>
      <c r="E97" s="6">
        <f t="shared" si="11"/>
        <v>205977</v>
      </c>
      <c r="F97" s="6">
        <f t="shared" si="12"/>
        <v>1150065</v>
      </c>
      <c r="G97" s="4" t="s">
        <v>383</v>
      </c>
      <c r="H97" s="4" t="s">
        <v>386</v>
      </c>
      <c r="I97" s="4">
        <v>35</v>
      </c>
      <c r="J97" s="4" t="s">
        <v>96</v>
      </c>
      <c r="K97" s="4"/>
      <c r="L97" s="4"/>
      <c r="M97" s="4"/>
      <c r="N97" s="4"/>
      <c r="O97" s="4" t="s">
        <v>238</v>
      </c>
      <c r="P97" s="4" t="s">
        <v>97</v>
      </c>
      <c r="Q97" s="4" t="s">
        <v>97</v>
      </c>
      <c r="R97" s="14" t="s">
        <v>100</v>
      </c>
      <c r="S97" s="14" t="s">
        <v>100</v>
      </c>
      <c r="T97" s="14" t="s">
        <v>100</v>
      </c>
      <c r="U97" s="14"/>
      <c r="V97" s="14"/>
      <c r="W97" s="14"/>
      <c r="X97" s="14"/>
      <c r="Y97" s="5">
        <v>45583</v>
      </c>
      <c r="Z97" s="5">
        <v>45586</v>
      </c>
      <c r="AA97" s="5" t="s">
        <v>103</v>
      </c>
      <c r="AB97" s="5" t="s">
        <v>387</v>
      </c>
      <c r="AC97" s="5" t="s">
        <v>103</v>
      </c>
      <c r="AD97" s="5" t="s">
        <v>97</v>
      </c>
      <c r="AE97" s="5" t="s">
        <v>103</v>
      </c>
      <c r="AF97" s="5" t="s">
        <v>103</v>
      </c>
      <c r="AG97" s="5" t="s">
        <v>97</v>
      </c>
      <c r="AH97" s="5" t="s">
        <v>103</v>
      </c>
      <c r="AI97" s="5">
        <v>45583</v>
      </c>
      <c r="AJ97" s="5" t="s">
        <v>103</v>
      </c>
      <c r="AK97" s="5" t="s">
        <v>103</v>
      </c>
      <c r="AL97" s="5" t="s">
        <v>97</v>
      </c>
      <c r="AM97" s="5" t="s">
        <v>97</v>
      </c>
      <c r="AN97" s="5" t="s">
        <v>97</v>
      </c>
      <c r="AO97" s="5" t="s">
        <v>97</v>
      </c>
      <c r="AP97" s="5" t="s">
        <v>97</v>
      </c>
      <c r="AQ97" s="5" t="s">
        <v>103</v>
      </c>
      <c r="AR97" s="5" t="s">
        <v>97</v>
      </c>
      <c r="AS97" s="5" t="s">
        <v>97</v>
      </c>
      <c r="AT97" s="5"/>
      <c r="AU97" s="5"/>
      <c r="AV97" s="4" t="s">
        <v>103</v>
      </c>
      <c r="AW97" s="4" t="s">
        <v>97</v>
      </c>
      <c r="AX97" s="4" t="s">
        <v>97</v>
      </c>
      <c r="AY97" s="4" t="s">
        <v>97</v>
      </c>
      <c r="AZ97" s="4" t="s">
        <v>103</v>
      </c>
      <c r="BA97" s="4" t="s">
        <v>97</v>
      </c>
      <c r="BB97" s="5">
        <v>45586</v>
      </c>
      <c r="BC97" s="5">
        <v>45586</v>
      </c>
      <c r="BD97" s="5">
        <v>45600</v>
      </c>
      <c r="BE97" s="5">
        <v>45601</v>
      </c>
      <c r="BF97" s="5" t="s">
        <v>98</v>
      </c>
      <c r="BG97" s="5" t="s">
        <v>97</v>
      </c>
      <c r="BH97" s="5" t="s">
        <v>103</v>
      </c>
      <c r="BI97" s="5" t="s">
        <v>115</v>
      </c>
    </row>
    <row r="98" spans="1:61" x14ac:dyDescent="0.35">
      <c r="A98" s="8" t="str">
        <f t="shared" si="8"/>
        <v>Semaine 44-2024</v>
      </c>
      <c r="B98" s="8" t="str">
        <f t="shared" si="9"/>
        <v>2024</v>
      </c>
      <c r="C98" s="2" t="s">
        <v>71</v>
      </c>
      <c r="D98" s="6" t="str">
        <f t="shared" si="10"/>
        <v>Thies</v>
      </c>
      <c r="E98" s="6">
        <f t="shared" si="11"/>
        <v>195082</v>
      </c>
      <c r="F98" s="6">
        <f t="shared" si="12"/>
        <v>2280463</v>
      </c>
      <c r="G98" s="4" t="s">
        <v>388</v>
      </c>
      <c r="H98" s="4" t="s">
        <v>389</v>
      </c>
      <c r="I98" s="4">
        <v>4</v>
      </c>
      <c r="J98" s="4" t="s">
        <v>114</v>
      </c>
      <c r="K98" s="4"/>
      <c r="L98" s="4"/>
      <c r="M98" s="4"/>
      <c r="N98" s="4"/>
      <c r="O98" s="4" t="s">
        <v>238</v>
      </c>
      <c r="P98" s="4" t="s">
        <v>97</v>
      </c>
      <c r="Q98" s="4" t="s">
        <v>97</v>
      </c>
      <c r="R98" s="14" t="s">
        <v>100</v>
      </c>
      <c r="S98" s="14" t="s">
        <v>100</v>
      </c>
      <c r="T98" s="14" t="s">
        <v>100</v>
      </c>
      <c r="U98" s="14"/>
      <c r="V98" s="14"/>
      <c r="W98" s="14"/>
      <c r="X98" s="14"/>
      <c r="Y98" s="5">
        <v>45596</v>
      </c>
      <c r="Z98" s="5">
        <v>45600</v>
      </c>
      <c r="AA98" s="5" t="s">
        <v>97</v>
      </c>
      <c r="AB98" s="5" t="s">
        <v>392</v>
      </c>
      <c r="AC98" s="5" t="s">
        <v>97</v>
      </c>
      <c r="AD98" s="5" t="s">
        <v>97</v>
      </c>
      <c r="AE98" s="5" t="s">
        <v>97</v>
      </c>
      <c r="AF98" s="5" t="s">
        <v>97</v>
      </c>
      <c r="AG98" s="5" t="s">
        <v>97</v>
      </c>
      <c r="AH98" s="5" t="s">
        <v>103</v>
      </c>
      <c r="AI98" s="5">
        <v>45596</v>
      </c>
      <c r="AJ98" s="5" t="s">
        <v>103</v>
      </c>
      <c r="AK98" s="5" t="s">
        <v>103</v>
      </c>
      <c r="AL98" s="5" t="s">
        <v>97</v>
      </c>
      <c r="AM98" s="5" t="s">
        <v>103</v>
      </c>
      <c r="AN98" s="5" t="s">
        <v>97</v>
      </c>
      <c r="AO98" s="5" t="s">
        <v>97</v>
      </c>
      <c r="AP98" s="5" t="s">
        <v>97</v>
      </c>
      <c r="AQ98" s="5" t="s">
        <v>97</v>
      </c>
      <c r="AR98" s="5" t="s">
        <v>97</v>
      </c>
      <c r="AS98" s="5" t="s">
        <v>97</v>
      </c>
      <c r="AT98" s="5"/>
      <c r="AU98" s="5"/>
      <c r="AV98" s="4" t="s">
        <v>97</v>
      </c>
      <c r="AW98" s="4" t="s">
        <v>97</v>
      </c>
      <c r="AX98" s="4" t="s">
        <v>97</v>
      </c>
      <c r="AY98" s="4" t="s">
        <v>97</v>
      </c>
      <c r="AZ98" s="4" t="s">
        <v>103</v>
      </c>
      <c r="BA98" s="4" t="s">
        <v>97</v>
      </c>
      <c r="BB98" s="5">
        <v>45602</v>
      </c>
      <c r="BC98" s="5">
        <v>45603</v>
      </c>
      <c r="BD98" s="5">
        <v>45603</v>
      </c>
      <c r="BE98" s="5">
        <v>45603</v>
      </c>
      <c r="BF98" s="5" t="s">
        <v>98</v>
      </c>
      <c r="BG98" s="5" t="s">
        <v>97</v>
      </c>
      <c r="BH98" s="5" t="s">
        <v>103</v>
      </c>
      <c r="BI98" s="5" t="s">
        <v>360</v>
      </c>
    </row>
    <row r="99" spans="1:61" x14ac:dyDescent="0.35">
      <c r="A99" s="8" t="str">
        <f t="shared" si="8"/>
        <v>Semaine 43-2024</v>
      </c>
      <c r="B99" s="8" t="str">
        <f t="shared" si="9"/>
        <v>2024</v>
      </c>
      <c r="C99" s="2" t="s">
        <v>4</v>
      </c>
      <c r="D99" s="6" t="str">
        <f t="shared" si="10"/>
        <v>Thies</v>
      </c>
      <c r="E99" s="6">
        <f t="shared" si="11"/>
        <v>462449</v>
      </c>
      <c r="F99" s="6">
        <f t="shared" si="12"/>
        <v>2280463</v>
      </c>
      <c r="G99" s="4" t="s">
        <v>390</v>
      </c>
      <c r="H99" s="4" t="s">
        <v>393</v>
      </c>
      <c r="I99" s="4">
        <v>4</v>
      </c>
      <c r="J99" s="4" t="s">
        <v>96</v>
      </c>
      <c r="K99" s="4"/>
      <c r="L99" s="4"/>
      <c r="M99" s="4"/>
      <c r="N99" s="4"/>
      <c r="O99" s="4" t="s">
        <v>238</v>
      </c>
      <c r="P99" s="4" t="s">
        <v>97</v>
      </c>
      <c r="Q99" s="4" t="s">
        <v>97</v>
      </c>
      <c r="R99" s="14" t="s">
        <v>100</v>
      </c>
      <c r="S99" s="14" t="s">
        <v>100</v>
      </c>
      <c r="T99" s="14" t="s">
        <v>100</v>
      </c>
      <c r="U99" s="14"/>
      <c r="V99" s="14"/>
      <c r="W99" s="14"/>
      <c r="X99" s="14"/>
      <c r="Y99" s="5">
        <v>45588</v>
      </c>
      <c r="Z99" s="5">
        <v>45602</v>
      </c>
      <c r="AA99" s="5" t="s">
        <v>103</v>
      </c>
      <c r="AB99" s="5" t="s">
        <v>257</v>
      </c>
      <c r="AC99" s="5" t="s">
        <v>97</v>
      </c>
      <c r="AD99" s="5" t="s">
        <v>97</v>
      </c>
      <c r="AE99" s="5" t="s">
        <v>97</v>
      </c>
      <c r="AF99" s="5" t="s">
        <v>97</v>
      </c>
      <c r="AG99" s="5" t="s">
        <v>97</v>
      </c>
      <c r="AH99" s="5" t="s">
        <v>103</v>
      </c>
      <c r="AI99" s="5">
        <v>45588</v>
      </c>
      <c r="AJ99" s="5" t="s">
        <v>103</v>
      </c>
      <c r="AK99" s="5"/>
      <c r="AL99" s="5" t="s">
        <v>103</v>
      </c>
      <c r="AM99" s="5" t="s">
        <v>97</v>
      </c>
      <c r="AN99" s="5" t="s">
        <v>103</v>
      </c>
      <c r="AO99" s="5" t="s">
        <v>97</v>
      </c>
      <c r="AP99" s="5" t="s">
        <v>97</v>
      </c>
      <c r="AQ99" s="5" t="s">
        <v>97</v>
      </c>
      <c r="AR99" s="5" t="s">
        <v>97</v>
      </c>
      <c r="AS99" s="5" t="s">
        <v>97</v>
      </c>
      <c r="AT99" s="5" t="s">
        <v>394</v>
      </c>
      <c r="AU99" s="5"/>
      <c r="AV99" s="4" t="s">
        <v>103</v>
      </c>
      <c r="AW99" s="4" t="s">
        <v>97</v>
      </c>
      <c r="AX99" s="4" t="s">
        <v>103</v>
      </c>
      <c r="AY99" s="4" t="s">
        <v>97</v>
      </c>
      <c r="AZ99" s="4" t="s">
        <v>103</v>
      </c>
      <c r="BA99" s="4" t="s">
        <v>97</v>
      </c>
      <c r="BB99" s="5">
        <v>45602</v>
      </c>
      <c r="BC99" s="5">
        <v>45602</v>
      </c>
      <c r="BD99" s="5">
        <v>45603</v>
      </c>
      <c r="BE99" s="5">
        <v>45603</v>
      </c>
      <c r="BF99" s="5" t="s">
        <v>98</v>
      </c>
      <c r="BG99" s="5" t="s">
        <v>97</v>
      </c>
      <c r="BH99" s="5" t="s">
        <v>103</v>
      </c>
      <c r="BI99" s="5" t="s">
        <v>360</v>
      </c>
    </row>
    <row r="100" spans="1:61" x14ac:dyDescent="0.35">
      <c r="A100" s="8" t="str">
        <f t="shared" si="8"/>
        <v>Semaine 44-2024</v>
      </c>
      <c r="B100" s="8" t="str">
        <f t="shared" si="9"/>
        <v>2024</v>
      </c>
      <c r="C100" s="2" t="s">
        <v>71</v>
      </c>
      <c r="D100" s="6" t="str">
        <f t="shared" si="10"/>
        <v>Thies</v>
      </c>
      <c r="E100" s="6">
        <f t="shared" si="11"/>
        <v>195082</v>
      </c>
      <c r="F100" s="6">
        <f t="shared" si="12"/>
        <v>2280463</v>
      </c>
      <c r="G100" s="4" t="s">
        <v>391</v>
      </c>
      <c r="H100" s="4" t="s">
        <v>395</v>
      </c>
      <c r="I100" s="4">
        <v>8</v>
      </c>
      <c r="J100" s="4" t="s">
        <v>96</v>
      </c>
      <c r="K100" s="4"/>
      <c r="L100" s="4"/>
      <c r="M100" s="4"/>
      <c r="N100" s="4"/>
      <c r="O100" s="4" t="s">
        <v>238</v>
      </c>
      <c r="P100" s="4" t="s">
        <v>97</v>
      </c>
      <c r="Q100" s="4" t="s">
        <v>97</v>
      </c>
      <c r="R100" s="14" t="s">
        <v>100</v>
      </c>
      <c r="S100" s="14" t="s">
        <v>100</v>
      </c>
      <c r="T100" s="14" t="s">
        <v>100</v>
      </c>
      <c r="U100" s="14"/>
      <c r="V100" s="14"/>
      <c r="W100" s="14"/>
      <c r="X100" s="14"/>
      <c r="Y100" s="5">
        <v>45596</v>
      </c>
      <c r="Z100" s="5">
        <v>45600</v>
      </c>
      <c r="AA100" s="5" t="s">
        <v>97</v>
      </c>
      <c r="AB100" s="5" t="s">
        <v>396</v>
      </c>
      <c r="AC100" s="5" t="s">
        <v>97</v>
      </c>
      <c r="AD100" s="5" t="s">
        <v>97</v>
      </c>
      <c r="AE100" s="5" t="s">
        <v>97</v>
      </c>
      <c r="AF100" s="5" t="s">
        <v>97</v>
      </c>
      <c r="AG100" s="5" t="s">
        <v>97</v>
      </c>
      <c r="AH100" s="5" t="s">
        <v>103</v>
      </c>
      <c r="AI100" s="5">
        <v>45596</v>
      </c>
      <c r="AJ100" s="5" t="s">
        <v>103</v>
      </c>
      <c r="AK100" s="5" t="s">
        <v>103</v>
      </c>
      <c r="AL100" s="5" t="s">
        <v>97</v>
      </c>
      <c r="AM100" s="5" t="s">
        <v>103</v>
      </c>
      <c r="AN100" s="5" t="s">
        <v>103</v>
      </c>
      <c r="AO100" s="5" t="s">
        <v>97</v>
      </c>
      <c r="AP100" s="5" t="s">
        <v>97</v>
      </c>
      <c r="AQ100" s="5" t="s">
        <v>97</v>
      </c>
      <c r="AR100" s="5" t="s">
        <v>97</v>
      </c>
      <c r="AS100" s="5" t="s">
        <v>97</v>
      </c>
      <c r="AT100" s="5"/>
      <c r="AU100" s="5"/>
      <c r="AV100" s="4" t="s">
        <v>97</v>
      </c>
      <c r="AW100" s="4" t="s">
        <v>97</v>
      </c>
      <c r="AX100" s="4" t="s">
        <v>97</v>
      </c>
      <c r="AY100" s="4" t="s">
        <v>97</v>
      </c>
      <c r="AZ100" s="4" t="s">
        <v>103</v>
      </c>
      <c r="BA100" s="4" t="s">
        <v>97</v>
      </c>
      <c r="BB100" s="5">
        <v>45602</v>
      </c>
      <c r="BC100" s="5">
        <v>45603</v>
      </c>
      <c r="BD100" s="5">
        <v>45603</v>
      </c>
      <c r="BE100" s="5">
        <v>45603</v>
      </c>
      <c r="BF100" s="5" t="s">
        <v>98</v>
      </c>
      <c r="BG100" s="5" t="s">
        <v>97</v>
      </c>
      <c r="BH100" s="5" t="s">
        <v>103</v>
      </c>
      <c r="BI100" s="5" t="s">
        <v>360</v>
      </c>
    </row>
    <row r="101" spans="1:61" x14ac:dyDescent="0.35">
      <c r="A101" s="8" t="str">
        <f t="shared" si="8"/>
        <v>Semaine 45-2024</v>
      </c>
      <c r="B101" s="8" t="str">
        <f t="shared" si="9"/>
        <v>2024</v>
      </c>
      <c r="C101" s="2" t="s">
        <v>60</v>
      </c>
      <c r="D101" s="6" t="str">
        <f t="shared" si="10"/>
        <v>Thies</v>
      </c>
      <c r="E101" s="6">
        <f t="shared" si="11"/>
        <v>92691</v>
      </c>
      <c r="F101" s="6">
        <f t="shared" si="12"/>
        <v>2280463</v>
      </c>
      <c r="G101" s="4" t="s">
        <v>397</v>
      </c>
      <c r="H101" s="4" t="s">
        <v>398</v>
      </c>
      <c r="I101" s="4">
        <v>5</v>
      </c>
      <c r="J101" s="4" t="s">
        <v>114</v>
      </c>
      <c r="K101" s="9" t="s">
        <v>256</v>
      </c>
      <c r="L101" s="19">
        <v>45603</v>
      </c>
      <c r="M101" s="4"/>
      <c r="N101" s="4"/>
      <c r="O101" s="4" t="s">
        <v>238</v>
      </c>
      <c r="P101" s="4" t="s">
        <v>97</v>
      </c>
      <c r="Q101" s="4" t="s">
        <v>97</v>
      </c>
      <c r="R101" s="14" t="s">
        <v>100</v>
      </c>
      <c r="S101" s="14" t="s">
        <v>100</v>
      </c>
      <c r="T101" s="14" t="s">
        <v>100</v>
      </c>
      <c r="U101" s="14" t="s">
        <v>285</v>
      </c>
      <c r="V101" s="14" t="s">
        <v>399</v>
      </c>
      <c r="W101" s="14"/>
      <c r="X101" s="14"/>
      <c r="Y101" s="5">
        <v>45601</v>
      </c>
      <c r="Z101" s="5">
        <v>45603</v>
      </c>
      <c r="AA101" s="5" t="s">
        <v>97</v>
      </c>
      <c r="AB101" s="5"/>
      <c r="AC101" s="5" t="s">
        <v>97</v>
      </c>
      <c r="AD101" s="5" t="s">
        <v>103</v>
      </c>
      <c r="AE101" s="5" t="s">
        <v>97</v>
      </c>
      <c r="AF101" s="5" t="s">
        <v>97</v>
      </c>
      <c r="AG101" s="5" t="s">
        <v>97</v>
      </c>
      <c r="AH101" s="5" t="s">
        <v>103</v>
      </c>
      <c r="AI101" s="5">
        <v>45601</v>
      </c>
      <c r="AJ101" s="5"/>
      <c r="AK101" s="5"/>
      <c r="AL101" s="5" t="s">
        <v>97</v>
      </c>
      <c r="AM101" s="5" t="s">
        <v>103</v>
      </c>
      <c r="AN101" s="5" t="s">
        <v>103</v>
      </c>
      <c r="AO101" s="5" t="s">
        <v>103</v>
      </c>
      <c r="AP101" s="5" t="s">
        <v>103</v>
      </c>
      <c r="AQ101" s="5" t="s">
        <v>97</v>
      </c>
      <c r="AR101" s="5" t="s">
        <v>97</v>
      </c>
      <c r="AS101" s="5" t="s">
        <v>97</v>
      </c>
      <c r="AT101" s="5"/>
      <c r="AU101" s="5"/>
      <c r="AV101" s="4" t="s">
        <v>103</v>
      </c>
      <c r="AW101" s="4" t="s">
        <v>103</v>
      </c>
      <c r="AX101" s="4" t="s">
        <v>97</v>
      </c>
      <c r="AY101" s="4" t="s">
        <v>97</v>
      </c>
      <c r="AZ101" s="4" t="s">
        <v>97</v>
      </c>
      <c r="BA101" s="4" t="s">
        <v>97</v>
      </c>
      <c r="BB101" s="5">
        <v>45603</v>
      </c>
      <c r="BC101" s="5">
        <v>45603</v>
      </c>
      <c r="BD101" s="5">
        <v>45603</v>
      </c>
      <c r="BE101" s="5">
        <v>45603</v>
      </c>
      <c r="BF101" s="5" t="s">
        <v>98</v>
      </c>
      <c r="BG101" s="5" t="s">
        <v>97</v>
      </c>
      <c r="BH101" s="5" t="s">
        <v>103</v>
      </c>
      <c r="BI101" s="5" t="s">
        <v>115</v>
      </c>
    </row>
    <row r="102" spans="1:61" x14ac:dyDescent="0.35">
      <c r="A102" s="8" t="str">
        <f t="shared" si="8"/>
        <v>Semaine 45-2024</v>
      </c>
      <c r="B102" s="8" t="str">
        <f t="shared" si="9"/>
        <v>2024</v>
      </c>
      <c r="C102" s="2" t="s">
        <v>18</v>
      </c>
      <c r="D102" s="6" t="str">
        <f t="shared" si="10"/>
        <v>Dakar</v>
      </c>
      <c r="E102" s="6">
        <f t="shared" si="11"/>
        <v>419489</v>
      </c>
      <c r="F102" s="6">
        <f t="shared" si="12"/>
        <v>4042240</v>
      </c>
      <c r="G102" s="4" t="s">
        <v>400</v>
      </c>
      <c r="H102" s="4" t="s">
        <v>401</v>
      </c>
      <c r="I102" s="4">
        <v>1</v>
      </c>
      <c r="J102" s="4" t="s">
        <v>114</v>
      </c>
      <c r="K102" s="4"/>
      <c r="L102" s="4"/>
      <c r="M102" s="4"/>
      <c r="N102" s="4"/>
      <c r="O102" s="4" t="s">
        <v>238</v>
      </c>
      <c r="P102" s="4" t="s">
        <v>97</v>
      </c>
      <c r="Q102" s="4" t="s">
        <v>97</v>
      </c>
      <c r="R102" s="14" t="s">
        <v>100</v>
      </c>
      <c r="S102" s="14" t="s">
        <v>100</v>
      </c>
      <c r="T102" s="14" t="s">
        <v>100</v>
      </c>
      <c r="U102" s="14"/>
      <c r="V102" s="14"/>
      <c r="W102" s="14"/>
      <c r="X102" s="14"/>
      <c r="Y102" s="5">
        <v>45603</v>
      </c>
      <c r="Z102" s="5">
        <v>45609</v>
      </c>
      <c r="AA102" s="5" t="s">
        <v>103</v>
      </c>
      <c r="AB102" s="5"/>
      <c r="AC102" s="5" t="s">
        <v>97</v>
      </c>
      <c r="AD102" s="5" t="s">
        <v>97</v>
      </c>
      <c r="AE102" s="5" t="s">
        <v>97</v>
      </c>
      <c r="AF102" s="5" t="s">
        <v>97</v>
      </c>
      <c r="AG102" s="5" t="s">
        <v>97</v>
      </c>
      <c r="AH102" s="5" t="s">
        <v>103</v>
      </c>
      <c r="AI102" s="5">
        <v>45603</v>
      </c>
      <c r="AJ102" s="5"/>
      <c r="AK102" s="5"/>
      <c r="AL102" s="5" t="s">
        <v>103</v>
      </c>
      <c r="AM102" s="5" t="s">
        <v>103</v>
      </c>
      <c r="AN102" s="5" t="s">
        <v>103</v>
      </c>
      <c r="AO102" s="5" t="s">
        <v>103</v>
      </c>
      <c r="AP102" s="5" t="s">
        <v>103</v>
      </c>
      <c r="AQ102" s="5" t="s">
        <v>97</v>
      </c>
      <c r="AR102" s="5" t="s">
        <v>97</v>
      </c>
      <c r="AS102" s="5" t="s">
        <v>97</v>
      </c>
      <c r="AT102" s="5"/>
      <c r="AU102" s="5"/>
      <c r="AV102" s="4" t="s">
        <v>103</v>
      </c>
      <c r="AW102" s="4" t="s">
        <v>97</v>
      </c>
      <c r="AX102" s="4" t="s">
        <v>97</v>
      </c>
      <c r="AY102" s="4" t="s">
        <v>97</v>
      </c>
      <c r="AZ102" s="4" t="s">
        <v>97</v>
      </c>
      <c r="BA102" s="4" t="s">
        <v>97</v>
      </c>
      <c r="BB102" s="5">
        <v>45609</v>
      </c>
      <c r="BC102" s="5">
        <v>45610</v>
      </c>
      <c r="BD102" s="5">
        <v>45610</v>
      </c>
      <c r="BE102" s="5">
        <v>45611</v>
      </c>
      <c r="BF102" s="5" t="s">
        <v>98</v>
      </c>
      <c r="BG102" s="5" t="s">
        <v>97</v>
      </c>
      <c r="BH102" s="5" t="s">
        <v>103</v>
      </c>
      <c r="BI102" s="5" t="s">
        <v>115</v>
      </c>
    </row>
    <row r="103" spans="1:61" x14ac:dyDescent="0.35">
      <c r="A103" s="8" t="str">
        <f t="shared" si="8"/>
        <v>Semaine 47-2024</v>
      </c>
      <c r="B103" s="8" t="str">
        <f t="shared" si="9"/>
        <v>2024</v>
      </c>
      <c r="C103" s="2" t="s">
        <v>73</v>
      </c>
      <c r="D103" s="6" t="str">
        <f t="shared" si="10"/>
        <v>Ziguinchor</v>
      </c>
      <c r="E103" s="6">
        <f t="shared" si="11"/>
        <v>54332</v>
      </c>
      <c r="F103" s="6">
        <f t="shared" si="12"/>
        <v>729952</v>
      </c>
      <c r="G103" s="4" t="s">
        <v>402</v>
      </c>
      <c r="H103" s="4" t="s">
        <v>404</v>
      </c>
      <c r="I103" s="4">
        <v>18</v>
      </c>
      <c r="J103" s="4" t="s">
        <v>114</v>
      </c>
      <c r="K103" s="4" t="s">
        <v>213</v>
      </c>
      <c r="L103" s="4"/>
      <c r="M103" s="4"/>
      <c r="N103" s="4"/>
      <c r="O103" s="4" t="s">
        <v>238</v>
      </c>
      <c r="P103" s="4" t="s">
        <v>97</v>
      </c>
      <c r="Q103" s="4" t="s">
        <v>97</v>
      </c>
      <c r="R103" s="14" t="s">
        <v>100</v>
      </c>
      <c r="S103" s="14" t="s">
        <v>100</v>
      </c>
      <c r="T103" s="14" t="s">
        <v>100</v>
      </c>
      <c r="U103" s="14"/>
      <c r="V103" s="14"/>
      <c r="W103" s="14"/>
      <c r="X103" s="14"/>
      <c r="Y103" s="5">
        <v>45617</v>
      </c>
      <c r="Z103" s="5">
        <v>45624</v>
      </c>
      <c r="AA103" s="5" t="s">
        <v>103</v>
      </c>
      <c r="AB103" s="5" t="s">
        <v>405</v>
      </c>
      <c r="AC103" s="5" t="s">
        <v>103</v>
      </c>
      <c r="AD103" s="5" t="s">
        <v>103</v>
      </c>
      <c r="AE103" s="5" t="s">
        <v>97</v>
      </c>
      <c r="AF103" s="5" t="s">
        <v>103</v>
      </c>
      <c r="AG103" s="5" t="s">
        <v>103</v>
      </c>
      <c r="AH103" s="5" t="s">
        <v>103</v>
      </c>
      <c r="AI103" s="5">
        <v>45617</v>
      </c>
      <c r="AJ103" s="5"/>
      <c r="AK103" s="5"/>
      <c r="AL103" s="5" t="s">
        <v>103</v>
      </c>
      <c r="AM103" s="5" t="s">
        <v>97</v>
      </c>
      <c r="AN103" s="5" t="s">
        <v>103</v>
      </c>
      <c r="AO103" s="5" t="s">
        <v>103</v>
      </c>
      <c r="AP103" s="5" t="s">
        <v>97</v>
      </c>
      <c r="AQ103" s="5" t="s">
        <v>97</v>
      </c>
      <c r="AR103" s="5" t="s">
        <v>97</v>
      </c>
      <c r="AS103" s="5" t="s">
        <v>97</v>
      </c>
      <c r="AT103" s="5" t="s">
        <v>409</v>
      </c>
      <c r="AU103" s="5"/>
      <c r="AV103" s="4" t="s">
        <v>97</v>
      </c>
      <c r="AW103" s="4" t="s">
        <v>97</v>
      </c>
      <c r="AX103" s="4" t="s">
        <v>97</v>
      </c>
      <c r="AY103" s="4" t="s">
        <v>97</v>
      </c>
      <c r="AZ103" s="4" t="s">
        <v>103</v>
      </c>
      <c r="BA103" s="4" t="s">
        <v>97</v>
      </c>
      <c r="BB103" s="5">
        <v>45624</v>
      </c>
      <c r="BC103" s="5">
        <v>45625</v>
      </c>
      <c r="BD103" s="5">
        <v>45628</v>
      </c>
      <c r="BE103" s="5">
        <v>45646</v>
      </c>
      <c r="BF103" s="5" t="s">
        <v>98</v>
      </c>
      <c r="BG103" s="5" t="s">
        <v>97</v>
      </c>
      <c r="BH103" s="5" t="s">
        <v>103</v>
      </c>
      <c r="BI103" s="5" t="s">
        <v>381</v>
      </c>
    </row>
    <row r="104" spans="1:61" x14ac:dyDescent="0.35">
      <c r="A104" s="8" t="str">
        <f t="shared" si="8"/>
        <v>Semaine 49-2024</v>
      </c>
      <c r="B104" s="8" t="str">
        <f t="shared" si="9"/>
        <v>2024</v>
      </c>
      <c r="C104" s="2" t="s">
        <v>75</v>
      </c>
      <c r="D104" s="6" t="str">
        <f t="shared" si="10"/>
        <v>Diourbel</v>
      </c>
      <c r="E104" s="6">
        <f t="shared" si="11"/>
        <v>996481</v>
      </c>
      <c r="F104" s="6">
        <f t="shared" si="12"/>
        <v>1980827</v>
      </c>
      <c r="G104" s="4" t="s">
        <v>403</v>
      </c>
      <c r="H104" s="4" t="s">
        <v>406</v>
      </c>
      <c r="I104" s="4">
        <v>2</v>
      </c>
      <c r="J104" s="4" t="s">
        <v>114</v>
      </c>
      <c r="K104" s="4"/>
      <c r="L104" s="4"/>
      <c r="M104" s="4"/>
      <c r="N104" s="4"/>
      <c r="O104" s="4" t="s">
        <v>238</v>
      </c>
      <c r="P104" s="4" t="s">
        <v>97</v>
      </c>
      <c r="Q104" s="4" t="s">
        <v>97</v>
      </c>
      <c r="R104" s="14" t="s">
        <v>100</v>
      </c>
      <c r="S104" s="14" t="s">
        <v>100</v>
      </c>
      <c r="T104" s="14" t="s">
        <v>100</v>
      </c>
      <c r="U104" s="14"/>
      <c r="V104" s="14"/>
      <c r="W104" s="14"/>
      <c r="X104" s="14"/>
      <c r="Y104" s="5">
        <v>45633</v>
      </c>
      <c r="Z104" s="5">
        <v>45639</v>
      </c>
      <c r="AA104" s="5" t="s">
        <v>103</v>
      </c>
      <c r="AB104" s="5"/>
      <c r="AC104" s="5" t="s">
        <v>97</v>
      </c>
      <c r="AD104" s="5" t="s">
        <v>97</v>
      </c>
      <c r="AE104" s="5" t="s">
        <v>97</v>
      </c>
      <c r="AF104" s="5" t="s">
        <v>103</v>
      </c>
      <c r="AG104" s="5" t="s">
        <v>97</v>
      </c>
      <c r="AH104" s="5" t="s">
        <v>103</v>
      </c>
      <c r="AI104" s="5">
        <v>45637</v>
      </c>
      <c r="AJ104" s="5" t="s">
        <v>103</v>
      </c>
      <c r="AK104" s="5" t="s">
        <v>103</v>
      </c>
      <c r="AL104" s="5" t="s">
        <v>97</v>
      </c>
      <c r="AM104" s="5" t="s">
        <v>103</v>
      </c>
      <c r="AN104" s="5" t="s">
        <v>103</v>
      </c>
      <c r="AO104" s="5" t="s">
        <v>103</v>
      </c>
      <c r="AP104" s="5" t="s">
        <v>103</v>
      </c>
      <c r="AQ104" s="5" t="s">
        <v>103</v>
      </c>
      <c r="AR104" s="5" t="s">
        <v>103</v>
      </c>
      <c r="AS104" s="5" t="s">
        <v>97</v>
      </c>
      <c r="AT104" s="5"/>
      <c r="AU104" s="5"/>
      <c r="AV104" s="4" t="s">
        <v>103</v>
      </c>
      <c r="AW104" s="4" t="s">
        <v>97</v>
      </c>
      <c r="AX104" s="4" t="s">
        <v>97</v>
      </c>
      <c r="AY104" s="4" t="s">
        <v>97</v>
      </c>
      <c r="AZ104" s="4" t="s">
        <v>97</v>
      </c>
      <c r="BA104" s="4" t="s">
        <v>97</v>
      </c>
      <c r="BB104" s="5">
        <v>45639</v>
      </c>
      <c r="BC104" s="5">
        <v>45640</v>
      </c>
      <c r="BD104" s="5">
        <v>45640</v>
      </c>
      <c r="BE104" s="5">
        <v>45646</v>
      </c>
      <c r="BF104" s="5" t="s">
        <v>98</v>
      </c>
      <c r="BG104" s="5" t="s">
        <v>97</v>
      </c>
      <c r="BH104" s="5" t="s">
        <v>103</v>
      </c>
      <c r="BI104" s="5" t="s">
        <v>115</v>
      </c>
    </row>
    <row r="105" spans="1:61" x14ac:dyDescent="0.35">
      <c r="A105" s="8" t="str">
        <f t="shared" si="8"/>
        <v>Semaine 51-2024</v>
      </c>
      <c r="B105" s="8" t="str">
        <f t="shared" si="9"/>
        <v>2024</v>
      </c>
      <c r="C105" s="2" t="s">
        <v>18</v>
      </c>
      <c r="D105" s="6" t="str">
        <f t="shared" si="10"/>
        <v>Dakar</v>
      </c>
      <c r="E105" s="6">
        <f t="shared" si="11"/>
        <v>419489</v>
      </c>
      <c r="F105" s="6">
        <f t="shared" si="12"/>
        <v>4042240</v>
      </c>
      <c r="G105" s="4" t="s">
        <v>407</v>
      </c>
      <c r="H105" s="4" t="s">
        <v>408</v>
      </c>
      <c r="I105" s="4">
        <v>28</v>
      </c>
      <c r="J105" s="4" t="s">
        <v>114</v>
      </c>
      <c r="K105" s="4"/>
      <c r="L105" s="4"/>
      <c r="M105" s="4"/>
      <c r="N105" s="4"/>
      <c r="O105" s="4" t="s">
        <v>238</v>
      </c>
      <c r="P105" s="4" t="s">
        <v>97</v>
      </c>
      <c r="Q105" s="4" t="s">
        <v>97</v>
      </c>
      <c r="R105" s="14" t="s">
        <v>100</v>
      </c>
      <c r="S105" s="14" t="s">
        <v>100</v>
      </c>
      <c r="T105" s="14" t="s">
        <v>100</v>
      </c>
      <c r="U105" s="14"/>
      <c r="V105" s="14"/>
      <c r="W105" s="14"/>
      <c r="X105" s="14"/>
      <c r="Y105" s="5">
        <v>45642</v>
      </c>
      <c r="Z105" s="5">
        <v>45643</v>
      </c>
      <c r="AA105" s="5" t="s">
        <v>103</v>
      </c>
      <c r="AB105" s="5"/>
      <c r="AC105" s="5" t="s">
        <v>103</v>
      </c>
      <c r="AD105" s="5" t="s">
        <v>97</v>
      </c>
      <c r="AE105" s="5" t="s">
        <v>97</v>
      </c>
      <c r="AF105" s="5" t="s">
        <v>97</v>
      </c>
      <c r="AG105" s="5" t="s">
        <v>97</v>
      </c>
      <c r="AH105" s="5" t="s">
        <v>103</v>
      </c>
      <c r="AI105" s="5">
        <v>45642</v>
      </c>
      <c r="AJ105" s="5"/>
      <c r="AK105" s="5" t="s">
        <v>103</v>
      </c>
      <c r="AL105" s="5" t="s">
        <v>97</v>
      </c>
      <c r="AM105" s="5" t="s">
        <v>103</v>
      </c>
      <c r="AN105" s="5" t="s">
        <v>103</v>
      </c>
      <c r="AO105" s="5" t="s">
        <v>97</v>
      </c>
      <c r="AP105" s="5" t="s">
        <v>97</v>
      </c>
      <c r="AQ105" s="5" t="s">
        <v>97</v>
      </c>
      <c r="AR105" s="5" t="s">
        <v>97</v>
      </c>
      <c r="AS105" s="5" t="s">
        <v>97</v>
      </c>
      <c r="AT105" s="5" t="s">
        <v>409</v>
      </c>
      <c r="AU105" s="5"/>
      <c r="AV105" s="4" t="s">
        <v>103</v>
      </c>
      <c r="AW105" s="4" t="s">
        <v>97</v>
      </c>
      <c r="AX105" s="4" t="s">
        <v>97</v>
      </c>
      <c r="AY105" s="4" t="s">
        <v>97</v>
      </c>
      <c r="AZ105" s="4" t="s">
        <v>103</v>
      </c>
      <c r="BA105" s="4" t="s">
        <v>97</v>
      </c>
      <c r="BB105" s="5">
        <v>45643</v>
      </c>
      <c r="BC105" s="5">
        <v>45644</v>
      </c>
      <c r="BD105" s="5">
        <v>45645</v>
      </c>
      <c r="BE105" s="5">
        <v>45646</v>
      </c>
      <c r="BF105" s="5" t="s">
        <v>98</v>
      </c>
      <c r="BG105" s="5" t="s">
        <v>103</v>
      </c>
      <c r="BH105" s="5" t="s">
        <v>103</v>
      </c>
      <c r="BI105" s="5" t="s">
        <v>115</v>
      </c>
    </row>
    <row r="106" spans="1:61" x14ac:dyDescent="0.35">
      <c r="A106" s="8" t="str">
        <f t="shared" si="8"/>
        <v>Semaine 1-2025</v>
      </c>
      <c r="B106" s="8" t="str">
        <f t="shared" si="9"/>
        <v>2025</v>
      </c>
      <c r="C106" s="2" t="s">
        <v>75</v>
      </c>
      <c r="D106" s="6" t="str">
        <f t="shared" si="10"/>
        <v>Diourbel</v>
      </c>
      <c r="E106" s="6">
        <f t="shared" si="11"/>
        <v>996481</v>
      </c>
      <c r="F106" s="6">
        <f t="shared" si="12"/>
        <v>1980827</v>
      </c>
      <c r="G106" s="4" t="s">
        <v>410</v>
      </c>
      <c r="H106" s="4" t="s">
        <v>411</v>
      </c>
      <c r="I106" s="4">
        <v>1</v>
      </c>
      <c r="J106" s="4" t="s">
        <v>96</v>
      </c>
      <c r="K106" s="4"/>
      <c r="L106" s="4"/>
      <c r="M106" s="4"/>
      <c r="N106" s="4"/>
      <c r="O106" s="4" t="s">
        <v>238</v>
      </c>
      <c r="P106" s="4" t="s">
        <v>97</v>
      </c>
      <c r="Q106" s="4" t="s">
        <v>97</v>
      </c>
      <c r="R106" s="14" t="s">
        <v>100</v>
      </c>
      <c r="S106" s="14" t="s">
        <v>100</v>
      </c>
      <c r="T106" s="14" t="s">
        <v>100</v>
      </c>
      <c r="U106" s="14"/>
      <c r="V106" s="14"/>
      <c r="W106" s="14"/>
      <c r="X106" s="14"/>
      <c r="Y106" s="5">
        <v>45659</v>
      </c>
      <c r="Z106" s="5">
        <v>45666</v>
      </c>
      <c r="AA106" s="5" t="s">
        <v>97</v>
      </c>
      <c r="AB106" s="5"/>
      <c r="AC106" s="5" t="s">
        <v>97</v>
      </c>
      <c r="AD106" s="5" t="s">
        <v>97</v>
      </c>
      <c r="AE106" s="5" t="s">
        <v>97</v>
      </c>
      <c r="AF106" s="5" t="s">
        <v>97</v>
      </c>
      <c r="AG106" s="5" t="s">
        <v>97</v>
      </c>
      <c r="AH106" s="5" t="s">
        <v>103</v>
      </c>
      <c r="AI106" s="5">
        <v>45659</v>
      </c>
      <c r="AJ106" s="5" t="s">
        <v>103</v>
      </c>
      <c r="AK106" s="5" t="s">
        <v>103</v>
      </c>
      <c r="AL106" s="5" t="s">
        <v>103</v>
      </c>
      <c r="AM106" s="5" t="s">
        <v>103</v>
      </c>
      <c r="AN106" s="5" t="s">
        <v>103</v>
      </c>
      <c r="AO106" s="5" t="s">
        <v>103</v>
      </c>
      <c r="AP106" s="5" t="s">
        <v>103</v>
      </c>
      <c r="AQ106" s="5" t="s">
        <v>97</v>
      </c>
      <c r="AR106" s="5" t="s">
        <v>97</v>
      </c>
      <c r="AS106" s="5" t="s">
        <v>97</v>
      </c>
      <c r="AT106" s="5"/>
      <c r="AU106" s="5"/>
      <c r="AV106" s="4" t="s">
        <v>103</v>
      </c>
      <c r="AW106" s="4" t="s">
        <v>97</v>
      </c>
      <c r="AX106" s="4" t="s">
        <v>97</v>
      </c>
      <c r="AY106" s="4" t="s">
        <v>97</v>
      </c>
      <c r="AZ106" s="4" t="s">
        <v>97</v>
      </c>
      <c r="BA106" s="4" t="s">
        <v>97</v>
      </c>
      <c r="BB106" s="5">
        <v>45666</v>
      </c>
      <c r="BC106" s="5">
        <v>45666</v>
      </c>
      <c r="BD106" s="5">
        <v>45666</v>
      </c>
      <c r="BE106" s="5">
        <v>45667</v>
      </c>
      <c r="BF106" s="5" t="s">
        <v>98</v>
      </c>
      <c r="BG106" s="5" t="s">
        <v>103</v>
      </c>
      <c r="BH106" s="5" t="s">
        <v>103</v>
      </c>
      <c r="BI106" s="5" t="s">
        <v>115</v>
      </c>
    </row>
    <row r="107" spans="1:61" x14ac:dyDescent="0.35">
      <c r="A107" s="8" t="str">
        <f t="shared" si="8"/>
        <v>Semaine 4-2025</v>
      </c>
      <c r="B107" s="8" t="str">
        <f t="shared" si="9"/>
        <v>2025</v>
      </c>
      <c r="C107" s="2" t="s">
        <v>75</v>
      </c>
      <c r="D107" s="6" t="str">
        <f t="shared" si="10"/>
        <v>Diourbel</v>
      </c>
      <c r="E107" s="6">
        <f t="shared" si="11"/>
        <v>996481</v>
      </c>
      <c r="F107" s="6">
        <f t="shared" si="12"/>
        <v>1980827</v>
      </c>
      <c r="G107" s="4" t="s">
        <v>412</v>
      </c>
      <c r="H107" s="4" t="s">
        <v>416</v>
      </c>
      <c r="I107" s="4">
        <v>18</v>
      </c>
      <c r="J107" s="4" t="s">
        <v>96</v>
      </c>
      <c r="K107" s="4"/>
      <c r="L107" s="4"/>
      <c r="M107" s="4"/>
      <c r="N107" s="4"/>
      <c r="O107" s="4" t="s">
        <v>238</v>
      </c>
      <c r="P107" s="4" t="s">
        <v>97</v>
      </c>
      <c r="Q107" s="4" t="s">
        <v>97</v>
      </c>
      <c r="R107" s="14" t="s">
        <v>100</v>
      </c>
      <c r="S107" s="14" t="s">
        <v>100</v>
      </c>
      <c r="T107" s="14" t="s">
        <v>100</v>
      </c>
      <c r="U107" s="14"/>
      <c r="V107" s="14"/>
      <c r="W107" s="14"/>
      <c r="X107" s="14"/>
      <c r="Y107" s="5">
        <v>45681</v>
      </c>
      <c r="Z107" s="5">
        <v>45683</v>
      </c>
      <c r="AA107" s="5" t="s">
        <v>103</v>
      </c>
      <c r="AB107" s="5" t="s">
        <v>413</v>
      </c>
      <c r="AC107" s="5" t="s">
        <v>97</v>
      </c>
      <c r="AD107" s="5" t="s">
        <v>97</v>
      </c>
      <c r="AE107" s="5" t="s">
        <v>97</v>
      </c>
      <c r="AF107" s="5" t="s">
        <v>97</v>
      </c>
      <c r="AG107" s="5" t="s">
        <v>97</v>
      </c>
      <c r="AH107" s="5" t="s">
        <v>103</v>
      </c>
      <c r="AI107" s="5">
        <v>45683</v>
      </c>
      <c r="AJ107" s="5" t="s">
        <v>103</v>
      </c>
      <c r="AK107" s="5" t="s">
        <v>103</v>
      </c>
      <c r="AL107" s="5" t="s">
        <v>97</v>
      </c>
      <c r="AM107" s="5" t="s">
        <v>103</v>
      </c>
      <c r="AN107" s="5" t="s">
        <v>103</v>
      </c>
      <c r="AO107" s="5" t="s">
        <v>97</v>
      </c>
      <c r="AP107" s="5" t="s">
        <v>97</v>
      </c>
      <c r="AQ107" s="5" t="s">
        <v>103</v>
      </c>
      <c r="AR107" s="5" t="s">
        <v>97</v>
      </c>
      <c r="AS107" s="5" t="s">
        <v>97</v>
      </c>
      <c r="AT107" s="5"/>
      <c r="AU107" s="5"/>
      <c r="AV107" s="4" t="s">
        <v>103</v>
      </c>
      <c r="AW107" s="4" t="s">
        <v>97</v>
      </c>
      <c r="AX107" s="4" t="s">
        <v>103</v>
      </c>
      <c r="AY107" s="4" t="s">
        <v>97</v>
      </c>
      <c r="AZ107" s="4" t="s">
        <v>97</v>
      </c>
      <c r="BA107" s="4" t="s">
        <v>97</v>
      </c>
      <c r="BB107" s="5">
        <v>45683</v>
      </c>
      <c r="BC107" s="5">
        <v>45683</v>
      </c>
      <c r="BD107" s="5">
        <v>45684</v>
      </c>
      <c r="BE107" s="5">
        <v>45684</v>
      </c>
      <c r="BF107" s="5" t="s">
        <v>98</v>
      </c>
      <c r="BG107" s="5" t="s">
        <v>103</v>
      </c>
      <c r="BH107" s="5" t="s">
        <v>103</v>
      </c>
      <c r="BI107" s="5" t="s">
        <v>115</v>
      </c>
    </row>
    <row r="108" spans="1:61" x14ac:dyDescent="0.35">
      <c r="A108" s="8" t="str">
        <f t="shared" si="8"/>
        <v>Semaine 4-2025</v>
      </c>
      <c r="B108" s="8" t="str">
        <f t="shared" si="9"/>
        <v>2025</v>
      </c>
      <c r="C108" s="2" t="s">
        <v>91</v>
      </c>
      <c r="D108" s="6" t="str">
        <f t="shared" si="10"/>
        <v>Dakar</v>
      </c>
      <c r="E108" s="6">
        <f t="shared" si="11"/>
        <v>179835</v>
      </c>
      <c r="F108" s="6">
        <f t="shared" si="12"/>
        <v>4042240</v>
      </c>
      <c r="G108" s="4" t="s">
        <v>414</v>
      </c>
      <c r="H108" s="4" t="s">
        <v>415</v>
      </c>
      <c r="I108" s="4">
        <v>20</v>
      </c>
      <c r="J108" s="4" t="s">
        <v>96</v>
      </c>
      <c r="K108" s="4"/>
      <c r="L108" s="4"/>
      <c r="M108" s="4"/>
      <c r="N108" s="4"/>
      <c r="O108" s="4" t="s">
        <v>238</v>
      </c>
      <c r="P108" s="4" t="s">
        <v>97</v>
      </c>
      <c r="Q108" s="4" t="s">
        <v>97</v>
      </c>
      <c r="R108" s="14" t="s">
        <v>100</v>
      </c>
      <c r="S108" s="14" t="s">
        <v>100</v>
      </c>
      <c r="T108" s="14" t="s">
        <v>100</v>
      </c>
      <c r="U108" s="14"/>
      <c r="V108" s="14"/>
      <c r="W108" s="14"/>
      <c r="X108" s="14"/>
      <c r="Y108" s="5">
        <v>45678</v>
      </c>
      <c r="Z108" s="5">
        <v>45681</v>
      </c>
      <c r="AA108" s="5" t="s">
        <v>103</v>
      </c>
      <c r="AB108" s="5" t="s">
        <v>257</v>
      </c>
      <c r="AC108" s="5" t="s">
        <v>103</v>
      </c>
      <c r="AD108" s="5" t="s">
        <v>97</v>
      </c>
      <c r="AE108" s="5" t="s">
        <v>97</v>
      </c>
      <c r="AF108" s="5" t="s">
        <v>97</v>
      </c>
      <c r="AG108" s="5" t="s">
        <v>97</v>
      </c>
      <c r="AH108" s="5" t="s">
        <v>103</v>
      </c>
      <c r="AI108" s="5">
        <v>45681</v>
      </c>
      <c r="AJ108" s="5"/>
      <c r="AK108" s="5"/>
      <c r="AL108" s="5" t="s">
        <v>97</v>
      </c>
      <c r="AM108" s="5" t="s">
        <v>103</v>
      </c>
      <c r="AN108" s="5" t="s">
        <v>97</v>
      </c>
      <c r="AO108" s="5" t="s">
        <v>97</v>
      </c>
      <c r="AP108" s="5" t="s">
        <v>97</v>
      </c>
      <c r="AQ108" s="5" t="s">
        <v>97</v>
      </c>
      <c r="AR108" s="5" t="s">
        <v>97</v>
      </c>
      <c r="AS108" s="5" t="s">
        <v>97</v>
      </c>
      <c r="AT108" s="5"/>
      <c r="AU108" s="5"/>
      <c r="AV108" s="4" t="s">
        <v>103</v>
      </c>
      <c r="AW108" s="4" t="s">
        <v>97</v>
      </c>
      <c r="AX108" s="4" t="s">
        <v>97</v>
      </c>
      <c r="AY108" s="4" t="s">
        <v>97</v>
      </c>
      <c r="AZ108" s="4" t="s">
        <v>103</v>
      </c>
      <c r="BA108" s="4" t="s">
        <v>97</v>
      </c>
      <c r="BB108" s="5">
        <v>45681</v>
      </c>
      <c r="BC108" s="5">
        <v>45683</v>
      </c>
      <c r="BD108" s="5">
        <v>45684</v>
      </c>
      <c r="BE108" s="5">
        <v>45684</v>
      </c>
      <c r="BF108" s="5" t="s">
        <v>98</v>
      </c>
      <c r="BG108" s="5" t="s">
        <v>103</v>
      </c>
      <c r="BH108" s="5" t="s">
        <v>103</v>
      </c>
      <c r="BI108" s="5" t="s">
        <v>115</v>
      </c>
    </row>
    <row r="109" spans="1:61" x14ac:dyDescent="0.35">
      <c r="A109" s="8" t="str">
        <f t="shared" si="8"/>
        <v>Semaine 5-2025</v>
      </c>
      <c r="B109" s="8" t="str">
        <f t="shared" si="9"/>
        <v>2025</v>
      </c>
      <c r="C109" s="2" t="s">
        <v>52</v>
      </c>
      <c r="D109" s="6" t="str">
        <f t="shared" si="10"/>
        <v>Kaolack</v>
      </c>
      <c r="E109" s="6">
        <f t="shared" si="11"/>
        <v>231613</v>
      </c>
      <c r="F109" s="6">
        <f t="shared" si="12"/>
        <v>1267013</v>
      </c>
      <c r="G109" s="4" t="s">
        <v>417</v>
      </c>
      <c r="H109" s="4" t="s">
        <v>418</v>
      </c>
      <c r="I109" s="4">
        <v>52</v>
      </c>
      <c r="J109" s="4" t="s">
        <v>96</v>
      </c>
      <c r="K109" s="4"/>
      <c r="L109" s="4"/>
      <c r="M109" s="4"/>
      <c r="N109" s="4"/>
      <c r="O109" s="4" t="s">
        <v>238</v>
      </c>
      <c r="P109" s="4" t="s">
        <v>97</v>
      </c>
      <c r="Q109" s="4" t="s">
        <v>97</v>
      </c>
      <c r="R109" s="14" t="s">
        <v>100</v>
      </c>
      <c r="S109" s="14" t="s">
        <v>100</v>
      </c>
      <c r="T109" s="14" t="s">
        <v>100</v>
      </c>
      <c r="U109" s="14"/>
      <c r="V109" s="14"/>
      <c r="W109" s="14"/>
      <c r="X109" s="14"/>
      <c r="Y109" s="5">
        <v>45685</v>
      </c>
      <c r="Z109" s="5">
        <v>45688</v>
      </c>
      <c r="AA109" s="5" t="s">
        <v>97</v>
      </c>
      <c r="AB109" s="5" t="s">
        <v>419</v>
      </c>
      <c r="AC109" s="5" t="s">
        <v>97</v>
      </c>
      <c r="AD109" s="5" t="s">
        <v>97</v>
      </c>
      <c r="AE109" s="5" t="s">
        <v>97</v>
      </c>
      <c r="AF109" s="5" t="s">
        <v>103</v>
      </c>
      <c r="AG109" s="5" t="s">
        <v>103</v>
      </c>
      <c r="AH109" s="5" t="s">
        <v>103</v>
      </c>
      <c r="AI109" s="5">
        <v>45686</v>
      </c>
      <c r="AJ109" s="5" t="s">
        <v>103</v>
      </c>
      <c r="AK109" s="5" t="s">
        <v>103</v>
      </c>
      <c r="AL109" s="5" t="s">
        <v>97</v>
      </c>
      <c r="AM109" s="5" t="s">
        <v>103</v>
      </c>
      <c r="AN109" s="5" t="s">
        <v>103</v>
      </c>
      <c r="AO109" s="5" t="s">
        <v>97</v>
      </c>
      <c r="AP109" s="5" t="s">
        <v>97</v>
      </c>
      <c r="AQ109" s="5" t="s">
        <v>103</v>
      </c>
      <c r="AR109" s="5" t="s">
        <v>103</v>
      </c>
      <c r="AS109" s="5" t="s">
        <v>103</v>
      </c>
      <c r="AT109" s="5" t="s">
        <v>308</v>
      </c>
      <c r="AU109" s="5"/>
      <c r="AV109" s="4" t="s">
        <v>103</v>
      </c>
      <c r="AW109" s="4" t="s">
        <v>103</v>
      </c>
      <c r="AX109" s="4" t="s">
        <v>97</v>
      </c>
      <c r="AY109" s="4" t="s">
        <v>97</v>
      </c>
      <c r="AZ109" s="4" t="s">
        <v>103</v>
      </c>
      <c r="BA109" s="4" t="s">
        <v>97</v>
      </c>
      <c r="BB109" s="5">
        <v>45688</v>
      </c>
      <c r="BC109" s="5">
        <v>45688</v>
      </c>
      <c r="BD109" s="5">
        <v>45688</v>
      </c>
      <c r="BE109" s="5">
        <v>45693</v>
      </c>
      <c r="BF109" s="5" t="s">
        <v>98</v>
      </c>
      <c r="BG109" s="5" t="s">
        <v>103</v>
      </c>
      <c r="BH109" s="5" t="s">
        <v>103</v>
      </c>
      <c r="BI109" s="5" t="s">
        <v>115</v>
      </c>
    </row>
    <row r="110" spans="1:61" x14ac:dyDescent="0.35">
      <c r="A110" s="8" t="str">
        <f t="shared" si="8"/>
        <v>Semaine 6-2025</v>
      </c>
      <c r="B110" s="8" t="str">
        <f t="shared" si="9"/>
        <v>2025</v>
      </c>
      <c r="C110" s="2" t="s">
        <v>18</v>
      </c>
      <c r="D110" s="6" t="str">
        <f t="shared" si="10"/>
        <v>Dakar</v>
      </c>
      <c r="E110" s="6">
        <f t="shared" si="11"/>
        <v>419489</v>
      </c>
      <c r="F110" s="6">
        <f t="shared" si="12"/>
        <v>4042240</v>
      </c>
      <c r="G110" s="4" t="s">
        <v>420</v>
      </c>
      <c r="H110" s="4" t="s">
        <v>421</v>
      </c>
      <c r="I110" s="4">
        <v>26</v>
      </c>
      <c r="J110" s="4" t="s">
        <v>114</v>
      </c>
      <c r="K110" s="4" t="s">
        <v>422</v>
      </c>
      <c r="L110" s="5">
        <v>45691</v>
      </c>
      <c r="M110" s="4"/>
      <c r="N110" s="4"/>
      <c r="O110" s="4" t="s">
        <v>238</v>
      </c>
      <c r="P110" s="4" t="s">
        <v>97</v>
      </c>
      <c r="Q110" s="4" t="s">
        <v>97</v>
      </c>
      <c r="R110" s="14" t="s">
        <v>100</v>
      </c>
      <c r="S110" s="14" t="s">
        <v>100</v>
      </c>
      <c r="T110" s="14" t="s">
        <v>100</v>
      </c>
      <c r="U110" s="14"/>
      <c r="V110" s="14"/>
      <c r="W110" s="14"/>
      <c r="X110" s="14"/>
      <c r="Y110" s="5">
        <v>45692</v>
      </c>
      <c r="Z110" s="5">
        <v>45697</v>
      </c>
      <c r="AA110" s="5" t="s">
        <v>97</v>
      </c>
      <c r="AB110" s="5"/>
      <c r="AC110" s="5" t="s">
        <v>103</v>
      </c>
      <c r="AD110" s="5" t="s">
        <v>103</v>
      </c>
      <c r="AE110" s="5" t="s">
        <v>103</v>
      </c>
      <c r="AF110" s="5" t="s">
        <v>97</v>
      </c>
      <c r="AG110" s="5" t="s">
        <v>103</v>
      </c>
      <c r="AH110" s="5" t="s">
        <v>103</v>
      </c>
      <c r="AI110" s="5">
        <v>45692</v>
      </c>
      <c r="AJ110" s="5"/>
      <c r="AK110" s="5"/>
      <c r="AL110" s="5" t="s">
        <v>97</v>
      </c>
      <c r="AM110" s="5" t="s">
        <v>103</v>
      </c>
      <c r="AN110" s="5" t="s">
        <v>103</v>
      </c>
      <c r="AO110" s="5" t="s">
        <v>103</v>
      </c>
      <c r="AP110" s="5" t="s">
        <v>103</v>
      </c>
      <c r="AQ110" s="5" t="s">
        <v>97</v>
      </c>
      <c r="AR110" s="5" t="s">
        <v>97</v>
      </c>
      <c r="AS110" s="5" t="s">
        <v>97</v>
      </c>
      <c r="AT110" s="5"/>
      <c r="AU110" s="5"/>
      <c r="AV110" s="4" t="s">
        <v>97</v>
      </c>
      <c r="AW110" s="4" t="s">
        <v>97</v>
      </c>
      <c r="AX110" s="4" t="s">
        <v>97</v>
      </c>
      <c r="AY110" s="4" t="s">
        <v>97</v>
      </c>
      <c r="AZ110" s="4" t="s">
        <v>103</v>
      </c>
      <c r="BA110" s="4" t="s">
        <v>97</v>
      </c>
      <c r="BB110" s="5">
        <v>45697</v>
      </c>
      <c r="BC110" s="5">
        <v>45702</v>
      </c>
      <c r="BD110" s="5">
        <v>45702</v>
      </c>
      <c r="BE110" s="5">
        <v>45702</v>
      </c>
      <c r="BF110" s="5" t="s">
        <v>98</v>
      </c>
      <c r="BG110" s="5" t="s">
        <v>103</v>
      </c>
      <c r="BH110" s="5" t="s">
        <v>103</v>
      </c>
      <c r="BI110" s="5" t="s">
        <v>381</v>
      </c>
    </row>
    <row r="111" spans="1:61" x14ac:dyDescent="0.35">
      <c r="A111" s="8" t="str">
        <f t="shared" si="8"/>
        <v>Semaine 7-2025</v>
      </c>
      <c r="B111" s="8" t="str">
        <f t="shared" si="9"/>
        <v>2025</v>
      </c>
      <c r="C111" s="2" t="s">
        <v>60</v>
      </c>
      <c r="D111" s="6" t="str">
        <f t="shared" si="10"/>
        <v>Thies</v>
      </c>
      <c r="E111" s="6">
        <f t="shared" si="11"/>
        <v>92691</v>
      </c>
      <c r="F111" s="6">
        <f t="shared" si="12"/>
        <v>2280463</v>
      </c>
      <c r="G111" s="4" t="s">
        <v>423</v>
      </c>
      <c r="H111" s="4" t="s">
        <v>424</v>
      </c>
      <c r="I111" s="4">
        <v>19</v>
      </c>
      <c r="J111" s="4" t="s">
        <v>114</v>
      </c>
      <c r="K111" s="4" t="s">
        <v>425</v>
      </c>
      <c r="L111" s="5">
        <v>45705</v>
      </c>
      <c r="M111" s="4"/>
      <c r="N111" s="4"/>
      <c r="O111" s="4" t="s">
        <v>238</v>
      </c>
      <c r="P111" s="4" t="s">
        <v>97</v>
      </c>
      <c r="Q111" s="4" t="s">
        <v>97</v>
      </c>
      <c r="R111" s="14" t="s">
        <v>100</v>
      </c>
      <c r="S111" s="14" t="s">
        <v>100</v>
      </c>
      <c r="T111" s="14" t="s">
        <v>100</v>
      </c>
      <c r="U111" s="14"/>
      <c r="V111" s="14"/>
      <c r="W111" s="14"/>
      <c r="X111" s="14"/>
      <c r="Y111" s="5">
        <v>45699</v>
      </c>
      <c r="Z111" s="5">
        <v>45705</v>
      </c>
      <c r="AA111" s="5" t="s">
        <v>97</v>
      </c>
      <c r="AB111" s="5"/>
      <c r="AC111" s="5" t="s">
        <v>97</v>
      </c>
      <c r="AD111" s="5" t="s">
        <v>97</v>
      </c>
      <c r="AE111" s="5" t="s">
        <v>97</v>
      </c>
      <c r="AF111" s="5" t="s">
        <v>97</v>
      </c>
      <c r="AG111" s="5" t="s">
        <v>103</v>
      </c>
      <c r="AH111" s="5" t="s">
        <v>103</v>
      </c>
      <c r="AI111" s="5">
        <v>45699</v>
      </c>
      <c r="AJ111" s="5"/>
      <c r="AK111" s="5"/>
      <c r="AL111" s="5" t="s">
        <v>103</v>
      </c>
      <c r="AM111" s="5" t="s">
        <v>103</v>
      </c>
      <c r="AN111" s="5" t="s">
        <v>103</v>
      </c>
      <c r="AO111" s="5" t="s">
        <v>103</v>
      </c>
      <c r="AP111" s="5" t="s">
        <v>103</v>
      </c>
      <c r="AQ111" s="5" t="s">
        <v>97</v>
      </c>
      <c r="AR111" s="5" t="s">
        <v>97</v>
      </c>
      <c r="AS111" s="5" t="s">
        <v>97</v>
      </c>
      <c r="AT111" s="5" t="s">
        <v>426</v>
      </c>
      <c r="AU111" s="5"/>
      <c r="AV111" s="4" t="s">
        <v>103</v>
      </c>
      <c r="AW111" s="4" t="s">
        <v>103</v>
      </c>
      <c r="AX111" s="4" t="s">
        <v>97</v>
      </c>
      <c r="AY111" s="4" t="s">
        <v>97</v>
      </c>
      <c r="AZ111" s="4" t="s">
        <v>103</v>
      </c>
      <c r="BA111" s="4" t="s">
        <v>97</v>
      </c>
      <c r="BB111" s="5">
        <v>45705</v>
      </c>
      <c r="BC111" s="5">
        <v>45705</v>
      </c>
      <c r="BD111" s="5">
        <v>45705</v>
      </c>
      <c r="BE111" s="5">
        <v>45705</v>
      </c>
      <c r="BF111" s="5" t="s">
        <v>98</v>
      </c>
      <c r="BG111" s="5" t="s">
        <v>97</v>
      </c>
      <c r="BH111" s="5" t="s">
        <v>97</v>
      </c>
      <c r="BI111" s="5" t="s">
        <v>115</v>
      </c>
    </row>
    <row r="112" spans="1:61" x14ac:dyDescent="0.35">
      <c r="A112" s="8" t="str">
        <f t="shared" si="8"/>
        <v>Semaine 8-2025</v>
      </c>
      <c r="B112" s="8" t="str">
        <f t="shared" si="9"/>
        <v>2025</v>
      </c>
      <c r="C112" s="2" t="s">
        <v>21</v>
      </c>
      <c r="D112" s="6" t="str">
        <f t="shared" si="10"/>
        <v>Dakar</v>
      </c>
      <c r="E112" s="6">
        <f t="shared" si="11"/>
        <v>219872</v>
      </c>
      <c r="F112" s="6">
        <f t="shared" si="12"/>
        <v>4042240</v>
      </c>
      <c r="G112" s="4" t="s">
        <v>427</v>
      </c>
      <c r="H112" s="4" t="s">
        <v>428</v>
      </c>
      <c r="I112" s="4">
        <v>18</v>
      </c>
      <c r="J112" s="4" t="s">
        <v>114</v>
      </c>
      <c r="K112" s="4"/>
      <c r="L112" s="4"/>
      <c r="M112" s="4"/>
      <c r="N112" s="4"/>
      <c r="O112" s="4" t="s">
        <v>238</v>
      </c>
      <c r="P112" s="4" t="s">
        <v>97</v>
      </c>
      <c r="Q112" s="4" t="s">
        <v>97</v>
      </c>
      <c r="R112" s="14" t="s">
        <v>100</v>
      </c>
      <c r="S112" s="14" t="s">
        <v>100</v>
      </c>
      <c r="T112" s="14" t="s">
        <v>100</v>
      </c>
      <c r="U112" s="14"/>
      <c r="V112" s="14"/>
      <c r="W112" s="14"/>
      <c r="X112" s="14"/>
      <c r="Y112" s="5">
        <v>45707</v>
      </c>
      <c r="Z112" s="5">
        <v>45708</v>
      </c>
      <c r="AA112" s="5" t="s">
        <v>103</v>
      </c>
      <c r="AB112" s="5" t="s">
        <v>272</v>
      </c>
      <c r="AC112" s="5" t="s">
        <v>103</v>
      </c>
      <c r="AD112" s="5" t="s">
        <v>97</v>
      </c>
      <c r="AE112" s="5" t="s">
        <v>97</v>
      </c>
      <c r="AF112" s="5" t="s">
        <v>103</v>
      </c>
      <c r="AG112" s="5" t="s">
        <v>97</v>
      </c>
      <c r="AH112" s="5" t="s">
        <v>103</v>
      </c>
      <c r="AI112" s="5">
        <v>45706</v>
      </c>
      <c r="AJ112" s="5" t="s">
        <v>103</v>
      </c>
      <c r="AK112" s="5" t="s">
        <v>103</v>
      </c>
      <c r="AL112" s="5" t="s">
        <v>97</v>
      </c>
      <c r="AM112" s="5" t="s">
        <v>103</v>
      </c>
      <c r="AN112" s="5" t="s">
        <v>103</v>
      </c>
      <c r="AO112" s="5" t="s">
        <v>97</v>
      </c>
      <c r="AP112" s="5" t="s">
        <v>97</v>
      </c>
      <c r="AQ112" s="5" t="s">
        <v>97</v>
      </c>
      <c r="AR112" s="5" t="s">
        <v>97</v>
      </c>
      <c r="AS112" s="5" t="s">
        <v>97</v>
      </c>
      <c r="AT112" s="5"/>
      <c r="AU112" s="5"/>
      <c r="AV112" s="4" t="s">
        <v>103</v>
      </c>
      <c r="AW112" s="4" t="s">
        <v>97</v>
      </c>
      <c r="AX112" s="4" t="s">
        <v>97</v>
      </c>
      <c r="AY112" s="4" t="s">
        <v>97</v>
      </c>
      <c r="AZ112" s="4" t="s">
        <v>103</v>
      </c>
      <c r="BA112" s="4" t="s">
        <v>97</v>
      </c>
      <c r="BB112" s="5">
        <v>45708</v>
      </c>
      <c r="BC112" s="5">
        <v>45708</v>
      </c>
      <c r="BD112" s="5">
        <v>45708</v>
      </c>
      <c r="BE112" s="5">
        <v>45712</v>
      </c>
      <c r="BF112" s="5" t="s">
        <v>98</v>
      </c>
      <c r="BG112" s="5" t="s">
        <v>97</v>
      </c>
      <c r="BH112" s="5" t="s">
        <v>103</v>
      </c>
      <c r="BI112" s="5" t="s">
        <v>115</v>
      </c>
    </row>
    <row r="113" spans="1:61" x14ac:dyDescent="0.35">
      <c r="A113" s="8" t="str">
        <f t="shared" si="8"/>
        <v>Semaine 9-2025</v>
      </c>
      <c r="B113" s="8" t="str">
        <f t="shared" si="9"/>
        <v>2025</v>
      </c>
      <c r="C113" s="2" t="s">
        <v>72</v>
      </c>
      <c r="D113" s="6" t="str">
        <f t="shared" si="10"/>
        <v>Thies</v>
      </c>
      <c r="E113" s="6">
        <f t="shared" si="11"/>
        <v>520145</v>
      </c>
      <c r="F113" s="6">
        <f t="shared" si="12"/>
        <v>2280463</v>
      </c>
      <c r="G113" s="4" t="s">
        <v>429</v>
      </c>
      <c r="H113" s="4" t="s">
        <v>430</v>
      </c>
      <c r="I113" s="4">
        <v>5</v>
      </c>
      <c r="J113" s="4" t="s">
        <v>96</v>
      </c>
      <c r="K113" s="4"/>
      <c r="L113" s="4"/>
      <c r="M113" s="4"/>
      <c r="N113" s="4"/>
      <c r="O113" s="4" t="s">
        <v>238</v>
      </c>
      <c r="P113" s="4" t="s">
        <v>97</v>
      </c>
      <c r="Q113" s="4" t="s">
        <v>97</v>
      </c>
      <c r="R113" s="14" t="s">
        <v>100</v>
      </c>
      <c r="S113" s="14" t="s">
        <v>100</v>
      </c>
      <c r="T113" s="14" t="s">
        <v>100</v>
      </c>
      <c r="U113" s="14" t="s">
        <v>431</v>
      </c>
      <c r="V113" s="14"/>
      <c r="W113" s="14"/>
      <c r="X113" s="14"/>
      <c r="Y113" s="5">
        <v>45716</v>
      </c>
      <c r="Z113" s="5">
        <v>45717</v>
      </c>
      <c r="AA113" s="5" t="s">
        <v>103</v>
      </c>
      <c r="AB113" s="5" t="s">
        <v>432</v>
      </c>
      <c r="AC113" s="5" t="s">
        <v>97</v>
      </c>
      <c r="AD113" s="5" t="s">
        <v>103</v>
      </c>
      <c r="AE113" s="5" t="s">
        <v>97</v>
      </c>
      <c r="AF113" s="5" t="s">
        <v>97</v>
      </c>
      <c r="AG113" s="5" t="s">
        <v>97</v>
      </c>
      <c r="AH113" s="5" t="s">
        <v>103</v>
      </c>
      <c r="AI113" s="5">
        <v>45717</v>
      </c>
      <c r="AJ113" s="5" t="s">
        <v>103</v>
      </c>
      <c r="AK113" s="5"/>
      <c r="AL113" s="5" t="s">
        <v>103</v>
      </c>
      <c r="AM113" s="5" t="s">
        <v>103</v>
      </c>
      <c r="AN113" s="5" t="s">
        <v>97</v>
      </c>
      <c r="AO113" s="5" t="s">
        <v>103</v>
      </c>
      <c r="AP113" s="5" t="s">
        <v>103</v>
      </c>
      <c r="AQ113" s="5" t="s">
        <v>103</v>
      </c>
      <c r="AR113" s="5" t="s">
        <v>97</v>
      </c>
      <c r="AS113" s="5" t="s">
        <v>97</v>
      </c>
      <c r="AT113" s="5"/>
      <c r="AU113" s="5"/>
      <c r="AV113" s="4" t="s">
        <v>103</v>
      </c>
      <c r="AW113" s="4" t="s">
        <v>103</v>
      </c>
      <c r="AX113" s="4" t="s">
        <v>97</v>
      </c>
      <c r="AY113" s="4" t="s">
        <v>97</v>
      </c>
      <c r="AZ113" s="4" t="s">
        <v>97</v>
      </c>
      <c r="BA113" s="4" t="s">
        <v>97</v>
      </c>
      <c r="BB113" s="5">
        <v>45726</v>
      </c>
      <c r="BC113" s="5">
        <v>45726</v>
      </c>
      <c r="BD113" s="5">
        <v>45726</v>
      </c>
      <c r="BE113" s="5">
        <v>45728</v>
      </c>
      <c r="BF113" s="5" t="s">
        <v>433</v>
      </c>
      <c r="BG113" s="5" t="s">
        <v>103</v>
      </c>
      <c r="BH113" s="5" t="s">
        <v>97</v>
      </c>
      <c r="BI113" s="5" t="s">
        <v>115</v>
      </c>
    </row>
    <row r="114" spans="1:61" x14ac:dyDescent="0.35">
      <c r="A114" s="8" t="str">
        <f t="shared" si="8"/>
        <v>Semaine 14-2025</v>
      </c>
      <c r="B114" s="8" t="str">
        <f t="shared" si="9"/>
        <v>2025</v>
      </c>
      <c r="C114" s="2" t="s">
        <v>1</v>
      </c>
      <c r="D114" s="6" t="str">
        <f t="shared" si="10"/>
        <v>Matam</v>
      </c>
      <c r="E114" s="6">
        <f t="shared" si="11"/>
        <v>110915</v>
      </c>
      <c r="F114" s="6">
        <f t="shared" si="12"/>
        <v>789215</v>
      </c>
      <c r="G114" s="4" t="s">
        <v>434</v>
      </c>
      <c r="H114" s="4" t="s">
        <v>436</v>
      </c>
      <c r="I114" s="4">
        <v>11</v>
      </c>
      <c r="J114" s="10" t="s">
        <v>114</v>
      </c>
      <c r="K114" s="10" t="s">
        <v>437</v>
      </c>
      <c r="L114" s="10"/>
      <c r="M114" s="10"/>
      <c r="N114" s="10"/>
      <c r="O114" s="10" t="s">
        <v>238</v>
      </c>
      <c r="P114" s="10" t="s">
        <v>97</v>
      </c>
      <c r="Q114" s="10" t="s">
        <v>97</v>
      </c>
      <c r="R114" s="14" t="s">
        <v>100</v>
      </c>
      <c r="S114" s="14" t="s">
        <v>100</v>
      </c>
      <c r="T114" s="14" t="s">
        <v>100</v>
      </c>
      <c r="U114" s="14"/>
      <c r="V114" s="14"/>
      <c r="W114" s="14"/>
      <c r="X114" s="14"/>
      <c r="Y114" s="5">
        <v>45750</v>
      </c>
      <c r="Z114" s="5">
        <v>45755</v>
      </c>
      <c r="AA114" s="5" t="s">
        <v>97</v>
      </c>
      <c r="AB114" s="5"/>
      <c r="AC114" s="5" t="s">
        <v>97</v>
      </c>
      <c r="AD114" s="5" t="s">
        <v>97</v>
      </c>
      <c r="AE114" s="5" t="s">
        <v>97</v>
      </c>
      <c r="AF114" s="5" t="s">
        <v>103</v>
      </c>
      <c r="AG114" s="5" t="s">
        <v>97</v>
      </c>
      <c r="AH114" s="5" t="s">
        <v>103</v>
      </c>
      <c r="AI114" s="5">
        <v>45750</v>
      </c>
      <c r="AJ114" s="5" t="s">
        <v>103</v>
      </c>
      <c r="AK114" s="5" t="s">
        <v>103</v>
      </c>
      <c r="AL114" s="5" t="s">
        <v>97</v>
      </c>
      <c r="AM114" s="5" t="s">
        <v>103</v>
      </c>
      <c r="AN114" s="5" t="s">
        <v>103</v>
      </c>
      <c r="AO114" s="5" t="s">
        <v>103</v>
      </c>
      <c r="AP114" s="5" t="s">
        <v>103</v>
      </c>
      <c r="AQ114" s="5" t="s">
        <v>103</v>
      </c>
      <c r="AR114" s="5" t="s">
        <v>103</v>
      </c>
      <c r="AS114" s="5" t="s">
        <v>103</v>
      </c>
      <c r="AT114" s="5"/>
      <c r="AU114" s="5"/>
      <c r="AV114" s="4" t="s">
        <v>103</v>
      </c>
      <c r="AW114" s="4" t="s">
        <v>97</v>
      </c>
      <c r="AX114" s="4" t="s">
        <v>97</v>
      </c>
      <c r="AY114" s="4" t="s">
        <v>97</v>
      </c>
      <c r="AZ114" s="4" t="s">
        <v>103</v>
      </c>
      <c r="BA114" s="4" t="s">
        <v>97</v>
      </c>
      <c r="BB114" s="5">
        <v>45755</v>
      </c>
      <c r="BC114" s="5">
        <v>45755</v>
      </c>
      <c r="BD114" s="5">
        <v>45756</v>
      </c>
      <c r="BE114" s="5">
        <v>45757</v>
      </c>
      <c r="BF114" s="5" t="s">
        <v>98</v>
      </c>
      <c r="BG114" s="5" t="s">
        <v>103</v>
      </c>
      <c r="BH114" s="5" t="s">
        <v>103</v>
      </c>
      <c r="BI114" s="5" t="s">
        <v>115</v>
      </c>
    </row>
    <row r="115" spans="1:61" x14ac:dyDescent="0.35">
      <c r="A115" s="8" t="str">
        <f t="shared" si="8"/>
        <v>Semaine 13-2025</v>
      </c>
      <c r="B115" s="8" t="str">
        <f t="shared" si="9"/>
        <v>2025</v>
      </c>
      <c r="C115" s="2" t="s">
        <v>44</v>
      </c>
      <c r="D115" s="6" t="str">
        <f t="shared" si="10"/>
        <v>Louga</v>
      </c>
      <c r="E115" s="6">
        <f t="shared" si="11"/>
        <v>141243</v>
      </c>
      <c r="F115" s="6">
        <f t="shared" si="12"/>
        <v>1121619</v>
      </c>
      <c r="G115" s="4" t="s">
        <v>435</v>
      </c>
      <c r="H115" s="4" t="s">
        <v>438</v>
      </c>
      <c r="I115" s="4">
        <v>19</v>
      </c>
      <c r="J115" s="4" t="s">
        <v>114</v>
      </c>
      <c r="K115" s="4"/>
      <c r="L115" s="4"/>
      <c r="M115" s="4"/>
      <c r="N115" s="4"/>
      <c r="O115" s="4" t="s">
        <v>238</v>
      </c>
      <c r="P115" s="4" t="s">
        <v>97</v>
      </c>
      <c r="Q115" s="4" t="s">
        <v>97</v>
      </c>
      <c r="R115" s="14" t="s">
        <v>100</v>
      </c>
      <c r="S115" s="14" t="s">
        <v>100</v>
      </c>
      <c r="T115" s="14" t="s">
        <v>100</v>
      </c>
      <c r="U115" s="14"/>
      <c r="V115" s="14"/>
      <c r="W115" s="14"/>
      <c r="X115" s="14"/>
      <c r="Y115" s="5">
        <v>45746</v>
      </c>
      <c r="Z115" s="5">
        <v>45751</v>
      </c>
      <c r="AA115" s="5" t="s">
        <v>103</v>
      </c>
      <c r="AB115" s="5" t="s">
        <v>439</v>
      </c>
      <c r="AC115" s="5" t="s">
        <v>103</v>
      </c>
      <c r="AD115" s="5" t="s">
        <v>97</v>
      </c>
      <c r="AE115" s="5" t="s">
        <v>97</v>
      </c>
      <c r="AF115" s="5" t="s">
        <v>103</v>
      </c>
      <c r="AG115" s="5" t="s">
        <v>103</v>
      </c>
      <c r="AH115" s="5" t="s">
        <v>103</v>
      </c>
      <c r="AI115" s="5">
        <v>45750</v>
      </c>
      <c r="AJ115" s="5" t="s">
        <v>103</v>
      </c>
      <c r="AK115" s="5" t="s">
        <v>103</v>
      </c>
      <c r="AL115" s="5" t="s">
        <v>97</v>
      </c>
      <c r="AM115" s="5" t="s">
        <v>103</v>
      </c>
      <c r="AN115" s="5" t="s">
        <v>103</v>
      </c>
      <c r="AO115" s="5" t="s">
        <v>103</v>
      </c>
      <c r="AP115" s="5" t="s">
        <v>103</v>
      </c>
      <c r="AQ115" s="5" t="s">
        <v>97</v>
      </c>
      <c r="AR115" s="5" t="s">
        <v>97</v>
      </c>
      <c r="AS115" s="5" t="s">
        <v>97</v>
      </c>
      <c r="AT115" s="5"/>
      <c r="AU115" s="5"/>
      <c r="AV115" s="4" t="s">
        <v>103</v>
      </c>
      <c r="AW115" s="4" t="s">
        <v>97</v>
      </c>
      <c r="AX115" s="4" t="s">
        <v>97</v>
      </c>
      <c r="AY115" s="4" t="s">
        <v>97</v>
      </c>
      <c r="AZ115" s="4" t="s">
        <v>103</v>
      </c>
      <c r="BA115" s="4" t="s">
        <v>97</v>
      </c>
      <c r="BB115" s="5">
        <v>45751</v>
      </c>
      <c r="BC115" s="5">
        <v>45754</v>
      </c>
      <c r="BD115" s="5">
        <v>45755</v>
      </c>
      <c r="BE115" s="5">
        <v>45757</v>
      </c>
      <c r="BF115" s="5" t="s">
        <v>98</v>
      </c>
      <c r="BG115" s="5" t="s">
        <v>103</v>
      </c>
      <c r="BH115" s="5" t="s">
        <v>103</v>
      </c>
      <c r="BI115" s="5" t="s">
        <v>115</v>
      </c>
    </row>
    <row r="116" spans="1:61" x14ac:dyDescent="0.35">
      <c r="A116" s="8" t="str">
        <f t="shared" si="8"/>
        <v>Semaine 15-2025</v>
      </c>
      <c r="B116" s="8" t="str">
        <f t="shared" si="9"/>
        <v>2025</v>
      </c>
      <c r="C116" s="2" t="s">
        <v>58</v>
      </c>
      <c r="D116" s="6" t="str">
        <f t="shared" si="10"/>
        <v>Dakar</v>
      </c>
      <c r="E116" s="6">
        <f t="shared" si="11"/>
        <v>423495</v>
      </c>
      <c r="F116" s="6">
        <f t="shared" si="12"/>
        <v>4042240</v>
      </c>
      <c r="G116" s="4" t="s">
        <v>440</v>
      </c>
      <c r="H116" s="4" t="s">
        <v>441</v>
      </c>
      <c r="I116" s="4">
        <v>19</v>
      </c>
      <c r="J116" s="4" t="s">
        <v>114</v>
      </c>
      <c r="K116" s="4"/>
      <c r="L116" s="4"/>
      <c r="M116" s="4"/>
      <c r="N116" s="4"/>
      <c r="O116" s="4" t="s">
        <v>238</v>
      </c>
      <c r="P116" s="4" t="s">
        <v>97</v>
      </c>
      <c r="Q116" s="4" t="s">
        <v>97</v>
      </c>
      <c r="R116" s="14" t="s">
        <v>100</v>
      </c>
      <c r="S116" s="14" t="s">
        <v>100</v>
      </c>
      <c r="T116" s="14" t="s">
        <v>100</v>
      </c>
      <c r="U116" s="14"/>
      <c r="V116" s="14"/>
      <c r="W116" s="14"/>
      <c r="X116" s="14"/>
      <c r="Y116" s="5">
        <v>45758</v>
      </c>
      <c r="Z116" s="5">
        <v>45762</v>
      </c>
      <c r="AA116" s="5" t="s">
        <v>103</v>
      </c>
      <c r="AB116" s="5" t="s">
        <v>296</v>
      </c>
      <c r="AC116" s="5" t="s">
        <v>103</v>
      </c>
      <c r="AD116" s="5" t="s">
        <v>103</v>
      </c>
      <c r="AE116" s="5" t="s">
        <v>103</v>
      </c>
      <c r="AF116" s="5" t="s">
        <v>97</v>
      </c>
      <c r="AG116" s="5" t="s">
        <v>103</v>
      </c>
      <c r="AH116" s="5" t="s">
        <v>103</v>
      </c>
      <c r="AI116" s="5">
        <v>45758</v>
      </c>
      <c r="AJ116" s="5" t="s">
        <v>103</v>
      </c>
      <c r="AK116" s="5" t="s">
        <v>103</v>
      </c>
      <c r="AL116" s="5" t="s">
        <v>103</v>
      </c>
      <c r="AM116" s="5" t="s">
        <v>103</v>
      </c>
      <c r="AN116" s="5" t="s">
        <v>103</v>
      </c>
      <c r="AO116" s="5" t="s">
        <v>97</v>
      </c>
      <c r="AP116" s="5" t="s">
        <v>97</v>
      </c>
      <c r="AQ116" s="5" t="s">
        <v>103</v>
      </c>
      <c r="AR116" s="5" t="s">
        <v>97</v>
      </c>
      <c r="AS116" s="5" t="s">
        <v>103</v>
      </c>
      <c r="AT116" s="5"/>
      <c r="AU116" s="5"/>
      <c r="AV116" s="4" t="s">
        <v>103</v>
      </c>
      <c r="AW116" s="4" t="s">
        <v>97</v>
      </c>
      <c r="AX116" s="4" t="s">
        <v>97</v>
      </c>
      <c r="AY116" s="4" t="s">
        <v>97</v>
      </c>
      <c r="AZ116" s="4" t="s">
        <v>103</v>
      </c>
      <c r="BA116" s="4" t="s">
        <v>97</v>
      </c>
      <c r="BB116" s="5">
        <v>45762</v>
      </c>
      <c r="BC116" s="5">
        <v>45762</v>
      </c>
      <c r="BD116" s="5">
        <v>45763</v>
      </c>
      <c r="BE116" s="5">
        <v>45763</v>
      </c>
      <c r="BF116" s="5" t="s">
        <v>98</v>
      </c>
      <c r="BG116" s="5" t="s">
        <v>97</v>
      </c>
      <c r="BH116" s="5" t="s">
        <v>103</v>
      </c>
      <c r="BI116" s="5" t="s">
        <v>115</v>
      </c>
    </row>
    <row r="117" spans="1:61" x14ac:dyDescent="0.35">
      <c r="A117" s="8" t="str">
        <f t="shared" si="8"/>
        <v>Semaine 22-2025</v>
      </c>
      <c r="B117" s="8" t="str">
        <f t="shared" si="9"/>
        <v>2025</v>
      </c>
      <c r="C117" s="2" t="s">
        <v>3</v>
      </c>
      <c r="D117" s="6" t="str">
        <f t="shared" si="10"/>
        <v>Kaolack</v>
      </c>
      <c r="E117" s="6">
        <f t="shared" si="11"/>
        <v>412872</v>
      </c>
      <c r="F117" s="6">
        <f t="shared" si="12"/>
        <v>1267013</v>
      </c>
      <c r="G117" s="4" t="s">
        <v>442</v>
      </c>
      <c r="H117" s="4" t="s">
        <v>443</v>
      </c>
      <c r="I117" s="4">
        <v>25</v>
      </c>
      <c r="J117" s="4" t="s">
        <v>114</v>
      </c>
      <c r="K117" s="4"/>
      <c r="L117" s="4"/>
      <c r="M117" s="4"/>
      <c r="N117" s="4"/>
      <c r="O117" s="4" t="s">
        <v>238</v>
      </c>
      <c r="P117" s="4" t="s">
        <v>97</v>
      </c>
      <c r="Q117" s="4" t="s">
        <v>97</v>
      </c>
      <c r="R117" s="14" t="s">
        <v>100</v>
      </c>
      <c r="S117" s="14" t="s">
        <v>100</v>
      </c>
      <c r="T117" s="14" t="s">
        <v>100</v>
      </c>
      <c r="U117" s="14"/>
      <c r="V117" s="14"/>
      <c r="W117" s="14"/>
      <c r="X117" s="14"/>
      <c r="Y117" s="5">
        <v>45809</v>
      </c>
      <c r="Z117" s="5">
        <v>45811</v>
      </c>
      <c r="AA117" s="5" t="s">
        <v>103</v>
      </c>
      <c r="AB117" s="5"/>
      <c r="AC117" s="5" t="s">
        <v>103</v>
      </c>
      <c r="AD117" s="5" t="s">
        <v>103</v>
      </c>
      <c r="AE117" s="5" t="s">
        <v>103</v>
      </c>
      <c r="AF117" s="5" t="s">
        <v>103</v>
      </c>
      <c r="AG117" s="5" t="s">
        <v>103</v>
      </c>
      <c r="AH117" s="5" t="s">
        <v>103</v>
      </c>
      <c r="AI117" s="5">
        <v>45809</v>
      </c>
      <c r="AJ117" s="5"/>
      <c r="AK117" s="5"/>
      <c r="AL117" s="5" t="s">
        <v>103</v>
      </c>
      <c r="AM117" s="5" t="s">
        <v>103</v>
      </c>
      <c r="AN117" s="5" t="s">
        <v>103</v>
      </c>
      <c r="AO117" s="5" t="s">
        <v>103</v>
      </c>
      <c r="AP117" s="5" t="s">
        <v>103</v>
      </c>
      <c r="AQ117" s="5" t="s">
        <v>97</v>
      </c>
      <c r="AR117" s="5" t="s">
        <v>97</v>
      </c>
      <c r="AS117" s="5" t="s">
        <v>97</v>
      </c>
      <c r="AT117" s="5"/>
      <c r="AU117" s="5"/>
      <c r="AV117" s="4" t="s">
        <v>103</v>
      </c>
      <c r="AW117" s="4" t="s">
        <v>97</v>
      </c>
      <c r="AX117" s="4" t="s">
        <v>97</v>
      </c>
      <c r="AY117" s="4" t="s">
        <v>97</v>
      </c>
      <c r="AZ117" s="4" t="s">
        <v>103</v>
      </c>
      <c r="BA117" s="4" t="s">
        <v>97</v>
      </c>
      <c r="BB117" s="5">
        <v>45811</v>
      </c>
      <c r="BC117" s="5">
        <v>45815</v>
      </c>
      <c r="BD117" s="5">
        <v>45818</v>
      </c>
      <c r="BE117" s="5">
        <v>45820</v>
      </c>
      <c r="BF117" s="5" t="s">
        <v>98</v>
      </c>
      <c r="BG117" s="5" t="s">
        <v>97</v>
      </c>
      <c r="BH117" s="5" t="s">
        <v>103</v>
      </c>
      <c r="BI117" s="5" t="s">
        <v>115</v>
      </c>
    </row>
    <row r="118" spans="1:61" x14ac:dyDescent="0.35">
      <c r="A118" s="8" t="str">
        <f t="shared" si="8"/>
        <v>Semaine 26-2025</v>
      </c>
      <c r="B118" s="8" t="str">
        <f t="shared" si="9"/>
        <v>2025</v>
      </c>
      <c r="C118" s="2" t="s">
        <v>26</v>
      </c>
      <c r="D118" s="6" t="str">
        <f t="shared" si="10"/>
        <v>Diourbel</v>
      </c>
      <c r="E118" s="6">
        <f t="shared" si="11"/>
        <v>354792</v>
      </c>
      <c r="F118" s="6">
        <f t="shared" si="12"/>
        <v>1980827</v>
      </c>
      <c r="G118" s="4" t="s">
        <v>444</v>
      </c>
      <c r="H118" s="4" t="s">
        <v>445</v>
      </c>
      <c r="I118" s="4">
        <v>9</v>
      </c>
      <c r="J118" s="4" t="s">
        <v>114</v>
      </c>
      <c r="K118" s="4"/>
      <c r="L118" s="4"/>
      <c r="M118" s="4"/>
      <c r="N118" s="4"/>
      <c r="O118" s="4" t="s">
        <v>238</v>
      </c>
      <c r="P118" s="4" t="s">
        <v>97</v>
      </c>
      <c r="Q118" s="4" t="s">
        <v>97</v>
      </c>
      <c r="R118" s="14" t="s">
        <v>100</v>
      </c>
      <c r="S118" s="14" t="s">
        <v>100</v>
      </c>
      <c r="T118" s="14" t="s">
        <v>100</v>
      </c>
      <c r="U118" s="14"/>
      <c r="V118" s="14"/>
      <c r="W118" s="14"/>
      <c r="X118" s="14"/>
      <c r="Y118" s="5">
        <v>45832</v>
      </c>
      <c r="Z118" s="5">
        <v>45834</v>
      </c>
      <c r="AA118" s="5" t="s">
        <v>103</v>
      </c>
      <c r="AB118" s="5"/>
      <c r="AC118" s="5" t="s">
        <v>97</v>
      </c>
      <c r="AD118" s="5" t="s">
        <v>97</v>
      </c>
      <c r="AE118" s="5" t="s">
        <v>97</v>
      </c>
      <c r="AF118" s="5" t="s">
        <v>97</v>
      </c>
      <c r="AG118" s="5" t="s">
        <v>97</v>
      </c>
      <c r="AH118" s="5" t="s">
        <v>103</v>
      </c>
      <c r="AI118" s="5">
        <v>45832</v>
      </c>
      <c r="AJ118" s="5"/>
      <c r="AK118" s="5"/>
      <c r="AL118" s="5" t="s">
        <v>103</v>
      </c>
      <c r="AM118" s="5" t="s">
        <v>103</v>
      </c>
      <c r="AN118" s="5" t="s">
        <v>97</v>
      </c>
      <c r="AO118" s="5" t="s">
        <v>97</v>
      </c>
      <c r="AP118" s="5" t="s">
        <v>97</v>
      </c>
      <c r="AQ118" s="5" t="s">
        <v>97</v>
      </c>
      <c r="AR118" s="5" t="s">
        <v>97</v>
      </c>
      <c r="AS118" s="5" t="s">
        <v>97</v>
      </c>
      <c r="AT118" s="5"/>
      <c r="AU118" s="5"/>
      <c r="AV118" s="4" t="s">
        <v>103</v>
      </c>
      <c r="AW118" s="4" t="s">
        <v>97</v>
      </c>
      <c r="AX118" s="4" t="s">
        <v>97</v>
      </c>
      <c r="AY118" s="4" t="s">
        <v>97</v>
      </c>
      <c r="AZ118" s="4" t="s">
        <v>103</v>
      </c>
      <c r="BA118" s="4" t="s">
        <v>97</v>
      </c>
      <c r="BB118" s="5">
        <v>45834</v>
      </c>
      <c r="BC118" s="5">
        <v>45834</v>
      </c>
      <c r="BD118" s="5">
        <v>45835</v>
      </c>
      <c r="BE118" s="5">
        <v>45836</v>
      </c>
      <c r="BF118" s="5" t="s">
        <v>98</v>
      </c>
      <c r="BG118" s="5" t="s">
        <v>103</v>
      </c>
      <c r="BH118" s="5" t="s">
        <v>103</v>
      </c>
      <c r="BI118" s="5" t="s">
        <v>115</v>
      </c>
    </row>
    <row r="119" spans="1:61" x14ac:dyDescent="0.35">
      <c r="A119" s="8" t="str">
        <f t="shared" si="8"/>
        <v>Semaine 26-2025</v>
      </c>
      <c r="B119" s="8" t="str">
        <f t="shared" si="9"/>
        <v>2025</v>
      </c>
      <c r="C119" s="2" t="s">
        <v>19</v>
      </c>
      <c r="D119" s="6" t="str">
        <f t="shared" si="10"/>
        <v>Dakar</v>
      </c>
      <c r="E119" s="6">
        <f t="shared" si="11"/>
        <v>565040</v>
      </c>
      <c r="F119" s="6">
        <f t="shared" si="12"/>
        <v>4042240</v>
      </c>
      <c r="G119" s="4" t="s">
        <v>446</v>
      </c>
      <c r="H119" s="4" t="s">
        <v>449</v>
      </c>
      <c r="I119" s="4">
        <v>5</v>
      </c>
      <c r="J119" s="4" t="s">
        <v>96</v>
      </c>
      <c r="K119" s="4" t="s">
        <v>213</v>
      </c>
      <c r="L119" s="5">
        <v>45840</v>
      </c>
      <c r="M119" s="4"/>
      <c r="N119" s="4"/>
      <c r="O119" s="4" t="s">
        <v>238</v>
      </c>
      <c r="P119" s="4" t="s">
        <v>97</v>
      </c>
      <c r="Q119" s="4" t="s">
        <v>97</v>
      </c>
      <c r="R119" s="14" t="s">
        <v>100</v>
      </c>
      <c r="S119" s="14" t="s">
        <v>100</v>
      </c>
      <c r="T119" s="14" t="s">
        <v>100</v>
      </c>
      <c r="U119" s="14"/>
      <c r="V119" s="14"/>
      <c r="W119" s="14"/>
      <c r="X119" s="14"/>
      <c r="Y119" s="5">
        <v>45836</v>
      </c>
      <c r="Z119" s="5">
        <v>45840</v>
      </c>
      <c r="AA119" s="5" t="s">
        <v>103</v>
      </c>
      <c r="AB119" s="5" t="s">
        <v>303</v>
      </c>
      <c r="AC119" s="5" t="s">
        <v>97</v>
      </c>
      <c r="AD119" s="5" t="s">
        <v>97</v>
      </c>
      <c r="AE119" s="5" t="s">
        <v>97</v>
      </c>
      <c r="AF119" s="5" t="s">
        <v>97</v>
      </c>
      <c r="AG119" s="5" t="s">
        <v>103</v>
      </c>
      <c r="AH119" s="5" t="s">
        <v>103</v>
      </c>
      <c r="AI119" s="5">
        <v>45836</v>
      </c>
      <c r="AJ119" s="5" t="s">
        <v>103</v>
      </c>
      <c r="AK119" s="5" t="s">
        <v>97</v>
      </c>
      <c r="AL119" s="5" t="s">
        <v>103</v>
      </c>
      <c r="AM119" s="5" t="s">
        <v>103</v>
      </c>
      <c r="AN119" s="5" t="s">
        <v>103</v>
      </c>
      <c r="AO119" s="5" t="s">
        <v>103</v>
      </c>
      <c r="AP119" s="5" t="s">
        <v>103</v>
      </c>
      <c r="AQ119" s="5" t="s">
        <v>97</v>
      </c>
      <c r="AR119" s="5" t="s">
        <v>103</v>
      </c>
      <c r="AS119" s="5" t="s">
        <v>103</v>
      </c>
      <c r="AT119" s="5"/>
      <c r="AU119" s="5"/>
      <c r="AV119" s="4" t="s">
        <v>103</v>
      </c>
      <c r="AW119" s="4" t="s">
        <v>97</v>
      </c>
      <c r="AX119" s="4" t="s">
        <v>97</v>
      </c>
      <c r="AY119" s="4" t="s">
        <v>97</v>
      </c>
      <c r="AZ119" s="4" t="s">
        <v>103</v>
      </c>
      <c r="BA119" s="4" t="s">
        <v>97</v>
      </c>
      <c r="BB119" s="5">
        <v>45841</v>
      </c>
      <c r="BC119" s="5">
        <v>45841</v>
      </c>
      <c r="BD119" s="5">
        <v>45841</v>
      </c>
      <c r="BE119" s="5">
        <v>45842</v>
      </c>
      <c r="BF119" s="5" t="s">
        <v>98</v>
      </c>
      <c r="BG119" s="5" t="s">
        <v>103</v>
      </c>
      <c r="BH119" s="5" t="s">
        <v>103</v>
      </c>
      <c r="BI119" s="5" t="s">
        <v>115</v>
      </c>
    </row>
    <row r="120" spans="1:61" x14ac:dyDescent="0.35">
      <c r="A120" s="8" t="str">
        <f t="shared" si="8"/>
        <v>Semaine 27-2025</v>
      </c>
      <c r="B120" s="8" t="str">
        <f t="shared" si="9"/>
        <v>2025</v>
      </c>
      <c r="C120" s="2" t="s">
        <v>0</v>
      </c>
      <c r="D120" s="6" t="str">
        <f t="shared" si="10"/>
        <v>Matam</v>
      </c>
      <c r="E120" s="6">
        <f t="shared" si="11"/>
        <v>271560</v>
      </c>
      <c r="F120" s="6">
        <f t="shared" si="12"/>
        <v>789215</v>
      </c>
      <c r="G120" s="4" t="s">
        <v>447</v>
      </c>
      <c r="H120" s="4" t="s">
        <v>448</v>
      </c>
      <c r="I120" s="4">
        <v>38</v>
      </c>
      <c r="J120" s="4" t="s">
        <v>96</v>
      </c>
      <c r="K120" s="4"/>
      <c r="L120" s="4"/>
      <c r="M120" s="4"/>
      <c r="N120" s="4"/>
      <c r="O120" s="4" t="s">
        <v>238</v>
      </c>
      <c r="P120" s="4" t="s">
        <v>97</v>
      </c>
      <c r="Q120" s="4" t="s">
        <v>97</v>
      </c>
      <c r="R120" s="14" t="s">
        <v>100</v>
      </c>
      <c r="S120" s="14" t="s">
        <v>100</v>
      </c>
      <c r="T120" s="14" t="s">
        <v>100</v>
      </c>
      <c r="U120" s="14"/>
      <c r="V120" s="14"/>
      <c r="W120" s="14"/>
      <c r="X120" s="14"/>
      <c r="Y120" s="5">
        <v>45840</v>
      </c>
      <c r="Z120" s="5">
        <v>45844</v>
      </c>
      <c r="AA120" s="5" t="s">
        <v>103</v>
      </c>
      <c r="AB120" s="5"/>
      <c r="AC120" s="5" t="s">
        <v>97</v>
      </c>
      <c r="AD120" s="5" t="s">
        <v>103</v>
      </c>
      <c r="AE120" s="5" t="s">
        <v>97</v>
      </c>
      <c r="AF120" s="5" t="s">
        <v>97</v>
      </c>
      <c r="AG120" s="5" t="s">
        <v>97</v>
      </c>
      <c r="AH120" s="5" t="s">
        <v>103</v>
      </c>
      <c r="AI120" s="5">
        <v>45840</v>
      </c>
      <c r="AJ120" s="5" t="s">
        <v>103</v>
      </c>
      <c r="AK120" s="5" t="s">
        <v>97</v>
      </c>
      <c r="AL120" s="5" t="s">
        <v>103</v>
      </c>
      <c r="AM120" s="5" t="s">
        <v>103</v>
      </c>
      <c r="AN120" s="5" t="s">
        <v>103</v>
      </c>
      <c r="AO120" s="5" t="s">
        <v>97</v>
      </c>
      <c r="AP120" s="5" t="s">
        <v>97</v>
      </c>
      <c r="AQ120" s="5" t="s">
        <v>97</v>
      </c>
      <c r="AR120" s="5" t="s">
        <v>97</v>
      </c>
      <c r="AS120" s="5" t="s">
        <v>97</v>
      </c>
      <c r="AT120" s="5"/>
      <c r="AU120" s="5"/>
      <c r="AV120" s="4" t="s">
        <v>97</v>
      </c>
      <c r="AW120" s="4" t="s">
        <v>97</v>
      </c>
      <c r="AX120" s="4" t="s">
        <v>97</v>
      </c>
      <c r="AY120" s="4" t="s">
        <v>97</v>
      </c>
      <c r="AZ120" s="4" t="s">
        <v>103</v>
      </c>
      <c r="BA120" s="4" t="s">
        <v>97</v>
      </c>
      <c r="BB120" s="5">
        <v>45844</v>
      </c>
      <c r="BC120" s="5">
        <v>45845</v>
      </c>
      <c r="BD120" s="5">
        <v>45846</v>
      </c>
      <c r="BE120" s="5">
        <v>45848</v>
      </c>
      <c r="BF120" s="5" t="s">
        <v>98</v>
      </c>
      <c r="BG120" s="5" t="s">
        <v>103</v>
      </c>
      <c r="BH120" s="5" t="s">
        <v>103</v>
      </c>
      <c r="BI120" s="4" t="s">
        <v>145</v>
      </c>
    </row>
    <row r="121" spans="1:61" x14ac:dyDescent="0.35">
      <c r="A121" s="8" t="str">
        <f t="shared" si="8"/>
        <v>Semaine 28-2025</v>
      </c>
      <c r="B121" s="8" t="str">
        <f t="shared" si="9"/>
        <v>2025</v>
      </c>
      <c r="C121" s="2" t="s">
        <v>61</v>
      </c>
      <c r="D121" s="6" t="str">
        <f t="shared" si="10"/>
        <v>Thies</v>
      </c>
      <c r="E121" s="6">
        <f t="shared" si="11"/>
        <v>153582</v>
      </c>
      <c r="F121" s="6">
        <f t="shared" si="12"/>
        <v>2280463</v>
      </c>
      <c r="G121" s="4" t="s">
        <v>450</v>
      </c>
      <c r="H121" s="4" t="s">
        <v>451</v>
      </c>
      <c r="I121" s="4">
        <v>11</v>
      </c>
      <c r="J121" s="4" t="s">
        <v>96</v>
      </c>
      <c r="K121" s="4"/>
      <c r="L121" s="4"/>
      <c r="M121" s="4"/>
      <c r="N121" s="4"/>
      <c r="O121" s="4" t="s">
        <v>238</v>
      </c>
      <c r="P121" s="4" t="s">
        <v>97</v>
      </c>
      <c r="Q121" s="4" t="s">
        <v>97</v>
      </c>
      <c r="R121" s="14" t="s">
        <v>100</v>
      </c>
      <c r="S121" s="14" t="s">
        <v>100</v>
      </c>
      <c r="T121" s="14" t="s">
        <v>100</v>
      </c>
      <c r="U121" s="14" t="s">
        <v>431</v>
      </c>
      <c r="V121" s="14"/>
      <c r="W121" s="14"/>
      <c r="X121" s="14"/>
      <c r="Y121" s="5">
        <v>45850</v>
      </c>
      <c r="Z121" s="5">
        <v>45854</v>
      </c>
      <c r="AA121" s="5" t="s">
        <v>103</v>
      </c>
      <c r="AB121" s="5" t="s">
        <v>272</v>
      </c>
      <c r="AC121" s="5" t="s">
        <v>97</v>
      </c>
      <c r="AD121" s="5" t="s">
        <v>97</v>
      </c>
      <c r="AE121" s="5" t="s">
        <v>97</v>
      </c>
      <c r="AF121" s="5" t="s">
        <v>97</v>
      </c>
      <c r="AG121" s="5" t="s">
        <v>103</v>
      </c>
      <c r="AH121" s="5" t="s">
        <v>103</v>
      </c>
      <c r="AI121" s="5">
        <v>45850</v>
      </c>
      <c r="AJ121" s="5" t="s">
        <v>103</v>
      </c>
      <c r="AK121" s="5" t="s">
        <v>103</v>
      </c>
      <c r="AL121" s="5"/>
      <c r="AM121" s="5" t="s">
        <v>103</v>
      </c>
      <c r="AN121" s="5" t="s">
        <v>103</v>
      </c>
      <c r="AO121" s="5" t="s">
        <v>97</v>
      </c>
      <c r="AP121" s="5" t="s">
        <v>97</v>
      </c>
      <c r="AQ121" s="5" t="s">
        <v>97</v>
      </c>
      <c r="AR121" s="5" t="s">
        <v>97</v>
      </c>
      <c r="AS121" s="5" t="s">
        <v>97</v>
      </c>
      <c r="AT121" s="5"/>
      <c r="AU121" s="5"/>
      <c r="AV121" s="4" t="s">
        <v>103</v>
      </c>
      <c r="AW121" s="4" t="s">
        <v>97</v>
      </c>
      <c r="AX121" s="4" t="s">
        <v>103</v>
      </c>
      <c r="AY121" s="4" t="s">
        <v>97</v>
      </c>
      <c r="AZ121" s="4" t="s">
        <v>103</v>
      </c>
      <c r="BA121" s="4" t="s">
        <v>97</v>
      </c>
      <c r="BB121" s="5">
        <v>45854</v>
      </c>
      <c r="BC121" s="5">
        <v>45855</v>
      </c>
      <c r="BD121" s="5">
        <v>45856</v>
      </c>
      <c r="BE121" s="5">
        <v>45856</v>
      </c>
      <c r="BF121" s="5" t="s">
        <v>98</v>
      </c>
      <c r="BG121" s="5" t="s">
        <v>97</v>
      </c>
      <c r="BH121" s="5" t="s">
        <v>103</v>
      </c>
      <c r="BI121" s="5" t="s">
        <v>360</v>
      </c>
    </row>
    <row r="122" spans="1:61" x14ac:dyDescent="0.35">
      <c r="A122" s="8" t="str">
        <f t="shared" si="8"/>
        <v>Semaine 29-2025</v>
      </c>
      <c r="B122" s="8" t="str">
        <f t="shared" si="9"/>
        <v>2025</v>
      </c>
      <c r="C122" s="2" t="s">
        <v>19</v>
      </c>
      <c r="D122" s="6" t="str">
        <f t="shared" si="10"/>
        <v>Dakar</v>
      </c>
      <c r="E122" s="6">
        <f t="shared" si="11"/>
        <v>565040</v>
      </c>
      <c r="F122" s="6">
        <f t="shared" si="12"/>
        <v>4042240</v>
      </c>
      <c r="G122" s="4" t="s">
        <v>452</v>
      </c>
      <c r="H122" s="4" t="s">
        <v>223</v>
      </c>
      <c r="I122" s="4">
        <v>23</v>
      </c>
      <c r="J122" s="4" t="s">
        <v>114</v>
      </c>
      <c r="K122" s="4"/>
      <c r="L122" s="4"/>
      <c r="M122" s="4"/>
      <c r="N122" s="4"/>
      <c r="O122" s="4" t="s">
        <v>238</v>
      </c>
      <c r="P122" s="4" t="s">
        <v>97</v>
      </c>
      <c r="Q122" s="4" t="s">
        <v>97</v>
      </c>
      <c r="R122" s="14" t="s">
        <v>100</v>
      </c>
      <c r="S122" s="14" t="s">
        <v>100</v>
      </c>
      <c r="T122" s="14" t="s">
        <v>100</v>
      </c>
      <c r="U122" s="14"/>
      <c r="V122" s="14"/>
      <c r="W122" s="14"/>
      <c r="X122" s="14"/>
      <c r="Y122" s="5">
        <v>45856</v>
      </c>
      <c r="Z122" s="5">
        <v>45859</v>
      </c>
      <c r="AA122" s="5" t="s">
        <v>103</v>
      </c>
      <c r="AB122" s="5"/>
      <c r="AC122" s="5" t="s">
        <v>97</v>
      </c>
      <c r="AD122" s="5" t="s">
        <v>97</v>
      </c>
      <c r="AE122" s="5" t="s">
        <v>97</v>
      </c>
      <c r="AF122" s="5" t="s">
        <v>103</v>
      </c>
      <c r="AG122" s="5" t="s">
        <v>97</v>
      </c>
      <c r="AH122" s="5" t="s">
        <v>103</v>
      </c>
      <c r="AI122" s="5">
        <v>45856</v>
      </c>
      <c r="AJ122" s="5" t="s">
        <v>103</v>
      </c>
      <c r="AK122" s="5" t="s">
        <v>97</v>
      </c>
      <c r="AL122" s="5" t="s">
        <v>103</v>
      </c>
      <c r="AM122" s="5" t="s">
        <v>103</v>
      </c>
      <c r="AN122" s="5" t="s">
        <v>103</v>
      </c>
      <c r="AO122" s="5" t="s">
        <v>103</v>
      </c>
      <c r="AP122" s="5" t="s">
        <v>103</v>
      </c>
      <c r="AQ122" s="5" t="s">
        <v>97</v>
      </c>
      <c r="AR122" s="5" t="s">
        <v>97</v>
      </c>
      <c r="AS122" s="5" t="s">
        <v>97</v>
      </c>
      <c r="AT122" s="5"/>
      <c r="AU122" s="5"/>
      <c r="AV122" s="4" t="s">
        <v>103</v>
      </c>
      <c r="AW122" s="4" t="s">
        <v>97</v>
      </c>
      <c r="AX122" s="4" t="s">
        <v>97</v>
      </c>
      <c r="AY122" s="4" t="s">
        <v>97</v>
      </c>
      <c r="AZ122" s="4" t="s">
        <v>97</v>
      </c>
      <c r="BA122" s="4" t="s">
        <v>97</v>
      </c>
      <c r="BB122" s="5">
        <v>45859</v>
      </c>
      <c r="BC122" s="5">
        <v>45859</v>
      </c>
      <c r="BD122" s="5">
        <v>45859</v>
      </c>
      <c r="BE122" s="5">
        <v>45860</v>
      </c>
      <c r="BF122" s="5" t="s">
        <v>98</v>
      </c>
      <c r="BG122" s="5" t="s">
        <v>97</v>
      </c>
      <c r="BH122" s="5" t="s">
        <v>103</v>
      </c>
      <c r="BI122" s="5" t="s">
        <v>115</v>
      </c>
    </row>
    <row r="123" spans="1:61" x14ac:dyDescent="0.35">
      <c r="A123" s="8" t="str">
        <f t="shared" si="8"/>
        <v>Semaine 29-2025</v>
      </c>
      <c r="B123" s="8" t="str">
        <f t="shared" si="9"/>
        <v>2025</v>
      </c>
      <c r="C123" s="2" t="s">
        <v>21</v>
      </c>
      <c r="D123" s="6" t="str">
        <f t="shared" si="10"/>
        <v>Dakar</v>
      </c>
      <c r="E123" s="6">
        <f t="shared" si="11"/>
        <v>219872</v>
      </c>
      <c r="F123" s="6">
        <f t="shared" si="12"/>
        <v>4042240</v>
      </c>
      <c r="G123" s="4" t="s">
        <v>453</v>
      </c>
      <c r="H123" s="4" t="s">
        <v>454</v>
      </c>
      <c r="I123" s="4">
        <v>12</v>
      </c>
      <c r="J123" s="4" t="s">
        <v>114</v>
      </c>
      <c r="K123" s="4" t="s">
        <v>256</v>
      </c>
      <c r="L123" s="4"/>
      <c r="M123" s="4"/>
      <c r="N123" s="4"/>
      <c r="O123" s="4" t="s">
        <v>238</v>
      </c>
      <c r="P123" s="4" t="s">
        <v>97</v>
      </c>
      <c r="Q123" s="4" t="s">
        <v>97</v>
      </c>
      <c r="R123" s="14" t="s">
        <v>100</v>
      </c>
      <c r="S123" s="14" t="s">
        <v>100</v>
      </c>
      <c r="T123" s="14" t="s">
        <v>100</v>
      </c>
      <c r="U123" s="14"/>
      <c r="V123" s="14"/>
      <c r="W123" s="14"/>
      <c r="X123" s="14"/>
      <c r="Y123" s="5">
        <v>45854</v>
      </c>
      <c r="Z123" s="5">
        <v>45858</v>
      </c>
      <c r="AA123" s="5" t="s">
        <v>103</v>
      </c>
      <c r="AB123" s="5"/>
      <c r="AC123" s="5" t="s">
        <v>103</v>
      </c>
      <c r="AD123" s="5" t="s">
        <v>103</v>
      </c>
      <c r="AE123" s="5" t="s">
        <v>97</v>
      </c>
      <c r="AF123" s="5" t="s">
        <v>103</v>
      </c>
      <c r="AG123" s="5" t="s">
        <v>103</v>
      </c>
      <c r="AH123" s="5" t="s">
        <v>103</v>
      </c>
      <c r="AI123" s="5">
        <v>45858</v>
      </c>
      <c r="AJ123" s="5" t="s">
        <v>103</v>
      </c>
      <c r="AK123" s="5" t="s">
        <v>97</v>
      </c>
      <c r="AL123" s="5" t="s">
        <v>103</v>
      </c>
      <c r="AM123" s="5" t="s">
        <v>103</v>
      </c>
      <c r="AN123" s="5" t="s">
        <v>103</v>
      </c>
      <c r="AO123" s="5" t="s">
        <v>103</v>
      </c>
      <c r="AP123" s="5" t="s">
        <v>103</v>
      </c>
      <c r="AQ123" s="5" t="s">
        <v>97</v>
      </c>
      <c r="AR123" s="5" t="s">
        <v>97</v>
      </c>
      <c r="AS123" s="5" t="s">
        <v>97</v>
      </c>
      <c r="AT123" s="5"/>
      <c r="AU123" s="5"/>
      <c r="AV123" s="4" t="s">
        <v>103</v>
      </c>
      <c r="AW123" s="4" t="s">
        <v>97</v>
      </c>
      <c r="AX123" s="4" t="s">
        <v>97</v>
      </c>
      <c r="AY123" s="4" t="s">
        <v>97</v>
      </c>
      <c r="AZ123" s="4" t="s">
        <v>103</v>
      </c>
      <c r="BA123" s="4" t="s">
        <v>97</v>
      </c>
      <c r="BB123" s="5">
        <v>45858</v>
      </c>
      <c r="BC123" s="5">
        <v>45863</v>
      </c>
      <c r="BD123" s="5">
        <v>45863</v>
      </c>
      <c r="BE123" s="5">
        <v>45864</v>
      </c>
      <c r="BF123" s="5" t="s">
        <v>98</v>
      </c>
      <c r="BG123" s="5" t="s">
        <v>103</v>
      </c>
      <c r="BH123" s="5" t="s">
        <v>103</v>
      </c>
      <c r="BI123" s="5" t="s">
        <v>115</v>
      </c>
    </row>
    <row r="124" spans="1:61" x14ac:dyDescent="0.35">
      <c r="A124" s="8" t="str">
        <f t="shared" si="8"/>
        <v>Semaine 29-2025</v>
      </c>
      <c r="B124" s="8" t="str">
        <f t="shared" si="9"/>
        <v>2025</v>
      </c>
      <c r="C124" s="2" t="s">
        <v>2</v>
      </c>
      <c r="D124" s="6" t="str">
        <f t="shared" si="10"/>
        <v>Fatick</v>
      </c>
      <c r="E124" s="6">
        <f t="shared" si="11"/>
        <v>151740</v>
      </c>
      <c r="F124" s="6">
        <f t="shared" si="12"/>
        <v>965914</v>
      </c>
      <c r="G124" s="4" t="s">
        <v>455</v>
      </c>
      <c r="H124" s="4" t="s">
        <v>456</v>
      </c>
      <c r="I124" s="4">
        <v>11</v>
      </c>
      <c r="J124" s="4" t="s">
        <v>96</v>
      </c>
      <c r="K124" s="4"/>
      <c r="L124" s="4"/>
      <c r="M124" s="4"/>
      <c r="N124" s="4"/>
      <c r="O124" s="4" t="s">
        <v>238</v>
      </c>
      <c r="P124" s="4" t="s">
        <v>97</v>
      </c>
      <c r="Q124" s="4" t="s">
        <v>97</v>
      </c>
      <c r="R124" s="14" t="s">
        <v>100</v>
      </c>
      <c r="S124" s="14" t="s">
        <v>100</v>
      </c>
      <c r="T124" s="14" t="s">
        <v>100</v>
      </c>
      <c r="U124" s="14"/>
      <c r="V124" s="14"/>
      <c r="W124" s="14"/>
      <c r="X124" s="14"/>
      <c r="Y124" s="5">
        <v>45853</v>
      </c>
      <c r="Z124" s="5">
        <v>45856</v>
      </c>
      <c r="AA124" s="5" t="s">
        <v>103</v>
      </c>
      <c r="AB124" s="5"/>
      <c r="AC124" s="5" t="s">
        <v>97</v>
      </c>
      <c r="AD124" s="5" t="s">
        <v>103</v>
      </c>
      <c r="AE124" s="5" t="s">
        <v>97</v>
      </c>
      <c r="AF124" s="5" t="s">
        <v>103</v>
      </c>
      <c r="AG124" s="5" t="s">
        <v>97</v>
      </c>
      <c r="AH124" s="5" t="s">
        <v>103</v>
      </c>
      <c r="AI124" s="5">
        <v>45853</v>
      </c>
      <c r="AJ124" s="5" t="s">
        <v>103</v>
      </c>
      <c r="AK124" s="5" t="s">
        <v>103</v>
      </c>
      <c r="AL124" s="5" t="s">
        <v>97</v>
      </c>
      <c r="AM124" s="5" t="s">
        <v>103</v>
      </c>
      <c r="AN124" s="5" t="s">
        <v>103</v>
      </c>
      <c r="AO124" s="5" t="s">
        <v>97</v>
      </c>
      <c r="AP124" s="5" t="s">
        <v>97</v>
      </c>
      <c r="AQ124" s="5" t="s">
        <v>97</v>
      </c>
      <c r="AR124" s="5" t="s">
        <v>97</v>
      </c>
      <c r="AS124" s="5" t="s">
        <v>97</v>
      </c>
      <c r="AT124" s="5"/>
      <c r="AU124" s="5"/>
      <c r="AV124" s="4" t="s">
        <v>103</v>
      </c>
      <c r="AW124" s="4" t="s">
        <v>97</v>
      </c>
      <c r="AX124" s="4" t="s">
        <v>97</v>
      </c>
      <c r="AY124" s="4" t="s">
        <v>97</v>
      </c>
      <c r="AZ124" s="4" t="s">
        <v>103</v>
      </c>
      <c r="BA124" s="4" t="s">
        <v>97</v>
      </c>
      <c r="BB124" s="5">
        <v>45856</v>
      </c>
      <c r="BC124" s="5">
        <v>45862</v>
      </c>
      <c r="BD124" s="5">
        <v>45863</v>
      </c>
      <c r="BE124" s="5">
        <v>45864</v>
      </c>
      <c r="BF124" s="5" t="s">
        <v>98</v>
      </c>
      <c r="BG124" s="5" t="s">
        <v>97</v>
      </c>
      <c r="BH124" s="5" t="s">
        <v>103</v>
      </c>
      <c r="BI124" s="5" t="s">
        <v>115</v>
      </c>
    </row>
    <row r="125" spans="1:61" x14ac:dyDescent="0.35">
      <c r="A125" s="8" t="str">
        <f t="shared" si="8"/>
        <v>Semaine 29-2025</v>
      </c>
      <c r="B125" s="8" t="str">
        <f t="shared" si="9"/>
        <v>2025</v>
      </c>
      <c r="C125" s="2" t="s">
        <v>18</v>
      </c>
      <c r="D125" s="6" t="str">
        <f t="shared" si="10"/>
        <v>Dakar</v>
      </c>
      <c r="E125" s="6">
        <f t="shared" si="11"/>
        <v>419489</v>
      </c>
      <c r="F125" s="6">
        <f t="shared" si="12"/>
        <v>4042240</v>
      </c>
      <c r="G125" s="4" t="s">
        <v>458</v>
      </c>
      <c r="H125" s="4" t="s">
        <v>459</v>
      </c>
      <c r="I125" s="4">
        <v>30</v>
      </c>
      <c r="J125" s="4" t="s">
        <v>114</v>
      </c>
      <c r="K125" s="4"/>
      <c r="L125" s="4"/>
      <c r="M125" s="4"/>
      <c r="N125" s="4"/>
      <c r="O125" s="4" t="s">
        <v>238</v>
      </c>
      <c r="P125" s="4" t="s">
        <v>97</v>
      </c>
      <c r="Q125" s="4" t="s">
        <v>97</v>
      </c>
      <c r="R125" s="14" t="s">
        <v>100</v>
      </c>
      <c r="S125" s="14" t="s">
        <v>100</v>
      </c>
      <c r="T125" s="14" t="s">
        <v>100</v>
      </c>
      <c r="U125" s="14"/>
      <c r="V125" s="14"/>
      <c r="W125" s="14"/>
      <c r="X125" s="14"/>
      <c r="Y125" s="5">
        <v>45856</v>
      </c>
      <c r="Z125" s="5">
        <v>45863</v>
      </c>
      <c r="AA125" s="5" t="s">
        <v>103</v>
      </c>
      <c r="AB125" s="5"/>
      <c r="AC125" s="5" t="s">
        <v>97</v>
      </c>
      <c r="AD125" s="5" t="s">
        <v>97</v>
      </c>
      <c r="AE125" s="5" t="s">
        <v>97</v>
      </c>
      <c r="AF125" s="5" t="s">
        <v>103</v>
      </c>
      <c r="AG125" s="5" t="s">
        <v>103</v>
      </c>
      <c r="AH125" s="5" t="s">
        <v>103</v>
      </c>
      <c r="AI125" s="5">
        <v>45861</v>
      </c>
      <c r="AJ125" s="5"/>
      <c r="AK125" s="5"/>
      <c r="AL125" s="5"/>
      <c r="AM125" s="5" t="s">
        <v>103</v>
      </c>
      <c r="AN125" s="5" t="s">
        <v>103</v>
      </c>
      <c r="AO125" s="5" t="s">
        <v>103</v>
      </c>
      <c r="AP125" s="5" t="s">
        <v>103</v>
      </c>
      <c r="AQ125" s="5" t="s">
        <v>97</v>
      </c>
      <c r="AR125" s="5" t="s">
        <v>97</v>
      </c>
      <c r="AS125" s="5" t="s">
        <v>97</v>
      </c>
      <c r="AT125" s="5"/>
      <c r="AU125" s="5"/>
      <c r="AV125" s="4" t="s">
        <v>103</v>
      </c>
      <c r="AW125" s="4" t="s">
        <v>97</v>
      </c>
      <c r="AX125" s="4" t="s">
        <v>97</v>
      </c>
      <c r="AY125" s="4" t="s">
        <v>103</v>
      </c>
      <c r="AZ125" s="4" t="s">
        <v>103</v>
      </c>
      <c r="BA125" s="4" t="s">
        <v>97</v>
      </c>
      <c r="BB125" s="5">
        <v>45863</v>
      </c>
      <c r="BC125" s="5">
        <v>45864</v>
      </c>
      <c r="BD125" s="5">
        <v>45864</v>
      </c>
      <c r="BE125" s="5">
        <v>45865</v>
      </c>
      <c r="BF125" s="5" t="s">
        <v>98</v>
      </c>
      <c r="BG125" s="5" t="s">
        <v>97</v>
      </c>
      <c r="BH125" s="5" t="s">
        <v>103</v>
      </c>
      <c r="BI125" s="5" t="s">
        <v>115</v>
      </c>
    </row>
    <row r="126" spans="1:61" x14ac:dyDescent="0.35">
      <c r="A126" s="8" t="str">
        <f t="shared" si="8"/>
        <v>Semaine 30-2025</v>
      </c>
      <c r="B126" s="8" t="str">
        <f t="shared" si="9"/>
        <v>2025</v>
      </c>
      <c r="C126" s="2" t="s">
        <v>2</v>
      </c>
      <c r="D126" s="6" t="str">
        <f t="shared" si="10"/>
        <v>Fatick</v>
      </c>
      <c r="E126" s="6">
        <f t="shared" si="11"/>
        <v>151740</v>
      </c>
      <c r="F126" s="6">
        <f t="shared" si="12"/>
        <v>965914</v>
      </c>
      <c r="G126" s="4" t="s">
        <v>460</v>
      </c>
      <c r="H126" s="4" t="s">
        <v>462</v>
      </c>
      <c r="I126" s="4">
        <v>21</v>
      </c>
      <c r="J126" s="4" t="s">
        <v>114</v>
      </c>
      <c r="K126" s="4"/>
      <c r="L126" s="4"/>
      <c r="M126" s="4"/>
      <c r="N126" s="4"/>
      <c r="O126" s="4" t="s">
        <v>238</v>
      </c>
      <c r="P126" s="4" t="s">
        <v>97</v>
      </c>
      <c r="Q126" s="4" t="s">
        <v>97</v>
      </c>
      <c r="R126" s="14" t="s">
        <v>100</v>
      </c>
      <c r="S126" s="14" t="s">
        <v>100</v>
      </c>
      <c r="T126" s="14" t="s">
        <v>100</v>
      </c>
      <c r="U126" s="14"/>
      <c r="V126" s="14"/>
      <c r="W126" s="14"/>
      <c r="X126" s="14"/>
      <c r="Y126" s="5">
        <v>45860</v>
      </c>
      <c r="Z126" s="5">
        <v>45865</v>
      </c>
      <c r="AA126" s="5" t="s">
        <v>103</v>
      </c>
      <c r="AB126" s="5" t="s">
        <v>463</v>
      </c>
      <c r="AC126" s="5" t="s">
        <v>97</v>
      </c>
      <c r="AD126" s="5" t="s">
        <v>97</v>
      </c>
      <c r="AE126" s="5" t="s">
        <v>97</v>
      </c>
      <c r="AF126" s="5" t="s">
        <v>103</v>
      </c>
      <c r="AG126" s="5" t="s">
        <v>103</v>
      </c>
      <c r="AH126" s="5" t="s">
        <v>103</v>
      </c>
      <c r="AI126" s="5">
        <v>45860</v>
      </c>
      <c r="AJ126" s="5" t="s">
        <v>103</v>
      </c>
      <c r="AK126" s="5" t="s">
        <v>103</v>
      </c>
      <c r="AL126" s="5" t="s">
        <v>97</v>
      </c>
      <c r="AM126" s="5" t="s">
        <v>103</v>
      </c>
      <c r="AN126" s="5" t="s">
        <v>103</v>
      </c>
      <c r="AO126" s="5" t="s">
        <v>97</v>
      </c>
      <c r="AP126" s="5" t="s">
        <v>97</v>
      </c>
      <c r="AQ126" s="5" t="s">
        <v>97</v>
      </c>
      <c r="AR126" s="5" t="s">
        <v>97</v>
      </c>
      <c r="AS126" s="5" t="s">
        <v>103</v>
      </c>
      <c r="AT126" s="5"/>
      <c r="AU126" s="5"/>
      <c r="AV126" s="4" t="s">
        <v>103</v>
      </c>
      <c r="AW126" s="4" t="s">
        <v>97</v>
      </c>
      <c r="AX126" s="4" t="s">
        <v>97</v>
      </c>
      <c r="AY126" s="4" t="s">
        <v>97</v>
      </c>
      <c r="AZ126" s="4" t="s">
        <v>103</v>
      </c>
      <c r="BA126" s="4" t="s">
        <v>97</v>
      </c>
      <c r="BB126" s="5">
        <v>45866</v>
      </c>
      <c r="BC126" s="5">
        <v>45867</v>
      </c>
      <c r="BD126" s="5">
        <v>45867</v>
      </c>
      <c r="BE126" s="5">
        <v>45867</v>
      </c>
      <c r="BF126" s="5" t="s">
        <v>98</v>
      </c>
      <c r="BG126" s="5" t="s">
        <v>103</v>
      </c>
      <c r="BH126" s="5" t="s">
        <v>103</v>
      </c>
      <c r="BI126" s="5" t="s">
        <v>115</v>
      </c>
    </row>
    <row r="127" spans="1:61" x14ac:dyDescent="0.35">
      <c r="A127" s="8" t="str">
        <f t="shared" si="8"/>
        <v>Semaine 30-2025</v>
      </c>
      <c r="B127" s="8" t="str">
        <f t="shared" si="9"/>
        <v>2025</v>
      </c>
      <c r="C127" s="2" t="s">
        <v>66</v>
      </c>
      <c r="D127" s="6" t="str">
        <f t="shared" si="10"/>
        <v>Louga</v>
      </c>
      <c r="E127" s="6">
        <f t="shared" si="11"/>
        <v>91992</v>
      </c>
      <c r="F127" s="6">
        <f t="shared" si="12"/>
        <v>1121619</v>
      </c>
      <c r="G127" s="4" t="s">
        <v>461</v>
      </c>
      <c r="H127" s="4" t="s">
        <v>464</v>
      </c>
      <c r="I127" s="4">
        <v>20</v>
      </c>
      <c r="J127" s="4" t="s">
        <v>114</v>
      </c>
      <c r="K127" s="4"/>
      <c r="L127" s="4"/>
      <c r="M127" s="4"/>
      <c r="N127" s="4"/>
      <c r="O127" s="4" t="s">
        <v>238</v>
      </c>
      <c r="P127" s="4" t="s">
        <v>97</v>
      </c>
      <c r="Q127" s="4" t="s">
        <v>97</v>
      </c>
      <c r="R127" s="14" t="s">
        <v>100</v>
      </c>
      <c r="S127" s="14" t="s">
        <v>100</v>
      </c>
      <c r="T127" s="14" t="s">
        <v>100</v>
      </c>
      <c r="U127" s="14"/>
      <c r="V127" s="14"/>
      <c r="W127" s="14"/>
      <c r="X127" s="14"/>
      <c r="Y127" s="5">
        <v>45861</v>
      </c>
      <c r="Z127" s="5">
        <v>45864</v>
      </c>
      <c r="AA127" s="5" t="s">
        <v>103</v>
      </c>
      <c r="AB127" s="5" t="s">
        <v>272</v>
      </c>
      <c r="AC127" s="5" t="s">
        <v>97</v>
      </c>
      <c r="AD127" s="5" t="s">
        <v>103</v>
      </c>
      <c r="AE127" s="5" t="s">
        <v>97</v>
      </c>
      <c r="AF127" s="5" t="s">
        <v>97</v>
      </c>
      <c r="AG127" s="5" t="s">
        <v>97</v>
      </c>
      <c r="AH127" s="5" t="s">
        <v>103</v>
      </c>
      <c r="AI127" s="5">
        <v>45861</v>
      </c>
      <c r="AJ127" s="5" t="s">
        <v>103</v>
      </c>
      <c r="AK127" s="5" t="s">
        <v>103</v>
      </c>
      <c r="AL127" s="5"/>
      <c r="AM127" s="5" t="s">
        <v>103</v>
      </c>
      <c r="AN127" s="5" t="s">
        <v>103</v>
      </c>
      <c r="AO127" s="5" t="s">
        <v>97</v>
      </c>
      <c r="AP127" s="5" t="s">
        <v>97</v>
      </c>
      <c r="AQ127" s="5" t="s">
        <v>97</v>
      </c>
      <c r="AR127" s="5" t="s">
        <v>97</v>
      </c>
      <c r="AS127" s="5" t="s">
        <v>97</v>
      </c>
      <c r="AT127" s="5"/>
      <c r="AU127" s="5"/>
      <c r="AV127" s="4" t="s">
        <v>103</v>
      </c>
      <c r="AW127" s="4" t="s">
        <v>97</v>
      </c>
      <c r="AX127" s="4" t="s">
        <v>97</v>
      </c>
      <c r="AY127" s="4" t="s">
        <v>97</v>
      </c>
      <c r="AZ127" s="4" t="s">
        <v>103</v>
      </c>
      <c r="BA127" s="4" t="s">
        <v>97</v>
      </c>
      <c r="BB127" s="5">
        <v>45864</v>
      </c>
      <c r="BC127" s="5">
        <v>45865</v>
      </c>
      <c r="BD127" s="5">
        <v>45867</v>
      </c>
      <c r="BE127" s="5">
        <v>45867</v>
      </c>
      <c r="BF127" s="5" t="s">
        <v>98</v>
      </c>
      <c r="BG127" s="5" t="s">
        <v>97</v>
      </c>
      <c r="BH127" s="5" t="s">
        <v>103</v>
      </c>
      <c r="BI127" s="5" t="s">
        <v>115</v>
      </c>
    </row>
    <row r="128" spans="1:61" x14ac:dyDescent="0.35">
      <c r="A128" s="8" t="str">
        <f t="shared" si="8"/>
        <v>Semaine 31-2025</v>
      </c>
      <c r="B128" s="8" t="str">
        <f t="shared" si="9"/>
        <v>2025</v>
      </c>
      <c r="C128" s="2" t="s">
        <v>75</v>
      </c>
      <c r="D128" s="6" t="str">
        <f t="shared" si="10"/>
        <v>Diourbel</v>
      </c>
      <c r="E128" s="6">
        <f t="shared" si="11"/>
        <v>996481</v>
      </c>
      <c r="F128" s="6">
        <f t="shared" si="12"/>
        <v>1980827</v>
      </c>
      <c r="G128" s="4" t="s">
        <v>465</v>
      </c>
      <c r="H128" s="4" t="s">
        <v>466</v>
      </c>
      <c r="I128" s="4">
        <v>19</v>
      </c>
      <c r="J128" s="4" t="s">
        <v>114</v>
      </c>
      <c r="K128" s="4"/>
      <c r="L128" s="4"/>
      <c r="M128" s="4"/>
      <c r="N128" s="4"/>
      <c r="O128" s="4" t="s">
        <v>238</v>
      </c>
      <c r="P128" s="4" t="s">
        <v>97</v>
      </c>
      <c r="Q128" s="4" t="s">
        <v>97</v>
      </c>
      <c r="R128" s="14" t="s">
        <v>100</v>
      </c>
      <c r="S128" s="14" t="s">
        <v>100</v>
      </c>
      <c r="T128" s="14" t="s">
        <v>100</v>
      </c>
      <c r="U128" s="14"/>
      <c r="V128" s="14"/>
      <c r="W128" s="14"/>
      <c r="X128" s="14"/>
      <c r="Y128" s="5">
        <v>45869</v>
      </c>
      <c r="Z128" s="5">
        <v>45873</v>
      </c>
      <c r="AA128" s="5" t="s">
        <v>103</v>
      </c>
      <c r="AB128" s="5"/>
      <c r="AC128" s="5" t="s">
        <v>103</v>
      </c>
      <c r="AD128" s="5" t="s">
        <v>103</v>
      </c>
      <c r="AE128" s="5" t="s">
        <v>97</v>
      </c>
      <c r="AF128" s="5" t="s">
        <v>103</v>
      </c>
      <c r="AG128" s="5" t="s">
        <v>103</v>
      </c>
      <c r="AH128" s="5" t="s">
        <v>103</v>
      </c>
      <c r="AI128" s="5">
        <v>45869</v>
      </c>
      <c r="AJ128" s="5" t="s">
        <v>103</v>
      </c>
      <c r="AK128" s="5"/>
      <c r="AL128" s="5"/>
      <c r="AM128" s="5" t="s">
        <v>97</v>
      </c>
      <c r="AN128" s="5" t="s">
        <v>97</v>
      </c>
      <c r="AO128" s="5" t="s">
        <v>103</v>
      </c>
      <c r="AP128" s="5" t="s">
        <v>97</v>
      </c>
      <c r="AQ128" s="5" t="s">
        <v>97</v>
      </c>
      <c r="AR128" s="5" t="s">
        <v>97</v>
      </c>
      <c r="AS128" s="5" t="s">
        <v>97</v>
      </c>
      <c r="AT128" s="5"/>
      <c r="AU128" s="5"/>
      <c r="AV128" s="4" t="s">
        <v>103</v>
      </c>
      <c r="AW128" s="4" t="s">
        <v>97</v>
      </c>
      <c r="AX128" s="4" t="s">
        <v>97</v>
      </c>
      <c r="AY128" s="4" t="s">
        <v>97</v>
      </c>
      <c r="AZ128" s="4" t="s">
        <v>97</v>
      </c>
      <c r="BA128" s="4" t="s">
        <v>97</v>
      </c>
      <c r="BB128" s="5">
        <v>45873</v>
      </c>
      <c r="BC128" s="5">
        <v>45874</v>
      </c>
      <c r="BD128" s="5">
        <v>45874</v>
      </c>
      <c r="BE128" s="5">
        <v>45875</v>
      </c>
      <c r="BF128" s="5" t="s">
        <v>98</v>
      </c>
      <c r="BG128" s="5" t="s">
        <v>97</v>
      </c>
      <c r="BH128" s="5" t="s">
        <v>103</v>
      </c>
      <c r="BI128" s="5" t="s">
        <v>115</v>
      </c>
    </row>
    <row r="129" spans="1:61" x14ac:dyDescent="0.35">
      <c r="A129" s="8" t="str">
        <f t="shared" si="8"/>
        <v>Semaine 31-2025</v>
      </c>
      <c r="B129" s="8" t="str">
        <f t="shared" si="9"/>
        <v>2025</v>
      </c>
      <c r="C129" s="2" t="s">
        <v>75</v>
      </c>
      <c r="D129" s="6" t="str">
        <f t="shared" si="10"/>
        <v>Diourbel</v>
      </c>
      <c r="E129" s="6">
        <f t="shared" si="11"/>
        <v>996481</v>
      </c>
      <c r="F129" s="6">
        <f t="shared" si="12"/>
        <v>1980827</v>
      </c>
      <c r="G129" s="4" t="s">
        <v>467</v>
      </c>
      <c r="H129" s="4" t="s">
        <v>468</v>
      </c>
      <c r="I129" s="4">
        <v>3</v>
      </c>
      <c r="J129" s="4" t="s">
        <v>114</v>
      </c>
      <c r="K129" s="4"/>
      <c r="L129" s="4"/>
      <c r="M129" s="4"/>
      <c r="N129" s="4"/>
      <c r="O129" s="4" t="s">
        <v>238</v>
      </c>
      <c r="P129" s="4" t="s">
        <v>97</v>
      </c>
      <c r="Q129" s="4" t="s">
        <v>97</v>
      </c>
      <c r="R129" s="14" t="s">
        <v>100</v>
      </c>
      <c r="S129" s="14" t="s">
        <v>100</v>
      </c>
      <c r="T129" s="14" t="s">
        <v>100</v>
      </c>
      <c r="U129" s="14"/>
      <c r="V129" s="14"/>
      <c r="W129" s="14"/>
      <c r="X129" s="14"/>
      <c r="Y129" s="5">
        <v>45867</v>
      </c>
      <c r="Z129" s="5">
        <v>45869</v>
      </c>
      <c r="AA129" s="5" t="s">
        <v>103</v>
      </c>
      <c r="AB129" s="5"/>
      <c r="AC129" s="5" t="s">
        <v>97</v>
      </c>
      <c r="AD129" s="5" t="s">
        <v>97</v>
      </c>
      <c r="AE129" s="5" t="s">
        <v>97</v>
      </c>
      <c r="AF129" s="5" t="s">
        <v>97</v>
      </c>
      <c r="AG129" s="5" t="s">
        <v>97</v>
      </c>
      <c r="AH129" s="5" t="s">
        <v>103</v>
      </c>
      <c r="AI129" s="5">
        <v>45867</v>
      </c>
      <c r="AJ129" s="5" t="s">
        <v>103</v>
      </c>
      <c r="AK129" s="5"/>
      <c r="AL129" s="5"/>
      <c r="AM129" s="5" t="s">
        <v>103</v>
      </c>
      <c r="AN129" s="5" t="s">
        <v>103</v>
      </c>
      <c r="AO129" s="5" t="s">
        <v>103</v>
      </c>
      <c r="AP129" s="5" t="s">
        <v>103</v>
      </c>
      <c r="AQ129" s="5" t="s">
        <v>97</v>
      </c>
      <c r="AR129" s="5" t="s">
        <v>97</v>
      </c>
      <c r="AS129" s="5" t="s">
        <v>97</v>
      </c>
      <c r="AT129" s="5"/>
      <c r="AU129" s="5"/>
      <c r="AV129" s="4" t="s">
        <v>103</v>
      </c>
      <c r="AW129" s="4" t="s">
        <v>97</v>
      </c>
      <c r="AX129" s="4" t="s">
        <v>97</v>
      </c>
      <c r="AY129" s="4" t="s">
        <v>97</v>
      </c>
      <c r="AZ129" s="4" t="s">
        <v>97</v>
      </c>
      <c r="BA129" s="4" t="s">
        <v>97</v>
      </c>
      <c r="BB129" s="5">
        <v>45870</v>
      </c>
      <c r="BC129" s="5">
        <v>45874</v>
      </c>
      <c r="BD129" s="5">
        <v>45874</v>
      </c>
      <c r="BE129" s="5">
        <v>45875</v>
      </c>
      <c r="BF129" s="5" t="s">
        <v>98</v>
      </c>
      <c r="BG129" s="5" t="s">
        <v>97</v>
      </c>
      <c r="BH129" s="5" t="s">
        <v>103</v>
      </c>
      <c r="BI129" s="5" t="s">
        <v>115</v>
      </c>
    </row>
    <row r="130" spans="1:61" x14ac:dyDescent="0.35">
      <c r="A130" s="8" t="str">
        <f t="shared" si="8"/>
        <v>Semaine 31-2025</v>
      </c>
      <c r="B130" s="8" t="str">
        <f t="shared" si="9"/>
        <v>2025</v>
      </c>
      <c r="C130" s="2" t="s">
        <v>4</v>
      </c>
      <c r="D130" s="6" t="str">
        <f t="shared" si="10"/>
        <v>Thies</v>
      </c>
      <c r="E130" s="6">
        <f t="shared" si="11"/>
        <v>462449</v>
      </c>
      <c r="F130" s="6">
        <f t="shared" si="12"/>
        <v>2280463</v>
      </c>
      <c r="G130" s="4" t="s">
        <v>469</v>
      </c>
      <c r="H130" s="4" t="s">
        <v>470</v>
      </c>
      <c r="I130" s="4">
        <v>19</v>
      </c>
      <c r="J130" s="4" t="s">
        <v>114</v>
      </c>
      <c r="K130" s="4"/>
      <c r="L130" s="4"/>
      <c r="M130" s="4"/>
      <c r="N130" s="4"/>
      <c r="O130" s="4" t="s">
        <v>238</v>
      </c>
      <c r="P130" s="4" t="s">
        <v>97</v>
      </c>
      <c r="Q130" s="4" t="s">
        <v>97</v>
      </c>
      <c r="R130" s="14" t="s">
        <v>100</v>
      </c>
      <c r="S130" s="14" t="s">
        <v>100</v>
      </c>
      <c r="T130" s="14" t="s">
        <v>100</v>
      </c>
      <c r="U130" s="14" t="s">
        <v>431</v>
      </c>
      <c r="V130" s="14"/>
      <c r="W130" s="14"/>
      <c r="X130" s="14"/>
      <c r="Y130" s="5">
        <v>45866</v>
      </c>
      <c r="Z130" s="5">
        <v>45870</v>
      </c>
      <c r="AA130" s="5" t="s">
        <v>97</v>
      </c>
      <c r="AB130" s="5"/>
      <c r="AC130" s="5" t="s">
        <v>103</v>
      </c>
      <c r="AD130" s="5" t="s">
        <v>103</v>
      </c>
      <c r="AE130" s="5" t="s">
        <v>97</v>
      </c>
      <c r="AF130" s="5" t="s">
        <v>97</v>
      </c>
      <c r="AG130" s="5" t="s">
        <v>103</v>
      </c>
      <c r="AH130" s="5" t="s">
        <v>103</v>
      </c>
      <c r="AI130" s="5">
        <v>45866</v>
      </c>
      <c r="AJ130" s="5" t="s">
        <v>103</v>
      </c>
      <c r="AK130" s="5" t="s">
        <v>103</v>
      </c>
      <c r="AL130" s="5" t="s">
        <v>97</v>
      </c>
      <c r="AM130" s="5" t="s">
        <v>97</v>
      </c>
      <c r="AN130" s="5" t="s">
        <v>103</v>
      </c>
      <c r="AO130" s="5" t="s">
        <v>103</v>
      </c>
      <c r="AP130" s="5" t="s">
        <v>103</v>
      </c>
      <c r="AQ130" s="5" t="s">
        <v>103</v>
      </c>
      <c r="AR130" s="5" t="s">
        <v>97</v>
      </c>
      <c r="AS130" s="5" t="s">
        <v>97</v>
      </c>
      <c r="AT130" s="5"/>
      <c r="AU130" s="5"/>
      <c r="AV130" s="4" t="s">
        <v>103</v>
      </c>
      <c r="AW130" s="4" t="s">
        <v>97</v>
      </c>
      <c r="AX130" s="4" t="s">
        <v>97</v>
      </c>
      <c r="AY130" s="4" t="s">
        <v>97</v>
      </c>
      <c r="AZ130" s="4" t="s">
        <v>103</v>
      </c>
      <c r="BA130" s="4" t="s">
        <v>97</v>
      </c>
      <c r="BB130" s="5">
        <v>45870</v>
      </c>
      <c r="BC130" s="5">
        <v>45873</v>
      </c>
      <c r="BD130" s="5">
        <v>45873</v>
      </c>
      <c r="BE130" s="5">
        <v>45873</v>
      </c>
      <c r="BF130" s="5" t="s">
        <v>98</v>
      </c>
      <c r="BG130" s="5" t="s">
        <v>97</v>
      </c>
      <c r="BH130" s="5" t="s">
        <v>103</v>
      </c>
      <c r="BI130" s="5" t="s">
        <v>360</v>
      </c>
    </row>
    <row r="131" spans="1:61" x14ac:dyDescent="0.35">
      <c r="A131" s="8" t="str">
        <f t="shared" si="8"/>
        <v>Semaine 32-2025</v>
      </c>
      <c r="B131" s="8" t="str">
        <f t="shared" si="9"/>
        <v>2025</v>
      </c>
      <c r="C131" s="2" t="s">
        <v>21</v>
      </c>
      <c r="D131" s="6" t="str">
        <f t="shared" si="10"/>
        <v>Dakar</v>
      </c>
      <c r="E131" s="6">
        <f t="shared" si="11"/>
        <v>219872</v>
      </c>
      <c r="F131" s="6">
        <f t="shared" si="12"/>
        <v>4042240</v>
      </c>
      <c r="G131" s="4" t="s">
        <v>471</v>
      </c>
      <c r="H131" s="4" t="s">
        <v>472</v>
      </c>
      <c r="I131" s="4">
        <v>32</v>
      </c>
      <c r="J131" s="4" t="s">
        <v>114</v>
      </c>
      <c r="K131" s="4"/>
      <c r="L131" s="4"/>
      <c r="M131" s="4"/>
      <c r="N131" s="4"/>
      <c r="O131" s="4" t="s">
        <v>238</v>
      </c>
      <c r="P131" s="4" t="s">
        <v>97</v>
      </c>
      <c r="Q131" s="4" t="s">
        <v>97</v>
      </c>
      <c r="R131" s="14" t="s">
        <v>100</v>
      </c>
      <c r="S131" s="14" t="s">
        <v>100</v>
      </c>
      <c r="T131" s="14" t="s">
        <v>100</v>
      </c>
      <c r="U131" s="14"/>
      <c r="V131" s="14"/>
      <c r="W131" s="14"/>
      <c r="X131" s="14"/>
      <c r="Y131" s="5">
        <v>45873</v>
      </c>
      <c r="Z131" s="5">
        <v>45875</v>
      </c>
      <c r="AA131" s="5" t="s">
        <v>103</v>
      </c>
      <c r="AB131" s="5"/>
      <c r="AC131" s="5" t="s">
        <v>103</v>
      </c>
      <c r="AD131" s="5" t="s">
        <v>97</v>
      </c>
      <c r="AE131" s="5" t="s">
        <v>97</v>
      </c>
      <c r="AF131" s="5" t="s">
        <v>103</v>
      </c>
      <c r="AG131" s="5" t="s">
        <v>97</v>
      </c>
      <c r="AH131" s="5" t="s">
        <v>97</v>
      </c>
      <c r="AI131" s="5">
        <v>45873</v>
      </c>
      <c r="AJ131" s="5"/>
      <c r="AK131" s="5"/>
      <c r="AL131" s="5"/>
      <c r="AM131" s="5" t="s">
        <v>103</v>
      </c>
      <c r="AN131" s="5" t="s">
        <v>103</v>
      </c>
      <c r="AO131" s="5" t="s">
        <v>103</v>
      </c>
      <c r="AP131" s="5" t="s">
        <v>103</v>
      </c>
      <c r="AQ131" s="5" t="s">
        <v>97</v>
      </c>
      <c r="AR131" s="5" t="s">
        <v>97</v>
      </c>
      <c r="AS131" s="5" t="s">
        <v>97</v>
      </c>
      <c r="AT131" s="5"/>
      <c r="AU131" s="5"/>
      <c r="AV131" s="4" t="s">
        <v>103</v>
      </c>
      <c r="AW131" s="4" t="s">
        <v>97</v>
      </c>
      <c r="AX131" s="4" t="s">
        <v>97</v>
      </c>
      <c r="AY131" s="4" t="s">
        <v>97</v>
      </c>
      <c r="AZ131" s="4" t="s">
        <v>103</v>
      </c>
      <c r="BA131" s="4" t="s">
        <v>97</v>
      </c>
      <c r="BB131" s="5">
        <v>45875</v>
      </c>
      <c r="BC131" s="5">
        <v>45875</v>
      </c>
      <c r="BD131" s="5">
        <v>45876</v>
      </c>
      <c r="BE131" s="5">
        <v>45877</v>
      </c>
      <c r="BF131" s="5" t="s">
        <v>98</v>
      </c>
      <c r="BG131" s="5" t="s">
        <v>97</v>
      </c>
      <c r="BH131" s="5" t="s">
        <v>103</v>
      </c>
      <c r="BI131" s="5" t="s">
        <v>115</v>
      </c>
    </row>
    <row r="132" spans="1:61" x14ac:dyDescent="0.35">
      <c r="A132" s="8" t="str">
        <f t="shared" si="8"/>
        <v>Semaine 32-2025</v>
      </c>
      <c r="B132" s="8" t="str">
        <f t="shared" si="9"/>
        <v>2025</v>
      </c>
      <c r="C132" s="2" t="s">
        <v>77</v>
      </c>
      <c r="D132" s="6" t="str">
        <f t="shared" si="10"/>
        <v>Dakar</v>
      </c>
      <c r="E132" s="6">
        <f t="shared" si="11"/>
        <v>341880</v>
      </c>
      <c r="F132" s="6">
        <f t="shared" si="12"/>
        <v>4042240</v>
      </c>
      <c r="G132" s="4" t="s">
        <v>473</v>
      </c>
      <c r="H132" s="4" t="s">
        <v>474</v>
      </c>
      <c r="I132" s="4">
        <v>11</v>
      </c>
      <c r="J132" s="4" t="s">
        <v>114</v>
      </c>
      <c r="K132" s="4"/>
      <c r="L132" s="4"/>
      <c r="M132" s="4"/>
      <c r="N132" s="4"/>
      <c r="O132" s="4" t="s">
        <v>238</v>
      </c>
      <c r="P132" s="4" t="s">
        <v>97</v>
      </c>
      <c r="Q132" s="4" t="s">
        <v>97</v>
      </c>
      <c r="R132" s="14" t="s">
        <v>100</v>
      </c>
      <c r="S132" s="14" t="s">
        <v>100</v>
      </c>
      <c r="T132" s="14" t="s">
        <v>100</v>
      </c>
      <c r="U132" s="14"/>
      <c r="V132" s="14"/>
      <c r="W132" s="14"/>
      <c r="X132" s="14"/>
      <c r="Y132" s="5">
        <v>45873</v>
      </c>
      <c r="Z132" s="5">
        <v>45879</v>
      </c>
      <c r="AA132" s="5" t="s">
        <v>103</v>
      </c>
      <c r="AB132" s="5" t="s">
        <v>314</v>
      </c>
      <c r="AC132" s="5" t="s">
        <v>97</v>
      </c>
      <c r="AD132" s="5" t="s">
        <v>97</v>
      </c>
      <c r="AE132" s="5" t="s">
        <v>97</v>
      </c>
      <c r="AF132" s="5" t="s">
        <v>103</v>
      </c>
      <c r="AG132" s="5" t="s">
        <v>97</v>
      </c>
      <c r="AH132" s="5" t="s">
        <v>97</v>
      </c>
      <c r="AI132" s="5">
        <v>45873</v>
      </c>
      <c r="AJ132" s="5"/>
      <c r="AK132" s="5"/>
      <c r="AL132" s="5"/>
      <c r="AM132" s="5" t="s">
        <v>103</v>
      </c>
      <c r="AN132" s="5" t="s">
        <v>103</v>
      </c>
      <c r="AO132" s="5" t="s">
        <v>103</v>
      </c>
      <c r="AP132" s="5" t="s">
        <v>103</v>
      </c>
      <c r="AQ132" s="5" t="s">
        <v>97</v>
      </c>
      <c r="AR132" s="5" t="s">
        <v>97</v>
      </c>
      <c r="AS132" s="5" t="s">
        <v>97</v>
      </c>
      <c r="AT132" s="5"/>
      <c r="AU132" s="5"/>
      <c r="AV132" s="4" t="s">
        <v>103</v>
      </c>
      <c r="AW132" s="4" t="s">
        <v>97</v>
      </c>
      <c r="AX132" s="4" t="s">
        <v>97</v>
      </c>
      <c r="AY132" s="4" t="s">
        <v>97</v>
      </c>
      <c r="AZ132" s="4" t="s">
        <v>103</v>
      </c>
      <c r="BA132" s="4" t="s">
        <v>97</v>
      </c>
      <c r="BB132" s="5">
        <v>45879</v>
      </c>
      <c r="BC132" s="5">
        <v>45880</v>
      </c>
      <c r="BD132" s="5">
        <v>45880</v>
      </c>
      <c r="BE132" s="5">
        <v>45881</v>
      </c>
      <c r="BF132" s="5" t="s">
        <v>98</v>
      </c>
      <c r="BG132" s="5" t="s">
        <v>103</v>
      </c>
      <c r="BH132" s="5" t="s">
        <v>103</v>
      </c>
      <c r="BI132" s="5" t="s">
        <v>115</v>
      </c>
    </row>
    <row r="133" spans="1:61" x14ac:dyDescent="0.35">
      <c r="A133" s="8" t="str">
        <f t="shared" si="8"/>
        <v>Semaine 33-2025</v>
      </c>
      <c r="B133" s="8" t="str">
        <f t="shared" ref="B133:B196" si="13">RIGHT(A133,4)</f>
        <v>2025</v>
      </c>
      <c r="C133" s="2" t="s">
        <v>4</v>
      </c>
      <c r="D133" s="6" t="str">
        <f t="shared" ref="D133:D196" si="14">IF(C133="","",VLOOKUP(C133,district_region,2,FALSE))</f>
        <v>Thies</v>
      </c>
      <c r="E133" s="6">
        <f t="shared" ref="E133:E196" si="15">IF(C133="","",VLOOKUP(C133,liste_pop,3,FALSE))</f>
        <v>462449</v>
      </c>
      <c r="F133" s="6">
        <f t="shared" ref="F133:F196" si="16">IF(D133="","",IF(D133="Dakar",4042240,VLOOKUP(D133,liste_pop,4,FALSE)))</f>
        <v>2280463</v>
      </c>
      <c r="G133" s="4" t="s">
        <v>475</v>
      </c>
      <c r="H133" s="4" t="s">
        <v>476</v>
      </c>
      <c r="I133" s="4">
        <v>27</v>
      </c>
      <c r="J133" s="4" t="s">
        <v>114</v>
      </c>
      <c r="K133" s="4"/>
      <c r="L133" s="4"/>
      <c r="M133" s="4"/>
      <c r="N133" s="4"/>
      <c r="O133" s="4" t="s">
        <v>238</v>
      </c>
      <c r="P133" s="4" t="s">
        <v>97</v>
      </c>
      <c r="Q133" s="4" t="s">
        <v>97</v>
      </c>
      <c r="R133" s="14" t="s">
        <v>100</v>
      </c>
      <c r="S133" s="14" t="s">
        <v>100</v>
      </c>
      <c r="T133" s="14" t="s">
        <v>100</v>
      </c>
      <c r="U133" s="14" t="s">
        <v>431</v>
      </c>
      <c r="V133" s="14"/>
      <c r="W133" s="14"/>
      <c r="X133" s="14"/>
      <c r="Y133" s="5">
        <v>45884</v>
      </c>
      <c r="Z133" s="5">
        <v>45887</v>
      </c>
      <c r="AA133" s="5" t="s">
        <v>103</v>
      </c>
      <c r="AB133" s="5" t="s">
        <v>477</v>
      </c>
      <c r="AC133" s="5" t="s">
        <v>103</v>
      </c>
      <c r="AD133" s="5" t="s">
        <v>97</v>
      </c>
      <c r="AE133" s="5" t="s">
        <v>97</v>
      </c>
      <c r="AF133" s="5" t="s">
        <v>97</v>
      </c>
      <c r="AG133" s="5" t="s">
        <v>103</v>
      </c>
      <c r="AH133" s="5" t="s">
        <v>103</v>
      </c>
      <c r="AI133" s="5">
        <v>45884</v>
      </c>
      <c r="AJ133" s="5" t="s">
        <v>103</v>
      </c>
      <c r="AK133" s="5" t="s">
        <v>97</v>
      </c>
      <c r="AL133" s="5" t="s">
        <v>103</v>
      </c>
      <c r="AM133" s="5" t="s">
        <v>103</v>
      </c>
      <c r="AN133" s="5" t="s">
        <v>103</v>
      </c>
      <c r="AO133" s="5" t="s">
        <v>97</v>
      </c>
      <c r="AP133" s="5" t="s">
        <v>97</v>
      </c>
      <c r="AQ133" s="5" t="s">
        <v>97</v>
      </c>
      <c r="AR133" s="5" t="s">
        <v>97</v>
      </c>
      <c r="AS133" s="5" t="s">
        <v>97</v>
      </c>
      <c r="AT133" s="5"/>
      <c r="AU133" s="5"/>
      <c r="AV133" s="4" t="s">
        <v>103</v>
      </c>
      <c r="AW133" s="4" t="s">
        <v>97</v>
      </c>
      <c r="AX133" s="4" t="s">
        <v>97</v>
      </c>
      <c r="AY133" s="4" t="s">
        <v>97</v>
      </c>
      <c r="AZ133" s="4" t="s">
        <v>103</v>
      </c>
      <c r="BA133" s="4" t="s">
        <v>97</v>
      </c>
      <c r="BB133" s="5">
        <v>45888</v>
      </c>
      <c r="BC133" s="5">
        <v>45888</v>
      </c>
      <c r="BD133" s="5">
        <v>45888</v>
      </c>
      <c r="BE133" s="5">
        <v>45889</v>
      </c>
      <c r="BF133" s="5" t="s">
        <v>98</v>
      </c>
      <c r="BG133" s="5" t="s">
        <v>97</v>
      </c>
      <c r="BH133" s="5" t="s">
        <v>103</v>
      </c>
      <c r="BI133" s="5" t="s">
        <v>360</v>
      </c>
    </row>
    <row r="134" spans="1:61" x14ac:dyDescent="0.35">
      <c r="A134" s="8" t="str">
        <f t="shared" ref="A134:A197" si="17">"Semaine " &amp; _xlfn.ISOWEEKNUM(Y134) &amp; "-" &amp; YEAR(Y134)</f>
        <v>Semaine 33-2025</v>
      </c>
      <c r="B134" s="8" t="str">
        <f t="shared" si="13"/>
        <v>2025</v>
      </c>
      <c r="C134" s="2" t="s">
        <v>18</v>
      </c>
      <c r="D134" s="6" t="str">
        <f t="shared" si="14"/>
        <v>Dakar</v>
      </c>
      <c r="E134" s="6">
        <f t="shared" si="15"/>
        <v>419489</v>
      </c>
      <c r="F134" s="6">
        <f t="shared" si="16"/>
        <v>4042240</v>
      </c>
      <c r="G134" s="4" t="s">
        <v>478</v>
      </c>
      <c r="H134" s="4" t="s">
        <v>479</v>
      </c>
      <c r="I134" s="4">
        <v>28</v>
      </c>
      <c r="J134" s="4" t="s">
        <v>114</v>
      </c>
      <c r="K134" s="4" t="s">
        <v>480</v>
      </c>
      <c r="L134" s="5">
        <v>45887</v>
      </c>
      <c r="M134" s="4"/>
      <c r="N134" s="4"/>
      <c r="O134" s="4" t="s">
        <v>238</v>
      </c>
      <c r="P134" s="4" t="s">
        <v>97</v>
      </c>
      <c r="Q134" s="4" t="s">
        <v>97</v>
      </c>
      <c r="R134" s="14" t="s">
        <v>481</v>
      </c>
      <c r="S134" s="14" t="s">
        <v>100</v>
      </c>
      <c r="T134" s="14" t="s">
        <v>100</v>
      </c>
      <c r="V134" s="14"/>
      <c r="W134" s="14"/>
      <c r="X134" t="s">
        <v>1136</v>
      </c>
      <c r="Y134" s="5">
        <v>45882</v>
      </c>
      <c r="Z134" s="5">
        <v>45889</v>
      </c>
      <c r="AA134" s="5" t="s">
        <v>103</v>
      </c>
      <c r="AB134" s="5" t="s">
        <v>272</v>
      </c>
      <c r="AC134" s="5" t="s">
        <v>103</v>
      </c>
      <c r="AD134" s="5" t="s">
        <v>103</v>
      </c>
      <c r="AE134" s="5" t="s">
        <v>97</v>
      </c>
      <c r="AF134" s="5" t="s">
        <v>103</v>
      </c>
      <c r="AG134" s="5" t="s">
        <v>103</v>
      </c>
      <c r="AH134" s="5" t="s">
        <v>103</v>
      </c>
      <c r="AI134" s="5">
        <v>45882</v>
      </c>
      <c r="AJ134" s="5" t="s">
        <v>103</v>
      </c>
      <c r="AK134" s="5" t="s">
        <v>97</v>
      </c>
      <c r="AL134" s="5" t="s">
        <v>103</v>
      </c>
      <c r="AM134" s="5" t="s">
        <v>103</v>
      </c>
      <c r="AN134" s="5" t="s">
        <v>103</v>
      </c>
      <c r="AO134" s="5" t="s">
        <v>103</v>
      </c>
      <c r="AP134" s="5" t="s">
        <v>97</v>
      </c>
      <c r="AQ134" s="5" t="s">
        <v>103</v>
      </c>
      <c r="AR134" s="5" t="s">
        <v>103</v>
      </c>
      <c r="AS134" s="5" t="s">
        <v>103</v>
      </c>
      <c r="AT134" s="5"/>
      <c r="AU134" s="5"/>
      <c r="AV134" s="4" t="s">
        <v>103</v>
      </c>
      <c r="AW134" s="4" t="s">
        <v>97</v>
      </c>
      <c r="AX134" s="4" t="s">
        <v>103</v>
      </c>
      <c r="AY134" s="4" t="s">
        <v>97</v>
      </c>
      <c r="AZ134" s="4" t="s">
        <v>103</v>
      </c>
      <c r="BA134" s="4" t="s">
        <v>97</v>
      </c>
      <c r="BB134" s="5">
        <v>45890</v>
      </c>
      <c r="BC134" s="5">
        <v>45890</v>
      </c>
      <c r="BD134" s="5">
        <v>45890</v>
      </c>
      <c r="BE134" s="5">
        <v>45891</v>
      </c>
      <c r="BF134" s="5" t="s">
        <v>98</v>
      </c>
      <c r="BG134" s="5" t="s">
        <v>103</v>
      </c>
      <c r="BH134" s="5" t="s">
        <v>103</v>
      </c>
      <c r="BI134" s="5" t="s">
        <v>482</v>
      </c>
    </row>
    <row r="135" spans="1:61" x14ac:dyDescent="0.35">
      <c r="A135" s="8" t="str">
        <f t="shared" si="17"/>
        <v>Semaine 34-2025</v>
      </c>
      <c r="B135" s="8" t="str">
        <f t="shared" si="13"/>
        <v>2025</v>
      </c>
      <c r="C135" s="2" t="s">
        <v>91</v>
      </c>
      <c r="D135" s="6" t="str">
        <f t="shared" si="14"/>
        <v>Dakar</v>
      </c>
      <c r="E135" s="6">
        <f t="shared" si="15"/>
        <v>179835</v>
      </c>
      <c r="F135" s="6">
        <f t="shared" si="16"/>
        <v>4042240</v>
      </c>
      <c r="G135" s="4" t="s">
        <v>483</v>
      </c>
      <c r="H135" s="4" t="s">
        <v>486</v>
      </c>
      <c r="I135" s="4">
        <v>18</v>
      </c>
      <c r="J135" s="4" t="s">
        <v>114</v>
      </c>
      <c r="K135" s="4"/>
      <c r="L135" s="4"/>
      <c r="M135" s="4"/>
      <c r="N135" s="4"/>
      <c r="O135" s="4" t="s">
        <v>238</v>
      </c>
      <c r="P135" s="4" t="s">
        <v>97</v>
      </c>
      <c r="Q135" s="4" t="s">
        <v>97</v>
      </c>
      <c r="R135" s="14" t="s">
        <v>100</v>
      </c>
      <c r="S135" s="14" t="s">
        <v>100</v>
      </c>
      <c r="T135" s="14" t="s">
        <v>100</v>
      </c>
      <c r="U135" s="8"/>
      <c r="V135" s="14"/>
      <c r="W135" s="14"/>
      <c r="X135" t="s">
        <v>1136</v>
      </c>
      <c r="Y135" s="5">
        <v>45889</v>
      </c>
      <c r="Z135" s="5">
        <v>45891</v>
      </c>
      <c r="AA135" s="5" t="s">
        <v>103</v>
      </c>
      <c r="AB135" s="5" t="s">
        <v>303</v>
      </c>
      <c r="AC135" s="5" t="s">
        <v>103</v>
      </c>
      <c r="AD135" s="5" t="s">
        <v>97</v>
      </c>
      <c r="AE135" s="5" t="s">
        <v>97</v>
      </c>
      <c r="AF135" s="5" t="s">
        <v>103</v>
      </c>
      <c r="AG135" s="5" t="s">
        <v>103</v>
      </c>
      <c r="AH135" s="5" t="s">
        <v>103</v>
      </c>
      <c r="AI135" s="5">
        <v>45889</v>
      </c>
      <c r="AJ135" s="5" t="s">
        <v>97</v>
      </c>
      <c r="AK135" s="5" t="s">
        <v>103</v>
      </c>
      <c r="AL135" s="5" t="s">
        <v>97</v>
      </c>
      <c r="AM135" s="5" t="s">
        <v>103</v>
      </c>
      <c r="AN135" s="5" t="s">
        <v>103</v>
      </c>
      <c r="AO135" s="5" t="s">
        <v>97</v>
      </c>
      <c r="AP135" s="5" t="s">
        <v>103</v>
      </c>
      <c r="AQ135" s="5" t="s">
        <v>103</v>
      </c>
      <c r="AR135" s="5" t="s">
        <v>103</v>
      </c>
      <c r="AS135" s="5" t="s">
        <v>103</v>
      </c>
      <c r="AT135" s="5"/>
      <c r="AU135" s="5"/>
      <c r="AV135" s="4" t="s">
        <v>97</v>
      </c>
      <c r="AW135" s="4" t="s">
        <v>97</v>
      </c>
      <c r="AX135" s="4" t="s">
        <v>97</v>
      </c>
      <c r="AY135" s="4" t="s">
        <v>97</v>
      </c>
      <c r="AZ135" s="4" t="s">
        <v>103</v>
      </c>
      <c r="BA135" s="4" t="s">
        <v>97</v>
      </c>
      <c r="BB135" s="5">
        <v>45891</v>
      </c>
      <c r="BC135" s="5">
        <v>45891</v>
      </c>
      <c r="BD135" s="5">
        <v>45892</v>
      </c>
      <c r="BE135" s="5">
        <v>45894</v>
      </c>
      <c r="BF135" s="5" t="s">
        <v>98</v>
      </c>
      <c r="BG135" s="5" t="s">
        <v>97</v>
      </c>
      <c r="BH135" s="5" t="s">
        <v>103</v>
      </c>
      <c r="BI135" s="5" t="s">
        <v>115</v>
      </c>
    </row>
    <row r="136" spans="1:61" x14ac:dyDescent="0.35">
      <c r="A136" s="8" t="str">
        <f t="shared" si="17"/>
        <v>Semaine 33-2025</v>
      </c>
      <c r="B136" s="8" t="str">
        <f t="shared" si="13"/>
        <v>2025</v>
      </c>
      <c r="C136" s="2" t="s">
        <v>75</v>
      </c>
      <c r="D136" s="6" t="str">
        <f t="shared" si="14"/>
        <v>Diourbel</v>
      </c>
      <c r="E136" s="6">
        <f t="shared" si="15"/>
        <v>996481</v>
      </c>
      <c r="F136" s="6">
        <f t="shared" si="16"/>
        <v>1980827</v>
      </c>
      <c r="G136" s="4" t="s">
        <v>484</v>
      </c>
      <c r="H136" s="4" t="s">
        <v>487</v>
      </c>
      <c r="I136" s="4">
        <v>43</v>
      </c>
      <c r="J136" s="4" t="s">
        <v>96</v>
      </c>
      <c r="K136" s="4"/>
      <c r="L136" s="4"/>
      <c r="M136" s="4"/>
      <c r="N136" s="4"/>
      <c r="O136" s="4" t="s">
        <v>238</v>
      </c>
      <c r="P136" s="4" t="s">
        <v>97</v>
      </c>
      <c r="Q136" s="4" t="s">
        <v>97</v>
      </c>
      <c r="R136" s="14" t="s">
        <v>100</v>
      </c>
      <c r="S136" s="14" t="s">
        <v>100</v>
      </c>
      <c r="T136" s="14" t="s">
        <v>100</v>
      </c>
      <c r="U136" s="8"/>
      <c r="V136" s="14"/>
      <c r="W136" s="14"/>
      <c r="X136" t="s">
        <v>1137</v>
      </c>
      <c r="Y136" s="5">
        <v>45880</v>
      </c>
      <c r="Z136" s="5">
        <v>45882</v>
      </c>
      <c r="AA136" s="5" t="s">
        <v>103</v>
      </c>
      <c r="AB136" s="5" t="s">
        <v>488</v>
      </c>
      <c r="AC136" s="5" t="s">
        <v>103</v>
      </c>
      <c r="AD136" s="5" t="s">
        <v>97</v>
      </c>
      <c r="AE136" s="5" t="s">
        <v>97</v>
      </c>
      <c r="AF136" s="5" t="s">
        <v>103</v>
      </c>
      <c r="AG136" s="5" t="s">
        <v>103</v>
      </c>
      <c r="AH136" s="5" t="s">
        <v>103</v>
      </c>
      <c r="AI136" s="5">
        <v>45880</v>
      </c>
      <c r="AJ136" s="5" t="s">
        <v>97</v>
      </c>
      <c r="AK136" s="5" t="s">
        <v>97</v>
      </c>
      <c r="AL136" s="5" t="s">
        <v>103</v>
      </c>
      <c r="AM136" s="5" t="s">
        <v>103</v>
      </c>
      <c r="AN136" s="5" t="s">
        <v>97</v>
      </c>
      <c r="AO136" s="5" t="s">
        <v>97</v>
      </c>
      <c r="AP136" s="5" t="s">
        <v>97</v>
      </c>
      <c r="AQ136" s="5" t="s">
        <v>97</v>
      </c>
      <c r="AR136" s="5" t="s">
        <v>97</v>
      </c>
      <c r="AS136" s="5" t="s">
        <v>97</v>
      </c>
      <c r="AT136" s="5" t="s">
        <v>489</v>
      </c>
      <c r="AU136" s="5"/>
      <c r="AV136" s="4" t="s">
        <v>103</v>
      </c>
      <c r="AW136" s="4" t="s">
        <v>97</v>
      </c>
      <c r="AX136" s="4" t="s">
        <v>97</v>
      </c>
      <c r="AY136" s="4" t="s">
        <v>97</v>
      </c>
      <c r="AZ136" s="4" t="s">
        <v>103</v>
      </c>
      <c r="BA136" s="4" t="s">
        <v>97</v>
      </c>
      <c r="BB136" s="5">
        <v>45882</v>
      </c>
      <c r="BC136" s="5">
        <v>45883</v>
      </c>
      <c r="BD136" s="5">
        <v>45886</v>
      </c>
      <c r="BE136" s="5">
        <v>45886</v>
      </c>
      <c r="BF136" s="5" t="s">
        <v>98</v>
      </c>
      <c r="BG136" s="5" t="s">
        <v>103</v>
      </c>
      <c r="BH136" s="5" t="s">
        <v>103</v>
      </c>
      <c r="BI136" s="5" t="s">
        <v>115</v>
      </c>
    </row>
    <row r="137" spans="1:61" x14ac:dyDescent="0.35">
      <c r="A137" s="8" t="str">
        <f t="shared" si="17"/>
        <v>Semaine 27-2025</v>
      </c>
      <c r="B137" s="8" t="str">
        <f t="shared" si="13"/>
        <v>2025</v>
      </c>
      <c r="C137" s="2" t="s">
        <v>75</v>
      </c>
      <c r="D137" s="6" t="str">
        <f t="shared" si="14"/>
        <v>Diourbel</v>
      </c>
      <c r="E137" s="6">
        <f t="shared" si="15"/>
        <v>996481</v>
      </c>
      <c r="F137" s="6">
        <f t="shared" si="16"/>
        <v>1980827</v>
      </c>
      <c r="G137" s="4" t="s">
        <v>485</v>
      </c>
      <c r="H137" s="4" t="s">
        <v>490</v>
      </c>
      <c r="I137" s="4">
        <v>43</v>
      </c>
      <c r="J137" s="4" t="s">
        <v>114</v>
      </c>
      <c r="K137" s="4"/>
      <c r="L137" s="4"/>
      <c r="M137" s="4"/>
      <c r="N137" s="4"/>
      <c r="O137" s="4" t="s">
        <v>238</v>
      </c>
      <c r="P137" s="4" t="s">
        <v>97</v>
      </c>
      <c r="Q137" s="4" t="s">
        <v>97</v>
      </c>
      <c r="R137" s="14" t="s">
        <v>100</v>
      </c>
      <c r="S137" s="14" t="s">
        <v>100</v>
      </c>
      <c r="T137" s="14" t="s">
        <v>100</v>
      </c>
      <c r="U137" s="8"/>
      <c r="V137" s="14"/>
      <c r="W137" s="14"/>
      <c r="X137" t="s">
        <v>1137</v>
      </c>
      <c r="Y137" s="5">
        <v>45839</v>
      </c>
      <c r="Z137" s="5">
        <v>45893</v>
      </c>
      <c r="AA137" s="5" t="s">
        <v>97</v>
      </c>
      <c r="AB137" s="5"/>
      <c r="AC137" s="5" t="s">
        <v>103</v>
      </c>
      <c r="AD137" s="5" t="s">
        <v>97</v>
      </c>
      <c r="AE137" s="5" t="s">
        <v>97</v>
      </c>
      <c r="AF137" s="5" t="s">
        <v>103</v>
      </c>
      <c r="AG137" s="5" t="s">
        <v>103</v>
      </c>
      <c r="AH137" s="5" t="s">
        <v>103</v>
      </c>
      <c r="AI137" s="5">
        <v>45839</v>
      </c>
      <c r="AJ137" s="5" t="s">
        <v>103</v>
      </c>
      <c r="AK137" s="5" t="s">
        <v>103</v>
      </c>
      <c r="AL137" s="5" t="s">
        <v>97</v>
      </c>
      <c r="AM137" s="5" t="s">
        <v>103</v>
      </c>
      <c r="AN137" s="5" t="s">
        <v>103</v>
      </c>
      <c r="AO137" s="5" t="s">
        <v>97</v>
      </c>
      <c r="AP137" s="5" t="s">
        <v>103</v>
      </c>
      <c r="AQ137" s="5" t="s">
        <v>97</v>
      </c>
      <c r="AR137" s="5" t="s">
        <v>97</v>
      </c>
      <c r="AS137" s="5" t="s">
        <v>97</v>
      </c>
      <c r="AT137" s="5"/>
      <c r="AU137" s="5"/>
      <c r="AV137" s="4" t="s">
        <v>103</v>
      </c>
      <c r="AW137" s="4" t="s">
        <v>97</v>
      </c>
      <c r="AX137" s="4" t="s">
        <v>97</v>
      </c>
      <c r="AY137" s="4" t="s">
        <v>97</v>
      </c>
      <c r="AZ137" s="4" t="s">
        <v>97</v>
      </c>
      <c r="BA137" s="4" t="s">
        <v>97</v>
      </c>
      <c r="BB137" s="5">
        <v>45893</v>
      </c>
      <c r="BC137" s="5">
        <v>45893</v>
      </c>
      <c r="BD137" s="5">
        <v>45893</v>
      </c>
      <c r="BE137" s="5">
        <v>45893</v>
      </c>
      <c r="BF137" s="5" t="s">
        <v>98</v>
      </c>
      <c r="BG137" s="5" t="s">
        <v>97</v>
      </c>
      <c r="BH137" s="5" t="s">
        <v>103</v>
      </c>
      <c r="BI137" s="5" t="s">
        <v>115</v>
      </c>
    </row>
    <row r="138" spans="1:61" x14ac:dyDescent="0.35">
      <c r="A138" s="8" t="str">
        <f t="shared" si="17"/>
        <v>Semaine 34-2025</v>
      </c>
      <c r="B138" s="8" t="str">
        <f t="shared" si="13"/>
        <v>2025</v>
      </c>
      <c r="C138" s="2" t="s">
        <v>18</v>
      </c>
      <c r="D138" s="6" t="str">
        <f t="shared" si="14"/>
        <v>Dakar</v>
      </c>
      <c r="E138" s="6">
        <f t="shared" si="15"/>
        <v>419489</v>
      </c>
      <c r="F138" s="6">
        <f t="shared" si="16"/>
        <v>4042240</v>
      </c>
      <c r="G138" s="4" t="s">
        <v>491</v>
      </c>
      <c r="H138" s="4" t="s">
        <v>508</v>
      </c>
      <c r="I138" s="4">
        <v>17</v>
      </c>
      <c r="J138" s="4" t="s">
        <v>114</v>
      </c>
      <c r="K138" s="4"/>
      <c r="L138" s="4"/>
      <c r="M138" s="4"/>
      <c r="N138" s="4"/>
      <c r="O138" s="4" t="s">
        <v>238</v>
      </c>
      <c r="P138" s="4" t="s">
        <v>97</v>
      </c>
      <c r="Q138" s="4" t="s">
        <v>97</v>
      </c>
      <c r="R138" s="14" t="s">
        <v>100</v>
      </c>
      <c r="S138" s="14" t="s">
        <v>100</v>
      </c>
      <c r="T138" s="14" t="s">
        <v>100</v>
      </c>
      <c r="U138" s="8"/>
      <c r="V138" s="14"/>
      <c r="W138" s="14"/>
      <c r="X138" t="s">
        <v>1136</v>
      </c>
      <c r="Y138" s="5">
        <v>45890</v>
      </c>
      <c r="Z138" s="5">
        <v>45894</v>
      </c>
      <c r="AA138" s="5" t="s">
        <v>103</v>
      </c>
      <c r="AB138" s="5" t="s">
        <v>509</v>
      </c>
      <c r="AC138" s="5" t="s">
        <v>97</v>
      </c>
      <c r="AD138" s="5" t="s">
        <v>97</v>
      </c>
      <c r="AE138" s="5" t="s">
        <v>97</v>
      </c>
      <c r="AF138" s="5" t="s">
        <v>103</v>
      </c>
      <c r="AG138" s="5" t="s">
        <v>97</v>
      </c>
      <c r="AH138" s="5" t="s">
        <v>103</v>
      </c>
      <c r="AI138" s="5">
        <v>45890</v>
      </c>
      <c r="AJ138" s="5" t="s">
        <v>103</v>
      </c>
      <c r="AK138" s="5" t="s">
        <v>103</v>
      </c>
      <c r="AL138" s="5" t="s">
        <v>97</v>
      </c>
      <c r="AM138" s="5" t="s">
        <v>103</v>
      </c>
      <c r="AN138" s="5" t="s">
        <v>103</v>
      </c>
      <c r="AO138" s="5" t="s">
        <v>103</v>
      </c>
      <c r="AP138" s="5" t="s">
        <v>103</v>
      </c>
      <c r="AQ138" s="5" t="s">
        <v>97</v>
      </c>
      <c r="AR138" s="5" t="s">
        <v>97</v>
      </c>
      <c r="AS138" s="5" t="s">
        <v>103</v>
      </c>
      <c r="AT138" s="5"/>
      <c r="AU138" s="5"/>
      <c r="AV138" s="4" t="s">
        <v>103</v>
      </c>
      <c r="AW138" s="4" t="s">
        <v>97</v>
      </c>
      <c r="AX138" s="4" t="s">
        <v>97</v>
      </c>
      <c r="AY138" s="4" t="s">
        <v>97</v>
      </c>
      <c r="AZ138" s="4" t="s">
        <v>103</v>
      </c>
      <c r="BA138" s="4" t="s">
        <v>97</v>
      </c>
      <c r="BB138" s="5">
        <v>45894</v>
      </c>
      <c r="BC138" s="5">
        <v>45894</v>
      </c>
      <c r="BD138" s="5">
        <v>45894</v>
      </c>
      <c r="BE138" s="5">
        <v>45895</v>
      </c>
      <c r="BF138" s="5" t="s">
        <v>98</v>
      </c>
      <c r="BG138" s="5" t="s">
        <v>97</v>
      </c>
      <c r="BH138" s="5" t="s">
        <v>103</v>
      </c>
      <c r="BI138" s="5" t="s">
        <v>115</v>
      </c>
    </row>
    <row r="139" spans="1:61" x14ac:dyDescent="0.35">
      <c r="A139" s="8" t="str">
        <f t="shared" si="17"/>
        <v>Semaine 27-2025</v>
      </c>
      <c r="B139" s="8" t="str">
        <f t="shared" si="13"/>
        <v>2025</v>
      </c>
      <c r="C139" s="2" t="s">
        <v>20</v>
      </c>
      <c r="D139" s="6" t="str">
        <f t="shared" si="14"/>
        <v>Dakar</v>
      </c>
      <c r="E139" s="6">
        <f t="shared" si="15"/>
        <v>272276</v>
      </c>
      <c r="F139" s="6">
        <f t="shared" si="16"/>
        <v>4042240</v>
      </c>
      <c r="G139" s="4" t="s">
        <v>492</v>
      </c>
      <c r="H139" s="4" t="s">
        <v>510</v>
      </c>
      <c r="I139" s="4">
        <v>35</v>
      </c>
      <c r="J139" s="4" t="s">
        <v>114</v>
      </c>
      <c r="K139" s="4"/>
      <c r="L139" s="4"/>
      <c r="M139" s="4"/>
      <c r="N139" s="4"/>
      <c r="O139" s="4" t="s">
        <v>238</v>
      </c>
      <c r="P139" s="4" t="s">
        <v>97</v>
      </c>
      <c r="Q139" s="4" t="s">
        <v>97</v>
      </c>
      <c r="R139" s="14" t="s">
        <v>100</v>
      </c>
      <c r="S139" s="14" t="s">
        <v>100</v>
      </c>
      <c r="T139" s="14" t="s">
        <v>100</v>
      </c>
      <c r="U139" s="8"/>
      <c r="V139" s="14"/>
      <c r="W139" s="14"/>
      <c r="X139" t="s">
        <v>1136</v>
      </c>
      <c r="Y139" s="5">
        <v>45839</v>
      </c>
      <c r="Z139" s="5">
        <v>45894</v>
      </c>
      <c r="AA139" s="5" t="s">
        <v>97</v>
      </c>
      <c r="AB139" s="5"/>
      <c r="AC139" s="5" t="s">
        <v>97</v>
      </c>
      <c r="AD139" s="5" t="s">
        <v>97</v>
      </c>
      <c r="AE139" s="5" t="s">
        <v>97</v>
      </c>
      <c r="AF139" s="5" t="s">
        <v>103</v>
      </c>
      <c r="AG139" s="5" t="s">
        <v>103</v>
      </c>
      <c r="AH139" s="5" t="s">
        <v>103</v>
      </c>
      <c r="AI139" s="5">
        <v>45839</v>
      </c>
      <c r="AJ139" s="5" t="s">
        <v>103</v>
      </c>
      <c r="AK139" s="5" t="s">
        <v>97</v>
      </c>
      <c r="AL139" s="5" t="s">
        <v>103</v>
      </c>
      <c r="AM139" s="5" t="s">
        <v>97</v>
      </c>
      <c r="AN139" s="5" t="s">
        <v>103</v>
      </c>
      <c r="AO139" s="5" t="s">
        <v>103</v>
      </c>
      <c r="AP139" s="5" t="s">
        <v>103</v>
      </c>
      <c r="AQ139" s="5" t="s">
        <v>97</v>
      </c>
      <c r="AR139" s="5" t="s">
        <v>97</v>
      </c>
      <c r="AS139" s="5" t="s">
        <v>103</v>
      </c>
      <c r="AT139" s="5"/>
      <c r="AU139" s="5" t="s">
        <v>511</v>
      </c>
      <c r="AV139" s="4" t="s">
        <v>103</v>
      </c>
      <c r="AW139" s="4" t="s">
        <v>97</v>
      </c>
      <c r="AX139" s="4" t="s">
        <v>97</v>
      </c>
      <c r="AY139" s="4" t="s">
        <v>97</v>
      </c>
      <c r="AZ139" s="4" t="s">
        <v>103</v>
      </c>
      <c r="BA139" s="4" t="s">
        <v>97</v>
      </c>
      <c r="BB139" s="5">
        <v>45894</v>
      </c>
      <c r="BC139" s="5">
        <v>45894</v>
      </c>
      <c r="BD139" s="5">
        <v>45894</v>
      </c>
      <c r="BE139" s="5">
        <v>45895</v>
      </c>
      <c r="BF139" s="5" t="s">
        <v>98</v>
      </c>
      <c r="BG139" s="5" t="s">
        <v>97</v>
      </c>
      <c r="BH139" s="5" t="s">
        <v>103</v>
      </c>
      <c r="BI139" s="5" t="s">
        <v>115</v>
      </c>
    </row>
    <row r="140" spans="1:61" x14ac:dyDescent="0.35">
      <c r="A140" s="8" t="str">
        <f t="shared" si="17"/>
        <v>Semaine 34-2025</v>
      </c>
      <c r="B140" s="8" t="str">
        <f t="shared" si="13"/>
        <v>2025</v>
      </c>
      <c r="C140" s="2" t="s">
        <v>31</v>
      </c>
      <c r="D140" s="6" t="str">
        <f t="shared" si="14"/>
        <v>Dakar</v>
      </c>
      <c r="E140" s="6">
        <f t="shared" si="15"/>
        <v>424760</v>
      </c>
      <c r="F140" s="6">
        <f t="shared" si="16"/>
        <v>4042240</v>
      </c>
      <c r="G140" s="4" t="s">
        <v>493</v>
      </c>
      <c r="H140" s="4" t="s">
        <v>512</v>
      </c>
      <c r="I140" s="4">
        <v>95</v>
      </c>
      <c r="J140" s="4" t="s">
        <v>96</v>
      </c>
      <c r="K140" s="4"/>
      <c r="L140" s="4"/>
      <c r="M140" s="4"/>
      <c r="N140" s="4"/>
      <c r="O140" s="4" t="s">
        <v>238</v>
      </c>
      <c r="P140" s="4" t="s">
        <v>97</v>
      </c>
      <c r="Q140" s="4" t="s">
        <v>97</v>
      </c>
      <c r="R140" s="14" t="s">
        <v>100</v>
      </c>
      <c r="S140" s="14" t="s">
        <v>100</v>
      </c>
      <c r="T140" s="14" t="s">
        <v>100</v>
      </c>
      <c r="U140" s="8"/>
      <c r="V140" s="14"/>
      <c r="W140" s="14"/>
      <c r="X140" t="s">
        <v>1136</v>
      </c>
      <c r="Y140" s="5">
        <v>45889</v>
      </c>
      <c r="Z140" s="5">
        <v>45894</v>
      </c>
      <c r="AA140" s="5" t="s">
        <v>103</v>
      </c>
      <c r="AB140" s="5" t="s">
        <v>513</v>
      </c>
      <c r="AC140" s="5" t="s">
        <v>97</v>
      </c>
      <c r="AD140" s="5" t="s">
        <v>97</v>
      </c>
      <c r="AE140" s="5" t="s">
        <v>97</v>
      </c>
      <c r="AF140" s="5" t="s">
        <v>103</v>
      </c>
      <c r="AG140" s="5" t="s">
        <v>103</v>
      </c>
      <c r="AH140" s="5" t="s">
        <v>103</v>
      </c>
      <c r="AI140" s="5">
        <v>45893</v>
      </c>
      <c r="AJ140" s="5" t="s">
        <v>97</v>
      </c>
      <c r="AK140" s="5" t="s">
        <v>97</v>
      </c>
      <c r="AL140" s="5" t="s">
        <v>103</v>
      </c>
      <c r="AM140" s="5" t="s">
        <v>97</v>
      </c>
      <c r="AN140" s="5" t="s">
        <v>103</v>
      </c>
      <c r="AO140" s="5" t="s">
        <v>97</v>
      </c>
      <c r="AP140" s="5" t="s">
        <v>97</v>
      </c>
      <c r="AQ140" s="5" t="s">
        <v>97</v>
      </c>
      <c r="AR140" s="5" t="s">
        <v>97</v>
      </c>
      <c r="AS140" s="5" t="s">
        <v>97</v>
      </c>
      <c r="AT140" s="5"/>
      <c r="AU140" s="5"/>
      <c r="AV140" s="4" t="s">
        <v>103</v>
      </c>
      <c r="AW140" s="4" t="s">
        <v>97</v>
      </c>
      <c r="AX140" s="4" t="s">
        <v>97</v>
      </c>
      <c r="AY140" s="4" t="s">
        <v>97</v>
      </c>
      <c r="AZ140" s="4" t="s">
        <v>97</v>
      </c>
      <c r="BA140" s="4" t="s">
        <v>97</v>
      </c>
      <c r="BB140" s="5">
        <v>45894</v>
      </c>
      <c r="BC140" s="5">
        <v>45894</v>
      </c>
      <c r="BD140" s="5">
        <v>45894</v>
      </c>
      <c r="BE140" s="5">
        <v>45895</v>
      </c>
      <c r="BF140" s="5" t="s">
        <v>98</v>
      </c>
      <c r="BG140" s="5" t="s">
        <v>97</v>
      </c>
      <c r="BH140" s="5" t="s">
        <v>103</v>
      </c>
      <c r="BI140" s="5" t="s">
        <v>115</v>
      </c>
    </row>
    <row r="141" spans="1:61" x14ac:dyDescent="0.35">
      <c r="A141" s="8" t="str">
        <f t="shared" si="17"/>
        <v>Semaine 34-2025</v>
      </c>
      <c r="B141" s="8" t="str">
        <f t="shared" si="13"/>
        <v>2025</v>
      </c>
      <c r="C141" s="2" t="s">
        <v>31</v>
      </c>
      <c r="D141" s="6" t="str">
        <f t="shared" si="14"/>
        <v>Dakar</v>
      </c>
      <c r="E141" s="6">
        <f t="shared" si="15"/>
        <v>424760</v>
      </c>
      <c r="F141" s="6">
        <f t="shared" si="16"/>
        <v>4042240</v>
      </c>
      <c r="G141" s="4" t="s">
        <v>494</v>
      </c>
      <c r="H141" s="4" t="s">
        <v>514</v>
      </c>
      <c r="I141" s="4">
        <v>5</v>
      </c>
      <c r="J141" s="4" t="s">
        <v>96</v>
      </c>
      <c r="K141" s="4"/>
      <c r="L141" s="4"/>
      <c r="M141" s="4"/>
      <c r="N141" s="4"/>
      <c r="O141" s="4" t="s">
        <v>238</v>
      </c>
      <c r="P141" s="4" t="s">
        <v>97</v>
      </c>
      <c r="Q141" s="4" t="s">
        <v>97</v>
      </c>
      <c r="R141" s="14" t="s">
        <v>100</v>
      </c>
      <c r="S141" s="14" t="s">
        <v>100</v>
      </c>
      <c r="T141" s="14" t="s">
        <v>100</v>
      </c>
      <c r="U141" s="8"/>
      <c r="V141" s="14"/>
      <c r="W141" s="14"/>
      <c r="X141" t="s">
        <v>1135</v>
      </c>
      <c r="Y141" s="5">
        <v>45889</v>
      </c>
      <c r="Z141" s="5">
        <v>45894</v>
      </c>
      <c r="AA141" s="5" t="s">
        <v>97</v>
      </c>
      <c r="AB141" s="5" t="s">
        <v>515</v>
      </c>
      <c r="AC141" s="5" t="s">
        <v>103</v>
      </c>
      <c r="AD141" s="5" t="s">
        <v>97</v>
      </c>
      <c r="AE141" s="5" t="s">
        <v>97</v>
      </c>
      <c r="AF141" s="5" t="s">
        <v>97</v>
      </c>
      <c r="AG141" s="5" t="s">
        <v>97</v>
      </c>
      <c r="AH141" s="5" t="s">
        <v>103</v>
      </c>
      <c r="AI141" s="5">
        <v>45889</v>
      </c>
      <c r="AJ141" s="5" t="s">
        <v>103</v>
      </c>
      <c r="AK141" s="5" t="s">
        <v>97</v>
      </c>
      <c r="AL141" s="5" t="s">
        <v>103</v>
      </c>
      <c r="AM141" s="5" t="s">
        <v>97</v>
      </c>
      <c r="AN141" s="5" t="s">
        <v>103</v>
      </c>
      <c r="AO141" s="5" t="s">
        <v>97</v>
      </c>
      <c r="AP141" s="5" t="s">
        <v>97</v>
      </c>
      <c r="AQ141" s="5" t="s">
        <v>97</v>
      </c>
      <c r="AR141" s="5" t="s">
        <v>97</v>
      </c>
      <c r="AS141" s="5" t="s">
        <v>103</v>
      </c>
      <c r="AT141" s="5"/>
      <c r="AU141" s="5"/>
      <c r="AV141" s="4" t="s">
        <v>103</v>
      </c>
      <c r="AW141" s="4" t="s">
        <v>97</v>
      </c>
      <c r="AX141" s="4" t="s">
        <v>97</v>
      </c>
      <c r="AY141" s="4" t="s">
        <v>97</v>
      </c>
      <c r="AZ141" s="4" t="s">
        <v>97</v>
      </c>
      <c r="BA141" s="4" t="s">
        <v>97</v>
      </c>
      <c r="BB141" s="5">
        <v>45894</v>
      </c>
      <c r="BC141" s="5">
        <v>45895</v>
      </c>
      <c r="BD141" s="5">
        <v>45895</v>
      </c>
      <c r="BE141" s="5">
        <v>45895</v>
      </c>
      <c r="BF141" s="5" t="s">
        <v>98</v>
      </c>
      <c r="BG141" s="5" t="s">
        <v>97</v>
      </c>
      <c r="BH141" s="5" t="s">
        <v>103</v>
      </c>
      <c r="BI141" s="5" t="s">
        <v>115</v>
      </c>
    </row>
    <row r="142" spans="1:61" x14ac:dyDescent="0.35">
      <c r="A142" s="8" t="str">
        <f t="shared" si="17"/>
        <v>Semaine 33-2025</v>
      </c>
      <c r="B142" s="8" t="str">
        <f t="shared" si="13"/>
        <v>2025</v>
      </c>
      <c r="C142" s="2" t="s">
        <v>23</v>
      </c>
      <c r="D142" s="6" t="str">
        <f t="shared" si="14"/>
        <v>Dakar</v>
      </c>
      <c r="E142" s="6">
        <f t="shared" si="15"/>
        <v>167577</v>
      </c>
      <c r="F142" s="6">
        <f t="shared" si="16"/>
        <v>4042240</v>
      </c>
      <c r="G142" s="4" t="s">
        <v>495</v>
      </c>
      <c r="H142" s="4" t="s">
        <v>516</v>
      </c>
      <c r="I142" s="4">
        <v>13</v>
      </c>
      <c r="J142" s="4" t="s">
        <v>114</v>
      </c>
      <c r="K142" s="4"/>
      <c r="L142" s="4"/>
      <c r="M142" s="4"/>
      <c r="N142" s="4"/>
      <c r="O142" s="4" t="s">
        <v>238</v>
      </c>
      <c r="P142" s="4" t="s">
        <v>97</v>
      </c>
      <c r="Q142" s="4" t="s">
        <v>97</v>
      </c>
      <c r="R142" s="14" t="s">
        <v>100</v>
      </c>
      <c r="S142" s="14" t="s">
        <v>100</v>
      </c>
      <c r="T142" s="14" t="s">
        <v>100</v>
      </c>
      <c r="U142" s="8"/>
      <c r="V142" s="14"/>
      <c r="W142" s="14"/>
      <c r="X142" t="s">
        <v>1136</v>
      </c>
      <c r="Y142" s="5">
        <v>45883</v>
      </c>
      <c r="Z142" s="5">
        <v>45895</v>
      </c>
      <c r="AA142" s="5" t="s">
        <v>103</v>
      </c>
      <c r="AB142" s="5"/>
      <c r="AC142" s="5" t="s">
        <v>97</v>
      </c>
      <c r="AD142" s="5" t="s">
        <v>97</v>
      </c>
      <c r="AE142" s="5" t="s">
        <v>97</v>
      </c>
      <c r="AF142" s="5" t="s">
        <v>103</v>
      </c>
      <c r="AG142" s="5" t="s">
        <v>103</v>
      </c>
      <c r="AH142" s="5" t="s">
        <v>103</v>
      </c>
      <c r="AI142" s="5">
        <v>45889</v>
      </c>
      <c r="AJ142" s="5" t="s">
        <v>97</v>
      </c>
      <c r="AK142" s="5" t="s">
        <v>97</v>
      </c>
      <c r="AL142" s="5" t="s">
        <v>103</v>
      </c>
      <c r="AM142" s="5" t="s">
        <v>103</v>
      </c>
      <c r="AN142" s="5" t="s">
        <v>103</v>
      </c>
      <c r="AO142" s="5" t="s">
        <v>97</v>
      </c>
      <c r="AP142" s="5" t="s">
        <v>97</v>
      </c>
      <c r="AQ142" s="5" t="s">
        <v>97</v>
      </c>
      <c r="AR142" s="5" t="s">
        <v>97</v>
      </c>
      <c r="AS142" s="5" t="s">
        <v>97</v>
      </c>
      <c r="AT142" s="5" t="s">
        <v>517</v>
      </c>
      <c r="AU142" s="5"/>
      <c r="AV142" s="4" t="s">
        <v>97</v>
      </c>
      <c r="AW142" s="4" t="s">
        <v>97</v>
      </c>
      <c r="AX142" s="4" t="s">
        <v>97</v>
      </c>
      <c r="AY142" s="4" t="s">
        <v>97</v>
      </c>
      <c r="AZ142" s="4" t="s">
        <v>103</v>
      </c>
      <c r="BA142" s="4" t="s">
        <v>97</v>
      </c>
      <c r="BB142" s="5">
        <v>45895</v>
      </c>
      <c r="BC142" s="5">
        <v>45895</v>
      </c>
      <c r="BD142" s="5">
        <v>45895</v>
      </c>
      <c r="BE142" s="5">
        <v>45895</v>
      </c>
      <c r="BF142" s="5" t="s">
        <v>98</v>
      </c>
      <c r="BG142" s="5" t="s">
        <v>97</v>
      </c>
      <c r="BH142" s="5" t="s">
        <v>103</v>
      </c>
      <c r="BI142" s="5" t="s">
        <v>115</v>
      </c>
    </row>
    <row r="143" spans="1:61" x14ac:dyDescent="0.35">
      <c r="A143" s="8" t="str">
        <f t="shared" si="17"/>
        <v>Semaine 33-2025</v>
      </c>
      <c r="B143" s="8" t="str">
        <f t="shared" si="13"/>
        <v>2025</v>
      </c>
      <c r="C143" s="2" t="s">
        <v>75</v>
      </c>
      <c r="D143" s="6" t="str">
        <f t="shared" si="14"/>
        <v>Diourbel</v>
      </c>
      <c r="E143" s="6">
        <f t="shared" si="15"/>
        <v>996481</v>
      </c>
      <c r="F143" s="6">
        <f t="shared" si="16"/>
        <v>1980827</v>
      </c>
      <c r="G143" s="4" t="s">
        <v>496</v>
      </c>
      <c r="H143" s="9" t="s">
        <v>518</v>
      </c>
      <c r="I143" s="8">
        <v>60</v>
      </c>
      <c r="J143" s="8" t="s">
        <v>96</v>
      </c>
      <c r="K143" s="8"/>
      <c r="L143" s="8"/>
      <c r="M143" s="8"/>
      <c r="N143" s="8"/>
      <c r="O143" s="4" t="s">
        <v>238</v>
      </c>
      <c r="P143" s="4" t="s">
        <v>97</v>
      </c>
      <c r="Q143" s="4" t="s">
        <v>97</v>
      </c>
      <c r="R143" s="14" t="s">
        <v>100</v>
      </c>
      <c r="S143" s="14" t="s">
        <v>100</v>
      </c>
      <c r="T143" s="14" t="s">
        <v>100</v>
      </c>
      <c r="U143" s="8"/>
      <c r="V143" s="14"/>
      <c r="W143" s="14"/>
      <c r="X143" s="14"/>
      <c r="Y143" s="5">
        <v>45882</v>
      </c>
      <c r="Z143" s="5">
        <v>45889</v>
      </c>
      <c r="AA143" s="5" t="s">
        <v>103</v>
      </c>
      <c r="AB143" s="5" t="s">
        <v>272</v>
      </c>
      <c r="AC143" s="5" t="s">
        <v>97</v>
      </c>
      <c r="AD143" s="5" t="s">
        <v>103</v>
      </c>
      <c r="AE143" s="5" t="s">
        <v>97</v>
      </c>
      <c r="AF143" s="5" t="s">
        <v>103</v>
      </c>
      <c r="AG143" s="5" t="s">
        <v>97</v>
      </c>
      <c r="AH143" s="5" t="s">
        <v>103</v>
      </c>
      <c r="AI143" s="5">
        <v>45882</v>
      </c>
      <c r="AJ143" s="5" t="s">
        <v>97</v>
      </c>
      <c r="AK143" s="5" t="s">
        <v>97</v>
      </c>
      <c r="AL143" s="5" t="s">
        <v>103</v>
      </c>
      <c r="AM143" s="5" t="s">
        <v>103</v>
      </c>
      <c r="AN143" s="5" t="s">
        <v>103</v>
      </c>
      <c r="AO143" s="5" t="s">
        <v>97</v>
      </c>
      <c r="AP143" s="5" t="s">
        <v>97</v>
      </c>
      <c r="AQ143" s="5" t="s">
        <v>97</v>
      </c>
      <c r="AR143" s="5" t="s">
        <v>97</v>
      </c>
      <c r="AS143" s="5" t="s">
        <v>97</v>
      </c>
      <c r="AT143" s="5"/>
      <c r="AU143" s="5" t="s">
        <v>519</v>
      </c>
      <c r="AV143" s="4" t="s">
        <v>103</v>
      </c>
      <c r="AW143" s="4" t="s">
        <v>97</v>
      </c>
      <c r="AX143" s="4" t="s">
        <v>97</v>
      </c>
      <c r="AY143" s="4" t="s">
        <v>97</v>
      </c>
      <c r="AZ143" s="4" t="s">
        <v>103</v>
      </c>
      <c r="BA143" s="4" t="s">
        <v>97</v>
      </c>
      <c r="BB143" s="5">
        <v>45895</v>
      </c>
      <c r="BC143" s="5">
        <v>45895</v>
      </c>
      <c r="BD143" s="5">
        <v>45895</v>
      </c>
      <c r="BE143" s="5">
        <v>45895</v>
      </c>
      <c r="BF143" s="5" t="s">
        <v>98</v>
      </c>
      <c r="BG143" s="4" t="s">
        <v>97</v>
      </c>
      <c r="BH143" s="5" t="s">
        <v>103</v>
      </c>
      <c r="BI143" s="4" t="s">
        <v>115</v>
      </c>
    </row>
    <row r="144" spans="1:61" x14ac:dyDescent="0.35">
      <c r="A144" s="8" t="str">
        <f t="shared" si="17"/>
        <v>Semaine 34-2025</v>
      </c>
      <c r="B144" s="8" t="str">
        <f t="shared" si="13"/>
        <v>2025</v>
      </c>
      <c r="C144" s="2" t="s">
        <v>75</v>
      </c>
      <c r="D144" s="6" t="str">
        <f t="shared" si="14"/>
        <v>Diourbel</v>
      </c>
      <c r="E144" s="6">
        <f t="shared" si="15"/>
        <v>996481</v>
      </c>
      <c r="F144" s="6">
        <f t="shared" si="16"/>
        <v>1980827</v>
      </c>
      <c r="G144" s="4" t="s">
        <v>497</v>
      </c>
      <c r="H144" s="9" t="s">
        <v>520</v>
      </c>
      <c r="I144" s="8">
        <v>67</v>
      </c>
      <c r="J144" s="8" t="s">
        <v>114</v>
      </c>
      <c r="K144" s="8"/>
      <c r="L144" s="8"/>
      <c r="M144" s="8"/>
      <c r="N144" s="8"/>
      <c r="O144" s="4" t="s">
        <v>238</v>
      </c>
      <c r="P144" s="4" t="s">
        <v>97</v>
      </c>
      <c r="Q144" s="4" t="s">
        <v>97</v>
      </c>
      <c r="R144" s="14" t="s">
        <v>100</v>
      </c>
      <c r="S144" s="14" t="s">
        <v>100</v>
      </c>
      <c r="T144" s="14" t="s">
        <v>100</v>
      </c>
      <c r="U144" s="8"/>
      <c r="V144" s="14"/>
      <c r="W144" s="14"/>
      <c r="X144" s="14"/>
      <c r="Y144" s="5">
        <v>45893</v>
      </c>
      <c r="Z144" s="5">
        <v>45894</v>
      </c>
      <c r="AA144" s="5" t="s">
        <v>103</v>
      </c>
      <c r="AB144" s="5" t="s">
        <v>477</v>
      </c>
      <c r="AC144" s="5" t="s">
        <v>97</v>
      </c>
      <c r="AD144" s="5" t="s">
        <v>103</v>
      </c>
      <c r="AE144" s="5" t="s">
        <v>97</v>
      </c>
      <c r="AF144" s="5" t="s">
        <v>97</v>
      </c>
      <c r="AG144" s="5" t="s">
        <v>97</v>
      </c>
      <c r="AH144" s="5" t="s">
        <v>103</v>
      </c>
      <c r="AI144" s="5">
        <v>45893</v>
      </c>
      <c r="AJ144" s="5" t="s">
        <v>97</v>
      </c>
      <c r="AK144" s="5" t="s">
        <v>97</v>
      </c>
      <c r="AL144" s="5" t="s">
        <v>103</v>
      </c>
      <c r="AM144" s="5" t="s">
        <v>103</v>
      </c>
      <c r="AN144" s="5" t="s">
        <v>103</v>
      </c>
      <c r="AO144" s="5" t="s">
        <v>97</v>
      </c>
      <c r="AP144" s="5" t="s">
        <v>97</v>
      </c>
      <c r="AQ144" s="5" t="s">
        <v>97</v>
      </c>
      <c r="AR144" s="5" t="s">
        <v>97</v>
      </c>
      <c r="AS144" s="5" t="s">
        <v>97</v>
      </c>
      <c r="AT144" s="5"/>
      <c r="AU144" s="5" t="s">
        <v>519</v>
      </c>
      <c r="AV144" s="4" t="s">
        <v>103</v>
      </c>
      <c r="AW144" s="4" t="s">
        <v>97</v>
      </c>
      <c r="AX144" s="4" t="s">
        <v>97</v>
      </c>
      <c r="AY144" s="4" t="s">
        <v>97</v>
      </c>
      <c r="AZ144" s="4" t="s">
        <v>103</v>
      </c>
      <c r="BA144" s="4" t="s">
        <v>97</v>
      </c>
      <c r="BB144" s="5">
        <v>45894</v>
      </c>
      <c r="BC144" s="5">
        <v>45895</v>
      </c>
      <c r="BD144" s="5">
        <v>45895</v>
      </c>
      <c r="BE144" s="5">
        <v>45895</v>
      </c>
      <c r="BF144" s="5" t="s">
        <v>98</v>
      </c>
      <c r="BG144" s="4" t="s">
        <v>103</v>
      </c>
      <c r="BH144" s="5" t="s">
        <v>103</v>
      </c>
      <c r="BI144" s="4" t="s">
        <v>115</v>
      </c>
    </row>
    <row r="145" spans="1:61" x14ac:dyDescent="0.35">
      <c r="A145" s="8" t="str">
        <f t="shared" si="17"/>
        <v>Semaine 33-2025</v>
      </c>
      <c r="B145" s="8" t="str">
        <f t="shared" si="13"/>
        <v>2025</v>
      </c>
      <c r="C145" s="2" t="s">
        <v>31</v>
      </c>
      <c r="D145" s="6" t="str">
        <f t="shared" si="14"/>
        <v>Dakar</v>
      </c>
      <c r="E145" s="6">
        <f t="shared" si="15"/>
        <v>424760</v>
      </c>
      <c r="F145" s="6">
        <f t="shared" si="16"/>
        <v>4042240</v>
      </c>
      <c r="G145" s="4" t="s">
        <v>498</v>
      </c>
      <c r="H145" s="9" t="s">
        <v>521</v>
      </c>
      <c r="I145" s="9">
        <v>22</v>
      </c>
      <c r="J145" s="9" t="s">
        <v>114</v>
      </c>
      <c r="K145" s="9"/>
      <c r="L145" s="9"/>
      <c r="M145" s="9"/>
      <c r="N145" s="9"/>
      <c r="O145" s="4" t="s">
        <v>238</v>
      </c>
      <c r="P145" s="4" t="s">
        <v>97</v>
      </c>
      <c r="Q145" s="4" t="s">
        <v>97</v>
      </c>
      <c r="R145" s="14" t="s">
        <v>100</v>
      </c>
      <c r="S145" s="14" t="s">
        <v>100</v>
      </c>
      <c r="T145" s="14" t="s">
        <v>100</v>
      </c>
      <c r="U145" s="8"/>
      <c r="V145" s="14"/>
      <c r="W145" s="14"/>
      <c r="X145" s="14"/>
      <c r="Y145" s="5">
        <v>45881</v>
      </c>
      <c r="Z145" s="5">
        <v>45894</v>
      </c>
      <c r="AA145" s="5" t="s">
        <v>103</v>
      </c>
      <c r="AB145" s="5" t="s">
        <v>272</v>
      </c>
      <c r="AC145" s="5" t="s">
        <v>97</v>
      </c>
      <c r="AD145" s="5" t="s">
        <v>103</v>
      </c>
      <c r="AE145" s="5" t="s">
        <v>97</v>
      </c>
      <c r="AF145" s="5" t="s">
        <v>97</v>
      </c>
      <c r="AG145" s="5" t="s">
        <v>97</v>
      </c>
      <c r="AH145" s="5" t="s">
        <v>103</v>
      </c>
      <c r="AI145" s="5">
        <v>45881</v>
      </c>
      <c r="AJ145" s="5" t="s">
        <v>103</v>
      </c>
      <c r="AK145" s="5" t="s">
        <v>103</v>
      </c>
      <c r="AL145" s="5" t="s">
        <v>103</v>
      </c>
      <c r="AM145" s="5" t="s">
        <v>97</v>
      </c>
      <c r="AN145" s="5" t="s">
        <v>103</v>
      </c>
      <c r="AO145" s="5" t="s">
        <v>97</v>
      </c>
      <c r="AP145" s="5" t="s">
        <v>97</v>
      </c>
      <c r="AQ145" s="5" t="s">
        <v>97</v>
      </c>
      <c r="AR145" s="5" t="s">
        <v>97</v>
      </c>
      <c r="AS145" s="5" t="s">
        <v>97</v>
      </c>
      <c r="AT145" s="5"/>
      <c r="AU145" s="5" t="s">
        <v>522</v>
      </c>
      <c r="AV145" s="4" t="s">
        <v>103</v>
      </c>
      <c r="AW145" s="4" t="s">
        <v>97</v>
      </c>
      <c r="AX145" s="4" t="s">
        <v>97</v>
      </c>
      <c r="AY145" s="4" t="s">
        <v>97</v>
      </c>
      <c r="AZ145" s="4" t="s">
        <v>103</v>
      </c>
      <c r="BA145" s="4" t="s">
        <v>97</v>
      </c>
      <c r="BB145" s="5">
        <v>45895</v>
      </c>
      <c r="BC145" s="5">
        <v>45895</v>
      </c>
      <c r="BD145" s="5">
        <v>45895</v>
      </c>
      <c r="BE145" s="5">
        <v>45895</v>
      </c>
      <c r="BF145" s="5" t="s">
        <v>98</v>
      </c>
      <c r="BG145" s="4" t="s">
        <v>103</v>
      </c>
      <c r="BH145" s="5" t="s">
        <v>103</v>
      </c>
      <c r="BI145" s="4" t="s">
        <v>115</v>
      </c>
    </row>
    <row r="146" spans="1:61" x14ac:dyDescent="0.35">
      <c r="A146" s="8" t="str">
        <f t="shared" si="17"/>
        <v>Semaine 34-2025</v>
      </c>
      <c r="B146" s="8" t="str">
        <f t="shared" si="13"/>
        <v>2025</v>
      </c>
      <c r="C146" s="2" t="s">
        <v>75</v>
      </c>
      <c r="D146" s="6" t="str">
        <f t="shared" si="14"/>
        <v>Diourbel</v>
      </c>
      <c r="E146" s="6">
        <f t="shared" si="15"/>
        <v>996481</v>
      </c>
      <c r="F146" s="6">
        <f t="shared" si="16"/>
        <v>1980827</v>
      </c>
      <c r="G146" s="4" t="s">
        <v>524</v>
      </c>
      <c r="H146" s="9" t="s">
        <v>525</v>
      </c>
      <c r="I146" s="9">
        <v>22</v>
      </c>
      <c r="J146" s="9" t="s">
        <v>96</v>
      </c>
      <c r="K146" s="9"/>
      <c r="L146" s="9"/>
      <c r="M146" s="9"/>
      <c r="N146" s="9"/>
      <c r="O146" s="4" t="s">
        <v>238</v>
      </c>
      <c r="P146" s="4" t="s">
        <v>97</v>
      </c>
      <c r="Q146" s="4" t="s">
        <v>97</v>
      </c>
      <c r="R146" s="14" t="s">
        <v>100</v>
      </c>
      <c r="S146" s="14" t="s">
        <v>100</v>
      </c>
      <c r="T146" s="14" t="s">
        <v>100</v>
      </c>
      <c r="U146" s="8"/>
      <c r="V146" s="14"/>
      <c r="W146" s="14"/>
      <c r="X146" s="14"/>
      <c r="Y146" s="5">
        <v>45890</v>
      </c>
      <c r="Z146" s="5">
        <v>45894</v>
      </c>
      <c r="AA146" s="5" t="s">
        <v>103</v>
      </c>
      <c r="AB146" s="5" t="s">
        <v>272</v>
      </c>
      <c r="AC146" s="5" t="s">
        <v>97</v>
      </c>
      <c r="AD146" s="5" t="s">
        <v>97</v>
      </c>
      <c r="AE146" s="5" t="s">
        <v>97</v>
      </c>
      <c r="AF146" s="5" t="s">
        <v>97</v>
      </c>
      <c r="AG146" s="5" t="s">
        <v>103</v>
      </c>
      <c r="AH146" s="5" t="s">
        <v>103</v>
      </c>
      <c r="AI146" s="5">
        <v>45890</v>
      </c>
      <c r="AJ146" s="5" t="s">
        <v>97</v>
      </c>
      <c r="AK146" s="5" t="s">
        <v>97</v>
      </c>
      <c r="AL146" s="5" t="s">
        <v>103</v>
      </c>
      <c r="AM146" s="5" t="s">
        <v>97</v>
      </c>
      <c r="AN146" s="5" t="s">
        <v>103</v>
      </c>
      <c r="AO146" s="5" t="s">
        <v>97</v>
      </c>
      <c r="AP146" s="5" t="s">
        <v>97</v>
      </c>
      <c r="AQ146" s="5" t="s">
        <v>97</v>
      </c>
      <c r="AR146" s="5" t="s">
        <v>97</v>
      </c>
      <c r="AS146" s="5" t="s">
        <v>97</v>
      </c>
      <c r="AT146" s="5"/>
      <c r="AU146" s="5"/>
      <c r="AV146" s="4" t="s">
        <v>103</v>
      </c>
      <c r="AW146" s="4" t="s">
        <v>97</v>
      </c>
      <c r="AX146" s="4" t="s">
        <v>97</v>
      </c>
      <c r="AY146" s="4" t="s">
        <v>97</v>
      </c>
      <c r="AZ146" s="4" t="s">
        <v>97</v>
      </c>
      <c r="BA146" s="4" t="s">
        <v>97</v>
      </c>
      <c r="BB146" s="5">
        <v>45894</v>
      </c>
      <c r="BC146" s="5">
        <v>45895</v>
      </c>
      <c r="BD146" s="5">
        <v>45895</v>
      </c>
      <c r="BE146" s="5">
        <v>45895</v>
      </c>
      <c r="BF146" s="5" t="s">
        <v>98</v>
      </c>
      <c r="BG146" s="4" t="s">
        <v>97</v>
      </c>
      <c r="BH146" s="5" t="s">
        <v>103</v>
      </c>
      <c r="BI146" s="4" t="s">
        <v>115</v>
      </c>
    </row>
    <row r="147" spans="1:61" x14ac:dyDescent="0.35">
      <c r="A147" s="8" t="str">
        <f t="shared" si="17"/>
        <v>Semaine 34-2025</v>
      </c>
      <c r="B147" s="8" t="str">
        <f t="shared" si="13"/>
        <v>2025</v>
      </c>
      <c r="C147" s="2" t="s">
        <v>18</v>
      </c>
      <c r="D147" s="6" t="str">
        <f t="shared" si="14"/>
        <v>Dakar</v>
      </c>
      <c r="E147" s="6">
        <f t="shared" si="15"/>
        <v>419489</v>
      </c>
      <c r="F147" s="6">
        <f t="shared" si="16"/>
        <v>4042240</v>
      </c>
      <c r="G147" s="4" t="s">
        <v>499</v>
      </c>
      <c r="H147" s="9" t="s">
        <v>526</v>
      </c>
      <c r="I147" s="9">
        <v>21</v>
      </c>
      <c r="J147" s="9" t="s">
        <v>114</v>
      </c>
      <c r="K147" s="9"/>
      <c r="L147" s="9"/>
      <c r="M147" s="9"/>
      <c r="N147" s="9"/>
      <c r="O147" s="4" t="s">
        <v>238</v>
      </c>
      <c r="P147" s="4" t="s">
        <v>97</v>
      </c>
      <c r="Q147" s="4" t="s">
        <v>97</v>
      </c>
      <c r="R147" s="14" t="s">
        <v>100</v>
      </c>
      <c r="S147" s="14" t="s">
        <v>100</v>
      </c>
      <c r="T147" s="14" t="s">
        <v>100</v>
      </c>
      <c r="U147" s="8"/>
      <c r="V147" s="14"/>
      <c r="W147" s="14"/>
      <c r="X147" s="14"/>
      <c r="Y147" s="5">
        <v>45893</v>
      </c>
      <c r="Z147" s="5">
        <v>45895</v>
      </c>
      <c r="AA147" s="5" t="s">
        <v>103</v>
      </c>
      <c r="AB147" s="5"/>
      <c r="AC147" s="5" t="s">
        <v>97</v>
      </c>
      <c r="AD147" s="5" t="s">
        <v>97</v>
      </c>
      <c r="AE147" s="5" t="s">
        <v>97</v>
      </c>
      <c r="AF147" s="5" t="s">
        <v>97</v>
      </c>
      <c r="AG147" s="5" t="s">
        <v>97</v>
      </c>
      <c r="AH147" s="5" t="s">
        <v>103</v>
      </c>
      <c r="AI147" s="5">
        <v>45893</v>
      </c>
      <c r="AJ147" s="5" t="s">
        <v>103</v>
      </c>
      <c r="AK147" s="5" t="s">
        <v>103</v>
      </c>
      <c r="AL147" s="5" t="s">
        <v>97</v>
      </c>
      <c r="AM147" s="5" t="s">
        <v>103</v>
      </c>
      <c r="AN147" s="5" t="s">
        <v>103</v>
      </c>
      <c r="AO147" s="5" t="s">
        <v>97</v>
      </c>
      <c r="AP147" s="5" t="s">
        <v>97</v>
      </c>
      <c r="AQ147" s="5" t="s">
        <v>103</v>
      </c>
      <c r="AR147" s="5" t="s">
        <v>97</v>
      </c>
      <c r="AS147" s="5" t="s">
        <v>103</v>
      </c>
      <c r="AT147" s="5"/>
      <c r="AU147" s="5"/>
      <c r="AV147" s="4" t="s">
        <v>103</v>
      </c>
      <c r="AW147" s="4" t="s">
        <v>97</v>
      </c>
      <c r="AX147" s="4" t="s">
        <v>97</v>
      </c>
      <c r="AY147" s="4" t="s">
        <v>97</v>
      </c>
      <c r="AZ147" s="4" t="s">
        <v>103</v>
      </c>
      <c r="BA147" s="4" t="s">
        <v>97</v>
      </c>
      <c r="BB147" s="5">
        <v>45895</v>
      </c>
      <c r="BC147" s="5">
        <v>45895</v>
      </c>
      <c r="BD147" s="5">
        <v>45895</v>
      </c>
      <c r="BE147" s="5">
        <v>45896</v>
      </c>
      <c r="BF147" s="5" t="s">
        <v>98</v>
      </c>
      <c r="BG147" s="4" t="s">
        <v>97</v>
      </c>
      <c r="BH147" s="5" t="s">
        <v>103</v>
      </c>
      <c r="BI147" s="4" t="s">
        <v>115</v>
      </c>
    </row>
    <row r="148" spans="1:61" x14ac:dyDescent="0.35">
      <c r="A148" s="8" t="str">
        <f t="shared" si="17"/>
        <v>Semaine 35-2025</v>
      </c>
      <c r="B148" s="8" t="str">
        <f t="shared" si="13"/>
        <v>2025</v>
      </c>
      <c r="C148" s="2" t="s">
        <v>23</v>
      </c>
      <c r="D148" s="6" t="str">
        <f t="shared" si="14"/>
        <v>Dakar</v>
      </c>
      <c r="E148" s="6">
        <f t="shared" si="15"/>
        <v>167577</v>
      </c>
      <c r="F148" s="6">
        <f t="shared" si="16"/>
        <v>4042240</v>
      </c>
      <c r="G148" s="4" t="s">
        <v>500</v>
      </c>
      <c r="H148" s="9" t="s">
        <v>527</v>
      </c>
      <c r="I148" s="9">
        <v>13</v>
      </c>
      <c r="J148" s="9" t="s">
        <v>114</v>
      </c>
      <c r="K148" s="9"/>
      <c r="L148" s="9"/>
      <c r="M148" s="9"/>
      <c r="N148" s="9"/>
      <c r="O148" s="4" t="s">
        <v>238</v>
      </c>
      <c r="P148" s="4" t="s">
        <v>97</v>
      </c>
      <c r="Q148" s="4" t="s">
        <v>97</v>
      </c>
      <c r="R148" s="14" t="s">
        <v>100</v>
      </c>
      <c r="S148" s="14" t="s">
        <v>100</v>
      </c>
      <c r="T148" s="14" t="s">
        <v>100</v>
      </c>
      <c r="U148" s="8"/>
      <c r="V148" s="14"/>
      <c r="W148" s="14"/>
      <c r="X148" s="14"/>
      <c r="Y148" s="5">
        <v>45894</v>
      </c>
      <c r="Z148" s="5">
        <v>45896</v>
      </c>
      <c r="AA148" s="5" t="s">
        <v>103</v>
      </c>
      <c r="AB148" s="5"/>
      <c r="AC148" s="5" t="s">
        <v>103</v>
      </c>
      <c r="AD148" s="5" t="s">
        <v>103</v>
      </c>
      <c r="AE148" s="5" t="s">
        <v>97</v>
      </c>
      <c r="AF148" s="5" t="s">
        <v>97</v>
      </c>
      <c r="AG148" s="5" t="s">
        <v>103</v>
      </c>
      <c r="AH148" s="5" t="s">
        <v>103</v>
      </c>
      <c r="AI148" s="5">
        <v>45894</v>
      </c>
      <c r="AJ148" s="5" t="s">
        <v>97</v>
      </c>
      <c r="AK148" s="5" t="s">
        <v>97</v>
      </c>
      <c r="AL148" s="5" t="s">
        <v>103</v>
      </c>
      <c r="AM148" s="5" t="s">
        <v>103</v>
      </c>
      <c r="AN148" s="5" t="s">
        <v>103</v>
      </c>
      <c r="AO148" s="5" t="s">
        <v>103</v>
      </c>
      <c r="AP148" s="5" t="s">
        <v>97</v>
      </c>
      <c r="AQ148" s="5" t="s">
        <v>97</v>
      </c>
      <c r="AR148" s="5" t="s">
        <v>97</v>
      </c>
      <c r="AS148" s="5" t="s">
        <v>97</v>
      </c>
      <c r="AT148" s="5"/>
      <c r="AU148" s="5"/>
      <c r="AV148" s="4" t="s">
        <v>103</v>
      </c>
      <c r="AW148" s="4" t="s">
        <v>97</v>
      </c>
      <c r="AX148" s="4" t="s">
        <v>97</v>
      </c>
      <c r="AY148" s="4" t="s">
        <v>97</v>
      </c>
      <c r="AZ148" s="4" t="s">
        <v>103</v>
      </c>
      <c r="BA148" s="4" t="s">
        <v>97</v>
      </c>
      <c r="BB148" s="5">
        <v>45896</v>
      </c>
      <c r="BC148" s="5">
        <v>45896</v>
      </c>
      <c r="BD148" s="5">
        <v>45896</v>
      </c>
      <c r="BE148" s="5">
        <v>45896</v>
      </c>
      <c r="BF148" s="5" t="s">
        <v>98</v>
      </c>
      <c r="BG148" s="4" t="s">
        <v>97</v>
      </c>
      <c r="BH148" s="5" t="s">
        <v>103</v>
      </c>
      <c r="BI148" s="4" t="s">
        <v>115</v>
      </c>
    </row>
    <row r="149" spans="1:61" x14ac:dyDescent="0.35">
      <c r="A149" s="8" t="str">
        <f t="shared" si="17"/>
        <v>Semaine 31-2025</v>
      </c>
      <c r="B149" s="8" t="str">
        <f t="shared" si="13"/>
        <v>2025</v>
      </c>
      <c r="C149" s="2" t="s">
        <v>75</v>
      </c>
      <c r="D149" s="6" t="str">
        <f t="shared" si="14"/>
        <v>Diourbel</v>
      </c>
      <c r="E149" s="6">
        <f t="shared" si="15"/>
        <v>996481</v>
      </c>
      <c r="F149" s="6">
        <f t="shared" si="16"/>
        <v>1980827</v>
      </c>
      <c r="G149" s="4" t="s">
        <v>523</v>
      </c>
      <c r="H149" s="9" t="s">
        <v>529</v>
      </c>
      <c r="I149" s="9">
        <v>16</v>
      </c>
      <c r="J149" s="9" t="s">
        <v>114</v>
      </c>
      <c r="K149" s="9"/>
      <c r="L149" s="9"/>
      <c r="M149" s="9"/>
      <c r="N149" s="9"/>
      <c r="O149" s="4" t="s">
        <v>238</v>
      </c>
      <c r="P149" s="4" t="s">
        <v>97</v>
      </c>
      <c r="Q149" s="4" t="s">
        <v>97</v>
      </c>
      <c r="R149" s="14" t="s">
        <v>100</v>
      </c>
      <c r="S149" s="14" t="s">
        <v>100</v>
      </c>
      <c r="T149" s="14" t="s">
        <v>100</v>
      </c>
      <c r="U149" s="8"/>
      <c r="V149" s="14"/>
      <c r="W149" s="14"/>
      <c r="X149" s="14"/>
      <c r="Y149" s="5">
        <v>45870</v>
      </c>
      <c r="Z149" s="5">
        <v>45897</v>
      </c>
      <c r="AA149" s="5" t="s">
        <v>97</v>
      </c>
      <c r="AB149" s="5" t="s">
        <v>396</v>
      </c>
      <c r="AC149" s="5" t="s">
        <v>103</v>
      </c>
      <c r="AD149" s="5" t="s">
        <v>103</v>
      </c>
      <c r="AE149" s="5" t="s">
        <v>97</v>
      </c>
      <c r="AF149" s="5" t="s">
        <v>103</v>
      </c>
      <c r="AG149" s="5" t="s">
        <v>97</v>
      </c>
      <c r="AH149" s="5" t="s">
        <v>103</v>
      </c>
      <c r="AI149" s="5">
        <v>45894</v>
      </c>
      <c r="AJ149" s="5" t="s">
        <v>103</v>
      </c>
      <c r="AK149" s="5" t="s">
        <v>97</v>
      </c>
      <c r="AL149" s="5" t="s">
        <v>103</v>
      </c>
      <c r="AM149" s="5" t="s">
        <v>97</v>
      </c>
      <c r="AN149" s="5" t="s">
        <v>103</v>
      </c>
      <c r="AO149" s="5" t="s">
        <v>103</v>
      </c>
      <c r="AP149" s="5" t="s">
        <v>103</v>
      </c>
      <c r="AQ149" s="5" t="s">
        <v>97</v>
      </c>
      <c r="AR149" s="5" t="s">
        <v>97</v>
      </c>
      <c r="AS149" s="5" t="s">
        <v>103</v>
      </c>
      <c r="AT149" s="5"/>
      <c r="AU149" s="5"/>
      <c r="AV149" s="4" t="s">
        <v>97</v>
      </c>
      <c r="AW149" s="4" t="s">
        <v>97</v>
      </c>
      <c r="AX149" s="4" t="s">
        <v>97</v>
      </c>
      <c r="AY149" s="4" t="s">
        <v>97</v>
      </c>
      <c r="AZ149" s="4" t="s">
        <v>103</v>
      </c>
      <c r="BA149" s="4" t="s">
        <v>97</v>
      </c>
      <c r="BB149" s="5">
        <v>45897</v>
      </c>
      <c r="BC149" s="5">
        <v>45897</v>
      </c>
      <c r="BD149" s="5">
        <v>45897</v>
      </c>
      <c r="BE149" s="5">
        <v>45897</v>
      </c>
      <c r="BF149" s="5" t="s">
        <v>98</v>
      </c>
      <c r="BG149" s="4" t="s">
        <v>97</v>
      </c>
      <c r="BH149" s="5" t="s">
        <v>103</v>
      </c>
      <c r="BI149" s="4" t="s">
        <v>115</v>
      </c>
    </row>
    <row r="150" spans="1:61" x14ac:dyDescent="0.35">
      <c r="A150" s="8" t="str">
        <f t="shared" si="17"/>
        <v>Semaine 32-2025</v>
      </c>
      <c r="B150" s="8" t="str">
        <f t="shared" si="13"/>
        <v>2025</v>
      </c>
      <c r="C150" s="2" t="s">
        <v>75</v>
      </c>
      <c r="D150" s="6" t="str">
        <f t="shared" si="14"/>
        <v>Diourbel</v>
      </c>
      <c r="E150" s="6">
        <f t="shared" si="15"/>
        <v>996481</v>
      </c>
      <c r="F150" s="6">
        <f t="shared" si="16"/>
        <v>1980827</v>
      </c>
      <c r="G150" s="4" t="s">
        <v>528</v>
      </c>
      <c r="H150" s="4" t="s">
        <v>530</v>
      </c>
      <c r="I150" s="4">
        <v>7</v>
      </c>
      <c r="J150" s="4" t="s">
        <v>96</v>
      </c>
      <c r="K150" s="4"/>
      <c r="L150" s="4"/>
      <c r="M150" s="4"/>
      <c r="N150" s="4"/>
      <c r="O150" s="4" t="s">
        <v>238</v>
      </c>
      <c r="P150" s="4" t="s">
        <v>97</v>
      </c>
      <c r="Q150" s="4" t="s">
        <v>97</v>
      </c>
      <c r="R150" s="14" t="s">
        <v>100</v>
      </c>
      <c r="S150" s="14" t="s">
        <v>100</v>
      </c>
      <c r="T150" s="14" t="s">
        <v>100</v>
      </c>
      <c r="U150" s="8"/>
      <c r="V150" s="14"/>
      <c r="W150" s="14"/>
      <c r="X150" s="14"/>
      <c r="Y150" s="5">
        <v>45877</v>
      </c>
      <c r="Z150" s="5">
        <v>45896</v>
      </c>
      <c r="AA150" s="5" t="s">
        <v>103</v>
      </c>
      <c r="AB150" s="5" t="s">
        <v>257</v>
      </c>
      <c r="AC150" s="5" t="s">
        <v>97</v>
      </c>
      <c r="AD150" s="5" t="s">
        <v>103</v>
      </c>
      <c r="AE150" s="5" t="s">
        <v>97</v>
      </c>
      <c r="AF150" s="5" t="s">
        <v>97</v>
      </c>
      <c r="AG150" s="5" t="s">
        <v>97</v>
      </c>
      <c r="AH150" s="5" t="s">
        <v>103</v>
      </c>
      <c r="AI150" s="5">
        <v>45877</v>
      </c>
      <c r="AJ150" s="5" t="s">
        <v>97</v>
      </c>
      <c r="AK150" s="5" t="s">
        <v>103</v>
      </c>
      <c r="AL150" s="5" t="s">
        <v>97</v>
      </c>
      <c r="AM150" s="5" t="s">
        <v>103</v>
      </c>
      <c r="AN150" s="5" t="s">
        <v>103</v>
      </c>
      <c r="AO150" s="5" t="s">
        <v>97</v>
      </c>
      <c r="AP150" s="5" t="s">
        <v>97</v>
      </c>
      <c r="AQ150" s="5" t="s">
        <v>97</v>
      </c>
      <c r="AR150" s="5" t="s">
        <v>97</v>
      </c>
      <c r="AS150" s="5" t="s">
        <v>97</v>
      </c>
      <c r="AT150" s="5"/>
      <c r="AU150" s="5"/>
      <c r="AV150" s="4" t="s">
        <v>103</v>
      </c>
      <c r="AW150" s="4" t="s">
        <v>97</v>
      </c>
      <c r="AX150" s="4" t="s">
        <v>97</v>
      </c>
      <c r="AY150" s="4" t="s">
        <v>97</v>
      </c>
      <c r="AZ150" s="4" t="s">
        <v>97</v>
      </c>
      <c r="BA150" s="4" t="s">
        <v>97</v>
      </c>
      <c r="BB150" s="5">
        <v>45896</v>
      </c>
      <c r="BC150" s="5">
        <v>45896</v>
      </c>
      <c r="BD150" s="5">
        <v>45897</v>
      </c>
      <c r="BE150" s="5">
        <v>45897</v>
      </c>
      <c r="BF150" s="5" t="s">
        <v>98</v>
      </c>
      <c r="BG150" s="5" t="s">
        <v>97</v>
      </c>
      <c r="BH150" s="5" t="s">
        <v>103</v>
      </c>
      <c r="BI150" s="5" t="s">
        <v>115</v>
      </c>
    </row>
    <row r="151" spans="1:61" x14ac:dyDescent="0.35">
      <c r="A151" s="8" t="str">
        <f t="shared" si="17"/>
        <v>Semaine 35-2025</v>
      </c>
      <c r="B151" s="8" t="str">
        <f t="shared" si="13"/>
        <v>2025</v>
      </c>
      <c r="C151" s="2" t="s">
        <v>70</v>
      </c>
      <c r="D151" s="6" t="str">
        <f t="shared" si="14"/>
        <v>Fatick</v>
      </c>
      <c r="E151" s="6">
        <f t="shared" si="15"/>
        <v>198755</v>
      </c>
      <c r="F151" s="6">
        <f t="shared" si="16"/>
        <v>965914</v>
      </c>
      <c r="G151" s="4" t="s">
        <v>501</v>
      </c>
      <c r="H151" s="4" t="s">
        <v>531</v>
      </c>
      <c r="I151" s="4">
        <v>5</v>
      </c>
      <c r="J151" s="4" t="s">
        <v>96</v>
      </c>
      <c r="K151" s="4"/>
      <c r="L151" s="4"/>
      <c r="M151" s="4"/>
      <c r="N151" s="4"/>
      <c r="O151" s="4" t="s">
        <v>238</v>
      </c>
      <c r="P151" s="4" t="s">
        <v>97</v>
      </c>
      <c r="Q151" s="4" t="s">
        <v>97</v>
      </c>
      <c r="R151" s="14" t="s">
        <v>100</v>
      </c>
      <c r="S151" s="14" t="s">
        <v>100</v>
      </c>
      <c r="T151" s="14" t="s">
        <v>100</v>
      </c>
      <c r="U151" s="8"/>
      <c r="V151" s="14"/>
      <c r="W151" s="14"/>
      <c r="X151" s="14"/>
      <c r="Y151" s="5">
        <v>45894</v>
      </c>
      <c r="Z151" s="5">
        <v>45896</v>
      </c>
      <c r="AA151" s="5" t="s">
        <v>97</v>
      </c>
      <c r="AB151" s="5" t="s">
        <v>515</v>
      </c>
      <c r="AC151" s="5" t="s">
        <v>97</v>
      </c>
      <c r="AD151" s="5" t="s">
        <v>97</v>
      </c>
      <c r="AE151" s="5" t="s">
        <v>97</v>
      </c>
      <c r="AF151" s="5" t="s">
        <v>97</v>
      </c>
      <c r="AG151" s="5" t="s">
        <v>97</v>
      </c>
      <c r="AH151" s="5" t="s">
        <v>103</v>
      </c>
      <c r="AI151" s="5">
        <v>45894</v>
      </c>
      <c r="AJ151" s="5" t="s">
        <v>97</v>
      </c>
      <c r="AK151" s="5" t="s">
        <v>97</v>
      </c>
      <c r="AL151" s="5" t="s">
        <v>103</v>
      </c>
      <c r="AM151" s="5" t="s">
        <v>103</v>
      </c>
      <c r="AN151" s="5" t="s">
        <v>103</v>
      </c>
      <c r="AO151" s="5" t="s">
        <v>103</v>
      </c>
      <c r="AP151" s="5" t="s">
        <v>103</v>
      </c>
      <c r="AQ151" s="5" t="s">
        <v>97</v>
      </c>
      <c r="AR151" s="5" t="s">
        <v>97</v>
      </c>
      <c r="AS151" s="5" t="s">
        <v>97</v>
      </c>
      <c r="AT151" s="5" t="s">
        <v>532</v>
      </c>
      <c r="AU151" s="5"/>
      <c r="AV151" s="4" t="s">
        <v>97</v>
      </c>
      <c r="AW151" s="4" t="s">
        <v>97</v>
      </c>
      <c r="AX151" s="4" t="s">
        <v>97</v>
      </c>
      <c r="AY151" s="4" t="s">
        <v>97</v>
      </c>
      <c r="AZ151" s="4" t="s">
        <v>103</v>
      </c>
      <c r="BA151" s="4" t="s">
        <v>97</v>
      </c>
      <c r="BB151" s="5">
        <v>45896</v>
      </c>
      <c r="BC151" s="5">
        <v>45896</v>
      </c>
      <c r="BD151" s="5">
        <v>45897</v>
      </c>
      <c r="BE151" s="5">
        <v>45897</v>
      </c>
      <c r="BF151" s="5" t="s">
        <v>98</v>
      </c>
      <c r="BG151" s="5" t="s">
        <v>97</v>
      </c>
      <c r="BH151" s="5" t="s">
        <v>103</v>
      </c>
      <c r="BI151" s="5" t="s">
        <v>115</v>
      </c>
    </row>
    <row r="152" spans="1:61" x14ac:dyDescent="0.35">
      <c r="A152" s="8" t="str">
        <f t="shared" si="17"/>
        <v>Semaine 34-2025</v>
      </c>
      <c r="B152" s="8" t="str">
        <f t="shared" si="13"/>
        <v>2025</v>
      </c>
      <c r="C152" s="2" t="s">
        <v>55</v>
      </c>
      <c r="D152" s="6" t="str">
        <f t="shared" si="14"/>
        <v>Ziguinchor</v>
      </c>
      <c r="E152" s="6">
        <f t="shared" si="15"/>
        <v>64244</v>
      </c>
      <c r="F152" s="6">
        <f t="shared" si="16"/>
        <v>729952</v>
      </c>
      <c r="G152" s="4" t="s">
        <v>502</v>
      </c>
      <c r="H152" s="4" t="s">
        <v>533</v>
      </c>
      <c r="I152" s="4">
        <v>62</v>
      </c>
      <c r="J152" s="4" t="s">
        <v>114</v>
      </c>
      <c r="K152" s="4" t="s">
        <v>534</v>
      </c>
      <c r="L152" s="5">
        <v>45891</v>
      </c>
      <c r="M152" s="4" t="s">
        <v>213</v>
      </c>
      <c r="N152" s="5">
        <v>45892</v>
      </c>
      <c r="O152" s="4" t="s">
        <v>238</v>
      </c>
      <c r="P152" s="4" t="s">
        <v>97</v>
      </c>
      <c r="Q152" s="4" t="s">
        <v>97</v>
      </c>
      <c r="R152" s="14" t="s">
        <v>100</v>
      </c>
      <c r="S152" s="14" t="s">
        <v>100</v>
      </c>
      <c r="T152" s="14" t="s">
        <v>100</v>
      </c>
      <c r="U152" s="8"/>
      <c r="V152" s="14"/>
      <c r="W152" s="14"/>
      <c r="X152" s="14"/>
      <c r="Y152" s="5">
        <v>45893</v>
      </c>
      <c r="Z152" s="5">
        <v>45895</v>
      </c>
      <c r="AA152" s="5" t="s">
        <v>97</v>
      </c>
      <c r="AB152" s="5"/>
      <c r="AC152" s="5" t="s">
        <v>97</v>
      </c>
      <c r="AD152" s="5" t="s">
        <v>97</v>
      </c>
      <c r="AE152" s="5" t="s">
        <v>97</v>
      </c>
      <c r="AF152" s="5" t="s">
        <v>97</v>
      </c>
      <c r="AG152" s="5" t="s">
        <v>97</v>
      </c>
      <c r="AH152" s="5" t="s">
        <v>103</v>
      </c>
      <c r="AI152" s="5">
        <v>45893</v>
      </c>
      <c r="AJ152" s="5" t="s">
        <v>97</v>
      </c>
      <c r="AK152" s="5" t="s">
        <v>103</v>
      </c>
      <c r="AL152" s="5" t="s">
        <v>97</v>
      </c>
      <c r="AM152" s="5" t="s">
        <v>103</v>
      </c>
      <c r="AN152" s="5" t="s">
        <v>103</v>
      </c>
      <c r="AO152" s="5" t="s">
        <v>97</v>
      </c>
      <c r="AP152" s="5" t="s">
        <v>97</v>
      </c>
      <c r="AQ152" s="5" t="s">
        <v>97</v>
      </c>
      <c r="AR152" s="5" t="s">
        <v>97</v>
      </c>
      <c r="AS152" s="5" t="s">
        <v>97</v>
      </c>
      <c r="AT152" s="5"/>
      <c r="AU152" s="5" t="s">
        <v>519</v>
      </c>
      <c r="AV152" s="4" t="s">
        <v>103</v>
      </c>
      <c r="AW152" s="4" t="s">
        <v>97</v>
      </c>
      <c r="AX152" s="4" t="s">
        <v>97</v>
      </c>
      <c r="AY152" s="4" t="s">
        <v>97</v>
      </c>
      <c r="AZ152" s="4" t="s">
        <v>97</v>
      </c>
      <c r="BA152" s="4" t="s">
        <v>97</v>
      </c>
      <c r="BB152" s="5">
        <v>45895</v>
      </c>
      <c r="BC152" s="5">
        <v>45896</v>
      </c>
      <c r="BD152" s="5">
        <v>45897</v>
      </c>
      <c r="BE152" s="5">
        <v>45897</v>
      </c>
      <c r="BF152" s="5" t="s">
        <v>98</v>
      </c>
      <c r="BG152" s="5" t="s">
        <v>97</v>
      </c>
      <c r="BH152" s="5" t="s">
        <v>103</v>
      </c>
      <c r="BI152" s="5" t="s">
        <v>115</v>
      </c>
    </row>
    <row r="153" spans="1:61" x14ac:dyDescent="0.35">
      <c r="A153" s="8" t="str">
        <f t="shared" si="17"/>
        <v>Semaine 35-2025</v>
      </c>
      <c r="B153" s="8" t="str">
        <f t="shared" si="13"/>
        <v>2025</v>
      </c>
      <c r="C153" s="2" t="s">
        <v>41</v>
      </c>
      <c r="D153" s="6" t="str">
        <f t="shared" si="14"/>
        <v>Kolda</v>
      </c>
      <c r="E153" s="6">
        <f t="shared" si="15"/>
        <v>325160</v>
      </c>
      <c r="F153" s="6">
        <f t="shared" si="16"/>
        <v>875661</v>
      </c>
      <c r="G153" s="4" t="s">
        <v>503</v>
      </c>
      <c r="H153" s="4" t="s">
        <v>535</v>
      </c>
      <c r="I153" s="4">
        <v>28</v>
      </c>
      <c r="J153" s="4" t="s">
        <v>114</v>
      </c>
      <c r="K153" s="4"/>
      <c r="L153" s="4"/>
      <c r="M153" s="4"/>
      <c r="N153" s="4"/>
      <c r="O153" s="4" t="s">
        <v>238</v>
      </c>
      <c r="P153" s="4" t="s">
        <v>97</v>
      </c>
      <c r="Q153" s="4" t="s">
        <v>97</v>
      </c>
      <c r="R153" s="14" t="s">
        <v>100</v>
      </c>
      <c r="S153" s="14" t="s">
        <v>100</v>
      </c>
      <c r="T153" s="14" t="s">
        <v>100</v>
      </c>
      <c r="U153" s="8"/>
      <c r="V153" s="14"/>
      <c r="W153" s="14"/>
      <c r="X153" s="14"/>
      <c r="Y153" s="5">
        <v>45894</v>
      </c>
      <c r="Z153" s="5">
        <v>45895</v>
      </c>
      <c r="AA153" s="5" t="s">
        <v>103</v>
      </c>
      <c r="AB153" s="5"/>
      <c r="AC153" s="5" t="s">
        <v>97</v>
      </c>
      <c r="AD153" s="5" t="s">
        <v>97</v>
      </c>
      <c r="AE153" s="5" t="s">
        <v>97</v>
      </c>
      <c r="AF153" s="5" t="s">
        <v>97</v>
      </c>
      <c r="AG153" s="5" t="s">
        <v>103</v>
      </c>
      <c r="AH153" s="5" t="s">
        <v>103</v>
      </c>
      <c r="AI153" s="5">
        <v>45894</v>
      </c>
      <c r="AJ153" s="5" t="s">
        <v>97</v>
      </c>
      <c r="AK153" s="5" t="s">
        <v>97</v>
      </c>
      <c r="AL153" s="5" t="s">
        <v>103</v>
      </c>
      <c r="AM153" s="5" t="s">
        <v>103</v>
      </c>
      <c r="AN153" s="5" t="s">
        <v>103</v>
      </c>
      <c r="AO153" s="5" t="s">
        <v>97</v>
      </c>
      <c r="AP153" s="5" t="s">
        <v>97</v>
      </c>
      <c r="AQ153" s="5" t="s">
        <v>97</v>
      </c>
      <c r="AR153" s="5" t="s">
        <v>97</v>
      </c>
      <c r="AS153" s="5" t="s">
        <v>97</v>
      </c>
      <c r="AT153" s="5"/>
      <c r="AU153" s="5"/>
      <c r="AV153" s="4" t="s">
        <v>103</v>
      </c>
      <c r="AW153" s="4" t="s">
        <v>97</v>
      </c>
      <c r="AX153" s="4" t="s">
        <v>97</v>
      </c>
      <c r="AY153" s="4" t="s">
        <v>97</v>
      </c>
      <c r="AZ153" s="4" t="s">
        <v>103</v>
      </c>
      <c r="BA153" s="4" t="s">
        <v>97</v>
      </c>
      <c r="BB153" s="5">
        <v>45895</v>
      </c>
      <c r="BC153" s="5">
        <v>45896</v>
      </c>
      <c r="BD153" s="5">
        <v>45897</v>
      </c>
      <c r="BE153" s="5">
        <v>45897</v>
      </c>
      <c r="BF153" s="5" t="s">
        <v>98</v>
      </c>
      <c r="BG153" s="5" t="s">
        <v>97</v>
      </c>
      <c r="BH153" s="5" t="s">
        <v>103</v>
      </c>
      <c r="BI153" s="5" t="s">
        <v>115</v>
      </c>
    </row>
    <row r="154" spans="1:61" x14ac:dyDescent="0.35">
      <c r="A154" s="8" t="str">
        <f t="shared" si="17"/>
        <v>Semaine 35-2025</v>
      </c>
      <c r="B154" s="8" t="str">
        <f t="shared" si="13"/>
        <v>2025</v>
      </c>
      <c r="C154" s="2" t="s">
        <v>64</v>
      </c>
      <c r="D154" s="6" t="str">
        <f t="shared" si="14"/>
        <v>Dakar</v>
      </c>
      <c r="E154" s="6">
        <f t="shared" si="15"/>
        <v>284840</v>
      </c>
      <c r="F154" s="6">
        <f t="shared" si="16"/>
        <v>4042240</v>
      </c>
      <c r="G154" s="4" t="s">
        <v>504</v>
      </c>
      <c r="H154" s="4" t="s">
        <v>536</v>
      </c>
      <c r="I154" s="4">
        <v>35</v>
      </c>
      <c r="J154" s="4" t="s">
        <v>114</v>
      </c>
      <c r="K154" s="4"/>
      <c r="L154" s="4"/>
      <c r="M154" s="4"/>
      <c r="N154" s="4"/>
      <c r="O154" s="4" t="s">
        <v>238</v>
      </c>
      <c r="P154" s="4" t="s">
        <v>103</v>
      </c>
      <c r="Q154" s="4" t="s">
        <v>97</v>
      </c>
      <c r="R154" s="14" t="s">
        <v>100</v>
      </c>
      <c r="S154" s="14" t="s">
        <v>100</v>
      </c>
      <c r="T154" s="14" t="s">
        <v>100</v>
      </c>
      <c r="U154" s="8"/>
      <c r="V154" s="14"/>
      <c r="W154" s="14"/>
      <c r="X154" s="14"/>
      <c r="Y154" s="5">
        <v>45895</v>
      </c>
      <c r="Z154" s="5">
        <v>45896</v>
      </c>
      <c r="AA154" s="5" t="s">
        <v>97</v>
      </c>
      <c r="AB154" s="5" t="s">
        <v>537</v>
      </c>
      <c r="AC154" s="5" t="s">
        <v>97</v>
      </c>
      <c r="AD154" s="5" t="s">
        <v>97</v>
      </c>
      <c r="AE154" s="5" t="s">
        <v>97</v>
      </c>
      <c r="AF154" s="5" t="s">
        <v>103</v>
      </c>
      <c r="AG154" s="5" t="s">
        <v>97</v>
      </c>
      <c r="AH154" s="5" t="s">
        <v>103</v>
      </c>
      <c r="AI154" s="5">
        <v>45895</v>
      </c>
      <c r="AJ154" s="5" t="s">
        <v>103</v>
      </c>
      <c r="AK154" s="5" t="s">
        <v>97</v>
      </c>
      <c r="AL154" s="5" t="s">
        <v>97</v>
      </c>
      <c r="AM154" s="5" t="s">
        <v>97</v>
      </c>
      <c r="AN154" s="5" t="s">
        <v>103</v>
      </c>
      <c r="AO154" s="5" t="s">
        <v>97</v>
      </c>
      <c r="AP154" s="5" t="s">
        <v>97</v>
      </c>
      <c r="AQ154" s="5" t="s">
        <v>97</v>
      </c>
      <c r="AR154" s="5" t="s">
        <v>97</v>
      </c>
      <c r="AS154" s="5" t="s">
        <v>97</v>
      </c>
      <c r="AT154" s="5"/>
      <c r="AU154" s="5"/>
      <c r="AV154" s="4" t="s">
        <v>97</v>
      </c>
      <c r="AW154" s="4" t="s">
        <v>97</v>
      </c>
      <c r="AX154" s="4" t="s">
        <v>97</v>
      </c>
      <c r="AY154" s="4" t="s">
        <v>97</v>
      </c>
      <c r="AZ154" s="4" t="s">
        <v>103</v>
      </c>
      <c r="BA154" s="4" t="s">
        <v>97</v>
      </c>
      <c r="BB154" s="5">
        <v>45896</v>
      </c>
      <c r="BC154" s="5">
        <v>45897</v>
      </c>
      <c r="BD154" s="5">
        <v>45897</v>
      </c>
      <c r="BE154" s="5">
        <v>45897</v>
      </c>
      <c r="BF154" s="5" t="s">
        <v>98</v>
      </c>
      <c r="BG154" s="5" t="s">
        <v>97</v>
      </c>
      <c r="BH154" s="5" t="s">
        <v>103</v>
      </c>
      <c r="BI154" s="5" t="s">
        <v>115</v>
      </c>
    </row>
    <row r="155" spans="1:61" x14ac:dyDescent="0.35">
      <c r="A155" s="8" t="str">
        <f t="shared" si="17"/>
        <v>Semaine 35-2025</v>
      </c>
      <c r="B155" s="8" t="str">
        <f t="shared" si="13"/>
        <v>2025</v>
      </c>
      <c r="C155" s="2" t="s">
        <v>20</v>
      </c>
      <c r="D155" s="6" t="str">
        <f t="shared" si="14"/>
        <v>Dakar</v>
      </c>
      <c r="E155" s="6">
        <f t="shared" si="15"/>
        <v>272276</v>
      </c>
      <c r="F155" s="6">
        <f t="shared" si="16"/>
        <v>4042240</v>
      </c>
      <c r="G155" s="4" t="s">
        <v>505</v>
      </c>
      <c r="H155" s="4" t="s">
        <v>538</v>
      </c>
      <c r="I155" s="4">
        <v>13</v>
      </c>
      <c r="J155" s="4" t="s">
        <v>96</v>
      </c>
      <c r="K155" s="4"/>
      <c r="L155" s="4"/>
      <c r="M155" s="4"/>
      <c r="N155" s="4"/>
      <c r="O155" s="4" t="s">
        <v>238</v>
      </c>
      <c r="P155" s="4" t="s">
        <v>97</v>
      </c>
      <c r="Q155" s="4" t="s">
        <v>97</v>
      </c>
      <c r="R155" s="14" t="s">
        <v>100</v>
      </c>
      <c r="S155" s="14" t="s">
        <v>100</v>
      </c>
      <c r="T155" s="14" t="s">
        <v>100</v>
      </c>
      <c r="U155" s="8"/>
      <c r="V155" s="14"/>
      <c r="W155" s="14"/>
      <c r="X155" s="14"/>
      <c r="Y155" s="5">
        <v>45894</v>
      </c>
      <c r="Z155" s="5">
        <v>45896</v>
      </c>
      <c r="AA155" s="5" t="s">
        <v>97</v>
      </c>
      <c r="AB155" s="5" t="s">
        <v>392</v>
      </c>
      <c r="AC155" s="5" t="s">
        <v>97</v>
      </c>
      <c r="AD155" s="5" t="s">
        <v>97</v>
      </c>
      <c r="AE155" s="5" t="s">
        <v>97</v>
      </c>
      <c r="AF155" s="5" t="s">
        <v>97</v>
      </c>
      <c r="AG155" s="5" t="s">
        <v>97</v>
      </c>
      <c r="AH155" s="5" t="s">
        <v>103</v>
      </c>
      <c r="AI155" s="5">
        <v>45894</v>
      </c>
      <c r="AJ155" s="5" t="s">
        <v>97</v>
      </c>
      <c r="AK155" s="5" t="s">
        <v>103</v>
      </c>
      <c r="AL155" s="5" t="s">
        <v>103</v>
      </c>
      <c r="AM155" s="5" t="s">
        <v>103</v>
      </c>
      <c r="AN155" s="5" t="s">
        <v>103</v>
      </c>
      <c r="AO155" s="5" t="s">
        <v>97</v>
      </c>
      <c r="AP155" s="5" t="s">
        <v>97</v>
      </c>
      <c r="AQ155" s="5" t="s">
        <v>97</v>
      </c>
      <c r="AR155" s="5" t="s">
        <v>97</v>
      </c>
      <c r="AS155" s="5" t="s">
        <v>97</v>
      </c>
      <c r="AT155" s="5"/>
      <c r="AU155" s="5"/>
      <c r="AV155" s="4" t="s">
        <v>103</v>
      </c>
      <c r="AW155" s="4" t="s">
        <v>97</v>
      </c>
      <c r="AX155" s="4" t="s">
        <v>97</v>
      </c>
      <c r="AY155" s="4" t="s">
        <v>97</v>
      </c>
      <c r="AZ155" s="4" t="s">
        <v>97</v>
      </c>
      <c r="BA155" s="4" t="s">
        <v>97</v>
      </c>
      <c r="BB155" s="5">
        <v>45896</v>
      </c>
      <c r="BC155" s="5">
        <v>45897</v>
      </c>
      <c r="BD155" s="5">
        <v>45897</v>
      </c>
      <c r="BE155" s="5">
        <v>45897</v>
      </c>
      <c r="BF155" s="5" t="s">
        <v>98</v>
      </c>
      <c r="BG155" s="5" t="s">
        <v>97</v>
      </c>
      <c r="BH155" s="5" t="s">
        <v>103</v>
      </c>
      <c r="BI155" s="5" t="s">
        <v>115</v>
      </c>
    </row>
    <row r="156" spans="1:61" x14ac:dyDescent="0.35">
      <c r="A156" s="8" t="str">
        <f t="shared" si="17"/>
        <v>Semaine 34-2025</v>
      </c>
      <c r="B156" s="8" t="str">
        <f t="shared" si="13"/>
        <v>2025</v>
      </c>
      <c r="C156" s="2" t="s">
        <v>31</v>
      </c>
      <c r="D156" s="6" t="str">
        <f t="shared" si="14"/>
        <v>Dakar</v>
      </c>
      <c r="E156" s="6">
        <f t="shared" si="15"/>
        <v>424760</v>
      </c>
      <c r="F156" s="6">
        <f t="shared" si="16"/>
        <v>4042240</v>
      </c>
      <c r="G156" s="4" t="s">
        <v>506</v>
      </c>
      <c r="H156" s="4" t="s">
        <v>539</v>
      </c>
      <c r="I156" s="4">
        <v>52</v>
      </c>
      <c r="J156" s="4" t="s">
        <v>114</v>
      </c>
      <c r="K156" s="4"/>
      <c r="L156" s="4"/>
      <c r="M156" s="4"/>
      <c r="N156" s="4"/>
      <c r="O156" s="4" t="s">
        <v>238</v>
      </c>
      <c r="P156" s="4" t="s">
        <v>97</v>
      </c>
      <c r="Q156" s="4" t="s">
        <v>97</v>
      </c>
      <c r="R156" s="14" t="s">
        <v>100</v>
      </c>
      <c r="S156" s="14" t="s">
        <v>100</v>
      </c>
      <c r="T156" s="14" t="s">
        <v>100</v>
      </c>
      <c r="U156" s="8"/>
      <c r="V156" s="14"/>
      <c r="W156" s="14"/>
      <c r="X156" s="14"/>
      <c r="Y156" s="5">
        <v>45893</v>
      </c>
      <c r="Z156" s="5">
        <v>45897</v>
      </c>
      <c r="AA156" s="5" t="s">
        <v>97</v>
      </c>
      <c r="AB156" s="5"/>
      <c r="AC156" s="5" t="s">
        <v>97</v>
      </c>
      <c r="AD156" s="5" t="s">
        <v>97</v>
      </c>
      <c r="AE156" s="5" t="s">
        <v>97</v>
      </c>
      <c r="AF156" s="5" t="s">
        <v>103</v>
      </c>
      <c r="AG156" s="5" t="s">
        <v>103</v>
      </c>
      <c r="AH156" s="5" t="s">
        <v>103</v>
      </c>
      <c r="AI156" s="5">
        <v>45894</v>
      </c>
      <c r="AJ156" s="5" t="s">
        <v>103</v>
      </c>
      <c r="AK156" s="5" t="s">
        <v>103</v>
      </c>
      <c r="AL156" s="5" t="s">
        <v>97</v>
      </c>
      <c r="AM156" s="5" t="s">
        <v>103</v>
      </c>
      <c r="AN156" s="5" t="s">
        <v>103</v>
      </c>
      <c r="AO156" s="5" t="s">
        <v>103</v>
      </c>
      <c r="AP156" s="5" t="s">
        <v>97</v>
      </c>
      <c r="AQ156" s="5" t="s">
        <v>97</v>
      </c>
      <c r="AR156" s="5" t="s">
        <v>97</v>
      </c>
      <c r="AS156" s="5" t="s">
        <v>97</v>
      </c>
      <c r="AT156" s="5" t="s">
        <v>409</v>
      </c>
      <c r="AU156" s="5"/>
      <c r="AV156" s="4" t="s">
        <v>103</v>
      </c>
      <c r="AW156" s="4" t="s">
        <v>97</v>
      </c>
      <c r="AX156" s="4" t="s">
        <v>97</v>
      </c>
      <c r="AY156" s="4" t="s">
        <v>97</v>
      </c>
      <c r="AZ156" s="4" t="s">
        <v>103</v>
      </c>
      <c r="BA156" s="4" t="s">
        <v>97</v>
      </c>
      <c r="BB156" s="5">
        <v>45897</v>
      </c>
      <c r="BC156" s="5">
        <v>45897</v>
      </c>
      <c r="BD156" s="5">
        <v>45897</v>
      </c>
      <c r="BE156" s="5">
        <v>45897</v>
      </c>
      <c r="BF156" s="5" t="s">
        <v>98</v>
      </c>
      <c r="BG156" s="5" t="s">
        <v>97</v>
      </c>
      <c r="BH156" s="5" t="s">
        <v>103</v>
      </c>
      <c r="BI156" s="5" t="s">
        <v>115</v>
      </c>
    </row>
    <row r="157" spans="1:61" x14ac:dyDescent="0.35">
      <c r="A157" s="8" t="str">
        <f t="shared" si="17"/>
        <v>Semaine 34-2025</v>
      </c>
      <c r="B157" s="8" t="str">
        <f t="shared" si="13"/>
        <v>2025</v>
      </c>
      <c r="C157" s="2" t="s">
        <v>32</v>
      </c>
      <c r="D157" s="6" t="str">
        <f t="shared" si="14"/>
        <v>Kaolack</v>
      </c>
      <c r="E157" s="6">
        <f t="shared" si="15"/>
        <v>151881</v>
      </c>
      <c r="F157" s="6">
        <f t="shared" si="16"/>
        <v>1267013</v>
      </c>
      <c r="G157" s="4" t="s">
        <v>507</v>
      </c>
      <c r="H157" s="4" t="s">
        <v>543</v>
      </c>
      <c r="I157" s="4">
        <v>4</v>
      </c>
      <c r="J157" s="4" t="s">
        <v>96</v>
      </c>
      <c r="K157" s="4"/>
      <c r="L157" s="4"/>
      <c r="M157" s="4"/>
      <c r="N157" s="4"/>
      <c r="O157" s="4" t="s">
        <v>238</v>
      </c>
      <c r="P157" s="4" t="s">
        <v>97</v>
      </c>
      <c r="Q157" s="4" t="s">
        <v>97</v>
      </c>
      <c r="R157" s="14" t="s">
        <v>100</v>
      </c>
      <c r="S157" s="14" t="s">
        <v>100</v>
      </c>
      <c r="T157" s="14" t="s">
        <v>100</v>
      </c>
      <c r="U157" s="8"/>
      <c r="V157" s="14"/>
      <c r="W157" s="14"/>
      <c r="X157" s="14"/>
      <c r="Y157" s="5">
        <v>45889</v>
      </c>
      <c r="Z157" s="5">
        <v>45896</v>
      </c>
      <c r="AA157" s="5" t="s">
        <v>103</v>
      </c>
      <c r="AB157" s="5" t="s">
        <v>276</v>
      </c>
      <c r="AC157" s="5" t="s">
        <v>97</v>
      </c>
      <c r="AD157" s="5" t="s">
        <v>103</v>
      </c>
      <c r="AE157" s="5" t="s">
        <v>97</v>
      </c>
      <c r="AF157" s="5" t="s">
        <v>97</v>
      </c>
      <c r="AG157" s="5" t="s">
        <v>97</v>
      </c>
      <c r="AH157" s="5" t="s">
        <v>103</v>
      </c>
      <c r="AI157" s="5">
        <v>45889</v>
      </c>
      <c r="AJ157" s="5" t="s">
        <v>103</v>
      </c>
      <c r="AK157" s="5" t="s">
        <v>97</v>
      </c>
      <c r="AL157" s="5" t="s">
        <v>103</v>
      </c>
      <c r="AM157" s="5" t="s">
        <v>103</v>
      </c>
      <c r="AN157" s="5" t="s">
        <v>103</v>
      </c>
      <c r="AO157" s="5" t="s">
        <v>103</v>
      </c>
      <c r="AP157" s="5" t="s">
        <v>97</v>
      </c>
      <c r="AQ157" s="5" t="s">
        <v>97</v>
      </c>
      <c r="AR157" s="5" t="s">
        <v>97</v>
      </c>
      <c r="AS157" s="5" t="s">
        <v>97</v>
      </c>
      <c r="AT157" s="5"/>
      <c r="AU157" s="5"/>
      <c r="AV157" s="4" t="s">
        <v>103</v>
      </c>
      <c r="AW157" s="4" t="s">
        <v>103</v>
      </c>
      <c r="AX157" s="4" t="s">
        <v>97</v>
      </c>
      <c r="AY157" s="4" t="s">
        <v>97</v>
      </c>
      <c r="AZ157" s="4" t="s">
        <v>97</v>
      </c>
      <c r="BA157" s="4" t="s">
        <v>97</v>
      </c>
      <c r="BB157" s="5">
        <v>45896</v>
      </c>
      <c r="BC157" s="5">
        <v>45897</v>
      </c>
      <c r="BD157" s="5">
        <v>45898</v>
      </c>
      <c r="BE157" s="5">
        <v>45899</v>
      </c>
      <c r="BF157" s="5" t="s">
        <v>98</v>
      </c>
      <c r="BG157" s="5" t="s">
        <v>97</v>
      </c>
      <c r="BH157" s="5" t="s">
        <v>103</v>
      </c>
      <c r="BI157" s="5" t="s">
        <v>115</v>
      </c>
    </row>
    <row r="158" spans="1:61" x14ac:dyDescent="0.35">
      <c r="A158" s="8" t="str">
        <f t="shared" si="17"/>
        <v>Semaine 33-2025</v>
      </c>
      <c r="B158" s="8" t="str">
        <f t="shared" si="13"/>
        <v>2025</v>
      </c>
      <c r="C158" s="2" t="s">
        <v>23</v>
      </c>
      <c r="D158" s="6" t="str">
        <f t="shared" si="14"/>
        <v>Dakar</v>
      </c>
      <c r="E158" s="6">
        <f t="shared" si="15"/>
        <v>167577</v>
      </c>
      <c r="F158" s="6">
        <f t="shared" si="16"/>
        <v>4042240</v>
      </c>
      <c r="G158" s="4" t="s">
        <v>540</v>
      </c>
      <c r="H158" s="4" t="s">
        <v>544</v>
      </c>
      <c r="I158" s="4">
        <v>16</v>
      </c>
      <c r="J158" s="4" t="s">
        <v>114</v>
      </c>
      <c r="K158" s="4"/>
      <c r="L158" s="4"/>
      <c r="M158" s="4"/>
      <c r="N158" s="4"/>
      <c r="O158" s="4" t="s">
        <v>238</v>
      </c>
      <c r="P158" s="4" t="s">
        <v>97</v>
      </c>
      <c r="Q158" s="4" t="s">
        <v>97</v>
      </c>
      <c r="R158" s="14" t="s">
        <v>100</v>
      </c>
      <c r="S158" s="14" t="s">
        <v>100</v>
      </c>
      <c r="T158" s="14" t="s">
        <v>100</v>
      </c>
      <c r="U158" s="8"/>
      <c r="V158" s="14"/>
      <c r="W158" s="14"/>
      <c r="X158" s="14"/>
      <c r="Y158" s="5">
        <v>45882</v>
      </c>
      <c r="Z158" s="5">
        <v>45897</v>
      </c>
      <c r="AA158" s="5" t="s">
        <v>97</v>
      </c>
      <c r="AB158" s="5" t="s">
        <v>513</v>
      </c>
      <c r="AC158" s="5" t="s">
        <v>103</v>
      </c>
      <c r="AD158" s="5" t="s">
        <v>103</v>
      </c>
      <c r="AE158" s="5" t="s">
        <v>103</v>
      </c>
      <c r="AF158" s="5" t="s">
        <v>97</v>
      </c>
      <c r="AG158" s="5" t="s">
        <v>97</v>
      </c>
      <c r="AH158" s="5" t="s">
        <v>103</v>
      </c>
      <c r="AI158" s="5">
        <v>45882</v>
      </c>
      <c r="AJ158" s="5" t="s">
        <v>103</v>
      </c>
      <c r="AK158" s="5" t="s">
        <v>97</v>
      </c>
      <c r="AL158" s="5" t="s">
        <v>103</v>
      </c>
      <c r="AM158" s="5" t="s">
        <v>97</v>
      </c>
      <c r="AN158" s="5" t="s">
        <v>97</v>
      </c>
      <c r="AO158" s="5" t="s">
        <v>103</v>
      </c>
      <c r="AP158" s="5" t="s">
        <v>103</v>
      </c>
      <c r="AQ158" s="5" t="s">
        <v>97</v>
      </c>
      <c r="AR158" s="5" t="s">
        <v>97</v>
      </c>
      <c r="AS158" s="5" t="s">
        <v>103</v>
      </c>
      <c r="AT158" s="5"/>
      <c r="AU158" s="5"/>
      <c r="AV158" s="4" t="s">
        <v>103</v>
      </c>
      <c r="AW158" s="4" t="s">
        <v>103</v>
      </c>
      <c r="AX158" s="4" t="s">
        <v>97</v>
      </c>
      <c r="AY158" s="4" t="s">
        <v>97</v>
      </c>
      <c r="AZ158" s="4" t="s">
        <v>97</v>
      </c>
      <c r="BA158" s="4" t="s">
        <v>97</v>
      </c>
      <c r="BB158" s="5">
        <v>45897</v>
      </c>
      <c r="BC158" s="5">
        <v>45897</v>
      </c>
      <c r="BD158" s="5">
        <v>45898</v>
      </c>
      <c r="BE158" s="5">
        <v>45899</v>
      </c>
      <c r="BF158" s="5" t="s">
        <v>98</v>
      </c>
      <c r="BG158" s="5" t="s">
        <v>103</v>
      </c>
      <c r="BH158" s="5" t="s">
        <v>103</v>
      </c>
      <c r="BI158" s="5" t="s">
        <v>115</v>
      </c>
    </row>
    <row r="159" spans="1:61" x14ac:dyDescent="0.35">
      <c r="A159" s="8" t="str">
        <f t="shared" si="17"/>
        <v>Semaine 34-2025</v>
      </c>
      <c r="B159" s="8" t="str">
        <f t="shared" si="13"/>
        <v>2025</v>
      </c>
      <c r="C159" s="2" t="s">
        <v>2</v>
      </c>
      <c r="D159" s="6" t="str">
        <f t="shared" si="14"/>
        <v>Fatick</v>
      </c>
      <c r="E159" s="6">
        <f t="shared" si="15"/>
        <v>151740</v>
      </c>
      <c r="F159" s="6">
        <f t="shared" si="16"/>
        <v>965914</v>
      </c>
      <c r="G159" s="4" t="s">
        <v>541</v>
      </c>
      <c r="H159" s="4" t="s">
        <v>545</v>
      </c>
      <c r="I159" s="4">
        <v>32</v>
      </c>
      <c r="J159" s="4" t="s">
        <v>114</v>
      </c>
      <c r="K159" s="4"/>
      <c r="L159" s="4"/>
      <c r="M159" s="4"/>
      <c r="N159" s="4"/>
      <c r="O159" s="4" t="s">
        <v>238</v>
      </c>
      <c r="P159" s="4" t="s">
        <v>97</v>
      </c>
      <c r="Q159" s="4" t="s">
        <v>97</v>
      </c>
      <c r="R159" s="14" t="s">
        <v>100</v>
      </c>
      <c r="S159" s="14" t="s">
        <v>100</v>
      </c>
      <c r="T159" s="14" t="s">
        <v>100</v>
      </c>
      <c r="U159" s="8"/>
      <c r="V159" s="14"/>
      <c r="W159" s="14"/>
      <c r="X159" s="14"/>
      <c r="Y159" s="5">
        <v>45891</v>
      </c>
      <c r="Z159" s="5">
        <v>45894</v>
      </c>
      <c r="AA159" s="5" t="s">
        <v>97</v>
      </c>
      <c r="AB159" s="5" t="s">
        <v>546</v>
      </c>
      <c r="AC159" s="5" t="s">
        <v>97</v>
      </c>
      <c r="AD159" s="5" t="s">
        <v>97</v>
      </c>
      <c r="AE159" s="5" t="s">
        <v>97</v>
      </c>
      <c r="AF159" s="5" t="s">
        <v>97</v>
      </c>
      <c r="AG159" s="5" t="s">
        <v>97</v>
      </c>
      <c r="AH159" s="5" t="s">
        <v>103</v>
      </c>
      <c r="AI159" s="5">
        <v>45891</v>
      </c>
      <c r="AJ159" s="5" t="s">
        <v>103</v>
      </c>
      <c r="AK159" s="5" t="s">
        <v>97</v>
      </c>
      <c r="AL159" s="5" t="s">
        <v>103</v>
      </c>
      <c r="AM159" s="5" t="s">
        <v>97</v>
      </c>
      <c r="AN159" s="5" t="s">
        <v>103</v>
      </c>
      <c r="AO159" s="5" t="s">
        <v>97</v>
      </c>
      <c r="AP159" s="5" t="s">
        <v>97</v>
      </c>
      <c r="AQ159" s="5" t="s">
        <v>97</v>
      </c>
      <c r="AR159" s="5" t="s">
        <v>97</v>
      </c>
      <c r="AS159" s="5" t="s">
        <v>97</v>
      </c>
      <c r="AT159" s="5"/>
      <c r="AU159" s="5"/>
      <c r="AV159" s="4" t="s">
        <v>97</v>
      </c>
      <c r="AW159" s="4" t="s">
        <v>97</v>
      </c>
      <c r="AX159" s="4" t="s">
        <v>97</v>
      </c>
      <c r="AY159" s="4" t="s">
        <v>97</v>
      </c>
      <c r="AZ159" s="4" t="s">
        <v>103</v>
      </c>
      <c r="BA159" s="4" t="s">
        <v>97</v>
      </c>
      <c r="BB159" s="5">
        <v>45894</v>
      </c>
      <c r="BC159" s="5">
        <v>45897</v>
      </c>
      <c r="BD159" s="5">
        <v>45898</v>
      </c>
      <c r="BE159" s="5">
        <v>45899</v>
      </c>
      <c r="BF159" s="5" t="s">
        <v>98</v>
      </c>
      <c r="BG159" s="5" t="s">
        <v>97</v>
      </c>
      <c r="BH159" s="5" t="s">
        <v>103</v>
      </c>
      <c r="BI159" s="5" t="s">
        <v>115</v>
      </c>
    </row>
    <row r="160" spans="1:61" x14ac:dyDescent="0.35">
      <c r="A160" s="8" t="str">
        <f t="shared" si="17"/>
        <v>Semaine 35-2025</v>
      </c>
      <c r="B160" s="8" t="str">
        <f t="shared" si="13"/>
        <v>2025</v>
      </c>
      <c r="C160" s="2" t="s">
        <v>18</v>
      </c>
      <c r="D160" s="6" t="str">
        <f t="shared" si="14"/>
        <v>Dakar</v>
      </c>
      <c r="E160" s="6">
        <f t="shared" si="15"/>
        <v>419489</v>
      </c>
      <c r="F160" s="6">
        <f t="shared" si="16"/>
        <v>4042240</v>
      </c>
      <c r="G160" s="4" t="s">
        <v>542</v>
      </c>
      <c r="H160" s="9" t="s">
        <v>547</v>
      </c>
      <c r="I160" s="9">
        <v>20</v>
      </c>
      <c r="J160" s="9" t="s">
        <v>114</v>
      </c>
      <c r="K160" s="9" t="s">
        <v>256</v>
      </c>
      <c r="L160" s="9"/>
      <c r="M160" s="9"/>
      <c r="N160" s="9"/>
      <c r="O160" s="4" t="s">
        <v>238</v>
      </c>
      <c r="P160" s="4" t="s">
        <v>97</v>
      </c>
      <c r="Q160" s="9" t="s">
        <v>97</v>
      </c>
      <c r="R160" s="14" t="s">
        <v>100</v>
      </c>
      <c r="S160" s="14" t="s">
        <v>100</v>
      </c>
      <c r="T160" s="14" t="s">
        <v>100</v>
      </c>
      <c r="U160" s="8"/>
      <c r="V160" s="14"/>
      <c r="W160" s="14"/>
      <c r="X160" s="14"/>
      <c r="Y160" s="5">
        <v>45894</v>
      </c>
      <c r="Z160" s="5">
        <v>45897</v>
      </c>
      <c r="AA160" s="5" t="s">
        <v>97</v>
      </c>
      <c r="AB160" s="5"/>
      <c r="AC160" s="5" t="s">
        <v>97</v>
      </c>
      <c r="AD160" s="5" t="s">
        <v>97</v>
      </c>
      <c r="AE160" s="5" t="s">
        <v>97</v>
      </c>
      <c r="AF160" s="5" t="s">
        <v>103</v>
      </c>
      <c r="AG160" s="5" t="s">
        <v>103</v>
      </c>
      <c r="AH160" s="5" t="s">
        <v>103</v>
      </c>
      <c r="AI160" s="5">
        <v>45894</v>
      </c>
      <c r="AJ160" s="5" t="s">
        <v>103</v>
      </c>
      <c r="AK160" s="5" t="s">
        <v>103</v>
      </c>
      <c r="AL160" s="5" t="s">
        <v>97</v>
      </c>
      <c r="AM160" s="5" t="s">
        <v>103</v>
      </c>
      <c r="AN160" s="5" t="s">
        <v>103</v>
      </c>
      <c r="AO160" s="5" t="s">
        <v>97</v>
      </c>
      <c r="AP160" s="5" t="s">
        <v>97</v>
      </c>
      <c r="AQ160" s="5" t="s">
        <v>97</v>
      </c>
      <c r="AR160" s="5" t="s">
        <v>97</v>
      </c>
      <c r="AS160" s="5" t="s">
        <v>103</v>
      </c>
      <c r="AT160" s="5"/>
      <c r="AU160" s="5"/>
      <c r="AV160" s="4" t="s">
        <v>103</v>
      </c>
      <c r="AW160" s="4" t="s">
        <v>97</v>
      </c>
      <c r="AX160" s="4" t="s">
        <v>97</v>
      </c>
      <c r="AY160" s="4" t="s">
        <v>97</v>
      </c>
      <c r="AZ160" s="4" t="s">
        <v>103</v>
      </c>
      <c r="BA160" s="4" t="s">
        <v>97</v>
      </c>
      <c r="BB160" s="5">
        <v>45898</v>
      </c>
      <c r="BC160" s="5">
        <v>45898</v>
      </c>
      <c r="BD160" s="5">
        <v>45898</v>
      </c>
      <c r="BE160" s="5">
        <v>45899</v>
      </c>
      <c r="BF160" s="5" t="s">
        <v>98</v>
      </c>
      <c r="BG160" s="4" t="s">
        <v>97</v>
      </c>
      <c r="BH160" s="4" t="s">
        <v>103</v>
      </c>
      <c r="BI160" s="4" t="s">
        <v>115</v>
      </c>
    </row>
    <row r="161" spans="1:61" x14ac:dyDescent="0.35">
      <c r="A161" s="8" t="str">
        <f t="shared" si="17"/>
        <v>Semaine 34-2025</v>
      </c>
      <c r="B161" s="8" t="str">
        <f t="shared" si="13"/>
        <v>2025</v>
      </c>
      <c r="C161" s="2" t="s">
        <v>4</v>
      </c>
      <c r="D161" s="6" t="str">
        <f t="shared" si="14"/>
        <v>Thies</v>
      </c>
      <c r="E161" s="6">
        <f t="shared" si="15"/>
        <v>462449</v>
      </c>
      <c r="F161" s="6">
        <f t="shared" si="16"/>
        <v>2280463</v>
      </c>
      <c r="G161" s="4" t="s">
        <v>548</v>
      </c>
      <c r="H161" s="9" t="s">
        <v>549</v>
      </c>
      <c r="I161" s="9">
        <v>4</v>
      </c>
      <c r="J161" s="9" t="s">
        <v>96</v>
      </c>
      <c r="K161" s="9"/>
      <c r="L161" s="9"/>
      <c r="M161" s="9"/>
      <c r="N161" s="9"/>
      <c r="O161" s="9" t="s">
        <v>238</v>
      </c>
      <c r="P161" s="9" t="s">
        <v>97</v>
      </c>
      <c r="Q161" s="9" t="s">
        <v>97</v>
      </c>
      <c r="R161" s="14" t="s">
        <v>100</v>
      </c>
      <c r="S161" s="14" t="s">
        <v>100</v>
      </c>
      <c r="T161" s="14" t="s">
        <v>100</v>
      </c>
      <c r="U161" s="8" t="s">
        <v>431</v>
      </c>
      <c r="V161" s="14"/>
      <c r="W161" s="14"/>
      <c r="X161" s="14"/>
      <c r="Y161" s="5">
        <v>45889</v>
      </c>
      <c r="Z161" s="5">
        <v>45890</v>
      </c>
      <c r="AA161" s="5" t="s">
        <v>103</v>
      </c>
      <c r="AB161" s="5" t="s">
        <v>550</v>
      </c>
      <c r="AC161" s="5" t="s">
        <v>97</v>
      </c>
      <c r="AD161" s="5" t="s">
        <v>97</v>
      </c>
      <c r="AE161" s="5" t="s">
        <v>97</v>
      </c>
      <c r="AF161" s="5" t="s">
        <v>97</v>
      </c>
      <c r="AG161" s="5" t="s">
        <v>97</v>
      </c>
      <c r="AH161" s="5" t="s">
        <v>103</v>
      </c>
      <c r="AI161" s="5">
        <v>45889</v>
      </c>
      <c r="AJ161" s="5" t="s">
        <v>97</v>
      </c>
      <c r="AK161" s="5" t="s">
        <v>97</v>
      </c>
      <c r="AL161" s="5" t="s">
        <v>103</v>
      </c>
      <c r="AM161" s="5" t="s">
        <v>103</v>
      </c>
      <c r="AN161" s="5" t="s">
        <v>103</v>
      </c>
      <c r="AO161" s="5" t="s">
        <v>103</v>
      </c>
      <c r="AP161" s="5" t="s">
        <v>103</v>
      </c>
      <c r="AQ161" s="5" t="s">
        <v>97</v>
      </c>
      <c r="AR161" s="5" t="s">
        <v>97</v>
      </c>
      <c r="AS161" s="5" t="s">
        <v>97</v>
      </c>
      <c r="AT161" s="5"/>
      <c r="AU161" s="5"/>
      <c r="AV161" s="4" t="s">
        <v>103</v>
      </c>
      <c r="AW161" s="4" t="s">
        <v>97</v>
      </c>
      <c r="AX161" s="4" t="s">
        <v>97</v>
      </c>
      <c r="AY161" s="4" t="s">
        <v>97</v>
      </c>
      <c r="AZ161" s="4" t="s">
        <v>103</v>
      </c>
      <c r="BA161" s="4" t="s">
        <v>97</v>
      </c>
      <c r="BB161" s="5">
        <v>45891</v>
      </c>
      <c r="BC161" s="5">
        <v>45895</v>
      </c>
      <c r="BD161" s="5">
        <v>45896</v>
      </c>
      <c r="BE161" s="5">
        <v>45899</v>
      </c>
      <c r="BF161" s="4" t="s">
        <v>98</v>
      </c>
      <c r="BG161" s="4" t="s">
        <v>97</v>
      </c>
      <c r="BH161" s="4" t="s">
        <v>103</v>
      </c>
      <c r="BI161" s="4" t="s">
        <v>115</v>
      </c>
    </row>
    <row r="162" spans="1:61" x14ac:dyDescent="0.35">
      <c r="A162" s="8" t="str">
        <f t="shared" si="17"/>
        <v>Semaine 35-2025</v>
      </c>
      <c r="B162" s="8" t="str">
        <f t="shared" si="13"/>
        <v>2025</v>
      </c>
      <c r="C162" s="2" t="s">
        <v>49</v>
      </c>
      <c r="D162" s="6" t="str">
        <f t="shared" si="14"/>
        <v>Dakar</v>
      </c>
      <c r="E162" s="6">
        <f t="shared" si="15"/>
        <v>441950</v>
      </c>
      <c r="F162" s="6">
        <f t="shared" si="16"/>
        <v>4042240</v>
      </c>
      <c r="G162" s="4" t="s">
        <v>551</v>
      </c>
      <c r="H162" s="9" t="s">
        <v>554</v>
      </c>
      <c r="I162" s="9">
        <v>8</v>
      </c>
      <c r="J162" s="9" t="s">
        <v>114</v>
      </c>
      <c r="K162" s="9"/>
      <c r="L162" s="9"/>
      <c r="M162" s="9"/>
      <c r="N162" s="9"/>
      <c r="O162" s="9" t="s">
        <v>238</v>
      </c>
      <c r="P162" s="9" t="s">
        <v>97</v>
      </c>
      <c r="Q162" s="9" t="s">
        <v>97</v>
      </c>
      <c r="R162" s="14" t="s">
        <v>100</v>
      </c>
      <c r="S162" s="14" t="s">
        <v>100</v>
      </c>
      <c r="T162" s="14" t="s">
        <v>100</v>
      </c>
      <c r="U162" s="8"/>
      <c r="V162" s="14"/>
      <c r="W162" s="14"/>
      <c r="X162" s="14"/>
      <c r="Y162" s="5">
        <v>45895</v>
      </c>
      <c r="Z162" s="5">
        <v>45898</v>
      </c>
      <c r="AA162" s="5" t="s">
        <v>103</v>
      </c>
      <c r="AB162" s="5" t="s">
        <v>550</v>
      </c>
      <c r="AC162" s="5" t="s">
        <v>97</v>
      </c>
      <c r="AD162" s="5" t="s">
        <v>103</v>
      </c>
      <c r="AE162" s="5" t="s">
        <v>97</v>
      </c>
      <c r="AF162" s="5" t="s">
        <v>103</v>
      </c>
      <c r="AG162" s="5" t="s">
        <v>97</v>
      </c>
      <c r="AH162" s="5" t="s">
        <v>103</v>
      </c>
      <c r="AI162" s="5">
        <v>45896</v>
      </c>
      <c r="AJ162" s="5" t="s">
        <v>103</v>
      </c>
      <c r="AK162" s="5" t="s">
        <v>97</v>
      </c>
      <c r="AL162" s="5" t="s">
        <v>103</v>
      </c>
      <c r="AM162" s="5" t="s">
        <v>103</v>
      </c>
      <c r="AN162" s="5" t="s">
        <v>103</v>
      </c>
      <c r="AO162" s="5" t="s">
        <v>97</v>
      </c>
      <c r="AP162" s="5" t="s">
        <v>97</v>
      </c>
      <c r="AQ162" s="5" t="s">
        <v>97</v>
      </c>
      <c r="AR162" s="5" t="s">
        <v>97</v>
      </c>
      <c r="AS162" s="5" t="s">
        <v>97</v>
      </c>
      <c r="AT162" s="5"/>
      <c r="AU162" s="5"/>
      <c r="AV162" s="4" t="s">
        <v>103</v>
      </c>
      <c r="AW162" s="4" t="s">
        <v>97</v>
      </c>
      <c r="AX162" s="4" t="s">
        <v>103</v>
      </c>
      <c r="AY162" s="4" t="s">
        <v>97</v>
      </c>
      <c r="AZ162" s="4" t="s">
        <v>97</v>
      </c>
      <c r="BA162" s="4" t="s">
        <v>97</v>
      </c>
      <c r="BB162" s="5">
        <v>45898</v>
      </c>
      <c r="BC162" s="5">
        <v>45898</v>
      </c>
      <c r="BD162" s="5">
        <v>45898</v>
      </c>
      <c r="BE162" s="5">
        <v>45900</v>
      </c>
      <c r="BF162" s="4" t="s">
        <v>98</v>
      </c>
      <c r="BG162" s="4" t="s">
        <v>97</v>
      </c>
      <c r="BH162" s="4" t="s">
        <v>103</v>
      </c>
      <c r="BI162" s="4" t="s">
        <v>115</v>
      </c>
    </row>
    <row r="163" spans="1:61" x14ac:dyDescent="0.35">
      <c r="A163" s="8" t="str">
        <f t="shared" si="17"/>
        <v>Semaine 31-2025</v>
      </c>
      <c r="B163" s="8" t="str">
        <f t="shared" si="13"/>
        <v>2025</v>
      </c>
      <c r="C163" s="2" t="s">
        <v>52</v>
      </c>
      <c r="D163" s="6" t="str">
        <f t="shared" si="14"/>
        <v>Kaolack</v>
      </c>
      <c r="E163" s="6">
        <f t="shared" si="15"/>
        <v>231613</v>
      </c>
      <c r="F163" s="6">
        <f t="shared" si="16"/>
        <v>1267013</v>
      </c>
      <c r="G163" s="4" t="s">
        <v>552</v>
      </c>
      <c r="H163" s="9" t="s">
        <v>555</v>
      </c>
      <c r="I163" s="9">
        <v>15</v>
      </c>
      <c r="J163" s="9" t="s">
        <v>114</v>
      </c>
      <c r="K163" s="9"/>
      <c r="L163" s="9"/>
      <c r="M163" s="9"/>
      <c r="N163" s="9"/>
      <c r="O163" s="9" t="s">
        <v>238</v>
      </c>
      <c r="P163" s="9" t="s">
        <v>97</v>
      </c>
      <c r="Q163" s="9" t="s">
        <v>103</v>
      </c>
      <c r="R163" s="14" t="s">
        <v>100</v>
      </c>
      <c r="S163" s="14" t="s">
        <v>100</v>
      </c>
      <c r="T163" s="14" t="s">
        <v>100</v>
      </c>
      <c r="U163" s="8"/>
      <c r="V163" s="14"/>
      <c r="W163" s="14"/>
      <c r="X163" s="14"/>
      <c r="Y163" s="5">
        <v>45866</v>
      </c>
      <c r="Z163" s="5">
        <v>45897</v>
      </c>
      <c r="AA163" s="5" t="s">
        <v>103</v>
      </c>
      <c r="AB163" s="5"/>
      <c r="AC163" s="5" t="s">
        <v>97</v>
      </c>
      <c r="AD163" s="5" t="s">
        <v>103</v>
      </c>
      <c r="AE163" s="5" t="s">
        <v>97</v>
      </c>
      <c r="AF163" s="5" t="s">
        <v>103</v>
      </c>
      <c r="AG163" s="5" t="s">
        <v>103</v>
      </c>
      <c r="AH163" s="5" t="s">
        <v>103</v>
      </c>
      <c r="AI163" s="5">
        <v>45866</v>
      </c>
      <c r="AJ163" s="5" t="s">
        <v>97</v>
      </c>
      <c r="AK163" s="5" t="s">
        <v>97</v>
      </c>
      <c r="AL163" s="5" t="s">
        <v>103</v>
      </c>
      <c r="AM163" s="5" t="s">
        <v>103</v>
      </c>
      <c r="AN163" s="5" t="s">
        <v>97</v>
      </c>
      <c r="AO163" s="5" t="s">
        <v>103</v>
      </c>
      <c r="AP163" s="5" t="s">
        <v>103</v>
      </c>
      <c r="AQ163" s="5" t="s">
        <v>97</v>
      </c>
      <c r="AR163" s="5" t="s">
        <v>97</v>
      </c>
      <c r="AS163" s="5" t="s">
        <v>97</v>
      </c>
      <c r="AT163" s="5"/>
      <c r="AU163" s="5"/>
      <c r="AV163" s="4" t="s">
        <v>103</v>
      </c>
      <c r="AW163" s="4" t="s">
        <v>97</v>
      </c>
      <c r="AX163" s="4" t="s">
        <v>97</v>
      </c>
      <c r="AY163" s="4" t="s">
        <v>97</v>
      </c>
      <c r="AZ163" s="4" t="s">
        <v>103</v>
      </c>
      <c r="BA163" s="4" t="s">
        <v>97</v>
      </c>
      <c r="BB163" s="5">
        <v>45897</v>
      </c>
      <c r="BC163" s="5">
        <v>45898</v>
      </c>
      <c r="BD163" s="5">
        <v>45899</v>
      </c>
      <c r="BE163" s="5">
        <v>45900</v>
      </c>
      <c r="BF163" s="4" t="s">
        <v>98</v>
      </c>
      <c r="BG163" s="4" t="s">
        <v>97</v>
      </c>
      <c r="BH163" s="4" t="s">
        <v>103</v>
      </c>
      <c r="BI163" s="4" t="s">
        <v>115</v>
      </c>
    </row>
    <row r="164" spans="1:61" x14ac:dyDescent="0.35">
      <c r="A164" s="8" t="str">
        <f t="shared" si="17"/>
        <v>Semaine 34-2025</v>
      </c>
      <c r="B164" s="8" t="str">
        <f t="shared" si="13"/>
        <v>2025</v>
      </c>
      <c r="C164" s="2" t="s">
        <v>70</v>
      </c>
      <c r="D164" s="6" t="str">
        <f t="shared" si="14"/>
        <v>Fatick</v>
      </c>
      <c r="E164" s="6">
        <f t="shared" si="15"/>
        <v>198755</v>
      </c>
      <c r="F164" s="6">
        <f t="shared" si="16"/>
        <v>965914</v>
      </c>
      <c r="G164" s="4" t="s">
        <v>553</v>
      </c>
      <c r="H164" s="9" t="s">
        <v>556</v>
      </c>
      <c r="I164" s="9">
        <v>1</v>
      </c>
      <c r="J164" s="9" t="s">
        <v>96</v>
      </c>
      <c r="K164" s="9"/>
      <c r="L164" s="9"/>
      <c r="M164" s="9"/>
      <c r="N164" s="9"/>
      <c r="O164" s="9" t="s">
        <v>238</v>
      </c>
      <c r="P164" s="9" t="s">
        <v>97</v>
      </c>
      <c r="Q164" s="9" t="s">
        <v>97</v>
      </c>
      <c r="R164" s="14" t="s">
        <v>100</v>
      </c>
      <c r="S164" s="14" t="s">
        <v>100</v>
      </c>
      <c r="T164" s="14" t="s">
        <v>100</v>
      </c>
      <c r="U164" s="8"/>
      <c r="V164" s="14"/>
      <c r="W164" s="14"/>
      <c r="X164" s="14"/>
      <c r="Y164" s="5">
        <v>45891</v>
      </c>
      <c r="Z164" s="5">
        <v>45898</v>
      </c>
      <c r="AA164" s="5" t="s">
        <v>97</v>
      </c>
      <c r="AB164" s="5"/>
      <c r="AC164" s="5" t="s">
        <v>97</v>
      </c>
      <c r="AD164" s="5" t="s">
        <v>103</v>
      </c>
      <c r="AE164" s="5" t="s">
        <v>97</v>
      </c>
      <c r="AF164" s="5" t="s">
        <v>97</v>
      </c>
      <c r="AG164" s="5" t="s">
        <v>97</v>
      </c>
      <c r="AH164" s="5" t="s">
        <v>103</v>
      </c>
      <c r="AI164" s="5">
        <v>45891</v>
      </c>
      <c r="AJ164" s="5" t="s">
        <v>97</v>
      </c>
      <c r="AK164" s="5" t="s">
        <v>97</v>
      </c>
      <c r="AL164" s="5" t="s">
        <v>103</v>
      </c>
      <c r="AM164" s="5" t="s">
        <v>103</v>
      </c>
      <c r="AN164" s="5" t="s">
        <v>103</v>
      </c>
      <c r="AO164" s="5" t="s">
        <v>103</v>
      </c>
      <c r="AP164" s="5" t="s">
        <v>103</v>
      </c>
      <c r="AQ164" s="5" t="s">
        <v>103</v>
      </c>
      <c r="AR164" s="5" t="s">
        <v>97</v>
      </c>
      <c r="AS164" s="5" t="s">
        <v>103</v>
      </c>
      <c r="AT164" s="5"/>
      <c r="AU164" s="5"/>
      <c r="AV164" s="4" t="s">
        <v>103</v>
      </c>
      <c r="AW164" s="4" t="s">
        <v>97</v>
      </c>
      <c r="AX164" s="4" t="s">
        <v>97</v>
      </c>
      <c r="AY164" s="4" t="s">
        <v>97</v>
      </c>
      <c r="AZ164" s="4" t="s">
        <v>103</v>
      </c>
      <c r="BA164" s="4" t="s">
        <v>97</v>
      </c>
      <c r="BB164" s="5">
        <v>45898</v>
      </c>
      <c r="BC164" s="5">
        <v>45899</v>
      </c>
      <c r="BD164" s="5">
        <v>45899</v>
      </c>
      <c r="BE164" s="5">
        <v>45900</v>
      </c>
      <c r="BF164" s="4" t="s">
        <v>98</v>
      </c>
      <c r="BG164" s="4" t="s">
        <v>97</v>
      </c>
      <c r="BH164" s="4" t="s">
        <v>103</v>
      </c>
      <c r="BI164" s="4" t="s">
        <v>115</v>
      </c>
    </row>
    <row r="165" spans="1:61" x14ac:dyDescent="0.35">
      <c r="A165" s="8" t="str">
        <f t="shared" si="17"/>
        <v>Semaine 35-2025</v>
      </c>
      <c r="B165" s="8" t="str">
        <f t="shared" si="13"/>
        <v>2025</v>
      </c>
      <c r="C165" s="2" t="s">
        <v>72</v>
      </c>
      <c r="D165" s="6" t="str">
        <f t="shared" si="14"/>
        <v>Thies</v>
      </c>
      <c r="E165" s="6">
        <f t="shared" si="15"/>
        <v>520145</v>
      </c>
      <c r="F165" s="6">
        <f t="shared" si="16"/>
        <v>2280463</v>
      </c>
      <c r="G165" s="4" t="s">
        <v>557</v>
      </c>
      <c r="H165" s="9" t="s">
        <v>558</v>
      </c>
      <c r="I165" s="9">
        <v>31</v>
      </c>
      <c r="J165" s="9" t="s">
        <v>114</v>
      </c>
      <c r="K165" s="9"/>
      <c r="L165" s="9"/>
      <c r="M165" s="9"/>
      <c r="N165" s="9"/>
      <c r="O165" s="9" t="s">
        <v>238</v>
      </c>
      <c r="P165" s="9" t="s">
        <v>97</v>
      </c>
      <c r="Q165" s="9" t="s">
        <v>97</v>
      </c>
      <c r="R165" s="14" t="s">
        <v>100</v>
      </c>
      <c r="S165" s="14" t="s">
        <v>100</v>
      </c>
      <c r="T165" s="14" t="s">
        <v>100</v>
      </c>
      <c r="U165" s="8" t="s">
        <v>431</v>
      </c>
      <c r="V165" s="14"/>
      <c r="W165" s="14"/>
      <c r="X165" s="14"/>
      <c r="Y165" s="5">
        <v>45900</v>
      </c>
      <c r="Z165" s="5">
        <v>45902</v>
      </c>
      <c r="AA165" s="5" t="s">
        <v>103</v>
      </c>
      <c r="AB165" s="5" t="s">
        <v>559</v>
      </c>
      <c r="AC165" s="5" t="s">
        <v>103</v>
      </c>
      <c r="AD165" s="5" t="s">
        <v>103</v>
      </c>
      <c r="AE165" s="5" t="s">
        <v>97</v>
      </c>
      <c r="AF165" s="5" t="s">
        <v>103</v>
      </c>
      <c r="AG165" s="5" t="s">
        <v>103</v>
      </c>
      <c r="AH165" s="5" t="s">
        <v>103</v>
      </c>
      <c r="AI165" s="5">
        <v>45901</v>
      </c>
      <c r="AJ165" s="5" t="s">
        <v>103</v>
      </c>
      <c r="AK165" s="5" t="s">
        <v>103</v>
      </c>
      <c r="AL165" s="5" t="s">
        <v>103</v>
      </c>
      <c r="AM165" s="5" t="s">
        <v>103</v>
      </c>
      <c r="AN165" s="5" t="s">
        <v>103</v>
      </c>
      <c r="AO165" s="5" t="s">
        <v>97</v>
      </c>
      <c r="AP165" s="5" t="s">
        <v>97</v>
      </c>
      <c r="AQ165" s="5" t="s">
        <v>97</v>
      </c>
      <c r="AR165" s="5" t="s">
        <v>103</v>
      </c>
      <c r="AS165" s="5" t="s">
        <v>103</v>
      </c>
      <c r="AT165" s="5"/>
      <c r="AU165" s="5" t="s">
        <v>511</v>
      </c>
      <c r="AV165" s="4" t="s">
        <v>103</v>
      </c>
      <c r="AW165" s="4" t="s">
        <v>103</v>
      </c>
      <c r="AX165" s="4" t="s">
        <v>97</v>
      </c>
      <c r="AY165" s="4" t="s">
        <v>97</v>
      </c>
      <c r="AZ165" s="4" t="s">
        <v>103</v>
      </c>
      <c r="BA165" s="4" t="s">
        <v>97</v>
      </c>
      <c r="BB165" s="5">
        <v>45902</v>
      </c>
      <c r="BC165" s="5">
        <v>45902</v>
      </c>
      <c r="BD165" s="5">
        <v>45902</v>
      </c>
      <c r="BE165" s="5">
        <v>45902</v>
      </c>
      <c r="BF165" s="4" t="s">
        <v>98</v>
      </c>
      <c r="BG165" s="4" t="s">
        <v>103</v>
      </c>
      <c r="BH165" s="4" t="s">
        <v>103</v>
      </c>
      <c r="BI165" s="5" t="s">
        <v>360</v>
      </c>
    </row>
    <row r="166" spans="1:61" x14ac:dyDescent="0.35">
      <c r="A166" s="8" t="str">
        <f t="shared" si="17"/>
        <v>Semaine 35-2025</v>
      </c>
      <c r="B166" s="8" t="str">
        <f t="shared" si="13"/>
        <v>2025</v>
      </c>
      <c r="C166" s="2" t="s">
        <v>71</v>
      </c>
      <c r="D166" s="6" t="str">
        <f t="shared" si="14"/>
        <v>Thies</v>
      </c>
      <c r="E166" s="6">
        <f t="shared" si="15"/>
        <v>195082</v>
      </c>
      <c r="F166" s="6">
        <f t="shared" si="16"/>
        <v>2280463</v>
      </c>
      <c r="G166" s="4" t="s">
        <v>560</v>
      </c>
      <c r="H166" s="9" t="s">
        <v>562</v>
      </c>
      <c r="I166" s="9">
        <v>15</v>
      </c>
      <c r="J166" s="9" t="s">
        <v>114</v>
      </c>
      <c r="K166" s="9"/>
      <c r="L166" s="9"/>
      <c r="M166" s="9"/>
      <c r="N166" s="9"/>
      <c r="O166" s="9" t="s">
        <v>238</v>
      </c>
      <c r="P166" s="9" t="s">
        <v>97</v>
      </c>
      <c r="Q166" s="9" t="s">
        <v>97</v>
      </c>
      <c r="R166" s="14" t="s">
        <v>100</v>
      </c>
      <c r="S166" s="14" t="s">
        <v>100</v>
      </c>
      <c r="T166" s="14" t="s">
        <v>100</v>
      </c>
      <c r="U166" s="8" t="s">
        <v>431</v>
      </c>
      <c r="V166" s="14"/>
      <c r="W166" s="14"/>
      <c r="X166" s="14"/>
      <c r="Y166" s="5">
        <v>45898</v>
      </c>
      <c r="Z166" s="5">
        <v>45902</v>
      </c>
      <c r="AA166" s="5" t="s">
        <v>103</v>
      </c>
      <c r="AB166" s="5" t="s">
        <v>303</v>
      </c>
      <c r="AC166" s="5" t="s">
        <v>103</v>
      </c>
      <c r="AD166" s="5" t="s">
        <v>97</v>
      </c>
      <c r="AE166" s="5" t="s">
        <v>103</v>
      </c>
      <c r="AF166" s="5" t="s">
        <v>103</v>
      </c>
      <c r="AG166" s="5" t="s">
        <v>103</v>
      </c>
      <c r="AH166" s="5" t="s">
        <v>103</v>
      </c>
      <c r="AI166" s="5">
        <v>45898</v>
      </c>
      <c r="AJ166" s="5" t="s">
        <v>103</v>
      </c>
      <c r="AK166" s="5" t="s">
        <v>103</v>
      </c>
      <c r="AL166" s="5" t="s">
        <v>97</v>
      </c>
      <c r="AM166" s="5" t="s">
        <v>103</v>
      </c>
      <c r="AN166" s="5" t="s">
        <v>103</v>
      </c>
      <c r="AO166" s="5" t="s">
        <v>103</v>
      </c>
      <c r="AP166" s="5" t="s">
        <v>97</v>
      </c>
      <c r="AQ166" s="5" t="s">
        <v>103</v>
      </c>
      <c r="AR166" s="5" t="s">
        <v>97</v>
      </c>
      <c r="AS166" s="5" t="s">
        <v>103</v>
      </c>
      <c r="AT166" s="5"/>
      <c r="AU166" s="5"/>
      <c r="AV166" s="4" t="s">
        <v>103</v>
      </c>
      <c r="AW166" s="4" t="s">
        <v>97</v>
      </c>
      <c r="AX166" s="4" t="s">
        <v>97</v>
      </c>
      <c r="AY166" s="4" t="s">
        <v>97</v>
      </c>
      <c r="AZ166" s="4" t="s">
        <v>97</v>
      </c>
      <c r="BA166" s="4" t="s">
        <v>97</v>
      </c>
      <c r="BB166" s="5">
        <v>45902</v>
      </c>
      <c r="BC166" s="5">
        <v>45903</v>
      </c>
      <c r="BD166" s="5">
        <v>45903</v>
      </c>
      <c r="BE166" s="5">
        <v>45903</v>
      </c>
      <c r="BF166" s="4" t="s">
        <v>98</v>
      </c>
      <c r="BG166" s="4" t="s">
        <v>97</v>
      </c>
      <c r="BH166" s="4" t="s">
        <v>103</v>
      </c>
      <c r="BI166" s="5" t="s">
        <v>360</v>
      </c>
    </row>
    <row r="167" spans="1:61" x14ac:dyDescent="0.35">
      <c r="A167" s="8" t="str">
        <f t="shared" si="17"/>
        <v>Semaine 35-2025</v>
      </c>
      <c r="B167" s="8" t="str">
        <f t="shared" si="13"/>
        <v>2025</v>
      </c>
      <c r="C167" s="2" t="s">
        <v>71</v>
      </c>
      <c r="D167" s="6" t="str">
        <f t="shared" si="14"/>
        <v>Thies</v>
      </c>
      <c r="E167" s="6">
        <f t="shared" si="15"/>
        <v>195082</v>
      </c>
      <c r="F167" s="6">
        <f t="shared" si="16"/>
        <v>2280463</v>
      </c>
      <c r="G167" s="4" t="s">
        <v>561</v>
      </c>
      <c r="H167" s="9" t="s">
        <v>563</v>
      </c>
      <c r="I167" s="9">
        <v>14</v>
      </c>
      <c r="J167" s="9" t="s">
        <v>96</v>
      </c>
      <c r="K167" s="9"/>
      <c r="L167" s="9"/>
      <c r="M167" s="9"/>
      <c r="N167" s="9"/>
      <c r="O167" s="9" t="s">
        <v>238</v>
      </c>
      <c r="P167" s="9" t="s">
        <v>97</v>
      </c>
      <c r="Q167" s="9" t="s">
        <v>97</v>
      </c>
      <c r="R167" s="14" t="s">
        <v>100</v>
      </c>
      <c r="S167" s="14" t="s">
        <v>100</v>
      </c>
      <c r="T167" s="14" t="s">
        <v>100</v>
      </c>
      <c r="U167" s="8" t="s">
        <v>431</v>
      </c>
      <c r="V167" s="14"/>
      <c r="W167" s="14"/>
      <c r="X167" s="14"/>
      <c r="Y167" s="5">
        <v>45900</v>
      </c>
      <c r="Z167" s="5">
        <v>45902</v>
      </c>
      <c r="AA167" s="5" t="s">
        <v>97</v>
      </c>
      <c r="AB167" s="5" t="s">
        <v>513</v>
      </c>
      <c r="AC167" s="5" t="s">
        <v>97</v>
      </c>
      <c r="AD167" s="5" t="s">
        <v>103</v>
      </c>
      <c r="AE167" s="5" t="s">
        <v>97</v>
      </c>
      <c r="AF167" s="5" t="s">
        <v>103</v>
      </c>
      <c r="AG167" s="5" t="s">
        <v>103</v>
      </c>
      <c r="AH167" s="5" t="s">
        <v>103</v>
      </c>
      <c r="AI167" s="5">
        <v>45900</v>
      </c>
      <c r="AJ167" s="5" t="s">
        <v>103</v>
      </c>
      <c r="AK167" s="5" t="s">
        <v>103</v>
      </c>
      <c r="AL167" s="5" t="s">
        <v>103</v>
      </c>
      <c r="AM167" s="5" t="s">
        <v>103</v>
      </c>
      <c r="AN167" s="5" t="s">
        <v>103</v>
      </c>
      <c r="AO167" s="5" t="s">
        <v>103</v>
      </c>
      <c r="AP167" s="5" t="s">
        <v>97</v>
      </c>
      <c r="AQ167" s="5" t="s">
        <v>103</v>
      </c>
      <c r="AR167" s="5" t="s">
        <v>103</v>
      </c>
      <c r="AS167" s="5" t="s">
        <v>97</v>
      </c>
      <c r="AT167" s="5"/>
      <c r="AU167" s="5" t="s">
        <v>511</v>
      </c>
      <c r="AV167" s="4" t="s">
        <v>103</v>
      </c>
      <c r="AW167" s="4" t="s">
        <v>97</v>
      </c>
      <c r="AX167" s="4" t="s">
        <v>97</v>
      </c>
      <c r="AY167" s="4" t="s">
        <v>97</v>
      </c>
      <c r="AZ167" s="4" t="s">
        <v>97</v>
      </c>
      <c r="BA167" s="4" t="s">
        <v>97</v>
      </c>
      <c r="BB167" s="5">
        <v>45902</v>
      </c>
      <c r="BC167" s="5">
        <v>45903</v>
      </c>
      <c r="BD167" s="5">
        <v>45903</v>
      </c>
      <c r="BE167" s="5">
        <v>45903</v>
      </c>
      <c r="BF167" s="4" t="s">
        <v>98</v>
      </c>
      <c r="BG167" s="4" t="s">
        <v>97</v>
      </c>
      <c r="BH167" s="4" t="s">
        <v>103</v>
      </c>
      <c r="BI167" s="5" t="s">
        <v>360</v>
      </c>
    </row>
    <row r="168" spans="1:61" x14ac:dyDescent="0.35">
      <c r="A168" s="8" t="str">
        <f t="shared" si="17"/>
        <v>Semaine 34-2025</v>
      </c>
      <c r="B168" s="8" t="str">
        <f t="shared" si="13"/>
        <v>2025</v>
      </c>
      <c r="C168" s="2" t="s">
        <v>75</v>
      </c>
      <c r="D168" s="6" t="str">
        <f t="shared" si="14"/>
        <v>Diourbel</v>
      </c>
      <c r="E168" s="6">
        <f t="shared" si="15"/>
        <v>996481</v>
      </c>
      <c r="F168" s="6">
        <f t="shared" si="16"/>
        <v>1980827</v>
      </c>
      <c r="G168" s="4" t="s">
        <v>564</v>
      </c>
      <c r="H168" s="4" t="s">
        <v>565</v>
      </c>
      <c r="I168" s="4">
        <v>18</v>
      </c>
      <c r="J168" s="4" t="s">
        <v>114</v>
      </c>
      <c r="K168" s="4"/>
      <c r="L168" s="4"/>
      <c r="M168" s="4"/>
      <c r="N168" s="4"/>
      <c r="O168" s="4" t="s">
        <v>238</v>
      </c>
      <c r="P168" s="4" t="s">
        <v>97</v>
      </c>
      <c r="Q168" s="4" t="s">
        <v>97</v>
      </c>
      <c r="R168" s="14" t="s">
        <v>100</v>
      </c>
      <c r="S168" s="14" t="s">
        <v>100</v>
      </c>
      <c r="T168" s="14" t="s">
        <v>100</v>
      </c>
      <c r="U168" s="8"/>
      <c r="V168" s="14"/>
      <c r="W168" s="14"/>
      <c r="X168" s="14"/>
      <c r="Y168" s="5">
        <v>45889</v>
      </c>
      <c r="Z168" s="5">
        <v>45898</v>
      </c>
      <c r="AA168" s="5" t="s">
        <v>97</v>
      </c>
      <c r="AB168" s="5" t="s">
        <v>396</v>
      </c>
      <c r="AC168" s="5" t="s">
        <v>103</v>
      </c>
      <c r="AD168" s="5" t="s">
        <v>103</v>
      </c>
      <c r="AE168" s="5" t="s">
        <v>97</v>
      </c>
      <c r="AF168" s="5" t="s">
        <v>103</v>
      </c>
      <c r="AG168" s="5" t="s">
        <v>103</v>
      </c>
      <c r="AH168" s="5" t="s">
        <v>103</v>
      </c>
      <c r="AI168" s="5">
        <v>45889</v>
      </c>
      <c r="AJ168" s="5" t="s">
        <v>103</v>
      </c>
      <c r="AK168" s="5" t="s">
        <v>97</v>
      </c>
      <c r="AL168" s="5" t="s">
        <v>103</v>
      </c>
      <c r="AM168" s="5" t="s">
        <v>97</v>
      </c>
      <c r="AN168" s="5" t="s">
        <v>103</v>
      </c>
      <c r="AO168" s="5" t="s">
        <v>97</v>
      </c>
      <c r="AP168" s="5" t="s">
        <v>97</v>
      </c>
      <c r="AQ168" s="5" t="s">
        <v>97</v>
      </c>
      <c r="AR168" s="5" t="s">
        <v>97</v>
      </c>
      <c r="AS168" s="5" t="s">
        <v>97</v>
      </c>
      <c r="AT168" s="5"/>
      <c r="AU168" s="5"/>
      <c r="AV168" s="4" t="s">
        <v>103</v>
      </c>
      <c r="AW168" s="4" t="s">
        <v>97</v>
      </c>
      <c r="AX168" s="4" t="s">
        <v>97</v>
      </c>
      <c r="AY168" s="4" t="s">
        <v>97</v>
      </c>
      <c r="AZ168" s="4" t="s">
        <v>103</v>
      </c>
      <c r="BA168" s="4" t="s">
        <v>97</v>
      </c>
      <c r="BB168" s="5">
        <v>45898</v>
      </c>
      <c r="BC168" s="5">
        <v>45898</v>
      </c>
      <c r="BD168" s="5">
        <v>45900</v>
      </c>
      <c r="BE168" s="5">
        <v>45900</v>
      </c>
      <c r="BF168" s="5" t="s">
        <v>98</v>
      </c>
      <c r="BG168" s="5" t="s">
        <v>103</v>
      </c>
      <c r="BH168" s="5" t="s">
        <v>103</v>
      </c>
      <c r="BI168" s="5" t="s">
        <v>115</v>
      </c>
    </row>
    <row r="169" spans="1:61" x14ac:dyDescent="0.35">
      <c r="A169" s="8" t="str">
        <f t="shared" si="17"/>
        <v>Semaine 34-2025</v>
      </c>
      <c r="B169" s="8" t="str">
        <f t="shared" si="13"/>
        <v>2025</v>
      </c>
      <c r="C169" s="2" t="s">
        <v>24</v>
      </c>
      <c r="D169" s="6" t="str">
        <f t="shared" si="14"/>
        <v>Tambacounda</v>
      </c>
      <c r="E169" s="6">
        <f t="shared" si="15"/>
        <v>57207</v>
      </c>
      <c r="F169" s="6">
        <f t="shared" si="16"/>
        <v>937181</v>
      </c>
      <c r="G169" s="4" t="s">
        <v>566</v>
      </c>
      <c r="H169" s="4" t="s">
        <v>572</v>
      </c>
      <c r="I169" s="4">
        <v>19</v>
      </c>
      <c r="J169" s="4" t="s">
        <v>114</v>
      </c>
      <c r="K169" s="4"/>
      <c r="L169" s="4"/>
      <c r="M169" s="4"/>
      <c r="N169" s="4"/>
      <c r="O169" s="4" t="s">
        <v>238</v>
      </c>
      <c r="P169" s="4" t="s">
        <v>97</v>
      </c>
      <c r="Q169" s="4" t="s">
        <v>97</v>
      </c>
      <c r="R169" s="14" t="s">
        <v>100</v>
      </c>
      <c r="S169" s="14" t="s">
        <v>100</v>
      </c>
      <c r="T169" s="14" t="s">
        <v>100</v>
      </c>
      <c r="U169" s="8"/>
      <c r="V169" s="14"/>
      <c r="W169" s="14"/>
      <c r="X169" s="14"/>
      <c r="Y169" s="5">
        <v>45889</v>
      </c>
      <c r="Z169" s="5">
        <v>45895</v>
      </c>
      <c r="AA169" s="5" t="s">
        <v>103</v>
      </c>
      <c r="AB169" s="5" t="s">
        <v>463</v>
      </c>
      <c r="AC169" s="5" t="s">
        <v>103</v>
      </c>
      <c r="AD169" s="5" t="s">
        <v>97</v>
      </c>
      <c r="AE169" s="5" t="s">
        <v>97</v>
      </c>
      <c r="AF169" s="5" t="s">
        <v>103</v>
      </c>
      <c r="AG169" s="5" t="s">
        <v>97</v>
      </c>
      <c r="AH169" s="5" t="s">
        <v>103</v>
      </c>
      <c r="AI169" s="5">
        <v>45893</v>
      </c>
      <c r="AJ169" s="5" t="s">
        <v>103</v>
      </c>
      <c r="AK169" s="5" t="s">
        <v>103</v>
      </c>
      <c r="AL169" s="5" t="s">
        <v>97</v>
      </c>
      <c r="AM169" s="5" t="s">
        <v>97</v>
      </c>
      <c r="AN169" s="5" t="s">
        <v>103</v>
      </c>
      <c r="AO169" s="5" t="s">
        <v>97</v>
      </c>
      <c r="AP169" s="5" t="s">
        <v>103</v>
      </c>
      <c r="AQ169" s="5" t="s">
        <v>97</v>
      </c>
      <c r="AR169" s="5" t="s">
        <v>97</v>
      </c>
      <c r="AS169" s="5" t="s">
        <v>97</v>
      </c>
      <c r="AT169" s="5"/>
      <c r="AU169" s="5"/>
      <c r="AV169" s="4" t="s">
        <v>103</v>
      </c>
      <c r="AW169" s="4" t="s">
        <v>97</v>
      </c>
      <c r="AX169" s="4" t="s">
        <v>97</v>
      </c>
      <c r="AY169" s="4" t="s">
        <v>97</v>
      </c>
      <c r="AZ169" s="4" t="s">
        <v>103</v>
      </c>
      <c r="BA169" s="4" t="s">
        <v>97</v>
      </c>
      <c r="BB169" s="5">
        <v>45896</v>
      </c>
      <c r="BC169" s="5">
        <v>45899</v>
      </c>
      <c r="BD169" s="5">
        <v>45899</v>
      </c>
      <c r="BE169" s="5">
        <v>45902</v>
      </c>
      <c r="BF169" s="5" t="s">
        <v>98</v>
      </c>
      <c r="BG169" s="5" t="s">
        <v>97</v>
      </c>
      <c r="BH169" s="5" t="s">
        <v>103</v>
      </c>
      <c r="BI169" s="5" t="s">
        <v>115</v>
      </c>
    </row>
    <row r="170" spans="1:61" x14ac:dyDescent="0.35">
      <c r="A170" s="8" t="str">
        <f t="shared" si="17"/>
        <v>Semaine 31-2025</v>
      </c>
      <c r="B170" s="8" t="str">
        <f t="shared" si="13"/>
        <v>2025</v>
      </c>
      <c r="C170" s="2" t="s">
        <v>40</v>
      </c>
      <c r="D170" s="6" t="str">
        <f t="shared" si="14"/>
        <v>Tambacounda</v>
      </c>
      <c r="E170" s="6">
        <f t="shared" si="15"/>
        <v>74367</v>
      </c>
      <c r="F170" s="6">
        <f t="shared" si="16"/>
        <v>937181</v>
      </c>
      <c r="G170" s="4" t="s">
        <v>567</v>
      </c>
      <c r="H170" s="4" t="s">
        <v>573</v>
      </c>
      <c r="I170" s="4">
        <v>16</v>
      </c>
      <c r="J170" s="4" t="s">
        <v>114</v>
      </c>
      <c r="K170" s="4"/>
      <c r="L170" s="4"/>
      <c r="M170" s="4"/>
      <c r="N170" s="4"/>
      <c r="O170" s="4" t="s">
        <v>238</v>
      </c>
      <c r="P170" s="4" t="s">
        <v>97</v>
      </c>
      <c r="Q170" s="4" t="s">
        <v>97</v>
      </c>
      <c r="R170" s="14" t="s">
        <v>100</v>
      </c>
      <c r="S170" s="14" t="s">
        <v>100</v>
      </c>
      <c r="T170" s="14" t="s">
        <v>100</v>
      </c>
      <c r="U170" s="8"/>
      <c r="V170" s="14"/>
      <c r="W170" s="14"/>
      <c r="X170" s="14"/>
      <c r="Y170" s="5">
        <v>45869</v>
      </c>
      <c r="Z170" s="5">
        <v>45896</v>
      </c>
      <c r="AA170" s="5" t="s">
        <v>97</v>
      </c>
      <c r="AB170" s="5" t="s">
        <v>396</v>
      </c>
      <c r="AC170" s="5" t="s">
        <v>103</v>
      </c>
      <c r="AD170" s="5" t="s">
        <v>103</v>
      </c>
      <c r="AE170" s="5" t="s">
        <v>97</v>
      </c>
      <c r="AF170" s="5" t="s">
        <v>103</v>
      </c>
      <c r="AG170" s="5" t="s">
        <v>97</v>
      </c>
      <c r="AH170" s="5" t="s">
        <v>103</v>
      </c>
      <c r="AI170" s="5">
        <v>45881</v>
      </c>
      <c r="AJ170" s="5" t="s">
        <v>103</v>
      </c>
      <c r="AK170" s="5" t="s">
        <v>97</v>
      </c>
      <c r="AL170" s="5" t="s">
        <v>103</v>
      </c>
      <c r="AM170" s="5" t="s">
        <v>97</v>
      </c>
      <c r="AN170" s="5" t="s">
        <v>103</v>
      </c>
      <c r="AO170" s="5" t="s">
        <v>103</v>
      </c>
      <c r="AP170" s="5" t="s">
        <v>103</v>
      </c>
      <c r="AQ170" s="5" t="s">
        <v>97</v>
      </c>
      <c r="AR170" s="5" t="s">
        <v>97</v>
      </c>
      <c r="AS170" s="5" t="s">
        <v>97</v>
      </c>
      <c r="AT170" s="5"/>
      <c r="AU170" s="5"/>
      <c r="AV170" s="4" t="s">
        <v>103</v>
      </c>
      <c r="AW170" s="4" t="s">
        <v>103</v>
      </c>
      <c r="AX170" s="4" t="s">
        <v>97</v>
      </c>
      <c r="AY170" s="4" t="s">
        <v>97</v>
      </c>
      <c r="AZ170" s="4" t="s">
        <v>97</v>
      </c>
      <c r="BA170" s="4" t="s">
        <v>97</v>
      </c>
      <c r="BB170" s="5">
        <v>45896</v>
      </c>
      <c r="BC170" s="5">
        <v>45896</v>
      </c>
      <c r="BD170" s="5">
        <v>45899</v>
      </c>
      <c r="BE170" s="5">
        <v>45902</v>
      </c>
      <c r="BF170" s="5" t="s">
        <v>98</v>
      </c>
      <c r="BG170" s="5" t="s">
        <v>97</v>
      </c>
      <c r="BH170" s="5" t="s">
        <v>103</v>
      </c>
      <c r="BI170" s="5" t="s">
        <v>115</v>
      </c>
    </row>
    <row r="171" spans="1:61" x14ac:dyDescent="0.35">
      <c r="A171" s="8" t="str">
        <f t="shared" si="17"/>
        <v>Semaine 34-2025</v>
      </c>
      <c r="B171" s="8" t="str">
        <f t="shared" si="13"/>
        <v>2025</v>
      </c>
      <c r="C171" s="2" t="s">
        <v>31</v>
      </c>
      <c r="D171" s="6" t="str">
        <f t="shared" si="14"/>
        <v>Dakar</v>
      </c>
      <c r="E171" s="6">
        <f t="shared" si="15"/>
        <v>424760</v>
      </c>
      <c r="F171" s="6">
        <f t="shared" si="16"/>
        <v>4042240</v>
      </c>
      <c r="G171" s="4" t="s">
        <v>568</v>
      </c>
      <c r="H171" s="4" t="s">
        <v>574</v>
      </c>
      <c r="I171" s="4">
        <v>30</v>
      </c>
      <c r="J171" s="4" t="s">
        <v>114</v>
      </c>
      <c r="K171" s="4"/>
      <c r="L171" s="4"/>
      <c r="M171" s="4"/>
      <c r="N171" s="4"/>
      <c r="O171" s="4" t="s">
        <v>238</v>
      </c>
      <c r="P171" s="4" t="s">
        <v>97</v>
      </c>
      <c r="Q171" s="4" t="s">
        <v>97</v>
      </c>
      <c r="R171" s="14" t="s">
        <v>100</v>
      </c>
      <c r="S171" s="14" t="s">
        <v>100</v>
      </c>
      <c r="T171" s="14" t="s">
        <v>100</v>
      </c>
      <c r="U171" s="8"/>
      <c r="V171" s="14"/>
      <c r="W171" s="14"/>
      <c r="X171" s="14"/>
      <c r="Y171" s="5">
        <v>45893</v>
      </c>
      <c r="Z171" s="5">
        <v>45899</v>
      </c>
      <c r="AA171" s="5" t="s">
        <v>103</v>
      </c>
      <c r="AB171" s="5" t="s">
        <v>272</v>
      </c>
      <c r="AC171" s="5" t="s">
        <v>103</v>
      </c>
      <c r="AD171" s="5" t="s">
        <v>97</v>
      </c>
      <c r="AE171" s="5" t="s">
        <v>103</v>
      </c>
      <c r="AF171" s="5" t="s">
        <v>103</v>
      </c>
      <c r="AG171" s="5" t="s">
        <v>97</v>
      </c>
      <c r="AH171" s="5" t="s">
        <v>103</v>
      </c>
      <c r="AI171" s="5">
        <v>45898</v>
      </c>
      <c r="AJ171" s="5" t="s">
        <v>103</v>
      </c>
      <c r="AK171" s="5" t="s">
        <v>103</v>
      </c>
      <c r="AL171" s="5" t="s">
        <v>97</v>
      </c>
      <c r="AM171" s="5" t="s">
        <v>103</v>
      </c>
      <c r="AN171" s="5" t="s">
        <v>103</v>
      </c>
      <c r="AO171" s="5" t="s">
        <v>97</v>
      </c>
      <c r="AP171" s="5" t="s">
        <v>97</v>
      </c>
      <c r="AQ171" s="5" t="s">
        <v>97</v>
      </c>
      <c r="AR171" s="5" t="s">
        <v>97</v>
      </c>
      <c r="AS171" s="5" t="s">
        <v>103</v>
      </c>
      <c r="AT171" s="5"/>
      <c r="AU171" s="5"/>
      <c r="AV171" s="4" t="s">
        <v>103</v>
      </c>
      <c r="AW171" s="4" t="s">
        <v>97</v>
      </c>
      <c r="AX171" s="4" t="s">
        <v>97</v>
      </c>
      <c r="AY171" s="4" t="s">
        <v>97</v>
      </c>
      <c r="AZ171" s="4" t="s">
        <v>103</v>
      </c>
      <c r="BA171" s="4" t="s">
        <v>97</v>
      </c>
      <c r="BB171" s="5">
        <v>45899</v>
      </c>
      <c r="BC171" s="5">
        <v>45900</v>
      </c>
      <c r="BD171" s="5">
        <v>45900</v>
      </c>
      <c r="BE171" s="5">
        <v>45902</v>
      </c>
      <c r="BF171" s="5" t="s">
        <v>98</v>
      </c>
      <c r="BG171" s="5" t="s">
        <v>103</v>
      </c>
      <c r="BH171" s="5" t="s">
        <v>103</v>
      </c>
      <c r="BI171" s="5" t="s">
        <v>115</v>
      </c>
    </row>
    <row r="172" spans="1:61" x14ac:dyDescent="0.35">
      <c r="A172" s="8" t="str">
        <f t="shared" si="17"/>
        <v>Semaine 34-2025</v>
      </c>
      <c r="B172" s="8" t="str">
        <f t="shared" si="13"/>
        <v>2025</v>
      </c>
      <c r="C172" s="2" t="s">
        <v>29</v>
      </c>
      <c r="D172" s="6" t="str">
        <f t="shared" si="14"/>
        <v>Tambacounda</v>
      </c>
      <c r="E172" s="6">
        <f t="shared" si="15"/>
        <v>100772</v>
      </c>
      <c r="F172" s="6">
        <f t="shared" si="16"/>
        <v>937181</v>
      </c>
      <c r="G172" s="4" t="s">
        <v>569</v>
      </c>
      <c r="H172" s="4" t="s">
        <v>575</v>
      </c>
      <c r="I172" s="4">
        <v>13</v>
      </c>
      <c r="J172" s="4" t="s">
        <v>114</v>
      </c>
      <c r="K172" s="4"/>
      <c r="L172" s="4"/>
      <c r="M172" s="4"/>
      <c r="N172" s="4"/>
      <c r="O172" s="4" t="s">
        <v>238</v>
      </c>
      <c r="P172" s="4" t="s">
        <v>97</v>
      </c>
      <c r="Q172" s="4" t="s">
        <v>97</v>
      </c>
      <c r="R172" s="14" t="s">
        <v>100</v>
      </c>
      <c r="S172" s="14" t="s">
        <v>100</v>
      </c>
      <c r="T172" s="14" t="s">
        <v>100</v>
      </c>
      <c r="U172" s="8"/>
      <c r="V172" s="14"/>
      <c r="W172" s="14"/>
      <c r="X172" s="14"/>
      <c r="Y172" s="5">
        <v>45892</v>
      </c>
      <c r="Z172" s="5">
        <v>45896</v>
      </c>
      <c r="AA172" s="5" t="s">
        <v>103</v>
      </c>
      <c r="AB172" s="5" t="s">
        <v>488</v>
      </c>
      <c r="AC172" s="5" t="s">
        <v>103</v>
      </c>
      <c r="AD172" s="5" t="s">
        <v>103</v>
      </c>
      <c r="AE172" s="5" t="s">
        <v>97</v>
      </c>
      <c r="AF172" s="5" t="s">
        <v>103</v>
      </c>
      <c r="AG172" s="5" t="s">
        <v>97</v>
      </c>
      <c r="AH172" s="5" t="s">
        <v>103</v>
      </c>
      <c r="AI172" s="5">
        <v>45892</v>
      </c>
      <c r="AJ172" s="5" t="s">
        <v>97</v>
      </c>
      <c r="AK172" s="5" t="s">
        <v>103</v>
      </c>
      <c r="AL172" s="5" t="s">
        <v>97</v>
      </c>
      <c r="AM172" s="5" t="s">
        <v>103</v>
      </c>
      <c r="AN172" s="5" t="s">
        <v>103</v>
      </c>
      <c r="AO172" s="5" t="s">
        <v>103</v>
      </c>
      <c r="AP172" s="5" t="s">
        <v>103</v>
      </c>
      <c r="AQ172" s="5" t="s">
        <v>97</v>
      </c>
      <c r="AR172" s="5" t="s">
        <v>103</v>
      </c>
      <c r="AS172" s="5" t="s">
        <v>97</v>
      </c>
      <c r="AT172" s="5" t="s">
        <v>409</v>
      </c>
      <c r="AU172" s="5"/>
      <c r="AV172" s="4" t="s">
        <v>103</v>
      </c>
      <c r="AW172" s="4" t="s">
        <v>97</v>
      </c>
      <c r="AX172" s="4" t="s">
        <v>97</v>
      </c>
      <c r="AY172" s="4" t="s">
        <v>97</v>
      </c>
      <c r="AZ172" s="4" t="s">
        <v>103</v>
      </c>
      <c r="BA172" s="4" t="s">
        <v>97</v>
      </c>
      <c r="BB172" s="5">
        <v>45896</v>
      </c>
      <c r="BC172" s="5">
        <v>45896</v>
      </c>
      <c r="BD172" s="5">
        <v>45899</v>
      </c>
      <c r="BE172" s="5">
        <v>45902</v>
      </c>
      <c r="BF172" s="5" t="s">
        <v>98</v>
      </c>
      <c r="BG172" s="4" t="s">
        <v>103</v>
      </c>
      <c r="BH172" s="4" t="s">
        <v>103</v>
      </c>
      <c r="BI172" s="5" t="s">
        <v>115</v>
      </c>
    </row>
    <row r="173" spans="1:61" x14ac:dyDescent="0.35">
      <c r="A173" s="8" t="str">
        <f t="shared" si="17"/>
        <v>Semaine 34-2025</v>
      </c>
      <c r="B173" s="8" t="str">
        <f t="shared" si="13"/>
        <v>2025</v>
      </c>
      <c r="C173" s="2" t="s">
        <v>31</v>
      </c>
      <c r="D173" s="6" t="str">
        <f t="shared" si="14"/>
        <v>Dakar</v>
      </c>
      <c r="E173" s="6">
        <f t="shared" si="15"/>
        <v>424760</v>
      </c>
      <c r="F173" s="6">
        <f t="shared" si="16"/>
        <v>4042240</v>
      </c>
      <c r="G173" s="4" t="s">
        <v>570</v>
      </c>
      <c r="H173" s="4" t="s">
        <v>576</v>
      </c>
      <c r="I173" s="4">
        <v>12</v>
      </c>
      <c r="J173" s="4" t="s">
        <v>114</v>
      </c>
      <c r="K173" s="4"/>
      <c r="L173" s="4"/>
      <c r="M173" s="4"/>
      <c r="N173" s="4"/>
      <c r="O173" s="4" t="s">
        <v>238</v>
      </c>
      <c r="P173" s="4" t="s">
        <v>97</v>
      </c>
      <c r="Q173" s="4" t="s">
        <v>97</v>
      </c>
      <c r="R173" s="14" t="s">
        <v>100</v>
      </c>
      <c r="S173" s="14" t="s">
        <v>100</v>
      </c>
      <c r="T173" s="14" t="s">
        <v>100</v>
      </c>
      <c r="U173" s="8"/>
      <c r="V173" s="14"/>
      <c r="W173" s="14"/>
      <c r="X173" s="14"/>
      <c r="Y173" s="5">
        <v>45891</v>
      </c>
      <c r="Z173" s="5">
        <v>45897</v>
      </c>
      <c r="AA173" s="5" t="s">
        <v>103</v>
      </c>
      <c r="AB173" s="5"/>
      <c r="AC173" s="5" t="s">
        <v>103</v>
      </c>
      <c r="AD173" s="5" t="s">
        <v>103</v>
      </c>
      <c r="AE173" s="5" t="s">
        <v>97</v>
      </c>
      <c r="AF173" s="5" t="s">
        <v>97</v>
      </c>
      <c r="AG173" s="5" t="s">
        <v>97</v>
      </c>
      <c r="AH173" s="5" t="s">
        <v>103</v>
      </c>
      <c r="AI173" s="5">
        <v>45891</v>
      </c>
      <c r="AJ173" s="5" t="s">
        <v>103</v>
      </c>
      <c r="AK173" s="5" t="s">
        <v>97</v>
      </c>
      <c r="AL173" s="5" t="s">
        <v>103</v>
      </c>
      <c r="AM173" s="5" t="s">
        <v>103</v>
      </c>
      <c r="AN173" s="5" t="s">
        <v>103</v>
      </c>
      <c r="AO173" s="5" t="s">
        <v>97</v>
      </c>
      <c r="AP173" s="5" t="s">
        <v>103</v>
      </c>
      <c r="AQ173" s="5" t="s">
        <v>103</v>
      </c>
      <c r="AR173" s="5" t="s">
        <v>103</v>
      </c>
      <c r="AS173" s="5" t="s">
        <v>97</v>
      </c>
      <c r="AT173" s="5"/>
      <c r="AU173" s="5"/>
      <c r="AV173" s="4" t="s">
        <v>103</v>
      </c>
      <c r="AW173" s="4" t="s">
        <v>97</v>
      </c>
      <c r="AX173" s="4" t="s">
        <v>97</v>
      </c>
      <c r="AY173" s="4" t="s">
        <v>97</v>
      </c>
      <c r="AZ173" s="4" t="s">
        <v>97</v>
      </c>
      <c r="BA173" s="4" t="s">
        <v>97</v>
      </c>
      <c r="BB173" s="5">
        <v>45897</v>
      </c>
      <c r="BC173" s="5">
        <v>45901</v>
      </c>
      <c r="BD173" s="5">
        <v>45902</v>
      </c>
      <c r="BE173" s="5">
        <v>45902</v>
      </c>
      <c r="BF173" s="5" t="s">
        <v>98</v>
      </c>
      <c r="BG173" s="4" t="s">
        <v>97</v>
      </c>
      <c r="BH173" s="4" t="s">
        <v>103</v>
      </c>
      <c r="BI173" s="5" t="s">
        <v>115</v>
      </c>
    </row>
    <row r="174" spans="1:61" x14ac:dyDescent="0.35">
      <c r="A174" s="8" t="str">
        <f t="shared" si="17"/>
        <v>Semaine 35-2025</v>
      </c>
      <c r="B174" s="8" t="str">
        <f t="shared" si="13"/>
        <v>2025</v>
      </c>
      <c r="C174" s="2" t="s">
        <v>31</v>
      </c>
      <c r="D174" s="6" t="str">
        <f t="shared" si="14"/>
        <v>Dakar</v>
      </c>
      <c r="E174" s="6">
        <f t="shared" si="15"/>
        <v>424760</v>
      </c>
      <c r="F174" s="6">
        <f t="shared" si="16"/>
        <v>4042240</v>
      </c>
      <c r="G174" s="4" t="s">
        <v>571</v>
      </c>
      <c r="H174" s="4" t="s">
        <v>577</v>
      </c>
      <c r="I174" s="4">
        <v>43</v>
      </c>
      <c r="J174" s="4" t="s">
        <v>96</v>
      </c>
      <c r="K174" s="4"/>
      <c r="L174" s="4"/>
      <c r="M174" s="4"/>
      <c r="N174" s="4"/>
      <c r="O174" s="4" t="s">
        <v>238</v>
      </c>
      <c r="P174" s="4" t="s">
        <v>97</v>
      </c>
      <c r="Q174" s="4" t="s">
        <v>97</v>
      </c>
      <c r="R174" s="14" t="s">
        <v>100</v>
      </c>
      <c r="S174" s="14" t="s">
        <v>100</v>
      </c>
      <c r="T174" s="14" t="s">
        <v>100</v>
      </c>
      <c r="U174" s="8"/>
      <c r="V174" s="14"/>
      <c r="W174" s="14"/>
      <c r="X174" s="14"/>
      <c r="Y174" s="5">
        <v>45894</v>
      </c>
      <c r="Z174" s="5">
        <v>45897</v>
      </c>
      <c r="AA174" s="5" t="s">
        <v>97</v>
      </c>
      <c r="AB174" s="5" t="s">
        <v>578</v>
      </c>
      <c r="AC174" s="5" t="s">
        <v>103</v>
      </c>
      <c r="AD174" s="5" t="s">
        <v>103</v>
      </c>
      <c r="AE174" s="5" t="s">
        <v>97</v>
      </c>
      <c r="AF174" s="5" t="s">
        <v>97</v>
      </c>
      <c r="AG174" s="5" t="s">
        <v>97</v>
      </c>
      <c r="AH174" s="5" t="s">
        <v>103</v>
      </c>
      <c r="AI174" s="5">
        <v>45894</v>
      </c>
      <c r="AJ174" s="5" t="s">
        <v>103</v>
      </c>
      <c r="AK174" s="5" t="s">
        <v>103</v>
      </c>
      <c r="AL174" s="5" t="s">
        <v>97</v>
      </c>
      <c r="AM174" s="5" t="s">
        <v>97</v>
      </c>
      <c r="AN174" s="5" t="s">
        <v>103</v>
      </c>
      <c r="AO174" s="5" t="s">
        <v>97</v>
      </c>
      <c r="AP174" s="5" t="s">
        <v>103</v>
      </c>
      <c r="AQ174" s="5" t="s">
        <v>103</v>
      </c>
      <c r="AR174" s="5" t="s">
        <v>97</v>
      </c>
      <c r="AS174" s="5" t="s">
        <v>97</v>
      </c>
      <c r="AT174" s="5"/>
      <c r="AU174" s="5"/>
      <c r="AV174" s="4" t="s">
        <v>103</v>
      </c>
      <c r="AW174" s="4" t="s">
        <v>97</v>
      </c>
      <c r="AX174" s="4" t="s">
        <v>97</v>
      </c>
      <c r="AY174" s="4" t="s">
        <v>97</v>
      </c>
      <c r="AZ174" s="4" t="s">
        <v>97</v>
      </c>
      <c r="BA174" s="4" t="s">
        <v>97</v>
      </c>
      <c r="BB174" s="5">
        <v>45897</v>
      </c>
      <c r="BC174" s="5">
        <v>45901</v>
      </c>
      <c r="BD174" s="5">
        <v>45902</v>
      </c>
      <c r="BE174" s="5">
        <v>45902</v>
      </c>
      <c r="BF174" s="5" t="s">
        <v>98</v>
      </c>
      <c r="BG174" s="4" t="s">
        <v>97</v>
      </c>
      <c r="BH174" s="4" t="s">
        <v>103</v>
      </c>
      <c r="BI174" s="5" t="s">
        <v>115</v>
      </c>
    </row>
    <row r="175" spans="1:61" x14ac:dyDescent="0.35">
      <c r="A175" s="8" t="str">
        <f t="shared" si="17"/>
        <v>Semaine 35-2025</v>
      </c>
      <c r="B175" s="8" t="str">
        <f t="shared" si="13"/>
        <v>2025</v>
      </c>
      <c r="C175" s="2" t="s">
        <v>18</v>
      </c>
      <c r="D175" s="6" t="str">
        <f t="shared" si="14"/>
        <v>Dakar</v>
      </c>
      <c r="E175" s="6">
        <f t="shared" si="15"/>
        <v>419489</v>
      </c>
      <c r="F175" s="6">
        <f t="shared" si="16"/>
        <v>4042240</v>
      </c>
      <c r="G175" s="4" t="s">
        <v>579</v>
      </c>
      <c r="H175" s="4" t="s">
        <v>581</v>
      </c>
      <c r="I175" s="4">
        <v>17</v>
      </c>
      <c r="J175" s="4" t="s">
        <v>96</v>
      </c>
      <c r="K175" s="4"/>
      <c r="L175" s="4"/>
      <c r="M175" s="4"/>
      <c r="N175" s="4"/>
      <c r="O175" s="4" t="s">
        <v>238</v>
      </c>
      <c r="P175" s="4" t="s">
        <v>97</v>
      </c>
      <c r="Q175" s="4" t="s">
        <v>97</v>
      </c>
      <c r="R175" s="14" t="s">
        <v>100</v>
      </c>
      <c r="S175" s="14" t="s">
        <v>100</v>
      </c>
      <c r="T175" s="14" t="s">
        <v>100</v>
      </c>
      <c r="U175" s="8"/>
      <c r="V175" s="14"/>
      <c r="W175" s="14"/>
      <c r="X175" s="14"/>
      <c r="Y175" s="5">
        <v>45898</v>
      </c>
      <c r="Z175" s="5">
        <v>45902</v>
      </c>
      <c r="AA175" s="5" t="s">
        <v>103</v>
      </c>
      <c r="AB175" s="5"/>
      <c r="AC175" s="5" t="s">
        <v>103</v>
      </c>
      <c r="AD175" s="5" t="s">
        <v>103</v>
      </c>
      <c r="AE175" s="5" t="s">
        <v>97</v>
      </c>
      <c r="AF175" s="5" t="s">
        <v>103</v>
      </c>
      <c r="AG175" s="5" t="s">
        <v>103</v>
      </c>
      <c r="AH175" s="5" t="s">
        <v>103</v>
      </c>
      <c r="AI175" s="5">
        <v>45898</v>
      </c>
      <c r="AJ175" s="5" t="s">
        <v>103</v>
      </c>
      <c r="AK175" s="5" t="s">
        <v>103</v>
      </c>
      <c r="AL175" s="5" t="s">
        <v>97</v>
      </c>
      <c r="AM175" s="5" t="s">
        <v>103</v>
      </c>
      <c r="AN175" s="5" t="s">
        <v>103</v>
      </c>
      <c r="AO175" s="5" t="s">
        <v>103</v>
      </c>
      <c r="AP175" s="5" t="s">
        <v>103</v>
      </c>
      <c r="AQ175" s="5" t="s">
        <v>97</v>
      </c>
      <c r="AR175" s="5" t="s">
        <v>97</v>
      </c>
      <c r="AS175" s="5" t="s">
        <v>103</v>
      </c>
      <c r="AT175" s="5"/>
      <c r="AU175" s="5" t="s">
        <v>582</v>
      </c>
      <c r="AV175" s="4" t="s">
        <v>103</v>
      </c>
      <c r="AW175" s="4" t="s">
        <v>103</v>
      </c>
      <c r="AX175" s="4" t="s">
        <v>97</v>
      </c>
      <c r="AY175" s="4" t="s">
        <v>97</v>
      </c>
      <c r="AZ175" s="4" t="s">
        <v>103</v>
      </c>
      <c r="BA175" s="4" t="s">
        <v>97</v>
      </c>
      <c r="BB175" s="5">
        <v>45902</v>
      </c>
      <c r="BC175" s="5">
        <v>45903</v>
      </c>
      <c r="BD175" s="5">
        <v>45903</v>
      </c>
      <c r="BE175" s="5">
        <v>45907</v>
      </c>
      <c r="BF175" s="4" t="s">
        <v>98</v>
      </c>
      <c r="BG175" s="4" t="s">
        <v>97</v>
      </c>
      <c r="BH175" s="4" t="s">
        <v>103</v>
      </c>
      <c r="BI175" s="4" t="s">
        <v>115</v>
      </c>
    </row>
    <row r="176" spans="1:61" x14ac:dyDescent="0.35">
      <c r="A176" s="8" t="str">
        <f t="shared" si="17"/>
        <v>Semaine 35-2025</v>
      </c>
      <c r="B176" s="8" t="str">
        <f t="shared" si="13"/>
        <v>2025</v>
      </c>
      <c r="C176" s="2" t="s">
        <v>18</v>
      </c>
      <c r="D176" s="6" t="str">
        <f t="shared" si="14"/>
        <v>Dakar</v>
      </c>
      <c r="E176" s="6">
        <f t="shared" si="15"/>
        <v>419489</v>
      </c>
      <c r="F176" s="6">
        <f t="shared" si="16"/>
        <v>4042240</v>
      </c>
      <c r="G176" s="4" t="s">
        <v>580</v>
      </c>
      <c r="H176" s="4" t="s">
        <v>583</v>
      </c>
      <c r="I176" s="4">
        <v>22</v>
      </c>
      <c r="J176" s="4" t="s">
        <v>96</v>
      </c>
      <c r="K176" s="4"/>
      <c r="L176" s="4"/>
      <c r="M176" s="4"/>
      <c r="N176" s="4"/>
      <c r="O176" s="4" t="s">
        <v>238</v>
      </c>
      <c r="P176" s="4" t="s">
        <v>97</v>
      </c>
      <c r="Q176" s="4" t="s">
        <v>97</v>
      </c>
      <c r="R176" s="14" t="s">
        <v>100</v>
      </c>
      <c r="S176" s="14" t="s">
        <v>100</v>
      </c>
      <c r="T176" s="14" t="s">
        <v>100</v>
      </c>
      <c r="U176" s="8"/>
      <c r="V176" s="14"/>
      <c r="W176" s="14"/>
      <c r="X176" s="14"/>
      <c r="Y176" s="5">
        <v>45900</v>
      </c>
      <c r="Z176" s="5">
        <v>45904</v>
      </c>
      <c r="AA176" s="5" t="s">
        <v>103</v>
      </c>
      <c r="AB176" s="5"/>
      <c r="AC176" s="5" t="s">
        <v>103</v>
      </c>
      <c r="AD176" s="5" t="s">
        <v>97</v>
      </c>
      <c r="AE176" s="5" t="s">
        <v>97</v>
      </c>
      <c r="AF176" s="5" t="s">
        <v>103</v>
      </c>
      <c r="AG176" s="5" t="s">
        <v>103</v>
      </c>
      <c r="AH176" s="5" t="s">
        <v>103</v>
      </c>
      <c r="AI176" s="5">
        <v>45900</v>
      </c>
      <c r="AJ176" s="5" t="s">
        <v>97</v>
      </c>
      <c r="AK176" s="5" t="s">
        <v>97</v>
      </c>
      <c r="AL176" s="5" t="s">
        <v>97</v>
      </c>
      <c r="AM176" s="5" t="s">
        <v>103</v>
      </c>
      <c r="AN176" s="5" t="s">
        <v>103</v>
      </c>
      <c r="AO176" s="5" t="s">
        <v>97</v>
      </c>
      <c r="AP176" s="5" t="s">
        <v>103</v>
      </c>
      <c r="AQ176" s="5" t="s">
        <v>103</v>
      </c>
      <c r="AR176" s="5" t="s">
        <v>97</v>
      </c>
      <c r="AS176" s="5" t="s">
        <v>97</v>
      </c>
      <c r="AT176" s="5" t="s">
        <v>584</v>
      </c>
      <c r="AU176" s="5"/>
      <c r="AV176" s="4" t="s">
        <v>103</v>
      </c>
      <c r="AW176" s="4" t="s">
        <v>97</v>
      </c>
      <c r="AX176" s="4" t="s">
        <v>97</v>
      </c>
      <c r="AY176" s="4" t="s">
        <v>97</v>
      </c>
      <c r="AZ176" s="4" t="s">
        <v>103</v>
      </c>
      <c r="BA176" s="4" t="s">
        <v>97</v>
      </c>
      <c r="BB176" s="5">
        <v>45904</v>
      </c>
      <c r="BC176" s="5">
        <v>45904</v>
      </c>
      <c r="BD176" s="5">
        <v>45904</v>
      </c>
      <c r="BE176" s="5">
        <v>45907</v>
      </c>
      <c r="BF176" s="4" t="s">
        <v>98</v>
      </c>
      <c r="BG176" s="4" t="s">
        <v>97</v>
      </c>
      <c r="BH176" s="4" t="s">
        <v>103</v>
      </c>
      <c r="BI176" s="4" t="s">
        <v>115</v>
      </c>
    </row>
    <row r="177" spans="1:61" x14ac:dyDescent="0.35">
      <c r="A177" s="8" t="str">
        <f t="shared" si="17"/>
        <v>Semaine 36-2025</v>
      </c>
      <c r="B177" s="8" t="str">
        <f t="shared" si="13"/>
        <v>2025</v>
      </c>
      <c r="C177" s="2" t="s">
        <v>31</v>
      </c>
      <c r="D177" s="6" t="str">
        <f t="shared" si="14"/>
        <v>Dakar</v>
      </c>
      <c r="E177" s="6">
        <f t="shared" si="15"/>
        <v>424760</v>
      </c>
      <c r="F177" s="6">
        <f t="shared" si="16"/>
        <v>4042240</v>
      </c>
      <c r="G177" s="4" t="s">
        <v>585</v>
      </c>
      <c r="H177" s="4" t="s">
        <v>595</v>
      </c>
      <c r="I177" s="4">
        <v>19</v>
      </c>
      <c r="J177" s="4" t="s">
        <v>96</v>
      </c>
      <c r="K177" s="4"/>
      <c r="L177" s="4"/>
      <c r="M177" s="4"/>
      <c r="N177" s="4"/>
      <c r="O177" s="4" t="s">
        <v>238</v>
      </c>
      <c r="P177" s="4" t="s">
        <v>97</v>
      </c>
      <c r="Q177" s="4" t="s">
        <v>97</v>
      </c>
      <c r="R177" s="14" t="s">
        <v>100</v>
      </c>
      <c r="S177" s="14" t="s">
        <v>100</v>
      </c>
      <c r="T177" s="14" t="s">
        <v>100</v>
      </c>
      <c r="U177" s="8"/>
      <c r="V177" s="14"/>
      <c r="W177" s="14"/>
      <c r="X177" s="14"/>
      <c r="Y177" s="5">
        <v>45901</v>
      </c>
      <c r="Z177" s="5">
        <v>45904</v>
      </c>
      <c r="AA177" s="5" t="s">
        <v>103</v>
      </c>
      <c r="AB177" s="5"/>
      <c r="AC177" s="5" t="s">
        <v>97</v>
      </c>
      <c r="AD177" s="5" t="s">
        <v>97</v>
      </c>
      <c r="AE177" s="5" t="s">
        <v>97</v>
      </c>
      <c r="AF177" s="5" t="s">
        <v>97</v>
      </c>
      <c r="AG177" s="5" t="s">
        <v>97</v>
      </c>
      <c r="AH177" s="5" t="s">
        <v>103</v>
      </c>
      <c r="AI177" s="5">
        <v>45901</v>
      </c>
      <c r="AJ177" s="5" t="s">
        <v>103</v>
      </c>
      <c r="AK177" s="5" t="s">
        <v>103</v>
      </c>
      <c r="AL177" s="5" t="s">
        <v>97</v>
      </c>
      <c r="AM177" s="5" t="s">
        <v>103</v>
      </c>
      <c r="AN177" s="5" t="s">
        <v>97</v>
      </c>
      <c r="AO177" s="5" t="s">
        <v>97</v>
      </c>
      <c r="AP177" s="5" t="s">
        <v>97</v>
      </c>
      <c r="AQ177" s="5" t="s">
        <v>97</v>
      </c>
      <c r="AR177" s="5" t="s">
        <v>97</v>
      </c>
      <c r="AS177" s="5" t="s">
        <v>97</v>
      </c>
      <c r="AT177" s="5"/>
      <c r="AU177" s="5" t="s">
        <v>596</v>
      </c>
      <c r="AV177" s="4" t="s">
        <v>103</v>
      </c>
      <c r="AW177" s="4" t="s">
        <v>97</v>
      </c>
      <c r="AX177" s="4" t="s">
        <v>97</v>
      </c>
      <c r="AY177" s="4" t="s">
        <v>97</v>
      </c>
      <c r="AZ177" s="4" t="s">
        <v>103</v>
      </c>
      <c r="BA177" s="4" t="s">
        <v>97</v>
      </c>
      <c r="BB177" s="5">
        <v>45905</v>
      </c>
      <c r="BC177" s="5">
        <v>45905</v>
      </c>
      <c r="BD177" s="5">
        <v>45905</v>
      </c>
      <c r="BE177" s="5">
        <v>45909</v>
      </c>
      <c r="BF177" s="4" t="s">
        <v>98</v>
      </c>
      <c r="BG177" s="4" t="s">
        <v>103</v>
      </c>
      <c r="BH177" s="4" t="s">
        <v>103</v>
      </c>
      <c r="BI177" s="4" t="s">
        <v>115</v>
      </c>
    </row>
    <row r="178" spans="1:61" x14ac:dyDescent="0.35">
      <c r="A178" s="8" t="str">
        <f t="shared" si="17"/>
        <v>Semaine 36-2025</v>
      </c>
      <c r="B178" s="8" t="str">
        <f t="shared" si="13"/>
        <v>2025</v>
      </c>
      <c r="C178" s="2" t="s">
        <v>18</v>
      </c>
      <c r="D178" s="6" t="str">
        <f t="shared" si="14"/>
        <v>Dakar</v>
      </c>
      <c r="E178" s="6">
        <f t="shared" si="15"/>
        <v>419489</v>
      </c>
      <c r="F178" s="6">
        <f t="shared" si="16"/>
        <v>4042240</v>
      </c>
      <c r="G178" s="4" t="s">
        <v>586</v>
      </c>
      <c r="H178" s="4" t="s">
        <v>597</v>
      </c>
      <c r="I178" s="4">
        <v>9</v>
      </c>
      <c r="J178" s="4" t="s">
        <v>114</v>
      </c>
      <c r="K178" s="4"/>
      <c r="L178" s="4"/>
      <c r="M178" s="4"/>
      <c r="N178" s="4"/>
      <c r="O178" s="4" t="s">
        <v>238</v>
      </c>
      <c r="P178" s="4" t="s">
        <v>97</v>
      </c>
      <c r="Q178" s="4" t="s">
        <v>97</v>
      </c>
      <c r="R178" s="14" t="s">
        <v>100</v>
      </c>
      <c r="S178" s="14" t="s">
        <v>100</v>
      </c>
      <c r="T178" s="14" t="s">
        <v>100</v>
      </c>
      <c r="U178" s="8"/>
      <c r="V178" s="14"/>
      <c r="W178" s="14"/>
      <c r="X178" s="14"/>
      <c r="Y178" s="5">
        <v>45901</v>
      </c>
      <c r="Z178" s="5">
        <v>45905</v>
      </c>
      <c r="AA178" s="5" t="s">
        <v>97</v>
      </c>
      <c r="AB178" s="5"/>
      <c r="AC178" s="5" t="s">
        <v>97</v>
      </c>
      <c r="AD178" s="5" t="s">
        <v>97</v>
      </c>
      <c r="AE178" s="5" t="s">
        <v>97</v>
      </c>
      <c r="AF178" s="5" t="s">
        <v>97</v>
      </c>
      <c r="AG178" s="5" t="s">
        <v>97</v>
      </c>
      <c r="AH178" s="5" t="s">
        <v>103</v>
      </c>
      <c r="AI178" s="5">
        <v>45901</v>
      </c>
      <c r="AJ178" s="5" t="s">
        <v>97</v>
      </c>
      <c r="AK178" s="5" t="s">
        <v>97</v>
      </c>
      <c r="AL178" s="5" t="s">
        <v>97</v>
      </c>
      <c r="AM178" s="5" t="s">
        <v>97</v>
      </c>
      <c r="AN178" s="5" t="s">
        <v>103</v>
      </c>
      <c r="AO178" s="5" t="s">
        <v>97</v>
      </c>
      <c r="AP178" s="5" t="s">
        <v>97</v>
      </c>
      <c r="AQ178" s="5" t="s">
        <v>97</v>
      </c>
      <c r="AR178" s="5" t="s">
        <v>97</v>
      </c>
      <c r="AS178" s="5" t="s">
        <v>97</v>
      </c>
      <c r="AT178" s="5"/>
      <c r="AU178" s="5"/>
      <c r="AV178" s="4" t="s">
        <v>103</v>
      </c>
      <c r="AW178" s="4" t="s">
        <v>97</v>
      </c>
      <c r="AX178" s="4" t="s">
        <v>97</v>
      </c>
      <c r="AY178" s="4" t="s">
        <v>97</v>
      </c>
      <c r="AZ178" s="4" t="s">
        <v>97</v>
      </c>
      <c r="BA178" s="4" t="s">
        <v>97</v>
      </c>
      <c r="BB178" s="5">
        <v>45905</v>
      </c>
      <c r="BC178" s="5">
        <v>45905</v>
      </c>
      <c r="BD178" s="5">
        <v>45905</v>
      </c>
      <c r="BE178" s="5">
        <v>45909</v>
      </c>
      <c r="BF178" s="4" t="s">
        <v>98</v>
      </c>
      <c r="BG178" s="4" t="s">
        <v>103</v>
      </c>
      <c r="BH178" s="4" t="s">
        <v>103</v>
      </c>
      <c r="BI178" s="4" t="s">
        <v>115</v>
      </c>
    </row>
    <row r="179" spans="1:61" x14ac:dyDescent="0.35">
      <c r="A179" s="8" t="str">
        <f t="shared" si="17"/>
        <v>Semaine 36-2025</v>
      </c>
      <c r="B179" s="8" t="str">
        <f t="shared" si="13"/>
        <v>2025</v>
      </c>
      <c r="C179" s="2" t="s">
        <v>37</v>
      </c>
      <c r="D179" s="6" t="str">
        <f t="shared" si="14"/>
        <v>Dakar</v>
      </c>
      <c r="E179" s="6">
        <f t="shared" si="15"/>
        <v>301226</v>
      </c>
      <c r="F179" s="6">
        <f t="shared" si="16"/>
        <v>4042240</v>
      </c>
      <c r="G179" s="4" t="s">
        <v>587</v>
      </c>
      <c r="H179" s="4" t="s">
        <v>598</v>
      </c>
      <c r="I179" s="4">
        <v>7</v>
      </c>
      <c r="J179" s="4" t="s">
        <v>114</v>
      </c>
      <c r="K179" s="4"/>
      <c r="L179" s="4"/>
      <c r="M179" s="4"/>
      <c r="N179" s="4"/>
      <c r="O179" s="4" t="s">
        <v>238</v>
      </c>
      <c r="P179" s="4" t="s">
        <v>97</v>
      </c>
      <c r="Q179" s="4" t="s">
        <v>97</v>
      </c>
      <c r="R179" s="14" t="s">
        <v>100</v>
      </c>
      <c r="S179" s="14" t="s">
        <v>100</v>
      </c>
      <c r="T179" s="14" t="s">
        <v>100</v>
      </c>
      <c r="U179" s="8"/>
      <c r="V179" s="14"/>
      <c r="W179" s="14"/>
      <c r="X179" s="14"/>
      <c r="Y179" s="5">
        <v>45903</v>
      </c>
      <c r="Z179" s="5">
        <v>45906</v>
      </c>
      <c r="AA179" s="7" t="s">
        <v>103</v>
      </c>
      <c r="AB179" s="7"/>
      <c r="AC179" s="7" t="s">
        <v>103</v>
      </c>
      <c r="AD179" s="7" t="s">
        <v>103</v>
      </c>
      <c r="AE179" s="7" t="s">
        <v>97</v>
      </c>
      <c r="AF179" s="7" t="s">
        <v>103</v>
      </c>
      <c r="AG179" s="7" t="s">
        <v>103</v>
      </c>
      <c r="AH179" s="7" t="s">
        <v>103</v>
      </c>
      <c r="AI179" s="5">
        <v>45904</v>
      </c>
      <c r="AJ179" s="7" t="s">
        <v>97</v>
      </c>
      <c r="AK179" s="7" t="s">
        <v>103</v>
      </c>
      <c r="AL179" s="7" t="s">
        <v>97</v>
      </c>
      <c r="AM179" s="7" t="s">
        <v>103</v>
      </c>
      <c r="AN179" s="7" t="s">
        <v>103</v>
      </c>
      <c r="AO179" s="7" t="s">
        <v>97</v>
      </c>
      <c r="AP179" s="7" t="s">
        <v>97</v>
      </c>
      <c r="AQ179" s="7" t="s">
        <v>103</v>
      </c>
      <c r="AR179" s="7" t="s">
        <v>103</v>
      </c>
      <c r="AS179" s="7" t="s">
        <v>103</v>
      </c>
      <c r="AT179" s="7"/>
      <c r="AU179" s="7"/>
      <c r="AV179" s="4" t="s">
        <v>103</v>
      </c>
      <c r="AW179" s="4" t="s">
        <v>97</v>
      </c>
      <c r="AX179" s="4" t="s">
        <v>97</v>
      </c>
      <c r="AY179" s="4" t="s">
        <v>97</v>
      </c>
      <c r="AZ179" s="4" t="s">
        <v>103</v>
      </c>
      <c r="BA179" s="4" t="s">
        <v>97</v>
      </c>
      <c r="BB179" s="5">
        <v>45906</v>
      </c>
      <c r="BC179" s="5">
        <v>45906</v>
      </c>
      <c r="BD179" s="5">
        <v>45906</v>
      </c>
      <c r="BE179" s="5">
        <v>45909</v>
      </c>
      <c r="BF179" s="4" t="s">
        <v>98</v>
      </c>
      <c r="BG179" s="4" t="s">
        <v>97</v>
      </c>
      <c r="BH179" s="4" t="s">
        <v>103</v>
      </c>
      <c r="BI179" s="4" t="s">
        <v>115</v>
      </c>
    </row>
    <row r="180" spans="1:61" x14ac:dyDescent="0.35">
      <c r="A180" s="8" t="str">
        <f t="shared" si="17"/>
        <v>Semaine 35-2025</v>
      </c>
      <c r="B180" s="8" t="str">
        <f t="shared" si="13"/>
        <v>2025</v>
      </c>
      <c r="C180" s="2" t="s">
        <v>76</v>
      </c>
      <c r="D180" s="6" t="str">
        <f t="shared" si="14"/>
        <v>Kolda</v>
      </c>
      <c r="E180" s="6">
        <f t="shared" si="15"/>
        <v>367976</v>
      </c>
      <c r="F180" s="6">
        <f t="shared" si="16"/>
        <v>875661</v>
      </c>
      <c r="G180" s="4" t="s">
        <v>588</v>
      </c>
      <c r="H180" s="4" t="s">
        <v>599</v>
      </c>
      <c r="I180" s="4">
        <v>5</v>
      </c>
      <c r="J180" s="4" t="s">
        <v>114</v>
      </c>
      <c r="K180" s="4"/>
      <c r="L180" s="4"/>
      <c r="M180" s="4"/>
      <c r="N180" s="4"/>
      <c r="O180" s="4" t="s">
        <v>238</v>
      </c>
      <c r="P180" s="4" t="s">
        <v>97</v>
      </c>
      <c r="Q180" s="4" t="s">
        <v>97</v>
      </c>
      <c r="R180" s="14" t="s">
        <v>100</v>
      </c>
      <c r="S180" s="14" t="s">
        <v>100</v>
      </c>
      <c r="T180" s="14" t="s">
        <v>100</v>
      </c>
      <c r="U180" s="8"/>
      <c r="V180" s="14"/>
      <c r="W180" s="14"/>
      <c r="X180" s="14"/>
      <c r="Y180" s="5">
        <v>45900</v>
      </c>
      <c r="Z180" s="5">
        <v>45907</v>
      </c>
      <c r="AA180" s="7" t="s">
        <v>103</v>
      </c>
      <c r="AB180" s="7"/>
      <c r="AC180" s="7" t="s">
        <v>97</v>
      </c>
      <c r="AD180" s="7" t="s">
        <v>103</v>
      </c>
      <c r="AE180" s="7" t="s">
        <v>97</v>
      </c>
      <c r="AF180" s="7" t="s">
        <v>97</v>
      </c>
      <c r="AG180" s="7" t="s">
        <v>97</v>
      </c>
      <c r="AH180" s="7" t="s">
        <v>103</v>
      </c>
      <c r="AI180" s="5">
        <v>45900</v>
      </c>
      <c r="AJ180" s="7" t="s">
        <v>97</v>
      </c>
      <c r="AK180" s="7" t="s">
        <v>97</v>
      </c>
      <c r="AL180" s="7" t="s">
        <v>97</v>
      </c>
      <c r="AM180" s="7" t="s">
        <v>103</v>
      </c>
      <c r="AN180" s="7" t="s">
        <v>97</v>
      </c>
      <c r="AO180" s="7" t="s">
        <v>103</v>
      </c>
      <c r="AP180" s="7" t="s">
        <v>103</v>
      </c>
      <c r="AQ180" s="7" t="s">
        <v>97</v>
      </c>
      <c r="AR180" s="7" t="s">
        <v>97</v>
      </c>
      <c r="AS180" s="7" t="s">
        <v>97</v>
      </c>
      <c r="AT180" s="7" t="s">
        <v>600</v>
      </c>
      <c r="AU180" s="7"/>
      <c r="AV180" s="4" t="s">
        <v>97</v>
      </c>
      <c r="AW180" s="4" t="s">
        <v>103</v>
      </c>
      <c r="AX180" s="4" t="s">
        <v>97</v>
      </c>
      <c r="AY180" s="4" t="s">
        <v>97</v>
      </c>
      <c r="AZ180" s="4" t="s">
        <v>103</v>
      </c>
      <c r="BA180" s="4" t="s">
        <v>97</v>
      </c>
      <c r="BB180" s="5">
        <v>45907</v>
      </c>
      <c r="BC180" s="5">
        <v>45907</v>
      </c>
      <c r="BD180" s="5">
        <v>45907</v>
      </c>
      <c r="BE180" s="5">
        <v>45909</v>
      </c>
      <c r="BF180" s="4" t="s">
        <v>98</v>
      </c>
      <c r="BG180" s="4" t="s">
        <v>97</v>
      </c>
      <c r="BH180" s="4" t="s">
        <v>103</v>
      </c>
      <c r="BI180" s="4" t="s">
        <v>115</v>
      </c>
    </row>
    <row r="181" spans="1:61" x14ac:dyDescent="0.35">
      <c r="A181" s="8" t="str">
        <f t="shared" si="17"/>
        <v>Semaine 35-2025</v>
      </c>
      <c r="B181" s="8" t="str">
        <f t="shared" si="13"/>
        <v>2025</v>
      </c>
      <c r="C181" s="2" t="s">
        <v>76</v>
      </c>
      <c r="D181" s="6" t="str">
        <f t="shared" si="14"/>
        <v>Kolda</v>
      </c>
      <c r="E181" s="6">
        <f t="shared" si="15"/>
        <v>367976</v>
      </c>
      <c r="F181" s="6">
        <f t="shared" si="16"/>
        <v>875661</v>
      </c>
      <c r="G181" s="4" t="s">
        <v>589</v>
      </c>
      <c r="H181" s="4" t="s">
        <v>601</v>
      </c>
      <c r="I181" s="4">
        <v>35</v>
      </c>
      <c r="J181" s="4" t="s">
        <v>96</v>
      </c>
      <c r="K181" s="4"/>
      <c r="L181" s="4"/>
      <c r="M181" s="4"/>
      <c r="N181" s="4"/>
      <c r="O181" s="4" t="s">
        <v>238</v>
      </c>
      <c r="P181" s="4" t="s">
        <v>97</v>
      </c>
      <c r="Q181" s="4" t="s">
        <v>97</v>
      </c>
      <c r="R181" s="14" t="s">
        <v>100</v>
      </c>
      <c r="S181" s="14" t="s">
        <v>100</v>
      </c>
      <c r="T181" s="14" t="s">
        <v>100</v>
      </c>
      <c r="U181" s="8"/>
      <c r="V181" s="14"/>
      <c r="W181" s="14"/>
      <c r="X181" s="14"/>
      <c r="Y181" s="5">
        <v>45898</v>
      </c>
      <c r="Z181" s="5">
        <v>45906</v>
      </c>
      <c r="AA181" s="7" t="s">
        <v>103</v>
      </c>
      <c r="AB181" s="7"/>
      <c r="AC181" s="7" t="s">
        <v>103</v>
      </c>
      <c r="AD181" s="7" t="s">
        <v>103</v>
      </c>
      <c r="AE181" s="7" t="s">
        <v>97</v>
      </c>
      <c r="AF181" s="7" t="s">
        <v>97</v>
      </c>
      <c r="AG181" s="7" t="s">
        <v>97</v>
      </c>
      <c r="AH181" s="7" t="s">
        <v>103</v>
      </c>
      <c r="AI181" s="5">
        <v>45900</v>
      </c>
      <c r="AJ181" s="7" t="s">
        <v>97</v>
      </c>
      <c r="AK181" s="7" t="s">
        <v>97</v>
      </c>
      <c r="AL181" s="7" t="s">
        <v>97</v>
      </c>
      <c r="AM181" s="7" t="s">
        <v>103</v>
      </c>
      <c r="AN181" s="7" t="s">
        <v>97</v>
      </c>
      <c r="AO181" s="7" t="s">
        <v>97</v>
      </c>
      <c r="AP181" s="7" t="s">
        <v>97</v>
      </c>
      <c r="AQ181" s="7" t="s">
        <v>97</v>
      </c>
      <c r="AR181" s="7" t="s">
        <v>97</v>
      </c>
      <c r="AS181" s="7" t="s">
        <v>97</v>
      </c>
      <c r="AT181" s="7"/>
      <c r="AU181" s="7"/>
      <c r="AV181" s="4" t="s">
        <v>97</v>
      </c>
      <c r="AW181" s="4" t="s">
        <v>97</v>
      </c>
      <c r="AX181" s="4" t="s">
        <v>97</v>
      </c>
      <c r="AY181" s="4" t="s">
        <v>97</v>
      </c>
      <c r="AZ181" s="4" t="s">
        <v>103</v>
      </c>
      <c r="BA181" s="4" t="s">
        <v>97</v>
      </c>
      <c r="BB181" s="5">
        <v>45907</v>
      </c>
      <c r="BC181" s="5">
        <v>45907</v>
      </c>
      <c r="BD181" s="5">
        <v>45907</v>
      </c>
      <c r="BE181" s="5">
        <v>45909</v>
      </c>
      <c r="BF181" s="4" t="s">
        <v>98</v>
      </c>
      <c r="BG181" s="4" t="s">
        <v>97</v>
      </c>
      <c r="BH181" s="4" t="s">
        <v>103</v>
      </c>
      <c r="BI181" s="4" t="s">
        <v>145</v>
      </c>
    </row>
    <row r="182" spans="1:61" x14ac:dyDescent="0.35">
      <c r="A182" s="8" t="str">
        <f t="shared" si="17"/>
        <v>Semaine 36-2025</v>
      </c>
      <c r="B182" s="8" t="str">
        <f t="shared" si="13"/>
        <v>2025</v>
      </c>
      <c r="C182" s="2" t="s">
        <v>18</v>
      </c>
      <c r="D182" s="6" t="str">
        <f t="shared" si="14"/>
        <v>Dakar</v>
      </c>
      <c r="E182" s="6">
        <f t="shared" si="15"/>
        <v>419489</v>
      </c>
      <c r="F182" s="6">
        <f t="shared" si="16"/>
        <v>4042240</v>
      </c>
      <c r="G182" s="4" t="s">
        <v>590</v>
      </c>
      <c r="H182" s="4" t="s">
        <v>602</v>
      </c>
      <c r="I182" s="4">
        <v>32</v>
      </c>
      <c r="J182" s="4" t="s">
        <v>114</v>
      </c>
      <c r="K182" s="4"/>
      <c r="L182" s="4"/>
      <c r="M182" s="4"/>
      <c r="N182" s="4"/>
      <c r="O182" s="4" t="s">
        <v>238</v>
      </c>
      <c r="P182" s="4" t="s">
        <v>97</v>
      </c>
      <c r="Q182" s="4" t="s">
        <v>97</v>
      </c>
      <c r="R182" s="14" t="s">
        <v>100</v>
      </c>
      <c r="S182" s="14" t="s">
        <v>100</v>
      </c>
      <c r="T182" s="14" t="s">
        <v>100</v>
      </c>
      <c r="U182" s="8"/>
      <c r="V182" s="14"/>
      <c r="W182" s="14"/>
      <c r="X182" s="14"/>
      <c r="Y182" s="5">
        <v>45905</v>
      </c>
      <c r="Z182" s="5">
        <v>45906</v>
      </c>
      <c r="AA182" s="7" t="s">
        <v>103</v>
      </c>
      <c r="AB182" s="7"/>
      <c r="AC182" s="7" t="s">
        <v>97</v>
      </c>
      <c r="AD182" s="7" t="s">
        <v>103</v>
      </c>
      <c r="AE182" s="7" t="s">
        <v>97</v>
      </c>
      <c r="AF182" s="7" t="s">
        <v>103</v>
      </c>
      <c r="AG182" s="7" t="s">
        <v>103</v>
      </c>
      <c r="AH182" s="7" t="s">
        <v>103</v>
      </c>
      <c r="AI182" s="5">
        <v>45905</v>
      </c>
      <c r="AJ182" s="7" t="s">
        <v>97</v>
      </c>
      <c r="AK182" s="7" t="s">
        <v>97</v>
      </c>
      <c r="AL182" s="7" t="s">
        <v>97</v>
      </c>
      <c r="AM182" s="7" t="s">
        <v>103</v>
      </c>
      <c r="AN182" s="7" t="s">
        <v>103</v>
      </c>
      <c r="AO182" s="7" t="s">
        <v>97</v>
      </c>
      <c r="AP182" s="7" t="s">
        <v>97</v>
      </c>
      <c r="AQ182" s="7" t="s">
        <v>97</v>
      </c>
      <c r="AR182" s="7" t="s">
        <v>97</v>
      </c>
      <c r="AS182" s="7" t="s">
        <v>97</v>
      </c>
      <c r="AT182" s="7"/>
      <c r="AU182" s="7"/>
      <c r="AV182" s="4" t="s">
        <v>103</v>
      </c>
      <c r="AW182" s="4" t="s">
        <v>97</v>
      </c>
      <c r="AX182" s="4" t="s">
        <v>97</v>
      </c>
      <c r="AY182" s="4" t="s">
        <v>97</v>
      </c>
      <c r="AZ182" s="4" t="s">
        <v>103</v>
      </c>
      <c r="BA182" s="4" t="s">
        <v>97</v>
      </c>
      <c r="BB182" s="5">
        <v>45906</v>
      </c>
      <c r="BC182" s="5">
        <v>45906</v>
      </c>
      <c r="BD182" s="5">
        <v>45907</v>
      </c>
      <c r="BE182" s="5">
        <v>45909</v>
      </c>
      <c r="BF182" s="4" t="s">
        <v>98</v>
      </c>
      <c r="BG182" s="4" t="s">
        <v>103</v>
      </c>
      <c r="BH182" s="4" t="s">
        <v>103</v>
      </c>
      <c r="BI182" s="4" t="s">
        <v>115</v>
      </c>
    </row>
    <row r="183" spans="1:61" x14ac:dyDescent="0.35">
      <c r="A183" s="8" t="str">
        <f t="shared" si="17"/>
        <v>Semaine 36-2025</v>
      </c>
      <c r="B183" s="8" t="str">
        <f t="shared" si="13"/>
        <v>2025</v>
      </c>
      <c r="C183" s="2" t="s">
        <v>18</v>
      </c>
      <c r="D183" s="6" t="str">
        <f t="shared" si="14"/>
        <v>Dakar</v>
      </c>
      <c r="E183" s="6">
        <f t="shared" si="15"/>
        <v>419489</v>
      </c>
      <c r="F183" s="6">
        <f t="shared" si="16"/>
        <v>4042240</v>
      </c>
      <c r="G183" s="4" t="s">
        <v>591</v>
      </c>
      <c r="H183" s="4" t="s">
        <v>603</v>
      </c>
      <c r="I183" s="4">
        <v>22</v>
      </c>
      <c r="J183" s="4" t="s">
        <v>114</v>
      </c>
      <c r="K183" s="4"/>
      <c r="L183" s="4"/>
      <c r="M183" s="4"/>
      <c r="N183" s="4"/>
      <c r="O183" s="4" t="s">
        <v>238</v>
      </c>
      <c r="P183" s="4" t="s">
        <v>97</v>
      </c>
      <c r="Q183" s="4" t="s">
        <v>97</v>
      </c>
      <c r="R183" s="14" t="s">
        <v>100</v>
      </c>
      <c r="S183" s="14" t="s">
        <v>100</v>
      </c>
      <c r="T183" s="14" t="s">
        <v>100</v>
      </c>
      <c r="U183" s="8"/>
      <c r="V183" s="14"/>
      <c r="W183" s="14"/>
      <c r="X183" s="14"/>
      <c r="Y183" s="5">
        <v>45903</v>
      </c>
      <c r="Z183" s="5">
        <v>45906</v>
      </c>
      <c r="AA183" s="7" t="s">
        <v>103</v>
      </c>
      <c r="AB183" s="7"/>
      <c r="AC183" s="7" t="s">
        <v>103</v>
      </c>
      <c r="AD183" s="7" t="s">
        <v>103</v>
      </c>
      <c r="AE183" s="7" t="s">
        <v>97</v>
      </c>
      <c r="AF183" s="7" t="s">
        <v>103</v>
      </c>
      <c r="AG183" s="7" t="s">
        <v>103</v>
      </c>
      <c r="AH183" s="7" t="s">
        <v>103</v>
      </c>
      <c r="AI183" s="5">
        <v>45905</v>
      </c>
      <c r="AJ183" s="7" t="s">
        <v>97</v>
      </c>
      <c r="AK183" s="7" t="s">
        <v>97</v>
      </c>
      <c r="AL183" s="7" t="s">
        <v>97</v>
      </c>
      <c r="AM183" s="7" t="s">
        <v>103</v>
      </c>
      <c r="AN183" s="7" t="s">
        <v>103</v>
      </c>
      <c r="AO183" s="7" t="s">
        <v>97</v>
      </c>
      <c r="AP183" s="7" t="s">
        <v>97</v>
      </c>
      <c r="AQ183" s="7" t="s">
        <v>97</v>
      </c>
      <c r="AR183" s="7" t="s">
        <v>97</v>
      </c>
      <c r="AS183" s="7" t="s">
        <v>97</v>
      </c>
      <c r="AT183" s="7"/>
      <c r="AU183" s="7"/>
      <c r="AV183" s="4" t="s">
        <v>103</v>
      </c>
      <c r="AW183" s="4" t="s">
        <v>97</v>
      </c>
      <c r="AX183" s="4" t="s">
        <v>97</v>
      </c>
      <c r="AY183" s="4" t="s">
        <v>97</v>
      </c>
      <c r="AZ183" s="4" t="s">
        <v>103</v>
      </c>
      <c r="BA183" s="4" t="s">
        <v>97</v>
      </c>
      <c r="BB183" s="5">
        <v>45906</v>
      </c>
      <c r="BC183" s="5">
        <v>45906</v>
      </c>
      <c r="BD183" s="5">
        <v>45907</v>
      </c>
      <c r="BE183" s="5">
        <v>45909</v>
      </c>
      <c r="BF183" s="4" t="s">
        <v>98</v>
      </c>
      <c r="BG183" s="4" t="s">
        <v>103</v>
      </c>
      <c r="BH183" s="4" t="s">
        <v>103</v>
      </c>
      <c r="BI183" s="4" t="s">
        <v>115</v>
      </c>
    </row>
    <row r="184" spans="1:61" x14ac:dyDescent="0.35">
      <c r="A184" s="8" t="str">
        <f t="shared" si="17"/>
        <v>Semaine 34-2025</v>
      </c>
      <c r="B184" s="8" t="str">
        <f t="shared" si="13"/>
        <v>2025</v>
      </c>
      <c r="C184" s="2" t="s">
        <v>18</v>
      </c>
      <c r="D184" s="6" t="str">
        <f t="shared" si="14"/>
        <v>Dakar</v>
      </c>
      <c r="E184" s="6">
        <f t="shared" si="15"/>
        <v>419489</v>
      </c>
      <c r="F184" s="6">
        <f t="shared" si="16"/>
        <v>4042240</v>
      </c>
      <c r="G184" s="4" t="s">
        <v>592</v>
      </c>
      <c r="H184" s="4" t="s">
        <v>604</v>
      </c>
      <c r="I184" s="4">
        <v>44</v>
      </c>
      <c r="J184" s="4" t="s">
        <v>114</v>
      </c>
      <c r="K184" s="4"/>
      <c r="L184" s="4"/>
      <c r="M184" s="4"/>
      <c r="N184" s="4"/>
      <c r="O184" s="4" t="s">
        <v>238</v>
      </c>
      <c r="P184" s="4" t="s">
        <v>97</v>
      </c>
      <c r="Q184" s="4" t="s">
        <v>97</v>
      </c>
      <c r="R184" s="14" t="s">
        <v>100</v>
      </c>
      <c r="S184" s="14" t="s">
        <v>100</v>
      </c>
      <c r="T184" s="14" t="s">
        <v>100</v>
      </c>
      <c r="U184" s="8"/>
      <c r="V184" s="14"/>
      <c r="W184" s="14"/>
      <c r="X184" s="14"/>
      <c r="Y184" s="5">
        <v>45893</v>
      </c>
      <c r="Z184" s="5">
        <v>45908</v>
      </c>
      <c r="AA184" s="7" t="s">
        <v>97</v>
      </c>
      <c r="AB184" s="7"/>
      <c r="AC184" s="7" t="s">
        <v>97</v>
      </c>
      <c r="AD184" s="7" t="s">
        <v>97</v>
      </c>
      <c r="AE184" s="7" t="s">
        <v>97</v>
      </c>
      <c r="AF184" s="7" t="s">
        <v>97</v>
      </c>
      <c r="AG184" s="7" t="s">
        <v>97</v>
      </c>
      <c r="AH184" s="7" t="s">
        <v>103</v>
      </c>
      <c r="AI184" s="5">
        <v>45893</v>
      </c>
      <c r="AJ184" s="7" t="s">
        <v>103</v>
      </c>
      <c r="AK184" s="7" t="s">
        <v>103</v>
      </c>
      <c r="AL184" s="7" t="s">
        <v>97</v>
      </c>
      <c r="AM184" s="7" t="s">
        <v>97</v>
      </c>
      <c r="AN184" s="7" t="s">
        <v>97</v>
      </c>
      <c r="AO184" s="7" t="s">
        <v>97</v>
      </c>
      <c r="AP184" s="7" t="s">
        <v>103</v>
      </c>
      <c r="AQ184" s="7" t="s">
        <v>97</v>
      </c>
      <c r="AR184" s="7" t="s">
        <v>97</v>
      </c>
      <c r="AS184" s="7" t="s">
        <v>97</v>
      </c>
      <c r="AT184" s="7"/>
      <c r="AU184" s="7"/>
      <c r="AV184" s="4" t="s">
        <v>103</v>
      </c>
      <c r="AW184" s="4" t="s">
        <v>97</v>
      </c>
      <c r="AX184" s="4" t="s">
        <v>97</v>
      </c>
      <c r="AY184" s="4" t="s">
        <v>97</v>
      </c>
      <c r="AZ184" s="4" t="s">
        <v>103</v>
      </c>
      <c r="BA184" s="4" t="s">
        <v>97</v>
      </c>
      <c r="BB184" s="5">
        <v>45908</v>
      </c>
      <c r="BC184" s="5">
        <v>45908</v>
      </c>
      <c r="BD184" s="5">
        <v>45908</v>
      </c>
      <c r="BE184" s="5">
        <v>45909</v>
      </c>
      <c r="BF184" s="4" t="s">
        <v>98</v>
      </c>
      <c r="BG184" s="4" t="s">
        <v>97</v>
      </c>
      <c r="BH184" s="4" t="s">
        <v>103</v>
      </c>
      <c r="BI184" s="4" t="s">
        <v>115</v>
      </c>
    </row>
    <row r="185" spans="1:61" x14ac:dyDescent="0.35">
      <c r="A185" s="8" t="str">
        <f t="shared" si="17"/>
        <v>Semaine 34-2025</v>
      </c>
      <c r="B185" s="8" t="str">
        <f t="shared" si="13"/>
        <v>2025</v>
      </c>
      <c r="C185" s="2" t="s">
        <v>37</v>
      </c>
      <c r="D185" s="6" t="str">
        <f t="shared" si="14"/>
        <v>Dakar</v>
      </c>
      <c r="E185" s="6">
        <f t="shared" si="15"/>
        <v>301226</v>
      </c>
      <c r="F185" s="6">
        <f t="shared" si="16"/>
        <v>4042240</v>
      </c>
      <c r="G185" s="4" t="s">
        <v>593</v>
      </c>
      <c r="H185" s="4" t="s">
        <v>605</v>
      </c>
      <c r="I185" s="4">
        <v>33</v>
      </c>
      <c r="J185" s="4" t="s">
        <v>96</v>
      </c>
      <c r="K185" s="4"/>
      <c r="L185" s="4"/>
      <c r="M185" s="4"/>
      <c r="N185" s="4"/>
      <c r="O185" s="4" t="s">
        <v>238</v>
      </c>
      <c r="P185" s="4" t="s">
        <v>97</v>
      </c>
      <c r="Q185" s="4" t="s">
        <v>97</v>
      </c>
      <c r="R185" s="14" t="s">
        <v>100</v>
      </c>
      <c r="S185" s="14" t="s">
        <v>100</v>
      </c>
      <c r="T185" s="14" t="s">
        <v>100</v>
      </c>
      <c r="U185" s="8"/>
      <c r="V185" s="14"/>
      <c r="W185" s="14"/>
      <c r="X185" s="14"/>
      <c r="Y185" s="5">
        <v>45893</v>
      </c>
      <c r="Z185" s="5">
        <v>45908</v>
      </c>
      <c r="AA185" s="7" t="s">
        <v>97</v>
      </c>
      <c r="AB185" s="7"/>
      <c r="AC185" s="7" t="s">
        <v>103</v>
      </c>
      <c r="AD185" s="7" t="s">
        <v>97</v>
      </c>
      <c r="AE185" s="7" t="s">
        <v>97</v>
      </c>
      <c r="AF185" s="7" t="s">
        <v>103</v>
      </c>
      <c r="AG185" s="7" t="s">
        <v>97</v>
      </c>
      <c r="AH185" s="7" t="s">
        <v>103</v>
      </c>
      <c r="AI185" s="5">
        <v>45893</v>
      </c>
      <c r="AJ185" s="7" t="s">
        <v>97</v>
      </c>
      <c r="AK185" s="7" t="s">
        <v>97</v>
      </c>
      <c r="AL185" s="7" t="s">
        <v>103</v>
      </c>
      <c r="AM185" s="7" t="s">
        <v>97</v>
      </c>
      <c r="AN185" s="7" t="s">
        <v>103</v>
      </c>
      <c r="AO185" s="7" t="s">
        <v>97</v>
      </c>
      <c r="AP185" s="7" t="s">
        <v>97</v>
      </c>
      <c r="AQ185" s="7" t="s">
        <v>97</v>
      </c>
      <c r="AR185" s="7" t="s">
        <v>97</v>
      </c>
      <c r="AS185" s="7" t="s">
        <v>97</v>
      </c>
      <c r="AT185" s="7"/>
      <c r="AU185" s="7"/>
      <c r="AV185" s="4" t="s">
        <v>103</v>
      </c>
      <c r="AW185" s="4" t="s">
        <v>97</v>
      </c>
      <c r="AX185" s="4" t="s">
        <v>97</v>
      </c>
      <c r="AY185" s="4" t="s">
        <v>97</v>
      </c>
      <c r="AZ185" s="4" t="s">
        <v>103</v>
      </c>
      <c r="BA185" s="4" t="s">
        <v>97</v>
      </c>
      <c r="BB185" s="5">
        <v>45908</v>
      </c>
      <c r="BC185" s="5">
        <v>45908</v>
      </c>
      <c r="BD185" s="5">
        <v>45908</v>
      </c>
      <c r="BE185" s="5">
        <v>45909</v>
      </c>
      <c r="BF185" s="4" t="s">
        <v>98</v>
      </c>
      <c r="BG185" s="4" t="s">
        <v>97</v>
      </c>
      <c r="BH185" s="4" t="s">
        <v>103</v>
      </c>
      <c r="BI185" s="4" t="s">
        <v>115</v>
      </c>
    </row>
    <row r="186" spans="1:61" x14ac:dyDescent="0.35">
      <c r="A186" s="8" t="str">
        <f t="shared" si="17"/>
        <v>Semaine 36-2025</v>
      </c>
      <c r="B186" s="8" t="str">
        <f t="shared" si="13"/>
        <v>2025</v>
      </c>
      <c r="C186" s="2" t="s">
        <v>18</v>
      </c>
      <c r="D186" s="6" t="str">
        <f t="shared" si="14"/>
        <v>Dakar</v>
      </c>
      <c r="E186" s="6">
        <f t="shared" si="15"/>
        <v>419489</v>
      </c>
      <c r="F186" s="6">
        <f t="shared" si="16"/>
        <v>4042240</v>
      </c>
      <c r="G186" s="4" t="s">
        <v>594</v>
      </c>
      <c r="H186" s="4" t="s">
        <v>606</v>
      </c>
      <c r="I186" s="4">
        <v>42</v>
      </c>
      <c r="J186" s="4" t="s">
        <v>96</v>
      </c>
      <c r="K186" s="4"/>
      <c r="L186" s="4"/>
      <c r="M186" s="4"/>
      <c r="N186" s="4"/>
      <c r="O186" s="4" t="s">
        <v>238</v>
      </c>
      <c r="P186" s="4" t="s">
        <v>97</v>
      </c>
      <c r="Q186" s="4" t="s">
        <v>97</v>
      </c>
      <c r="R186" s="14" t="s">
        <v>100</v>
      </c>
      <c r="S186" s="14" t="s">
        <v>100</v>
      </c>
      <c r="T186" s="14" t="s">
        <v>100</v>
      </c>
      <c r="U186" s="8"/>
      <c r="V186" s="14"/>
      <c r="W186" s="14"/>
      <c r="X186" s="14"/>
      <c r="Y186" s="5">
        <v>45906</v>
      </c>
      <c r="Z186" s="5">
        <v>45908</v>
      </c>
      <c r="AA186" s="7" t="s">
        <v>103</v>
      </c>
      <c r="AB186" s="7"/>
      <c r="AC186" s="7" t="s">
        <v>103</v>
      </c>
      <c r="AD186" s="7" t="s">
        <v>97</v>
      </c>
      <c r="AE186" s="7" t="s">
        <v>97</v>
      </c>
      <c r="AF186" s="7" t="s">
        <v>97</v>
      </c>
      <c r="AG186" s="7" t="s">
        <v>103</v>
      </c>
      <c r="AH186" s="7" t="s">
        <v>103</v>
      </c>
      <c r="AI186" s="5">
        <v>45906</v>
      </c>
      <c r="AJ186" s="7" t="s">
        <v>97</v>
      </c>
      <c r="AK186" s="7" t="s">
        <v>97</v>
      </c>
      <c r="AL186" s="7" t="s">
        <v>103</v>
      </c>
      <c r="AM186" s="7" t="s">
        <v>97</v>
      </c>
      <c r="AN186" s="7" t="s">
        <v>103</v>
      </c>
      <c r="AO186" s="7" t="s">
        <v>97</v>
      </c>
      <c r="AP186" s="7" t="s">
        <v>97</v>
      </c>
      <c r="AQ186" s="7" t="s">
        <v>97</v>
      </c>
      <c r="AR186" s="7" t="s">
        <v>97</v>
      </c>
      <c r="AS186" s="7" t="s">
        <v>97</v>
      </c>
      <c r="AT186" s="7"/>
      <c r="AU186" s="7"/>
      <c r="AV186" s="4" t="s">
        <v>103</v>
      </c>
      <c r="AW186" s="4" t="s">
        <v>97</v>
      </c>
      <c r="AX186" s="4" t="s">
        <v>97</v>
      </c>
      <c r="AY186" s="4" t="s">
        <v>97</v>
      </c>
      <c r="AZ186" s="4" t="s">
        <v>103</v>
      </c>
      <c r="BA186" s="4" t="s">
        <v>97</v>
      </c>
      <c r="BB186" s="5">
        <v>45908</v>
      </c>
      <c r="BC186" s="5">
        <v>45908</v>
      </c>
      <c r="BD186" s="5">
        <v>45909</v>
      </c>
      <c r="BE186" s="5">
        <v>45909</v>
      </c>
      <c r="BF186" s="4" t="s">
        <v>98</v>
      </c>
      <c r="BG186" s="4" t="s">
        <v>97</v>
      </c>
      <c r="BH186" s="4" t="s">
        <v>103</v>
      </c>
      <c r="BI186" s="4" t="s">
        <v>115</v>
      </c>
    </row>
    <row r="187" spans="1:61" x14ac:dyDescent="0.35">
      <c r="A187" s="8" t="str">
        <f t="shared" si="17"/>
        <v>Semaine 35-2025</v>
      </c>
      <c r="B187" s="8" t="str">
        <f t="shared" si="13"/>
        <v>2025</v>
      </c>
      <c r="C187" s="2" t="s">
        <v>75</v>
      </c>
      <c r="D187" s="6" t="str">
        <f t="shared" si="14"/>
        <v>Diourbel</v>
      </c>
      <c r="E187" s="6">
        <f t="shared" si="15"/>
        <v>996481</v>
      </c>
      <c r="F187" s="6">
        <f t="shared" si="16"/>
        <v>1980827</v>
      </c>
      <c r="G187" s="4" t="s">
        <v>607</v>
      </c>
      <c r="H187" s="4" t="s">
        <v>608</v>
      </c>
      <c r="I187" s="4">
        <v>8</v>
      </c>
      <c r="J187" s="4" t="s">
        <v>96</v>
      </c>
      <c r="K187" s="4"/>
      <c r="L187" s="4"/>
      <c r="M187" s="4"/>
      <c r="N187" s="4"/>
      <c r="O187" s="4" t="s">
        <v>238</v>
      </c>
      <c r="P187" s="4" t="s">
        <v>97</v>
      </c>
      <c r="Q187" s="4" t="s">
        <v>97</v>
      </c>
      <c r="R187" s="14" t="s">
        <v>100</v>
      </c>
      <c r="S187" s="14" t="s">
        <v>100</v>
      </c>
      <c r="T187" s="14" t="s">
        <v>100</v>
      </c>
      <c r="U187" s="8"/>
      <c r="V187" s="14"/>
      <c r="W187" s="14"/>
      <c r="X187" s="14"/>
      <c r="Y187" s="5">
        <v>45895</v>
      </c>
      <c r="Z187" s="5">
        <v>45901</v>
      </c>
      <c r="AA187" s="7" t="s">
        <v>97</v>
      </c>
      <c r="AB187" s="7" t="s">
        <v>609</v>
      </c>
      <c r="AC187" s="7" t="s">
        <v>97</v>
      </c>
      <c r="AD187" s="7" t="s">
        <v>97</v>
      </c>
      <c r="AE187" s="7" t="s">
        <v>97</v>
      </c>
      <c r="AF187" s="7" t="s">
        <v>97</v>
      </c>
      <c r="AG187" s="7" t="s">
        <v>97</v>
      </c>
      <c r="AH187" s="7" t="s">
        <v>103</v>
      </c>
      <c r="AI187" s="5">
        <v>45895</v>
      </c>
      <c r="AJ187" s="7" t="s">
        <v>103</v>
      </c>
      <c r="AK187" s="7" t="s">
        <v>103</v>
      </c>
      <c r="AL187" s="7" t="s">
        <v>97</v>
      </c>
      <c r="AM187" s="7" t="s">
        <v>103</v>
      </c>
      <c r="AN187" s="7" t="s">
        <v>97</v>
      </c>
      <c r="AO187" s="7" t="s">
        <v>97</v>
      </c>
      <c r="AP187" s="7" t="s">
        <v>97</v>
      </c>
      <c r="AQ187" s="7" t="s">
        <v>97</v>
      </c>
      <c r="AR187" s="7" t="s">
        <v>97</v>
      </c>
      <c r="AS187" s="7" t="s">
        <v>97</v>
      </c>
      <c r="AT187" s="7"/>
      <c r="AU187" s="7"/>
      <c r="AV187" s="4" t="s">
        <v>103</v>
      </c>
      <c r="AW187" s="4" t="s">
        <v>97</v>
      </c>
      <c r="AX187" s="4" t="s">
        <v>97</v>
      </c>
      <c r="AY187" s="4" t="s">
        <v>97</v>
      </c>
      <c r="AZ187" s="4" t="s">
        <v>97</v>
      </c>
      <c r="BA187" s="4" t="s">
        <v>97</v>
      </c>
      <c r="BB187" s="5">
        <v>45901</v>
      </c>
      <c r="BC187" s="5">
        <v>45908</v>
      </c>
      <c r="BD187" s="5">
        <v>45909</v>
      </c>
      <c r="BE187" s="5">
        <v>45909</v>
      </c>
      <c r="BF187" s="4" t="s">
        <v>98</v>
      </c>
      <c r="BG187" s="4" t="s">
        <v>97</v>
      </c>
      <c r="BH187" s="4" t="s">
        <v>103</v>
      </c>
      <c r="BI187" s="4" t="s">
        <v>115</v>
      </c>
    </row>
    <row r="188" spans="1:61" x14ac:dyDescent="0.35">
      <c r="A188" s="8" t="str">
        <f t="shared" si="17"/>
        <v>Semaine 36-2025</v>
      </c>
      <c r="B188" s="8" t="str">
        <f t="shared" si="13"/>
        <v>2025</v>
      </c>
      <c r="C188" s="2" t="s">
        <v>23</v>
      </c>
      <c r="D188" s="6" t="str">
        <f t="shared" si="14"/>
        <v>Dakar</v>
      </c>
      <c r="E188" s="6">
        <f t="shared" si="15"/>
        <v>167577</v>
      </c>
      <c r="F188" s="6">
        <f t="shared" si="16"/>
        <v>4042240</v>
      </c>
      <c r="G188" s="4" t="s">
        <v>611</v>
      </c>
      <c r="H188" s="4" t="s">
        <v>617</v>
      </c>
      <c r="I188" s="4">
        <v>25</v>
      </c>
      <c r="J188" s="4" t="s">
        <v>114</v>
      </c>
      <c r="K188" s="4"/>
      <c r="L188" s="4"/>
      <c r="M188" s="4"/>
      <c r="N188" s="4"/>
      <c r="O188" s="4" t="s">
        <v>238</v>
      </c>
      <c r="P188" s="4" t="s">
        <v>97</v>
      </c>
      <c r="Q188" s="4" t="s">
        <v>97</v>
      </c>
      <c r="R188" s="14" t="s">
        <v>100</v>
      </c>
      <c r="S188" s="14" t="s">
        <v>100</v>
      </c>
      <c r="T188" s="14" t="s">
        <v>100</v>
      </c>
      <c r="U188" s="8"/>
      <c r="V188" s="14"/>
      <c r="W188" s="14"/>
      <c r="X188" s="14"/>
      <c r="Y188" s="5">
        <v>45907</v>
      </c>
      <c r="Z188" s="5">
        <v>45909</v>
      </c>
      <c r="AA188" s="7" t="s">
        <v>103</v>
      </c>
      <c r="AB188" s="7"/>
      <c r="AC188" s="7" t="s">
        <v>97</v>
      </c>
      <c r="AD188" s="7" t="s">
        <v>97</v>
      </c>
      <c r="AE188" s="7" t="s">
        <v>97</v>
      </c>
      <c r="AF188" s="7" t="s">
        <v>97</v>
      </c>
      <c r="AG188" s="7" t="s">
        <v>97</v>
      </c>
      <c r="AH188" s="7" t="s">
        <v>103</v>
      </c>
      <c r="AI188" s="5">
        <v>45907</v>
      </c>
      <c r="AJ188" s="7" t="s">
        <v>97</v>
      </c>
      <c r="AK188" s="7" t="s">
        <v>97</v>
      </c>
      <c r="AL188" s="7" t="s">
        <v>97</v>
      </c>
      <c r="AM188" s="7" t="s">
        <v>97</v>
      </c>
      <c r="AN188" s="7" t="s">
        <v>97</v>
      </c>
      <c r="AO188" s="7" t="s">
        <v>97</v>
      </c>
      <c r="AP188" s="7" t="s">
        <v>97</v>
      </c>
      <c r="AQ188" s="7" t="s">
        <v>97</v>
      </c>
      <c r="AR188" s="7" t="s">
        <v>97</v>
      </c>
      <c r="AS188" s="7" t="s">
        <v>97</v>
      </c>
      <c r="AT188" s="7"/>
      <c r="AU188" s="7"/>
      <c r="AV188" s="4" t="s">
        <v>97</v>
      </c>
      <c r="AW188" s="4" t="s">
        <v>97</v>
      </c>
      <c r="AX188" s="4" t="s">
        <v>97</v>
      </c>
      <c r="AY188" s="4" t="s">
        <v>97</v>
      </c>
      <c r="AZ188" s="4" t="s">
        <v>103</v>
      </c>
      <c r="BA188" s="4" t="s">
        <v>97</v>
      </c>
      <c r="BB188" s="5">
        <v>45909</v>
      </c>
      <c r="BC188" s="5">
        <v>45910</v>
      </c>
      <c r="BD188" s="5">
        <v>45910</v>
      </c>
      <c r="BE188" s="5">
        <v>45911</v>
      </c>
      <c r="BF188" s="4" t="s">
        <v>98</v>
      </c>
      <c r="BG188" s="4" t="s">
        <v>103</v>
      </c>
      <c r="BH188" s="4" t="s">
        <v>103</v>
      </c>
      <c r="BI188" s="4" t="s">
        <v>145</v>
      </c>
    </row>
    <row r="189" spans="1:61" x14ac:dyDescent="0.35">
      <c r="A189" s="8" t="str">
        <f t="shared" si="17"/>
        <v>Semaine 36-2025</v>
      </c>
      <c r="B189" s="8" t="str">
        <f t="shared" si="13"/>
        <v>2025</v>
      </c>
      <c r="C189" s="2" t="s">
        <v>23</v>
      </c>
      <c r="D189" s="6" t="str">
        <f t="shared" si="14"/>
        <v>Dakar</v>
      </c>
      <c r="E189" s="6">
        <f t="shared" si="15"/>
        <v>167577</v>
      </c>
      <c r="F189" s="6">
        <f t="shared" si="16"/>
        <v>4042240</v>
      </c>
      <c r="G189" s="4" t="s">
        <v>612</v>
      </c>
      <c r="H189" s="4" t="s">
        <v>618</v>
      </c>
      <c r="I189" s="4">
        <v>20</v>
      </c>
      <c r="J189" s="4" t="s">
        <v>114</v>
      </c>
      <c r="K189" s="4"/>
      <c r="L189" s="4"/>
      <c r="M189" s="4"/>
      <c r="N189" s="4"/>
      <c r="O189" s="4" t="s">
        <v>238</v>
      </c>
      <c r="P189" s="4" t="s">
        <v>97</v>
      </c>
      <c r="Q189" s="4" t="s">
        <v>97</v>
      </c>
      <c r="R189" s="14" t="s">
        <v>100</v>
      </c>
      <c r="S189" s="14" t="s">
        <v>100</v>
      </c>
      <c r="T189" s="14" t="s">
        <v>100</v>
      </c>
      <c r="U189" s="8"/>
      <c r="V189" s="14"/>
      <c r="W189" s="14"/>
      <c r="X189" s="14"/>
      <c r="Y189" s="5">
        <v>45907</v>
      </c>
      <c r="Z189" s="5">
        <v>45909</v>
      </c>
      <c r="AA189" s="7" t="s">
        <v>103</v>
      </c>
      <c r="AB189" s="7"/>
      <c r="AC189" s="7" t="s">
        <v>97</v>
      </c>
      <c r="AD189" s="7" t="s">
        <v>97</v>
      </c>
      <c r="AE189" s="7" t="s">
        <v>97</v>
      </c>
      <c r="AF189" s="7" t="s">
        <v>97</v>
      </c>
      <c r="AG189" s="7" t="s">
        <v>97</v>
      </c>
      <c r="AH189" s="7" t="s">
        <v>103</v>
      </c>
      <c r="AI189" s="5">
        <v>45907</v>
      </c>
      <c r="AJ189" s="7" t="s">
        <v>97</v>
      </c>
      <c r="AK189" s="7" t="s">
        <v>97</v>
      </c>
      <c r="AL189" s="7" t="s">
        <v>103</v>
      </c>
      <c r="AM189" s="7" t="s">
        <v>103</v>
      </c>
      <c r="AN189" s="7" t="s">
        <v>103</v>
      </c>
      <c r="AO189" s="7" t="s">
        <v>97</v>
      </c>
      <c r="AP189" s="7" t="s">
        <v>97</v>
      </c>
      <c r="AQ189" s="7" t="s">
        <v>97</v>
      </c>
      <c r="AR189" s="7" t="s">
        <v>97</v>
      </c>
      <c r="AS189" s="7" t="s">
        <v>97</v>
      </c>
      <c r="AT189" s="7"/>
      <c r="AU189" s="7"/>
      <c r="AV189" s="4" t="s">
        <v>103</v>
      </c>
      <c r="AW189" s="4" t="s">
        <v>97</v>
      </c>
      <c r="AX189" s="4" t="s">
        <v>97</v>
      </c>
      <c r="AY189" s="4" t="s">
        <v>97</v>
      </c>
      <c r="AZ189" s="4" t="s">
        <v>103</v>
      </c>
      <c r="BA189" s="4" t="s">
        <v>97</v>
      </c>
      <c r="BB189" s="5">
        <v>45909</v>
      </c>
      <c r="BC189" s="5">
        <v>45910</v>
      </c>
      <c r="BD189" s="5">
        <v>45910</v>
      </c>
      <c r="BE189" s="5">
        <v>45911</v>
      </c>
      <c r="BF189" s="4" t="s">
        <v>98</v>
      </c>
      <c r="BG189" s="4" t="s">
        <v>103</v>
      </c>
      <c r="BH189" s="4" t="s">
        <v>103</v>
      </c>
      <c r="BI189" s="4" t="s">
        <v>115</v>
      </c>
    </row>
    <row r="190" spans="1:61" x14ac:dyDescent="0.35">
      <c r="A190" s="8" t="str">
        <f t="shared" si="17"/>
        <v>Semaine 35-2025</v>
      </c>
      <c r="B190" s="8" t="str">
        <f t="shared" si="13"/>
        <v>2025</v>
      </c>
      <c r="C190" s="2" t="s">
        <v>2</v>
      </c>
      <c r="D190" s="6" t="str">
        <f t="shared" si="14"/>
        <v>Fatick</v>
      </c>
      <c r="E190" s="6">
        <f t="shared" si="15"/>
        <v>151740</v>
      </c>
      <c r="F190" s="6">
        <f t="shared" si="16"/>
        <v>965914</v>
      </c>
      <c r="G190" s="4" t="s">
        <v>613</v>
      </c>
      <c r="H190" s="4" t="s">
        <v>619</v>
      </c>
      <c r="I190" s="4">
        <v>1</v>
      </c>
      <c r="J190" s="4" t="s">
        <v>96</v>
      </c>
      <c r="K190" s="4"/>
      <c r="L190" s="4"/>
      <c r="M190" s="4"/>
      <c r="N190" s="4"/>
      <c r="O190" s="4" t="s">
        <v>238</v>
      </c>
      <c r="P190" s="4" t="s">
        <v>97</v>
      </c>
      <c r="Q190" s="4" t="s">
        <v>97</v>
      </c>
      <c r="R190" s="14" t="s">
        <v>100</v>
      </c>
      <c r="S190" s="14" t="s">
        <v>100</v>
      </c>
      <c r="T190" s="14" t="s">
        <v>100</v>
      </c>
      <c r="U190" s="8"/>
      <c r="V190" s="14"/>
      <c r="W190" s="14"/>
      <c r="X190" s="14"/>
      <c r="Y190" s="5">
        <v>45900</v>
      </c>
      <c r="Z190" s="5">
        <v>45904</v>
      </c>
      <c r="AA190" s="7" t="s">
        <v>103</v>
      </c>
      <c r="AB190" s="7" t="s">
        <v>272</v>
      </c>
      <c r="AC190" s="7" t="s">
        <v>97</v>
      </c>
      <c r="AD190" s="7" t="s">
        <v>97</v>
      </c>
      <c r="AE190" s="7" t="s">
        <v>97</v>
      </c>
      <c r="AF190" s="7" t="s">
        <v>97</v>
      </c>
      <c r="AG190" s="7" t="s">
        <v>97</v>
      </c>
      <c r="AH190" s="7" t="s">
        <v>103</v>
      </c>
      <c r="AI190" s="5">
        <v>45901</v>
      </c>
      <c r="AJ190" s="7" t="s">
        <v>103</v>
      </c>
      <c r="AK190" s="7" t="s">
        <v>97</v>
      </c>
      <c r="AL190" s="7" t="s">
        <v>103</v>
      </c>
      <c r="AM190" s="7" t="s">
        <v>103</v>
      </c>
      <c r="AN190" s="7" t="s">
        <v>103</v>
      </c>
      <c r="AO190" s="7" t="s">
        <v>97</v>
      </c>
      <c r="AP190" s="7" t="s">
        <v>97</v>
      </c>
      <c r="AQ190" s="7" t="s">
        <v>97</v>
      </c>
      <c r="AR190" s="7" t="s">
        <v>97</v>
      </c>
      <c r="AS190" s="7" t="s">
        <v>103</v>
      </c>
      <c r="AT190" s="7" t="s">
        <v>173</v>
      </c>
      <c r="AU190" s="7"/>
      <c r="AV190" s="4" t="s">
        <v>103</v>
      </c>
      <c r="AW190" s="4" t="s">
        <v>97</v>
      </c>
      <c r="AX190" s="4" t="s">
        <v>97</v>
      </c>
      <c r="AY190" s="4" t="s">
        <v>97</v>
      </c>
      <c r="AZ190" s="4" t="s">
        <v>97</v>
      </c>
      <c r="BA190" s="4" t="s">
        <v>97</v>
      </c>
      <c r="BB190" s="5">
        <v>45904</v>
      </c>
      <c r="BC190" s="5">
        <v>45904</v>
      </c>
      <c r="BD190" s="5">
        <v>45910</v>
      </c>
      <c r="BE190" s="5">
        <v>45911</v>
      </c>
      <c r="BF190" s="4" t="s">
        <v>98</v>
      </c>
      <c r="BG190" s="4" t="s">
        <v>97</v>
      </c>
      <c r="BH190" s="4" t="s">
        <v>97</v>
      </c>
      <c r="BI190" s="4" t="s">
        <v>115</v>
      </c>
    </row>
    <row r="191" spans="1:61" x14ac:dyDescent="0.35">
      <c r="A191" s="8" t="str">
        <f t="shared" si="17"/>
        <v>Semaine 35-2025</v>
      </c>
      <c r="B191" s="8" t="str">
        <f t="shared" si="13"/>
        <v>2025</v>
      </c>
      <c r="C191" s="2" t="s">
        <v>67</v>
      </c>
      <c r="D191" s="6" t="str">
        <f t="shared" si="14"/>
        <v>Kedougou</v>
      </c>
      <c r="E191" s="6">
        <f t="shared" si="15"/>
        <v>29759</v>
      </c>
      <c r="F191" s="6">
        <f t="shared" si="16"/>
        <v>203720</v>
      </c>
      <c r="G191" s="4" t="s">
        <v>614</v>
      </c>
      <c r="H191" s="4" t="s">
        <v>620</v>
      </c>
      <c r="I191" s="4">
        <v>3</v>
      </c>
      <c r="J191" s="4" t="s">
        <v>114</v>
      </c>
      <c r="K191" s="4"/>
      <c r="L191" s="4"/>
      <c r="M191" s="4"/>
      <c r="N191" s="4"/>
      <c r="O191" s="4" t="s">
        <v>238</v>
      </c>
      <c r="P191" s="4" t="s">
        <v>97</v>
      </c>
      <c r="Q191" s="4" t="s">
        <v>97</v>
      </c>
      <c r="R191" s="14" t="s">
        <v>100</v>
      </c>
      <c r="S191" s="14" t="s">
        <v>100</v>
      </c>
      <c r="T191" s="14" t="s">
        <v>100</v>
      </c>
      <c r="U191" s="8"/>
      <c r="V191" s="14"/>
      <c r="W191" s="14"/>
      <c r="X191" s="14"/>
      <c r="Y191" s="5">
        <v>45898</v>
      </c>
      <c r="Z191" s="5">
        <v>45904</v>
      </c>
      <c r="AA191" s="7" t="s">
        <v>97</v>
      </c>
      <c r="AB191" s="7" t="s">
        <v>621</v>
      </c>
      <c r="AC191" s="7" t="s">
        <v>97</v>
      </c>
      <c r="AD191" s="7" t="s">
        <v>97</v>
      </c>
      <c r="AE191" s="7" t="s">
        <v>97</v>
      </c>
      <c r="AF191" s="7" t="s">
        <v>97</v>
      </c>
      <c r="AG191" s="7" t="s">
        <v>97</v>
      </c>
      <c r="AH191" s="7" t="s">
        <v>103</v>
      </c>
      <c r="AI191" s="5">
        <v>45898</v>
      </c>
      <c r="AJ191" s="7" t="s">
        <v>97</v>
      </c>
      <c r="AK191" s="7" t="s">
        <v>97</v>
      </c>
      <c r="AL191" s="7" t="s">
        <v>97</v>
      </c>
      <c r="AM191" s="7" t="s">
        <v>103</v>
      </c>
      <c r="AN191" s="7" t="s">
        <v>103</v>
      </c>
      <c r="AO191" s="7" t="s">
        <v>97</v>
      </c>
      <c r="AP191" s="7" t="s">
        <v>103</v>
      </c>
      <c r="AQ191" s="7" t="s">
        <v>103</v>
      </c>
      <c r="AR191" s="7" t="s">
        <v>103</v>
      </c>
      <c r="AS191" s="7" t="s">
        <v>97</v>
      </c>
      <c r="AT191" s="7"/>
      <c r="AU191" s="7"/>
      <c r="AV191" s="4" t="s">
        <v>103</v>
      </c>
      <c r="AW191" s="4" t="s">
        <v>97</v>
      </c>
      <c r="AX191" s="4" t="s">
        <v>97</v>
      </c>
      <c r="AY191" s="4" t="s">
        <v>97</v>
      </c>
      <c r="AZ191" s="4" t="s">
        <v>97</v>
      </c>
      <c r="BA191" s="4" t="s">
        <v>97</v>
      </c>
      <c r="BB191" s="5">
        <v>45904</v>
      </c>
      <c r="BC191" s="5">
        <v>45909</v>
      </c>
      <c r="BD191" s="5">
        <v>45910</v>
      </c>
      <c r="BE191" s="5">
        <v>45911</v>
      </c>
      <c r="BF191" s="4" t="s">
        <v>98</v>
      </c>
      <c r="BG191" s="4" t="s">
        <v>97</v>
      </c>
      <c r="BH191" s="4" t="s">
        <v>103</v>
      </c>
      <c r="BI191" s="4" t="s">
        <v>115</v>
      </c>
    </row>
    <row r="192" spans="1:61" x14ac:dyDescent="0.35">
      <c r="A192" s="8" t="str">
        <f t="shared" si="17"/>
        <v>Semaine 35-2025</v>
      </c>
      <c r="B192" s="8" t="str">
        <f t="shared" si="13"/>
        <v>2025</v>
      </c>
      <c r="C192" s="2" t="s">
        <v>24</v>
      </c>
      <c r="D192" s="6" t="str">
        <f t="shared" si="14"/>
        <v>Tambacounda</v>
      </c>
      <c r="E192" s="6">
        <f t="shared" si="15"/>
        <v>57207</v>
      </c>
      <c r="F192" s="6">
        <f t="shared" si="16"/>
        <v>937181</v>
      </c>
      <c r="G192" s="4" t="s">
        <v>615</v>
      </c>
      <c r="H192" s="4" t="s">
        <v>622</v>
      </c>
      <c r="I192" s="4">
        <v>1</v>
      </c>
      <c r="J192" s="4" t="s">
        <v>96</v>
      </c>
      <c r="K192" s="4"/>
      <c r="L192" s="4"/>
      <c r="M192" s="4"/>
      <c r="N192" s="4"/>
      <c r="O192" s="4" t="s">
        <v>238</v>
      </c>
      <c r="P192" s="4" t="s">
        <v>97</v>
      </c>
      <c r="Q192" s="4" t="s">
        <v>97</v>
      </c>
      <c r="R192" s="14" t="s">
        <v>100</v>
      </c>
      <c r="S192" s="14" t="s">
        <v>100</v>
      </c>
      <c r="T192" s="14" t="s">
        <v>100</v>
      </c>
      <c r="U192" s="8"/>
      <c r="V192" s="14"/>
      <c r="W192" s="14"/>
      <c r="X192" s="14"/>
      <c r="Y192" s="5">
        <v>45897</v>
      </c>
      <c r="Z192" s="5">
        <v>45901</v>
      </c>
      <c r="AA192" s="7" t="s">
        <v>103</v>
      </c>
      <c r="AB192" s="7"/>
      <c r="AC192" s="7" t="s">
        <v>97</v>
      </c>
      <c r="AD192" s="7" t="s">
        <v>97</v>
      </c>
      <c r="AE192" s="7" t="s">
        <v>97</v>
      </c>
      <c r="AF192" s="7" t="s">
        <v>97</v>
      </c>
      <c r="AG192" s="7" t="s">
        <v>97</v>
      </c>
      <c r="AH192" s="7" t="s">
        <v>103</v>
      </c>
      <c r="AI192" s="5">
        <v>45900</v>
      </c>
      <c r="AJ192" s="7" t="s">
        <v>103</v>
      </c>
      <c r="AK192" s="7" t="s">
        <v>103</v>
      </c>
      <c r="AL192" s="7" t="s">
        <v>97</v>
      </c>
      <c r="AM192" s="7" t="s">
        <v>97</v>
      </c>
      <c r="AN192" s="7" t="s">
        <v>103</v>
      </c>
      <c r="AO192" s="7" t="s">
        <v>97</v>
      </c>
      <c r="AP192" s="7" t="s">
        <v>97</v>
      </c>
      <c r="AQ192" s="7" t="s">
        <v>97</v>
      </c>
      <c r="AR192" s="7" t="s">
        <v>97</v>
      </c>
      <c r="AS192" s="7" t="s">
        <v>97</v>
      </c>
      <c r="AT192" s="7"/>
      <c r="AU192" s="7"/>
      <c r="AV192" s="4" t="s">
        <v>103</v>
      </c>
      <c r="AW192" s="4" t="s">
        <v>97</v>
      </c>
      <c r="AX192" s="4" t="s">
        <v>97</v>
      </c>
      <c r="AY192" s="4" t="s">
        <v>97</v>
      </c>
      <c r="AZ192" s="4" t="s">
        <v>103</v>
      </c>
      <c r="BA192" s="4" t="s">
        <v>97</v>
      </c>
      <c r="BB192" s="5">
        <v>45901</v>
      </c>
      <c r="BC192" s="5">
        <v>45909</v>
      </c>
      <c r="BD192" s="5">
        <v>45910</v>
      </c>
      <c r="BE192" s="5">
        <v>45911</v>
      </c>
      <c r="BF192" s="4" t="s">
        <v>98</v>
      </c>
      <c r="BG192" s="4" t="s">
        <v>97</v>
      </c>
      <c r="BH192" s="4" t="s">
        <v>103</v>
      </c>
      <c r="BI192" s="4" t="s">
        <v>115</v>
      </c>
    </row>
    <row r="193" spans="1:61" x14ac:dyDescent="0.35">
      <c r="A193" s="8" t="str">
        <f t="shared" si="17"/>
        <v>Semaine 35-2025</v>
      </c>
      <c r="B193" s="8" t="str">
        <f t="shared" si="13"/>
        <v>2025</v>
      </c>
      <c r="C193" s="2" t="s">
        <v>24</v>
      </c>
      <c r="D193" s="6" t="str">
        <f t="shared" si="14"/>
        <v>Tambacounda</v>
      </c>
      <c r="E193" s="6">
        <f t="shared" si="15"/>
        <v>57207</v>
      </c>
      <c r="F193" s="6">
        <f t="shared" si="16"/>
        <v>937181</v>
      </c>
      <c r="G193" s="4" t="s">
        <v>616</v>
      </c>
      <c r="H193" s="4" t="s">
        <v>623</v>
      </c>
      <c r="I193" s="4">
        <v>4</v>
      </c>
      <c r="J193" s="4" t="s">
        <v>114</v>
      </c>
      <c r="K193" s="4"/>
      <c r="L193" s="4"/>
      <c r="M193" s="4"/>
      <c r="N193" s="4"/>
      <c r="O193" s="4" t="s">
        <v>238</v>
      </c>
      <c r="P193" s="4" t="s">
        <v>97</v>
      </c>
      <c r="Q193" s="4" t="s">
        <v>97</v>
      </c>
      <c r="R193" s="14" t="s">
        <v>100</v>
      </c>
      <c r="S193" s="14" t="s">
        <v>100</v>
      </c>
      <c r="T193" s="14" t="s">
        <v>100</v>
      </c>
      <c r="U193" s="8"/>
      <c r="V193" s="14"/>
      <c r="W193" s="14"/>
      <c r="X193" s="14"/>
      <c r="Y193" s="5">
        <v>45898</v>
      </c>
      <c r="Z193" s="5">
        <v>45901</v>
      </c>
      <c r="AA193" s="7" t="s">
        <v>97</v>
      </c>
      <c r="AB193" s="7" t="s">
        <v>463</v>
      </c>
      <c r="AC193" s="7" t="s">
        <v>97</v>
      </c>
      <c r="AD193" s="7" t="s">
        <v>97</v>
      </c>
      <c r="AE193" s="7" t="s">
        <v>97</v>
      </c>
      <c r="AF193" s="7" t="s">
        <v>97</v>
      </c>
      <c r="AG193" s="7" t="s">
        <v>97</v>
      </c>
      <c r="AH193" s="7" t="s">
        <v>103</v>
      </c>
      <c r="AI193" s="5">
        <v>45899</v>
      </c>
      <c r="AJ193" s="7" t="s">
        <v>103</v>
      </c>
      <c r="AK193" s="7" t="s">
        <v>97</v>
      </c>
      <c r="AL193" s="7" t="s">
        <v>103</v>
      </c>
      <c r="AM193" s="7" t="s">
        <v>103</v>
      </c>
      <c r="AN193" s="7" t="s">
        <v>103</v>
      </c>
      <c r="AO193" s="7" t="s">
        <v>97</v>
      </c>
      <c r="AP193" s="7" t="s">
        <v>97</v>
      </c>
      <c r="AQ193" s="7" t="s">
        <v>97</v>
      </c>
      <c r="AR193" s="7" t="s">
        <v>97</v>
      </c>
      <c r="AS193" s="7" t="s">
        <v>103</v>
      </c>
      <c r="AT193" s="7"/>
      <c r="AU193" s="7"/>
      <c r="AV193" s="4" t="s">
        <v>103</v>
      </c>
      <c r="AW193" s="4" t="s">
        <v>97</v>
      </c>
      <c r="AX193" s="4" t="s">
        <v>97</v>
      </c>
      <c r="AY193" s="4" t="s">
        <v>97</v>
      </c>
      <c r="AZ193" s="4" t="s">
        <v>103</v>
      </c>
      <c r="BA193" s="4" t="s">
        <v>97</v>
      </c>
      <c r="BB193" s="5">
        <v>45901</v>
      </c>
      <c r="BC193" s="5">
        <v>45909</v>
      </c>
      <c r="BD193" s="5">
        <v>45910</v>
      </c>
      <c r="BE193" s="5">
        <v>45911</v>
      </c>
      <c r="BF193" s="4" t="s">
        <v>98</v>
      </c>
      <c r="BG193" s="4" t="s">
        <v>97</v>
      </c>
      <c r="BH193" s="4" t="s">
        <v>103</v>
      </c>
      <c r="BI193" s="4" t="s">
        <v>115</v>
      </c>
    </row>
    <row r="194" spans="1:61" x14ac:dyDescent="0.35">
      <c r="A194" s="8" t="str">
        <f t="shared" si="17"/>
        <v>Semaine 36-2025</v>
      </c>
      <c r="B194" s="8" t="str">
        <f t="shared" si="13"/>
        <v>2025</v>
      </c>
      <c r="C194" s="2" t="s">
        <v>75</v>
      </c>
      <c r="D194" s="6" t="str">
        <f t="shared" si="14"/>
        <v>Diourbel</v>
      </c>
      <c r="E194" s="6">
        <f t="shared" si="15"/>
        <v>996481</v>
      </c>
      <c r="F194" s="6">
        <f t="shared" si="16"/>
        <v>1980827</v>
      </c>
      <c r="G194" s="4" t="s">
        <v>610</v>
      </c>
      <c r="H194" s="4" t="s">
        <v>624</v>
      </c>
      <c r="I194" s="4">
        <v>20</v>
      </c>
      <c r="J194" s="4" t="s">
        <v>114</v>
      </c>
      <c r="K194" s="4"/>
      <c r="L194" s="4"/>
      <c r="M194" s="4"/>
      <c r="N194" s="4"/>
      <c r="O194" s="4" t="s">
        <v>238</v>
      </c>
      <c r="P194" s="4" t="s">
        <v>97</v>
      </c>
      <c r="Q194" s="4" t="s">
        <v>97</v>
      </c>
      <c r="R194" s="14" t="s">
        <v>100</v>
      </c>
      <c r="S194" s="14" t="s">
        <v>100</v>
      </c>
      <c r="T194" s="14" t="s">
        <v>100</v>
      </c>
      <c r="U194" s="8"/>
      <c r="V194" s="14"/>
      <c r="W194" s="14"/>
      <c r="X194" s="14"/>
      <c r="Y194" s="5">
        <v>45907</v>
      </c>
      <c r="Z194" s="5">
        <v>45911</v>
      </c>
      <c r="AA194" s="7" t="s">
        <v>97</v>
      </c>
      <c r="AB194" s="7" t="s">
        <v>509</v>
      </c>
      <c r="AC194" s="7" t="s">
        <v>103</v>
      </c>
      <c r="AD194" s="7" t="s">
        <v>97</v>
      </c>
      <c r="AE194" s="7" t="s">
        <v>97</v>
      </c>
      <c r="AF194" s="7" t="s">
        <v>103</v>
      </c>
      <c r="AG194" s="7" t="s">
        <v>103</v>
      </c>
      <c r="AH194" s="7" t="s">
        <v>103</v>
      </c>
      <c r="AI194" s="5">
        <v>45910</v>
      </c>
      <c r="AJ194" s="7" t="s">
        <v>97</v>
      </c>
      <c r="AK194" s="7" t="s">
        <v>103</v>
      </c>
      <c r="AL194" s="7" t="s">
        <v>97</v>
      </c>
      <c r="AM194" s="7" t="s">
        <v>97</v>
      </c>
      <c r="AN194" s="7" t="s">
        <v>97</v>
      </c>
      <c r="AO194" s="7" t="s">
        <v>97</v>
      </c>
      <c r="AP194" s="7" t="s">
        <v>97</v>
      </c>
      <c r="AQ194" s="7" t="s">
        <v>97</v>
      </c>
      <c r="AR194" s="7" t="s">
        <v>97</v>
      </c>
      <c r="AS194" s="7" t="s">
        <v>103</v>
      </c>
      <c r="AT194" s="7"/>
      <c r="AU194" s="7"/>
      <c r="AV194" s="4" t="s">
        <v>97</v>
      </c>
      <c r="AW194" s="4" t="s">
        <v>97</v>
      </c>
      <c r="AX194" s="4" t="s">
        <v>103</v>
      </c>
      <c r="AY194" s="4" t="s">
        <v>97</v>
      </c>
      <c r="AZ194" s="4" t="s">
        <v>103</v>
      </c>
      <c r="BA194" s="4" t="s">
        <v>97</v>
      </c>
      <c r="BB194" s="5">
        <v>45911</v>
      </c>
      <c r="BC194" s="5">
        <v>45911</v>
      </c>
      <c r="BD194" s="5">
        <v>45911</v>
      </c>
      <c r="BE194" s="5">
        <v>45912</v>
      </c>
      <c r="BF194" s="4" t="s">
        <v>98</v>
      </c>
      <c r="BG194" s="4" t="s">
        <v>97</v>
      </c>
      <c r="BH194" s="4" t="s">
        <v>103</v>
      </c>
      <c r="BI194" s="4" t="s">
        <v>145</v>
      </c>
    </row>
    <row r="195" spans="1:61" x14ac:dyDescent="0.35">
      <c r="A195" s="8" t="str">
        <f t="shared" si="17"/>
        <v>Semaine 36-2025</v>
      </c>
      <c r="B195" s="8" t="str">
        <f t="shared" si="13"/>
        <v>2025</v>
      </c>
      <c r="C195" s="2" t="s">
        <v>1</v>
      </c>
      <c r="D195" s="6" t="str">
        <f t="shared" si="14"/>
        <v>Matam</v>
      </c>
      <c r="E195" s="6">
        <f t="shared" si="15"/>
        <v>110915</v>
      </c>
      <c r="F195" s="6">
        <f t="shared" si="16"/>
        <v>789215</v>
      </c>
      <c r="G195" s="4" t="s">
        <v>625</v>
      </c>
      <c r="H195" s="4" t="s">
        <v>627</v>
      </c>
      <c r="I195" s="4">
        <v>15</v>
      </c>
      <c r="J195" s="4" t="s">
        <v>114</v>
      </c>
      <c r="K195" s="4"/>
      <c r="L195" s="4"/>
      <c r="M195" s="4"/>
      <c r="N195" s="4"/>
      <c r="O195" s="4" t="s">
        <v>238</v>
      </c>
      <c r="P195" s="4" t="s">
        <v>97</v>
      </c>
      <c r="Q195" s="4" t="s">
        <v>97</v>
      </c>
      <c r="R195" s="14" t="s">
        <v>100</v>
      </c>
      <c r="S195" s="14" t="s">
        <v>100</v>
      </c>
      <c r="T195" s="14" t="s">
        <v>100</v>
      </c>
      <c r="U195" s="8"/>
      <c r="V195" s="14"/>
      <c r="W195" s="14"/>
      <c r="X195" s="14"/>
      <c r="Y195" s="5">
        <v>45907</v>
      </c>
      <c r="Z195" s="5">
        <v>45910</v>
      </c>
      <c r="AA195" s="7" t="s">
        <v>103</v>
      </c>
      <c r="AB195" s="7"/>
      <c r="AC195" s="7" t="s">
        <v>97</v>
      </c>
      <c r="AD195" s="7" t="s">
        <v>97</v>
      </c>
      <c r="AE195" s="7" t="s">
        <v>97</v>
      </c>
      <c r="AF195" s="7" t="s">
        <v>97</v>
      </c>
      <c r="AG195" s="7" t="s">
        <v>97</v>
      </c>
      <c r="AH195" s="7" t="s">
        <v>103</v>
      </c>
      <c r="AI195" s="5">
        <v>45907</v>
      </c>
      <c r="AJ195" s="7" t="s">
        <v>97</v>
      </c>
      <c r="AK195" s="7" t="s">
        <v>97</v>
      </c>
      <c r="AL195" s="7" t="s">
        <v>97</v>
      </c>
      <c r="AM195" s="7" t="s">
        <v>97</v>
      </c>
      <c r="AN195" s="7" t="s">
        <v>103</v>
      </c>
      <c r="AO195" s="7" t="s">
        <v>103</v>
      </c>
      <c r="AP195" s="7" t="s">
        <v>103</v>
      </c>
      <c r="AQ195" s="7" t="s">
        <v>97</v>
      </c>
      <c r="AR195" s="7" t="s">
        <v>97</v>
      </c>
      <c r="AS195" s="7" t="s">
        <v>97</v>
      </c>
      <c r="AT195" s="7"/>
      <c r="AU195" s="7"/>
      <c r="AV195" s="4" t="s">
        <v>103</v>
      </c>
      <c r="AW195" s="4" t="s">
        <v>97</v>
      </c>
      <c r="AX195" s="4" t="s">
        <v>97</v>
      </c>
      <c r="AY195" s="4" t="s">
        <v>97</v>
      </c>
      <c r="AZ195" s="4" t="s">
        <v>103</v>
      </c>
      <c r="BA195" s="4" t="s">
        <v>97</v>
      </c>
      <c r="BB195" s="5">
        <v>45910</v>
      </c>
      <c r="BC195" s="5">
        <v>45910</v>
      </c>
      <c r="BD195" s="5">
        <v>45914</v>
      </c>
      <c r="BE195" s="5">
        <v>45915</v>
      </c>
      <c r="BF195" s="4" t="s">
        <v>98</v>
      </c>
      <c r="BG195" s="4" t="s">
        <v>97</v>
      </c>
      <c r="BH195" s="4" t="s">
        <v>103</v>
      </c>
      <c r="BI195" s="4" t="s">
        <v>115</v>
      </c>
    </row>
    <row r="196" spans="1:61" x14ac:dyDescent="0.35">
      <c r="A196" s="8" t="str">
        <f t="shared" si="17"/>
        <v>Semaine 35-2025</v>
      </c>
      <c r="B196" s="8" t="str">
        <f t="shared" si="13"/>
        <v>2025</v>
      </c>
      <c r="C196" s="2" t="s">
        <v>3</v>
      </c>
      <c r="D196" s="6" t="str">
        <f t="shared" si="14"/>
        <v>Kaolack</v>
      </c>
      <c r="E196" s="6">
        <f t="shared" si="15"/>
        <v>412872</v>
      </c>
      <c r="F196" s="6">
        <f t="shared" si="16"/>
        <v>1267013</v>
      </c>
      <c r="G196" s="4" t="s">
        <v>626</v>
      </c>
      <c r="H196" s="4" t="s">
        <v>628</v>
      </c>
      <c r="I196" s="4">
        <v>85</v>
      </c>
      <c r="J196" s="4" t="s">
        <v>114</v>
      </c>
      <c r="K196" s="4"/>
      <c r="L196" s="4"/>
      <c r="M196" s="4"/>
      <c r="N196" s="4"/>
      <c r="O196" s="4" t="s">
        <v>238</v>
      </c>
      <c r="P196" s="4" t="s">
        <v>97</v>
      </c>
      <c r="Q196" s="4" t="s">
        <v>97</v>
      </c>
      <c r="R196" s="14" t="s">
        <v>100</v>
      </c>
      <c r="S196" s="14" t="s">
        <v>100</v>
      </c>
      <c r="T196" s="14" t="s">
        <v>100</v>
      </c>
      <c r="U196" s="8"/>
      <c r="V196" s="14"/>
      <c r="W196" s="14"/>
      <c r="X196" s="14"/>
      <c r="Y196" s="5">
        <v>45900</v>
      </c>
      <c r="Z196" s="5">
        <v>45908</v>
      </c>
      <c r="AA196" s="7" t="s">
        <v>103</v>
      </c>
      <c r="AB196" s="7" t="s">
        <v>303</v>
      </c>
      <c r="AC196" s="7" t="s">
        <v>103</v>
      </c>
      <c r="AD196" s="7" t="s">
        <v>97</v>
      </c>
      <c r="AE196" s="7" t="s">
        <v>97</v>
      </c>
      <c r="AF196" s="7" t="s">
        <v>103</v>
      </c>
      <c r="AG196" s="7" t="s">
        <v>103</v>
      </c>
      <c r="AH196" s="7" t="s">
        <v>103</v>
      </c>
      <c r="AI196" s="5">
        <v>45902</v>
      </c>
      <c r="AJ196" s="7" t="s">
        <v>97</v>
      </c>
      <c r="AK196" s="7" t="s">
        <v>103</v>
      </c>
      <c r="AL196" s="7" t="s">
        <v>103</v>
      </c>
      <c r="AM196" s="7" t="s">
        <v>103</v>
      </c>
      <c r="AN196" s="7" t="s">
        <v>97</v>
      </c>
      <c r="AO196" s="7" t="s">
        <v>97</v>
      </c>
      <c r="AP196" s="7" t="s">
        <v>97</v>
      </c>
      <c r="AQ196" s="7" t="s">
        <v>97</v>
      </c>
      <c r="AR196" s="7" t="s">
        <v>97</v>
      </c>
      <c r="AS196" s="7" t="s">
        <v>97</v>
      </c>
      <c r="AT196" s="7" t="s">
        <v>629</v>
      </c>
      <c r="AU196" s="7" t="s">
        <v>519</v>
      </c>
      <c r="AV196" s="4" t="s">
        <v>103</v>
      </c>
      <c r="AW196" s="4" t="s">
        <v>97</v>
      </c>
      <c r="AX196" s="4" t="s">
        <v>97</v>
      </c>
      <c r="AY196" s="4" t="s">
        <v>97</v>
      </c>
      <c r="AZ196" s="4" t="s">
        <v>97</v>
      </c>
      <c r="BA196" s="4" t="s">
        <v>97</v>
      </c>
      <c r="BB196" s="5">
        <v>45911</v>
      </c>
      <c r="BC196" s="5">
        <v>45911</v>
      </c>
      <c r="BD196" s="5">
        <v>45913</v>
      </c>
      <c r="BE196" s="5">
        <v>45915</v>
      </c>
      <c r="BF196" s="4" t="s">
        <v>98</v>
      </c>
      <c r="BG196" s="4" t="s">
        <v>103</v>
      </c>
      <c r="BH196" s="4" t="s">
        <v>103</v>
      </c>
      <c r="BI196" s="4" t="s">
        <v>115</v>
      </c>
    </row>
    <row r="197" spans="1:61" x14ac:dyDescent="0.35">
      <c r="A197" s="8" t="str">
        <f t="shared" si="17"/>
        <v>Semaine 37-2025</v>
      </c>
      <c r="B197" s="8" t="str">
        <f t="shared" ref="B197:B260" si="18">RIGHT(A197,4)</f>
        <v>2025</v>
      </c>
      <c r="C197" s="2" t="s">
        <v>91</v>
      </c>
      <c r="D197" s="6" t="str">
        <f t="shared" ref="D197:D260" si="19">IF(C197="","",VLOOKUP(C197,district_region,2,FALSE))</f>
        <v>Dakar</v>
      </c>
      <c r="E197" s="6">
        <f t="shared" ref="E197:E260" si="20">IF(C197="","",VLOOKUP(C197,liste_pop,3,FALSE))</f>
        <v>179835</v>
      </c>
      <c r="F197" s="6">
        <f t="shared" ref="F197:F260" si="21">IF(D197="","",IF(D197="Dakar",4042240,VLOOKUP(D197,liste_pop,4,FALSE)))</f>
        <v>4042240</v>
      </c>
      <c r="G197" s="4" t="s">
        <v>630</v>
      </c>
      <c r="H197" s="4" t="s">
        <v>631</v>
      </c>
      <c r="I197" s="4">
        <v>8</v>
      </c>
      <c r="J197" s="4" t="s">
        <v>114</v>
      </c>
      <c r="K197" s="4"/>
      <c r="L197" s="4"/>
      <c r="M197" s="4"/>
      <c r="N197" s="4"/>
      <c r="O197" s="4" t="s">
        <v>238</v>
      </c>
      <c r="P197" s="4" t="s">
        <v>97</v>
      </c>
      <c r="Q197" s="4" t="s">
        <v>97</v>
      </c>
      <c r="R197" s="14" t="s">
        <v>100</v>
      </c>
      <c r="S197" s="14" t="s">
        <v>100</v>
      </c>
      <c r="T197" s="14" t="s">
        <v>100</v>
      </c>
      <c r="U197" s="8"/>
      <c r="V197" s="14"/>
      <c r="W197" s="14"/>
      <c r="X197" s="14"/>
      <c r="Y197" s="5">
        <v>45913</v>
      </c>
      <c r="Z197" s="5">
        <v>45916</v>
      </c>
      <c r="AA197" s="7" t="s">
        <v>103</v>
      </c>
      <c r="AB197" s="7" t="s">
        <v>264</v>
      </c>
      <c r="AC197" s="7" t="s">
        <v>103</v>
      </c>
      <c r="AD197" s="7" t="s">
        <v>97</v>
      </c>
      <c r="AE197" s="7" t="s">
        <v>97</v>
      </c>
      <c r="AF197" s="7" t="s">
        <v>103</v>
      </c>
      <c r="AG197" s="7" t="s">
        <v>103</v>
      </c>
      <c r="AH197" s="7" t="s">
        <v>103</v>
      </c>
      <c r="AI197" s="5">
        <v>45913</v>
      </c>
      <c r="AJ197" s="7" t="s">
        <v>103</v>
      </c>
      <c r="AK197" s="7" t="s">
        <v>103</v>
      </c>
      <c r="AL197" s="7" t="s">
        <v>97</v>
      </c>
      <c r="AM197" s="7" t="s">
        <v>103</v>
      </c>
      <c r="AN197" s="7" t="s">
        <v>103</v>
      </c>
      <c r="AO197" s="7" t="s">
        <v>103</v>
      </c>
      <c r="AP197" s="7" t="s">
        <v>103</v>
      </c>
      <c r="AQ197" s="7" t="s">
        <v>97</v>
      </c>
      <c r="AR197" s="7" t="s">
        <v>97</v>
      </c>
      <c r="AS197" s="7" t="s">
        <v>97</v>
      </c>
      <c r="AT197" s="7"/>
      <c r="AU197" s="7"/>
      <c r="AV197" s="4" t="s">
        <v>103</v>
      </c>
      <c r="AW197" s="4" t="s">
        <v>97</v>
      </c>
      <c r="AX197" s="4" t="s">
        <v>97</v>
      </c>
      <c r="AY197" s="4" t="s">
        <v>97</v>
      </c>
      <c r="AZ197" s="4" t="s">
        <v>103</v>
      </c>
      <c r="BA197" s="4" t="s">
        <v>97</v>
      </c>
      <c r="BB197" s="5">
        <v>45916</v>
      </c>
      <c r="BC197" s="5">
        <v>45916</v>
      </c>
      <c r="BD197" s="5">
        <v>45916</v>
      </c>
      <c r="BE197" s="5">
        <v>45918</v>
      </c>
      <c r="BF197" s="4" t="s">
        <v>98</v>
      </c>
      <c r="BG197" s="4" t="s">
        <v>97</v>
      </c>
      <c r="BH197" s="4" t="s">
        <v>103</v>
      </c>
      <c r="BI197" s="4" t="s">
        <v>115</v>
      </c>
    </row>
    <row r="198" spans="1:61" x14ac:dyDescent="0.35">
      <c r="A198" s="8" t="str">
        <f t="shared" ref="A198:A261" si="22">"Semaine " &amp; _xlfn.ISOWEEKNUM(Y198) &amp; "-" &amp; YEAR(Y198)</f>
        <v>Semaine 38-2025</v>
      </c>
      <c r="B198" s="8" t="str">
        <f t="shared" si="18"/>
        <v>2025</v>
      </c>
      <c r="C198" s="2" t="s">
        <v>21</v>
      </c>
      <c r="D198" s="6" t="str">
        <f t="shared" si="19"/>
        <v>Dakar</v>
      </c>
      <c r="E198" s="6">
        <f t="shared" si="20"/>
        <v>219872</v>
      </c>
      <c r="F198" s="6">
        <f t="shared" si="21"/>
        <v>4042240</v>
      </c>
      <c r="G198" s="4" t="s">
        <v>632</v>
      </c>
      <c r="H198" s="4" t="s">
        <v>634</v>
      </c>
      <c r="I198" s="4">
        <v>43</v>
      </c>
      <c r="J198" s="4" t="s">
        <v>114</v>
      </c>
      <c r="K198" s="4"/>
      <c r="L198" s="4"/>
      <c r="M198" s="4"/>
      <c r="N198" s="4"/>
      <c r="O198" s="4" t="s">
        <v>238</v>
      </c>
      <c r="P198" s="4" t="s">
        <v>97</v>
      </c>
      <c r="Q198" s="4" t="s">
        <v>97</v>
      </c>
      <c r="R198" s="14" t="s">
        <v>100</v>
      </c>
      <c r="S198" s="14" t="s">
        <v>100</v>
      </c>
      <c r="T198" s="14" t="s">
        <v>100</v>
      </c>
      <c r="U198" s="8"/>
      <c r="V198" s="14"/>
      <c r="W198" s="14"/>
      <c r="X198" s="14"/>
      <c r="Y198" s="5">
        <v>45915</v>
      </c>
      <c r="Z198" s="5">
        <v>45918</v>
      </c>
      <c r="AA198" s="7" t="s">
        <v>103</v>
      </c>
      <c r="AB198" s="7" t="s">
        <v>488</v>
      </c>
      <c r="AC198" s="7" t="s">
        <v>97</v>
      </c>
      <c r="AD198" s="7" t="s">
        <v>103</v>
      </c>
      <c r="AE198" s="7" t="s">
        <v>97</v>
      </c>
      <c r="AF198" s="7" t="s">
        <v>97</v>
      </c>
      <c r="AG198" s="7" t="s">
        <v>97</v>
      </c>
      <c r="AH198" s="7" t="s">
        <v>103</v>
      </c>
      <c r="AI198" s="5">
        <v>45916</v>
      </c>
      <c r="AJ198" s="7" t="s">
        <v>97</v>
      </c>
      <c r="AK198" s="7" t="s">
        <v>97</v>
      </c>
      <c r="AL198" s="7" t="s">
        <v>103</v>
      </c>
      <c r="AM198" s="7" t="s">
        <v>103</v>
      </c>
      <c r="AN198" s="7" t="s">
        <v>97</v>
      </c>
      <c r="AO198" s="7" t="s">
        <v>97</v>
      </c>
      <c r="AP198" s="7" t="s">
        <v>97</v>
      </c>
      <c r="AQ198" s="7" t="s">
        <v>97</v>
      </c>
      <c r="AR198" s="7" t="s">
        <v>97</v>
      </c>
      <c r="AS198" s="7" t="s">
        <v>97</v>
      </c>
      <c r="AT198" s="7"/>
      <c r="AU198" s="7"/>
      <c r="AV198" s="4" t="s">
        <v>103</v>
      </c>
      <c r="AW198" s="4" t="s">
        <v>97</v>
      </c>
      <c r="AX198" s="4" t="s">
        <v>97</v>
      </c>
      <c r="AY198" s="4" t="s">
        <v>97</v>
      </c>
      <c r="AZ198" s="4" t="s">
        <v>103</v>
      </c>
      <c r="BA198" s="4" t="s">
        <v>97</v>
      </c>
      <c r="BB198" s="5">
        <v>45918</v>
      </c>
      <c r="BC198" s="5">
        <v>45918</v>
      </c>
      <c r="BD198" s="5">
        <v>45918</v>
      </c>
      <c r="BE198" s="5">
        <v>45919</v>
      </c>
      <c r="BF198" s="4" t="s">
        <v>98</v>
      </c>
      <c r="BG198" s="4" t="s">
        <v>97</v>
      </c>
      <c r="BH198" s="4" t="s">
        <v>103</v>
      </c>
      <c r="BI198" s="4" t="s">
        <v>115</v>
      </c>
    </row>
    <row r="199" spans="1:61" x14ac:dyDescent="0.35">
      <c r="A199" s="8" t="str">
        <f t="shared" si="22"/>
        <v>Semaine 36-2025</v>
      </c>
      <c r="B199" s="8" t="str">
        <f t="shared" si="18"/>
        <v>2025</v>
      </c>
      <c r="C199" s="2" t="s">
        <v>18</v>
      </c>
      <c r="D199" s="6" t="str">
        <f t="shared" si="19"/>
        <v>Dakar</v>
      </c>
      <c r="E199" s="6">
        <f t="shared" si="20"/>
        <v>419489</v>
      </c>
      <c r="F199" s="6">
        <f t="shared" si="21"/>
        <v>4042240</v>
      </c>
      <c r="G199" s="4" t="s">
        <v>633</v>
      </c>
      <c r="H199" s="4" t="s">
        <v>635</v>
      </c>
      <c r="I199" s="4">
        <v>7</v>
      </c>
      <c r="J199" s="4" t="s">
        <v>114</v>
      </c>
      <c r="K199" s="4"/>
      <c r="L199" s="4"/>
      <c r="M199" s="4"/>
      <c r="N199" s="4"/>
      <c r="O199" s="4" t="s">
        <v>238</v>
      </c>
      <c r="P199" s="4" t="s">
        <v>97</v>
      </c>
      <c r="Q199" s="4" t="s">
        <v>97</v>
      </c>
      <c r="R199" s="14" t="s">
        <v>100</v>
      </c>
      <c r="S199" s="14" t="s">
        <v>100</v>
      </c>
      <c r="T199" s="14" t="s">
        <v>100</v>
      </c>
      <c r="U199" s="8"/>
      <c r="V199" s="14"/>
      <c r="W199" s="14"/>
      <c r="X199" s="14"/>
      <c r="Y199" s="5">
        <v>45904</v>
      </c>
      <c r="Z199" s="5">
        <v>45918</v>
      </c>
      <c r="AA199" s="7" t="s">
        <v>97</v>
      </c>
      <c r="AB199" s="7" t="s">
        <v>636</v>
      </c>
      <c r="AC199" s="7" t="s">
        <v>97</v>
      </c>
      <c r="AD199" s="7" t="s">
        <v>97</v>
      </c>
      <c r="AE199" s="7" t="s">
        <v>97</v>
      </c>
      <c r="AF199" s="7" t="s">
        <v>97</v>
      </c>
      <c r="AG199" s="7" t="s">
        <v>97</v>
      </c>
      <c r="AH199" s="7" t="s">
        <v>103</v>
      </c>
      <c r="AI199" s="5">
        <v>45904</v>
      </c>
      <c r="AJ199" s="7" t="s">
        <v>97</v>
      </c>
      <c r="AK199" s="7" t="s">
        <v>103</v>
      </c>
      <c r="AL199" s="7" t="s">
        <v>97</v>
      </c>
      <c r="AM199" s="7" t="s">
        <v>103</v>
      </c>
      <c r="AN199" s="7" t="s">
        <v>103</v>
      </c>
      <c r="AO199" s="7" t="s">
        <v>97</v>
      </c>
      <c r="AP199" s="7" t="s">
        <v>97</v>
      </c>
      <c r="AQ199" s="7" t="s">
        <v>97</v>
      </c>
      <c r="AR199" s="7" t="s">
        <v>97</v>
      </c>
      <c r="AS199" s="7" t="s">
        <v>97</v>
      </c>
      <c r="AT199" s="7"/>
      <c r="AU199" s="7"/>
      <c r="AV199" s="4" t="s">
        <v>103</v>
      </c>
      <c r="AW199" s="4" t="s">
        <v>97</v>
      </c>
      <c r="AX199" s="4" t="s">
        <v>103</v>
      </c>
      <c r="AY199" s="4" t="s">
        <v>97</v>
      </c>
      <c r="AZ199" s="4" t="s">
        <v>97</v>
      </c>
      <c r="BA199" s="4" t="s">
        <v>97</v>
      </c>
      <c r="BB199" s="5">
        <v>45918</v>
      </c>
      <c r="BC199" s="5">
        <v>45918</v>
      </c>
      <c r="BD199" s="5">
        <v>45918</v>
      </c>
      <c r="BE199" s="5">
        <v>45919</v>
      </c>
      <c r="BF199" s="4" t="s">
        <v>98</v>
      </c>
      <c r="BG199" s="4" t="s">
        <v>97</v>
      </c>
      <c r="BH199" s="4" t="s">
        <v>103</v>
      </c>
      <c r="BI199" s="4" t="s">
        <v>115</v>
      </c>
    </row>
    <row r="200" spans="1:61" x14ac:dyDescent="0.35">
      <c r="A200" s="8" t="str">
        <f t="shared" si="22"/>
        <v>Semaine 35-2025</v>
      </c>
      <c r="B200" s="8" t="str">
        <f t="shared" si="18"/>
        <v>2025</v>
      </c>
      <c r="C200" s="2" t="s">
        <v>24</v>
      </c>
      <c r="D200" s="6" t="str">
        <f t="shared" si="19"/>
        <v>Tambacounda</v>
      </c>
      <c r="E200" s="6">
        <f t="shared" si="20"/>
        <v>57207</v>
      </c>
      <c r="F200" s="6">
        <f t="shared" si="21"/>
        <v>937181</v>
      </c>
      <c r="G200" s="4" t="s">
        <v>637</v>
      </c>
      <c r="H200" s="4" t="s">
        <v>640</v>
      </c>
      <c r="I200" s="4">
        <v>26</v>
      </c>
      <c r="J200" s="4" t="s">
        <v>114</v>
      </c>
      <c r="K200" s="4"/>
      <c r="L200" s="4"/>
      <c r="M200" s="4"/>
      <c r="N200" s="4"/>
      <c r="O200" s="4" t="s">
        <v>238</v>
      </c>
      <c r="P200" s="4" t="s">
        <v>97</v>
      </c>
      <c r="Q200" s="4" t="s">
        <v>97</v>
      </c>
      <c r="R200" s="14" t="s">
        <v>100</v>
      </c>
      <c r="S200" s="14" t="s">
        <v>100</v>
      </c>
      <c r="T200" s="14" t="s">
        <v>100</v>
      </c>
      <c r="U200" s="8"/>
      <c r="V200" s="14"/>
      <c r="W200" s="14"/>
      <c r="X200" s="14"/>
      <c r="Y200" s="5">
        <v>45898</v>
      </c>
      <c r="Z200" s="5">
        <v>45901</v>
      </c>
      <c r="AA200" s="7" t="s">
        <v>103</v>
      </c>
      <c r="AB200" s="7"/>
      <c r="AC200" s="7" t="s">
        <v>97</v>
      </c>
      <c r="AD200" s="7" t="s">
        <v>97</v>
      </c>
      <c r="AE200" s="7" t="s">
        <v>97</v>
      </c>
      <c r="AF200" s="7" t="s">
        <v>103</v>
      </c>
      <c r="AG200" s="7" t="s">
        <v>97</v>
      </c>
      <c r="AH200" s="7" t="s">
        <v>103</v>
      </c>
      <c r="AI200" s="5">
        <v>45900</v>
      </c>
      <c r="AJ200" s="7" t="s">
        <v>103</v>
      </c>
      <c r="AK200" s="7" t="s">
        <v>103</v>
      </c>
      <c r="AL200" s="7" t="s">
        <v>97</v>
      </c>
      <c r="AM200" s="7" t="s">
        <v>103</v>
      </c>
      <c r="AN200" s="7" t="s">
        <v>103</v>
      </c>
      <c r="AO200" s="7" t="s">
        <v>97</v>
      </c>
      <c r="AP200" s="7" t="s">
        <v>97</v>
      </c>
      <c r="AQ200" s="7" t="s">
        <v>97</v>
      </c>
      <c r="AR200" s="7" t="s">
        <v>97</v>
      </c>
      <c r="AS200" s="7" t="s">
        <v>97</v>
      </c>
      <c r="AT200" s="7" t="s">
        <v>641</v>
      </c>
      <c r="AU200" s="7"/>
      <c r="AV200" s="4" t="s">
        <v>97</v>
      </c>
      <c r="AW200" s="4" t="s">
        <v>97</v>
      </c>
      <c r="AX200" s="4" t="s">
        <v>97</v>
      </c>
      <c r="AY200" s="4" t="s">
        <v>97</v>
      </c>
      <c r="AZ200" s="4" t="s">
        <v>103</v>
      </c>
      <c r="BA200" s="4" t="s">
        <v>97</v>
      </c>
      <c r="BB200" s="5">
        <v>45903</v>
      </c>
      <c r="BC200" s="5">
        <v>45918</v>
      </c>
      <c r="BD200" s="5">
        <v>45919</v>
      </c>
      <c r="BE200" s="5">
        <v>45922</v>
      </c>
      <c r="BF200" s="4" t="s">
        <v>98</v>
      </c>
      <c r="BG200" s="4" t="s">
        <v>97</v>
      </c>
      <c r="BH200" s="4" t="s">
        <v>103</v>
      </c>
      <c r="BI200" s="4" t="s">
        <v>145</v>
      </c>
    </row>
    <row r="201" spans="1:61" x14ac:dyDescent="0.35">
      <c r="A201" s="8" t="str">
        <f t="shared" si="22"/>
        <v>Semaine 38-2025</v>
      </c>
      <c r="B201" s="8" t="str">
        <f t="shared" si="18"/>
        <v>2025</v>
      </c>
      <c r="C201" s="2" t="s">
        <v>69</v>
      </c>
      <c r="D201" s="6" t="str">
        <f t="shared" si="19"/>
        <v>Sedhiou</v>
      </c>
      <c r="E201" s="6">
        <f t="shared" si="20"/>
        <v>204663</v>
      </c>
      <c r="F201" s="6">
        <f t="shared" si="21"/>
        <v>612650</v>
      </c>
      <c r="G201" s="4" t="s">
        <v>638</v>
      </c>
      <c r="H201" s="4" t="s">
        <v>642</v>
      </c>
      <c r="I201" s="4">
        <v>41</v>
      </c>
      <c r="J201" s="4" t="s">
        <v>114</v>
      </c>
      <c r="K201" s="4"/>
      <c r="L201" s="4"/>
      <c r="M201" s="4"/>
      <c r="N201" s="4"/>
      <c r="O201" s="4" t="s">
        <v>238</v>
      </c>
      <c r="P201" s="4" t="s">
        <v>97</v>
      </c>
      <c r="Q201" s="4" t="s">
        <v>97</v>
      </c>
      <c r="R201" s="14" t="s">
        <v>100</v>
      </c>
      <c r="S201" s="14" t="s">
        <v>100</v>
      </c>
      <c r="T201" s="14" t="s">
        <v>100</v>
      </c>
      <c r="U201" s="8"/>
      <c r="V201" s="14"/>
      <c r="W201" s="14"/>
      <c r="X201" s="14"/>
      <c r="Y201" s="5">
        <v>45915</v>
      </c>
      <c r="Z201" s="5">
        <v>45917</v>
      </c>
      <c r="AA201" s="7" t="s">
        <v>103</v>
      </c>
      <c r="AB201" s="7" t="s">
        <v>405</v>
      </c>
      <c r="AC201" s="7" t="s">
        <v>103</v>
      </c>
      <c r="AD201" s="7" t="s">
        <v>103</v>
      </c>
      <c r="AE201" s="7" t="s">
        <v>103</v>
      </c>
      <c r="AF201" s="7" t="s">
        <v>103</v>
      </c>
      <c r="AG201" s="7" t="s">
        <v>103</v>
      </c>
      <c r="AH201" s="7" t="s">
        <v>103</v>
      </c>
      <c r="AI201" s="5">
        <v>45915</v>
      </c>
      <c r="AJ201" s="7" t="s">
        <v>103</v>
      </c>
      <c r="AK201" s="7" t="s">
        <v>103</v>
      </c>
      <c r="AL201" s="7" t="s">
        <v>97</v>
      </c>
      <c r="AM201" s="7" t="s">
        <v>103</v>
      </c>
      <c r="AN201" s="7" t="s">
        <v>103</v>
      </c>
      <c r="AO201" s="7" t="s">
        <v>103</v>
      </c>
      <c r="AP201" s="7" t="s">
        <v>103</v>
      </c>
      <c r="AQ201" s="7" t="s">
        <v>97</v>
      </c>
      <c r="AR201" s="7" t="s">
        <v>97</v>
      </c>
      <c r="AS201" s="7" t="s">
        <v>97</v>
      </c>
      <c r="AT201" s="7"/>
      <c r="AU201" s="7"/>
      <c r="AV201" s="4" t="s">
        <v>103</v>
      </c>
      <c r="AW201" s="4" t="s">
        <v>97</v>
      </c>
      <c r="AX201" s="4" t="s">
        <v>97</v>
      </c>
      <c r="AY201" s="4" t="s">
        <v>97</v>
      </c>
      <c r="AZ201" s="4" t="s">
        <v>103</v>
      </c>
      <c r="BA201" s="4" t="s">
        <v>97</v>
      </c>
      <c r="BB201" s="5">
        <v>45917</v>
      </c>
      <c r="BC201" s="5">
        <v>45917</v>
      </c>
      <c r="BD201" s="5">
        <v>45919</v>
      </c>
      <c r="BE201" s="5">
        <v>45922</v>
      </c>
      <c r="BF201" s="4" t="s">
        <v>98</v>
      </c>
      <c r="BG201" s="4" t="s">
        <v>97</v>
      </c>
      <c r="BH201" s="4" t="s">
        <v>103</v>
      </c>
      <c r="BI201" s="4" t="s">
        <v>115</v>
      </c>
    </row>
    <row r="202" spans="1:61" x14ac:dyDescent="0.35">
      <c r="A202" s="8" t="str">
        <f t="shared" si="22"/>
        <v>Semaine 37-2025</v>
      </c>
      <c r="B202" s="8" t="str">
        <f t="shared" si="18"/>
        <v>2025</v>
      </c>
      <c r="C202" s="2" t="s">
        <v>20</v>
      </c>
      <c r="D202" s="6" t="str">
        <f t="shared" si="19"/>
        <v>Dakar</v>
      </c>
      <c r="E202" s="6">
        <f t="shared" si="20"/>
        <v>272276</v>
      </c>
      <c r="F202" s="6">
        <f t="shared" si="21"/>
        <v>4042240</v>
      </c>
      <c r="G202" s="4" t="s">
        <v>639</v>
      </c>
      <c r="H202" s="4" t="s">
        <v>643</v>
      </c>
      <c r="I202" s="4">
        <v>34</v>
      </c>
      <c r="J202" s="4" t="s">
        <v>114</v>
      </c>
      <c r="K202" s="4"/>
      <c r="L202" s="4"/>
      <c r="M202" s="4"/>
      <c r="N202" s="4"/>
      <c r="O202" s="4" t="s">
        <v>238</v>
      </c>
      <c r="P202" s="4" t="s">
        <v>97</v>
      </c>
      <c r="Q202" s="4" t="s">
        <v>97</v>
      </c>
      <c r="R202" s="14" t="s">
        <v>481</v>
      </c>
      <c r="S202" s="14" t="s">
        <v>100</v>
      </c>
      <c r="T202" s="14" t="s">
        <v>100</v>
      </c>
      <c r="U202" s="8"/>
      <c r="V202" s="14"/>
      <c r="W202" s="14"/>
      <c r="X202" t="s">
        <v>1136</v>
      </c>
      <c r="Y202" s="5">
        <v>45911</v>
      </c>
      <c r="Z202" s="5">
        <v>45921</v>
      </c>
      <c r="AA202" s="7" t="s">
        <v>103</v>
      </c>
      <c r="AB202" s="7"/>
      <c r="AC202" s="7" t="s">
        <v>97</v>
      </c>
      <c r="AD202" s="7" t="s">
        <v>103</v>
      </c>
      <c r="AE202" s="7" t="s">
        <v>103</v>
      </c>
      <c r="AF202" s="7" t="s">
        <v>97</v>
      </c>
      <c r="AG202" s="7" t="s">
        <v>97</v>
      </c>
      <c r="AH202" s="7" t="s">
        <v>103</v>
      </c>
      <c r="AI202" s="5">
        <v>45918</v>
      </c>
      <c r="AJ202" s="7"/>
      <c r="AK202" s="7"/>
      <c r="AL202" s="7"/>
      <c r="AM202" s="7" t="s">
        <v>103</v>
      </c>
      <c r="AN202" s="7" t="s">
        <v>103</v>
      </c>
      <c r="AO202" s="7" t="s">
        <v>103</v>
      </c>
      <c r="AP202" s="7" t="s">
        <v>103</v>
      </c>
      <c r="AQ202" s="7"/>
      <c r="AR202" s="7"/>
      <c r="AS202" s="7" t="s">
        <v>103</v>
      </c>
      <c r="AT202" s="7"/>
      <c r="AU202" s="7"/>
      <c r="AV202" s="4" t="s">
        <v>103</v>
      </c>
      <c r="AW202" s="4" t="s">
        <v>97</v>
      </c>
      <c r="AX202" s="4" t="s">
        <v>97</v>
      </c>
      <c r="AY202" s="4" t="s">
        <v>97</v>
      </c>
      <c r="AZ202" s="4" t="s">
        <v>103</v>
      </c>
      <c r="BA202" s="4" t="s">
        <v>97</v>
      </c>
      <c r="BB202" s="5">
        <v>45921</v>
      </c>
      <c r="BC202" s="5">
        <v>45921</v>
      </c>
      <c r="BD202" s="5">
        <v>45922</v>
      </c>
      <c r="BE202" s="5">
        <v>45922</v>
      </c>
      <c r="BF202" s="4" t="s">
        <v>98</v>
      </c>
      <c r="BG202" s="4" t="s">
        <v>97</v>
      </c>
      <c r="BH202" s="4" t="s">
        <v>103</v>
      </c>
      <c r="BI202" s="5" t="s">
        <v>482</v>
      </c>
    </row>
    <row r="203" spans="1:61" x14ac:dyDescent="0.35">
      <c r="A203" s="8" t="str">
        <f t="shared" si="22"/>
        <v>Semaine 38-2025</v>
      </c>
      <c r="B203" s="8" t="str">
        <f t="shared" si="18"/>
        <v>2025</v>
      </c>
      <c r="C203" s="2" t="s">
        <v>68</v>
      </c>
      <c r="D203" s="6" t="str">
        <f t="shared" si="19"/>
        <v>Kedougou</v>
      </c>
      <c r="E203" s="6">
        <f t="shared" si="20"/>
        <v>68272</v>
      </c>
      <c r="F203" s="6">
        <f t="shared" si="21"/>
        <v>203720</v>
      </c>
      <c r="G203" s="4" t="s">
        <v>644</v>
      </c>
      <c r="H203" s="4" t="s">
        <v>645</v>
      </c>
      <c r="I203" s="4">
        <v>25</v>
      </c>
      <c r="J203" s="4" t="s">
        <v>114</v>
      </c>
      <c r="K203" s="4"/>
      <c r="L203" s="4"/>
      <c r="M203" s="4"/>
      <c r="N203" s="4"/>
      <c r="O203" s="4" t="s">
        <v>238</v>
      </c>
      <c r="P203" s="4" t="s">
        <v>97</v>
      </c>
      <c r="Q203" s="4" t="s">
        <v>97</v>
      </c>
      <c r="R203" s="14" t="s">
        <v>100</v>
      </c>
      <c r="S203" s="14" t="s">
        <v>100</v>
      </c>
      <c r="T203" s="14" t="s">
        <v>100</v>
      </c>
      <c r="U203" s="8"/>
      <c r="V203" s="14"/>
      <c r="W203" s="14"/>
      <c r="X203" s="14"/>
      <c r="Y203" s="5">
        <v>45919</v>
      </c>
      <c r="Z203" s="5">
        <v>45921</v>
      </c>
      <c r="AA203" s="7" t="s">
        <v>103</v>
      </c>
      <c r="AB203" s="7" t="s">
        <v>387</v>
      </c>
      <c r="AC203" s="7" t="s">
        <v>103</v>
      </c>
      <c r="AD203" s="7" t="s">
        <v>97</v>
      </c>
      <c r="AE203" s="7" t="s">
        <v>97</v>
      </c>
      <c r="AF203" s="7" t="s">
        <v>97</v>
      </c>
      <c r="AG203" s="7" t="s">
        <v>97</v>
      </c>
      <c r="AH203" s="7" t="s">
        <v>103</v>
      </c>
      <c r="AI203" s="5">
        <v>45919</v>
      </c>
      <c r="AJ203" s="7" t="s">
        <v>103</v>
      </c>
      <c r="AK203" s="7" t="s">
        <v>97</v>
      </c>
      <c r="AL203" s="7" t="s">
        <v>97</v>
      </c>
      <c r="AM203" s="7" t="s">
        <v>103</v>
      </c>
      <c r="AN203" s="7" t="s">
        <v>103</v>
      </c>
      <c r="AO203" s="7" t="s">
        <v>97</v>
      </c>
      <c r="AP203" s="7" t="s">
        <v>97</v>
      </c>
      <c r="AQ203" s="7" t="s">
        <v>97</v>
      </c>
      <c r="AR203" s="7" t="s">
        <v>97</v>
      </c>
      <c r="AS203" s="7" t="s">
        <v>103</v>
      </c>
      <c r="AT203" s="7"/>
      <c r="AU203" s="7"/>
      <c r="AV203" s="4" t="s">
        <v>103</v>
      </c>
      <c r="AW203" s="4" t="s">
        <v>97</v>
      </c>
      <c r="AX203" s="4" t="s">
        <v>97</v>
      </c>
      <c r="AY203" s="4" t="s">
        <v>97</v>
      </c>
      <c r="AZ203" s="4" t="s">
        <v>103</v>
      </c>
      <c r="BA203" s="4" t="s">
        <v>97</v>
      </c>
      <c r="BB203" s="5">
        <v>45921</v>
      </c>
      <c r="BC203" s="5">
        <v>45921</v>
      </c>
      <c r="BD203" s="5">
        <v>45922</v>
      </c>
      <c r="BE203" s="5">
        <v>45922</v>
      </c>
      <c r="BF203" s="4" t="s">
        <v>98</v>
      </c>
      <c r="BG203" s="4" t="s">
        <v>97</v>
      </c>
      <c r="BH203" s="4" t="s">
        <v>103</v>
      </c>
      <c r="BI203" s="4" t="s">
        <v>115</v>
      </c>
    </row>
    <row r="204" spans="1:61" x14ac:dyDescent="0.35">
      <c r="A204" s="8" t="str">
        <f t="shared" si="22"/>
        <v>Semaine 37-2025</v>
      </c>
      <c r="B204" s="8" t="str">
        <f t="shared" si="18"/>
        <v>2025</v>
      </c>
      <c r="C204" s="2" t="s">
        <v>72</v>
      </c>
      <c r="D204" s="6" t="str">
        <f t="shared" si="19"/>
        <v>Thies</v>
      </c>
      <c r="E204" s="6">
        <f t="shared" si="20"/>
        <v>520145</v>
      </c>
      <c r="F204" s="6">
        <f t="shared" si="21"/>
        <v>2280463</v>
      </c>
      <c r="G204" s="4" t="s">
        <v>646</v>
      </c>
      <c r="H204" s="4" t="s">
        <v>647</v>
      </c>
      <c r="I204" s="4">
        <v>27</v>
      </c>
      <c r="J204" s="4" t="s">
        <v>114</v>
      </c>
      <c r="K204" s="4"/>
      <c r="L204" s="4"/>
      <c r="M204" s="4"/>
      <c r="N204" s="4"/>
      <c r="O204" s="4" t="s">
        <v>238</v>
      </c>
      <c r="P204" s="4" t="s">
        <v>97</v>
      </c>
      <c r="Q204" s="4" t="s">
        <v>97</v>
      </c>
      <c r="R204" s="14" t="s">
        <v>100</v>
      </c>
      <c r="S204" s="14" t="s">
        <v>100</v>
      </c>
      <c r="T204" s="14" t="s">
        <v>100</v>
      </c>
      <c r="U204" s="8"/>
      <c r="V204" s="14"/>
      <c r="W204" s="14"/>
      <c r="X204" s="14"/>
      <c r="Y204" s="5">
        <v>45911</v>
      </c>
      <c r="Z204" s="5">
        <v>45918</v>
      </c>
      <c r="AA204" s="7" t="s">
        <v>97</v>
      </c>
      <c r="AB204" s="7"/>
      <c r="AC204" s="7" t="s">
        <v>97</v>
      </c>
      <c r="AD204" s="7" t="s">
        <v>97</v>
      </c>
      <c r="AE204" s="7" t="s">
        <v>97</v>
      </c>
      <c r="AF204" s="7" t="s">
        <v>103</v>
      </c>
      <c r="AG204" s="7" t="s">
        <v>97</v>
      </c>
      <c r="AH204" s="7" t="s">
        <v>103</v>
      </c>
      <c r="AI204" s="5">
        <v>45913</v>
      </c>
      <c r="AJ204" s="7" t="s">
        <v>97</v>
      </c>
      <c r="AK204" s="7" t="s">
        <v>103</v>
      </c>
      <c r="AL204" s="7" t="s">
        <v>97</v>
      </c>
      <c r="AM204" s="7" t="s">
        <v>103</v>
      </c>
      <c r="AN204" s="7" t="s">
        <v>103</v>
      </c>
      <c r="AO204" s="7" t="s">
        <v>97</v>
      </c>
      <c r="AP204" s="7" t="s">
        <v>97</v>
      </c>
      <c r="AQ204" s="7" t="s">
        <v>103</v>
      </c>
      <c r="AR204" s="7" t="s">
        <v>97</v>
      </c>
      <c r="AS204" s="7" t="s">
        <v>103</v>
      </c>
      <c r="AT204" s="7"/>
      <c r="AU204" s="7"/>
      <c r="AV204" s="4" t="s">
        <v>103</v>
      </c>
      <c r="AW204" s="4" t="s">
        <v>97</v>
      </c>
      <c r="AX204" s="4" t="s">
        <v>97</v>
      </c>
      <c r="AY204" s="4" t="s">
        <v>97</v>
      </c>
      <c r="AZ204" s="4" t="s">
        <v>103</v>
      </c>
      <c r="BA204" s="4" t="s">
        <v>97</v>
      </c>
      <c r="BB204" s="5">
        <v>45924</v>
      </c>
      <c r="BC204" s="5">
        <v>45924</v>
      </c>
      <c r="BD204" s="5">
        <v>45924</v>
      </c>
      <c r="BE204" s="5">
        <v>45926</v>
      </c>
      <c r="BF204" s="4" t="s">
        <v>98</v>
      </c>
      <c r="BG204" s="4" t="s">
        <v>103</v>
      </c>
      <c r="BH204" s="4" t="s">
        <v>103</v>
      </c>
      <c r="BI204" s="5" t="s">
        <v>360</v>
      </c>
    </row>
    <row r="205" spans="1:61" x14ac:dyDescent="0.35">
      <c r="A205" s="8" t="str">
        <f t="shared" si="22"/>
        <v>Semaine 38-2025</v>
      </c>
      <c r="B205" s="8" t="str">
        <f t="shared" si="18"/>
        <v>2025</v>
      </c>
      <c r="C205" s="2" t="s">
        <v>75</v>
      </c>
      <c r="D205" s="6" t="str">
        <f t="shared" si="19"/>
        <v>Diourbel</v>
      </c>
      <c r="E205" s="6">
        <f t="shared" si="20"/>
        <v>996481</v>
      </c>
      <c r="F205" s="6">
        <f t="shared" si="21"/>
        <v>1980827</v>
      </c>
      <c r="G205" s="4" t="s">
        <v>648</v>
      </c>
      <c r="H205" s="4" t="s">
        <v>650</v>
      </c>
      <c r="I205" s="4">
        <v>18</v>
      </c>
      <c r="J205" s="4" t="s">
        <v>114</v>
      </c>
      <c r="K205" s="4"/>
      <c r="L205" s="4"/>
      <c r="M205" s="4"/>
      <c r="N205" s="4"/>
      <c r="O205" s="4" t="s">
        <v>238</v>
      </c>
      <c r="P205" s="4" t="s">
        <v>97</v>
      </c>
      <c r="Q205" s="4" t="s">
        <v>97</v>
      </c>
      <c r="R205" s="14" t="s">
        <v>100</v>
      </c>
      <c r="S205" s="14" t="s">
        <v>100</v>
      </c>
      <c r="T205" s="14" t="s">
        <v>100</v>
      </c>
      <c r="U205" s="8"/>
      <c r="V205" s="14"/>
      <c r="W205" s="14"/>
      <c r="X205" s="14"/>
      <c r="Y205" s="5">
        <v>45918</v>
      </c>
      <c r="Z205" s="5">
        <v>45921</v>
      </c>
      <c r="AA205" s="7" t="s">
        <v>103</v>
      </c>
      <c r="AB205" s="7" t="s">
        <v>651</v>
      </c>
      <c r="AC205" s="7" t="s">
        <v>103</v>
      </c>
      <c r="AD205" s="7" t="s">
        <v>103</v>
      </c>
      <c r="AE205" s="7" t="s">
        <v>97</v>
      </c>
      <c r="AF205" s="7" t="s">
        <v>103</v>
      </c>
      <c r="AG205" s="7" t="s">
        <v>103</v>
      </c>
      <c r="AH205" s="7" t="s">
        <v>103</v>
      </c>
      <c r="AI205" s="5">
        <v>45918</v>
      </c>
      <c r="AJ205" s="7" t="s">
        <v>103</v>
      </c>
      <c r="AK205" s="7" t="s">
        <v>103</v>
      </c>
      <c r="AL205" s="7" t="s">
        <v>103</v>
      </c>
      <c r="AM205" s="7" t="s">
        <v>103</v>
      </c>
      <c r="AN205" s="7" t="s">
        <v>103</v>
      </c>
      <c r="AO205" s="7" t="s">
        <v>97</v>
      </c>
      <c r="AP205" s="7" t="s">
        <v>97</v>
      </c>
      <c r="AQ205" s="7" t="s">
        <v>97</v>
      </c>
      <c r="AR205" s="7" t="s">
        <v>103</v>
      </c>
      <c r="AS205" s="7" t="s">
        <v>97</v>
      </c>
      <c r="AT205" s="7"/>
      <c r="AU205" s="7"/>
      <c r="AV205" s="4" t="s">
        <v>103</v>
      </c>
      <c r="AW205" s="4" t="s">
        <v>97</v>
      </c>
      <c r="AX205" s="4" t="s">
        <v>97</v>
      </c>
      <c r="AY205" s="4" t="s">
        <v>97</v>
      </c>
      <c r="AZ205" s="4" t="s">
        <v>103</v>
      </c>
      <c r="BA205" s="4" t="s">
        <v>97</v>
      </c>
      <c r="BB205" s="5">
        <v>45921</v>
      </c>
      <c r="BC205" s="5">
        <v>45922</v>
      </c>
      <c r="BD205" s="5">
        <v>45922</v>
      </c>
      <c r="BE205" s="5">
        <v>45925</v>
      </c>
      <c r="BF205" s="4" t="s">
        <v>98</v>
      </c>
      <c r="BG205" s="4" t="s">
        <v>97</v>
      </c>
      <c r="BH205" s="4" t="s">
        <v>103</v>
      </c>
      <c r="BI205" s="4" t="s">
        <v>115</v>
      </c>
    </row>
    <row r="206" spans="1:61" x14ac:dyDescent="0.35">
      <c r="A206" s="8" t="str">
        <f t="shared" si="22"/>
        <v>Semaine 38-2025</v>
      </c>
      <c r="B206" s="8" t="str">
        <f t="shared" si="18"/>
        <v>2025</v>
      </c>
      <c r="C206" s="2" t="s">
        <v>58</v>
      </c>
      <c r="D206" s="6" t="str">
        <f t="shared" si="19"/>
        <v>Dakar</v>
      </c>
      <c r="E206" s="6">
        <f t="shared" si="20"/>
        <v>423495</v>
      </c>
      <c r="F206" s="6">
        <f t="shared" si="21"/>
        <v>4042240</v>
      </c>
      <c r="G206" s="4" t="s">
        <v>649</v>
      </c>
      <c r="H206" s="4" t="s">
        <v>652</v>
      </c>
      <c r="I206" s="4">
        <v>5</v>
      </c>
      <c r="J206" s="4" t="s">
        <v>96</v>
      </c>
      <c r="K206" s="4"/>
      <c r="L206" s="4"/>
      <c r="M206" s="4"/>
      <c r="N206" s="4"/>
      <c r="O206" s="4" t="s">
        <v>238</v>
      </c>
      <c r="P206" s="4" t="s">
        <v>97</v>
      </c>
      <c r="Q206" s="4" t="s">
        <v>97</v>
      </c>
      <c r="R206" s="14" t="s">
        <v>100</v>
      </c>
      <c r="S206" s="14" t="s">
        <v>100</v>
      </c>
      <c r="T206" s="14" t="s">
        <v>100</v>
      </c>
      <c r="U206" s="8"/>
      <c r="V206" s="14"/>
      <c r="W206" s="14"/>
      <c r="X206" s="14"/>
      <c r="Y206" s="5">
        <v>45915</v>
      </c>
      <c r="Z206" s="5">
        <v>45924</v>
      </c>
      <c r="AA206" s="7" t="s">
        <v>103</v>
      </c>
      <c r="AB206" s="7" t="s">
        <v>653</v>
      </c>
      <c r="AC206" s="7" t="s">
        <v>97</v>
      </c>
      <c r="AD206" s="7" t="s">
        <v>97</v>
      </c>
      <c r="AE206" s="7" t="s">
        <v>103</v>
      </c>
      <c r="AF206" s="7" t="s">
        <v>103</v>
      </c>
      <c r="AG206" s="7" t="s">
        <v>103</v>
      </c>
      <c r="AH206" s="7" t="s">
        <v>103</v>
      </c>
      <c r="AI206" s="5">
        <v>45915</v>
      </c>
      <c r="AJ206" s="7" t="s">
        <v>103</v>
      </c>
      <c r="AK206" s="7" t="s">
        <v>103</v>
      </c>
      <c r="AL206" s="7" t="s">
        <v>103</v>
      </c>
      <c r="AM206" s="7" t="s">
        <v>103</v>
      </c>
      <c r="AN206" s="7" t="s">
        <v>103</v>
      </c>
      <c r="AO206" s="7" t="s">
        <v>103</v>
      </c>
      <c r="AP206" s="7" t="s">
        <v>103</v>
      </c>
      <c r="AQ206" s="7" t="s">
        <v>103</v>
      </c>
      <c r="AR206" s="7" t="s">
        <v>103</v>
      </c>
      <c r="AS206" s="7" t="s">
        <v>103</v>
      </c>
      <c r="AT206" s="7"/>
      <c r="AU206" s="7"/>
      <c r="AV206" s="4" t="s">
        <v>103</v>
      </c>
      <c r="AW206" s="4" t="s">
        <v>97</v>
      </c>
      <c r="AX206" s="4" t="s">
        <v>97</v>
      </c>
      <c r="AY206" s="4" t="s">
        <v>97</v>
      </c>
      <c r="AZ206" s="4" t="s">
        <v>103</v>
      </c>
      <c r="BA206" s="4" t="s">
        <v>97</v>
      </c>
      <c r="BB206" s="5">
        <v>45924</v>
      </c>
      <c r="BC206" s="5">
        <v>45924</v>
      </c>
      <c r="BD206" s="5">
        <v>45924</v>
      </c>
      <c r="BE206" s="5">
        <v>45925</v>
      </c>
      <c r="BF206" s="4" t="s">
        <v>98</v>
      </c>
      <c r="BG206" s="4" t="s">
        <v>103</v>
      </c>
      <c r="BH206" s="4" t="s">
        <v>103</v>
      </c>
      <c r="BI206" s="4" t="s">
        <v>115</v>
      </c>
    </row>
    <row r="207" spans="1:61" x14ac:dyDescent="0.35">
      <c r="A207" s="8" t="str">
        <f t="shared" si="22"/>
        <v>Semaine 38-2025</v>
      </c>
      <c r="B207" s="8" t="str">
        <f t="shared" si="18"/>
        <v>2025</v>
      </c>
      <c r="C207" s="2" t="s">
        <v>19</v>
      </c>
      <c r="D207" s="6" t="str">
        <f t="shared" si="19"/>
        <v>Dakar</v>
      </c>
      <c r="E207" s="6">
        <f t="shared" si="20"/>
        <v>565040</v>
      </c>
      <c r="F207" s="6">
        <f t="shared" si="21"/>
        <v>4042240</v>
      </c>
      <c r="G207" s="4" t="s">
        <v>654</v>
      </c>
      <c r="H207" s="4" t="s">
        <v>655</v>
      </c>
      <c r="I207" s="4">
        <v>34</v>
      </c>
      <c r="J207" s="4" t="s">
        <v>114</v>
      </c>
      <c r="K207" s="4"/>
      <c r="L207" s="4"/>
      <c r="M207" s="4"/>
      <c r="N207" s="4"/>
      <c r="O207" s="4" t="s">
        <v>238</v>
      </c>
      <c r="P207" s="4" t="s">
        <v>103</v>
      </c>
      <c r="Q207" s="4" t="s">
        <v>97</v>
      </c>
      <c r="R207" s="14" t="s">
        <v>481</v>
      </c>
      <c r="S207" s="14" t="s">
        <v>100</v>
      </c>
      <c r="T207" s="14" t="s">
        <v>100</v>
      </c>
      <c r="U207" s="8"/>
      <c r="V207" s="14"/>
      <c r="W207" s="14"/>
      <c r="X207" t="s">
        <v>1136</v>
      </c>
      <c r="Y207" s="5">
        <v>45917</v>
      </c>
      <c r="Z207" s="5">
        <v>45923</v>
      </c>
      <c r="AA207" s="7" t="s">
        <v>103</v>
      </c>
      <c r="AB207" s="7"/>
      <c r="AC207" s="7" t="s">
        <v>103</v>
      </c>
      <c r="AD207" s="7" t="s">
        <v>103</v>
      </c>
      <c r="AE207" s="7" t="s">
        <v>103</v>
      </c>
      <c r="AF207" s="7" t="s">
        <v>103</v>
      </c>
      <c r="AG207" s="7" t="s">
        <v>103</v>
      </c>
      <c r="AH207" s="7" t="s">
        <v>97</v>
      </c>
      <c r="AI207" s="7"/>
      <c r="AJ207" s="7"/>
      <c r="AK207" s="7"/>
      <c r="AL207" s="7"/>
      <c r="AM207" s="7"/>
      <c r="AN207" s="7"/>
      <c r="AO207" s="7"/>
      <c r="AP207" s="7"/>
      <c r="AQ207" s="7"/>
      <c r="AR207" s="7"/>
      <c r="AS207" s="7"/>
      <c r="AT207" s="7" t="s">
        <v>656</v>
      </c>
      <c r="AU207" s="7"/>
      <c r="AV207" s="4" t="s">
        <v>97</v>
      </c>
      <c r="AW207" s="4" t="s">
        <v>97</v>
      </c>
      <c r="AX207" s="4" t="s">
        <v>103</v>
      </c>
      <c r="AY207" s="4" t="s">
        <v>97</v>
      </c>
      <c r="AZ207" s="4" t="s">
        <v>103</v>
      </c>
      <c r="BA207" s="4" t="s">
        <v>97</v>
      </c>
      <c r="BB207" s="5">
        <v>45923</v>
      </c>
      <c r="BC207" s="5">
        <v>45923</v>
      </c>
      <c r="BD207" s="5">
        <v>45923</v>
      </c>
      <c r="BE207" s="5">
        <v>45923</v>
      </c>
      <c r="BF207" s="4" t="s">
        <v>98</v>
      </c>
      <c r="BG207" s="4" t="s">
        <v>103</v>
      </c>
      <c r="BH207" s="4" t="s">
        <v>103</v>
      </c>
      <c r="BI207" s="4" t="s">
        <v>482</v>
      </c>
    </row>
    <row r="208" spans="1:61" x14ac:dyDescent="0.35">
      <c r="A208" s="8" t="str">
        <f t="shared" si="22"/>
        <v>Semaine 37-2025</v>
      </c>
      <c r="B208" s="8" t="str">
        <f t="shared" si="18"/>
        <v>2025</v>
      </c>
      <c r="C208" s="2" t="s">
        <v>31</v>
      </c>
      <c r="D208" s="6" t="str">
        <f t="shared" si="19"/>
        <v>Dakar</v>
      </c>
      <c r="E208" s="6">
        <f t="shared" si="20"/>
        <v>424760</v>
      </c>
      <c r="F208" s="6">
        <f t="shared" si="21"/>
        <v>4042240</v>
      </c>
      <c r="G208" s="4" t="s">
        <v>657</v>
      </c>
      <c r="H208" s="4" t="s">
        <v>660</v>
      </c>
      <c r="I208" s="4">
        <v>28</v>
      </c>
      <c r="J208" s="4" t="s">
        <v>96</v>
      </c>
      <c r="K208" s="4"/>
      <c r="L208" s="4"/>
      <c r="M208" s="4"/>
      <c r="N208" s="4"/>
      <c r="O208" s="4" t="s">
        <v>238</v>
      </c>
      <c r="P208" s="4" t="s">
        <v>103</v>
      </c>
      <c r="Q208" s="4" t="s">
        <v>97</v>
      </c>
      <c r="R208" s="14" t="s">
        <v>481</v>
      </c>
      <c r="S208" s="14" t="s">
        <v>100</v>
      </c>
      <c r="T208" s="14" t="s">
        <v>100</v>
      </c>
      <c r="U208" s="8"/>
      <c r="V208" s="14"/>
      <c r="W208" s="14"/>
      <c r="X208" t="s">
        <v>1136</v>
      </c>
      <c r="Y208" s="5">
        <v>45910</v>
      </c>
      <c r="Z208" s="5">
        <v>45912</v>
      </c>
      <c r="AA208" s="7" t="s">
        <v>103</v>
      </c>
      <c r="AB208" s="7"/>
      <c r="AC208" s="7" t="s">
        <v>97</v>
      </c>
      <c r="AD208" s="7" t="s">
        <v>97</v>
      </c>
      <c r="AE208" s="7" t="s">
        <v>97</v>
      </c>
      <c r="AF208" s="7" t="s">
        <v>97</v>
      </c>
      <c r="AG208" s="7" t="s">
        <v>97</v>
      </c>
      <c r="AH208" s="7" t="s">
        <v>103</v>
      </c>
      <c r="AI208" s="5">
        <v>45912</v>
      </c>
      <c r="AJ208" s="7"/>
      <c r="AK208" s="7"/>
      <c r="AL208" s="7"/>
      <c r="AM208" s="7"/>
      <c r="AN208" s="7" t="s">
        <v>103</v>
      </c>
      <c r="AO208" s="7"/>
      <c r="AP208" s="7"/>
      <c r="AQ208" s="7"/>
      <c r="AR208" s="7"/>
      <c r="AS208" s="7"/>
      <c r="AT208" s="7"/>
      <c r="AU208" s="7"/>
      <c r="AV208" s="4" t="s">
        <v>103</v>
      </c>
      <c r="AW208" s="4" t="s">
        <v>97</v>
      </c>
      <c r="AX208" s="4" t="s">
        <v>97</v>
      </c>
      <c r="AY208" s="4" t="s">
        <v>97</v>
      </c>
      <c r="AZ208" s="4" t="s">
        <v>103</v>
      </c>
      <c r="BA208" s="4" t="s">
        <v>97</v>
      </c>
      <c r="BB208" s="5">
        <v>45912</v>
      </c>
      <c r="BC208" s="21"/>
      <c r="BD208" s="5">
        <v>45923</v>
      </c>
      <c r="BE208" s="5">
        <v>45923</v>
      </c>
      <c r="BF208" s="4" t="s">
        <v>98</v>
      </c>
      <c r="BG208" s="4" t="s">
        <v>103</v>
      </c>
      <c r="BH208" s="4" t="s">
        <v>103</v>
      </c>
      <c r="BI208" s="4" t="s">
        <v>482</v>
      </c>
    </row>
    <row r="209" spans="1:61" x14ac:dyDescent="0.35">
      <c r="A209" s="8" t="str">
        <f t="shared" si="22"/>
        <v>Semaine 38-2025</v>
      </c>
      <c r="B209" s="8" t="str">
        <f t="shared" si="18"/>
        <v>2025</v>
      </c>
      <c r="C209" s="2" t="s">
        <v>31</v>
      </c>
      <c r="D209" s="6" t="str">
        <f t="shared" si="19"/>
        <v>Dakar</v>
      </c>
      <c r="E209" s="6">
        <f t="shared" si="20"/>
        <v>424760</v>
      </c>
      <c r="F209" s="6">
        <f t="shared" si="21"/>
        <v>4042240</v>
      </c>
      <c r="G209" s="4" t="s">
        <v>658</v>
      </c>
      <c r="H209" s="4" t="s">
        <v>661</v>
      </c>
      <c r="I209" s="4">
        <v>1</v>
      </c>
      <c r="J209" s="4" t="s">
        <v>114</v>
      </c>
      <c r="K209" s="4"/>
      <c r="L209" s="4"/>
      <c r="M209" s="4"/>
      <c r="N209" s="4"/>
      <c r="O209" s="4" t="s">
        <v>238</v>
      </c>
      <c r="P209" s="4" t="s">
        <v>97</v>
      </c>
      <c r="Q209" s="4" t="s">
        <v>97</v>
      </c>
      <c r="R209" s="14" t="s">
        <v>100</v>
      </c>
      <c r="S209" s="14" t="s">
        <v>100</v>
      </c>
      <c r="T209" s="14" t="s">
        <v>100</v>
      </c>
      <c r="U209" s="8"/>
      <c r="V209" s="14"/>
      <c r="W209" s="14"/>
      <c r="X209" s="14"/>
      <c r="Y209" s="5">
        <v>45920</v>
      </c>
      <c r="Z209" s="5">
        <v>45923</v>
      </c>
      <c r="AA209" s="7" t="s">
        <v>103</v>
      </c>
      <c r="AB209" s="7"/>
      <c r="AC209" s="7" t="s">
        <v>97</v>
      </c>
      <c r="AD209" s="7" t="s">
        <v>103</v>
      </c>
      <c r="AE209" s="7" t="s">
        <v>97</v>
      </c>
      <c r="AF209" s="7" t="s">
        <v>97</v>
      </c>
      <c r="AG209" s="7" t="s">
        <v>97</v>
      </c>
      <c r="AH209" s="7" t="s">
        <v>103</v>
      </c>
      <c r="AI209" s="5">
        <v>45920</v>
      </c>
      <c r="AJ209" s="7" t="s">
        <v>97</v>
      </c>
      <c r="AK209" s="7" t="s">
        <v>97</v>
      </c>
      <c r="AL209" s="7" t="s">
        <v>97</v>
      </c>
      <c r="AM209" s="7" t="s">
        <v>103</v>
      </c>
      <c r="AN209" s="7" t="s">
        <v>103</v>
      </c>
      <c r="AO209" s="7" t="s">
        <v>97</v>
      </c>
      <c r="AP209" s="7" t="s">
        <v>97</v>
      </c>
      <c r="AQ209" s="7" t="s">
        <v>97</v>
      </c>
      <c r="AR209" s="7" t="s">
        <v>97</v>
      </c>
      <c r="AS209" s="7" t="s">
        <v>97</v>
      </c>
      <c r="AT209" s="7"/>
      <c r="AU209" s="7"/>
      <c r="AV209" s="4" t="s">
        <v>103</v>
      </c>
      <c r="AW209" s="4" t="s">
        <v>97</v>
      </c>
      <c r="AX209" s="4" t="s">
        <v>97</v>
      </c>
      <c r="AY209" s="4" t="s">
        <v>97</v>
      </c>
      <c r="AZ209" s="4" t="s">
        <v>103</v>
      </c>
      <c r="BA209" s="4" t="s">
        <v>97</v>
      </c>
      <c r="BB209" s="5">
        <v>45923</v>
      </c>
      <c r="BC209" s="5">
        <v>45924</v>
      </c>
      <c r="BD209" s="5">
        <v>45925</v>
      </c>
      <c r="BE209" s="5">
        <v>45925</v>
      </c>
      <c r="BF209" s="4" t="s">
        <v>98</v>
      </c>
      <c r="BG209" s="4" t="s">
        <v>97</v>
      </c>
      <c r="BH209" s="4" t="s">
        <v>103</v>
      </c>
      <c r="BI209" s="4" t="s">
        <v>115</v>
      </c>
    </row>
    <row r="210" spans="1:61" x14ac:dyDescent="0.35">
      <c r="A210" s="8" t="str">
        <f t="shared" si="22"/>
        <v>Semaine 38-2025</v>
      </c>
      <c r="B210" s="8" t="str">
        <f t="shared" si="18"/>
        <v>2025</v>
      </c>
      <c r="C210" s="2" t="s">
        <v>31</v>
      </c>
      <c r="D210" s="6" t="str">
        <f t="shared" si="19"/>
        <v>Dakar</v>
      </c>
      <c r="E210" s="6">
        <f t="shared" si="20"/>
        <v>424760</v>
      </c>
      <c r="F210" s="6">
        <f t="shared" si="21"/>
        <v>4042240</v>
      </c>
      <c r="G210" s="4" t="s">
        <v>659</v>
      </c>
      <c r="H210" s="4" t="s">
        <v>662</v>
      </c>
      <c r="I210" s="4">
        <v>29</v>
      </c>
      <c r="J210" s="4" t="s">
        <v>96</v>
      </c>
      <c r="K210" s="4"/>
      <c r="L210" s="4"/>
      <c r="M210" s="4"/>
      <c r="N210" s="4"/>
      <c r="O210" s="4" t="s">
        <v>238</v>
      </c>
      <c r="P210" s="4" t="s">
        <v>103</v>
      </c>
      <c r="Q210" s="4" t="s">
        <v>97</v>
      </c>
      <c r="R210" s="14" t="s">
        <v>100</v>
      </c>
      <c r="S210" s="14" t="s">
        <v>100</v>
      </c>
      <c r="T210" s="14" t="s">
        <v>481</v>
      </c>
      <c r="U210" s="8"/>
      <c r="V210" s="14"/>
      <c r="W210" s="14"/>
      <c r="X210" s="14"/>
      <c r="Y210" s="5">
        <v>45920</v>
      </c>
      <c r="Z210" s="5">
        <v>45923</v>
      </c>
      <c r="AA210" s="7" t="s">
        <v>103</v>
      </c>
      <c r="AB210" s="7"/>
      <c r="AC210" s="7" t="s">
        <v>97</v>
      </c>
      <c r="AD210" s="7" t="s">
        <v>97</v>
      </c>
      <c r="AE210" s="7" t="s">
        <v>97</v>
      </c>
      <c r="AF210" s="7" t="s">
        <v>103</v>
      </c>
      <c r="AG210" s="7" t="s">
        <v>97</v>
      </c>
      <c r="AH210" s="7" t="s">
        <v>103</v>
      </c>
      <c r="AI210" s="5">
        <v>45923</v>
      </c>
      <c r="AJ210" s="7"/>
      <c r="AK210" s="7"/>
      <c r="AL210" s="7"/>
      <c r="AM210" s="7" t="s">
        <v>97</v>
      </c>
      <c r="AN210" s="7" t="s">
        <v>103</v>
      </c>
      <c r="AO210" s="7" t="s">
        <v>97</v>
      </c>
      <c r="AP210" s="7" t="s">
        <v>97</v>
      </c>
      <c r="AQ210" s="7" t="s">
        <v>97</v>
      </c>
      <c r="AR210" s="7" t="s">
        <v>97</v>
      </c>
      <c r="AS210" s="7" t="s">
        <v>97</v>
      </c>
      <c r="AT210" s="7" t="s">
        <v>663</v>
      </c>
      <c r="AU210" s="7"/>
      <c r="AV210" s="4" t="s">
        <v>97</v>
      </c>
      <c r="AW210" s="4" t="s">
        <v>97</v>
      </c>
      <c r="AX210" s="4" t="s">
        <v>97</v>
      </c>
      <c r="AY210" s="4" t="s">
        <v>97</v>
      </c>
      <c r="AZ210" s="4" t="s">
        <v>103</v>
      </c>
      <c r="BA210" s="4" t="s">
        <v>97</v>
      </c>
      <c r="BB210" s="5">
        <v>45923</v>
      </c>
      <c r="BC210" s="5">
        <v>45923</v>
      </c>
      <c r="BD210" s="5">
        <v>45923</v>
      </c>
      <c r="BE210" s="5">
        <v>45923</v>
      </c>
      <c r="BF210" s="4" t="s">
        <v>98</v>
      </c>
      <c r="BG210" s="4" t="s">
        <v>103</v>
      </c>
      <c r="BH210" s="4" t="s">
        <v>103</v>
      </c>
      <c r="BI210" s="4" t="s">
        <v>145</v>
      </c>
    </row>
    <row r="211" spans="1:61" x14ac:dyDescent="0.35">
      <c r="A211" s="8" t="str">
        <f t="shared" si="22"/>
        <v>Semaine 35-2025</v>
      </c>
      <c r="B211" s="8" t="str">
        <f t="shared" si="18"/>
        <v>2025</v>
      </c>
      <c r="C211" s="2" t="s">
        <v>74</v>
      </c>
      <c r="D211" s="6" t="str">
        <f t="shared" si="19"/>
        <v>Thies</v>
      </c>
      <c r="E211" s="6">
        <f t="shared" si="20"/>
        <v>374824</v>
      </c>
      <c r="F211" s="6">
        <f t="shared" si="21"/>
        <v>2280463</v>
      </c>
      <c r="G211" s="4" t="s">
        <v>664</v>
      </c>
      <c r="H211" s="4" t="s">
        <v>665</v>
      </c>
      <c r="I211" s="4">
        <v>37</v>
      </c>
      <c r="J211" s="4" t="s">
        <v>96</v>
      </c>
      <c r="K211" s="4"/>
      <c r="L211" s="4"/>
      <c r="M211" s="4"/>
      <c r="N211" s="4"/>
      <c r="O211" s="4" t="s">
        <v>238</v>
      </c>
      <c r="P211" s="4" t="s">
        <v>97</v>
      </c>
      <c r="Q211" s="4" t="s">
        <v>97</v>
      </c>
      <c r="R211" s="14" t="s">
        <v>100</v>
      </c>
      <c r="S211" s="14" t="s">
        <v>100</v>
      </c>
      <c r="T211" s="14" t="s">
        <v>100</v>
      </c>
      <c r="U211" s="8"/>
      <c r="V211" s="14"/>
      <c r="W211" s="14"/>
      <c r="X211" s="14"/>
      <c r="Y211" s="5">
        <v>45894</v>
      </c>
      <c r="Z211" s="5">
        <v>45925</v>
      </c>
      <c r="AA211" s="7" t="s">
        <v>97</v>
      </c>
      <c r="AB211" s="7"/>
      <c r="AC211" s="7" t="s">
        <v>97</v>
      </c>
      <c r="AD211" s="7" t="s">
        <v>97</v>
      </c>
      <c r="AE211" s="7" t="s">
        <v>97</v>
      </c>
      <c r="AF211" s="7" t="s">
        <v>97</v>
      </c>
      <c r="AG211" s="7" t="s">
        <v>97</v>
      </c>
      <c r="AH211" s="7" t="s">
        <v>103</v>
      </c>
      <c r="AI211" s="5">
        <v>45894</v>
      </c>
      <c r="AJ211" s="7" t="s">
        <v>97</v>
      </c>
      <c r="AK211" s="7" t="s">
        <v>97</v>
      </c>
      <c r="AL211" s="7" t="s">
        <v>103</v>
      </c>
      <c r="AM211" s="7"/>
      <c r="AN211" s="7"/>
      <c r="AO211" s="7"/>
      <c r="AP211" s="7"/>
      <c r="AQ211" s="7"/>
      <c r="AR211" s="7"/>
      <c r="AS211" s="7"/>
      <c r="AT211" s="7" t="s">
        <v>641</v>
      </c>
      <c r="AU211" s="7"/>
      <c r="AV211" s="4" t="s">
        <v>103</v>
      </c>
      <c r="AW211" s="4" t="s">
        <v>103</v>
      </c>
      <c r="AX211" s="4" t="s">
        <v>97</v>
      </c>
      <c r="AY211" s="4" t="s">
        <v>97</v>
      </c>
      <c r="AZ211" s="4" t="s">
        <v>103</v>
      </c>
      <c r="BA211" s="4" t="s">
        <v>97</v>
      </c>
      <c r="BB211" s="5">
        <v>45926</v>
      </c>
      <c r="BC211" s="5">
        <v>45926</v>
      </c>
      <c r="BD211" s="5">
        <v>45926</v>
      </c>
      <c r="BE211" s="5">
        <v>45926</v>
      </c>
      <c r="BF211" s="4" t="s">
        <v>98</v>
      </c>
      <c r="BG211" s="4" t="s">
        <v>97</v>
      </c>
      <c r="BH211" s="4" t="s">
        <v>103</v>
      </c>
      <c r="BI211" s="5" t="s">
        <v>360</v>
      </c>
    </row>
    <row r="212" spans="1:61" x14ac:dyDescent="0.35">
      <c r="A212" s="8" t="str">
        <f t="shared" si="22"/>
        <v>Semaine 37-2025</v>
      </c>
      <c r="B212" s="8" t="str">
        <f t="shared" si="18"/>
        <v>2025</v>
      </c>
      <c r="C212" s="2" t="s">
        <v>31</v>
      </c>
      <c r="D212" s="6" t="str">
        <f t="shared" si="19"/>
        <v>Dakar</v>
      </c>
      <c r="E212" s="6">
        <f t="shared" si="20"/>
        <v>424760</v>
      </c>
      <c r="F212" s="6">
        <f t="shared" si="21"/>
        <v>4042240</v>
      </c>
      <c r="G212" s="4" t="s">
        <v>666</v>
      </c>
      <c r="H212" s="4" t="s">
        <v>671</v>
      </c>
      <c r="I212" s="4">
        <v>31</v>
      </c>
      <c r="J212" s="4" t="s">
        <v>114</v>
      </c>
      <c r="K212" s="4"/>
      <c r="L212" s="4"/>
      <c r="M212" s="4"/>
      <c r="N212" s="4"/>
      <c r="O212" s="4" t="s">
        <v>238</v>
      </c>
      <c r="P212" s="4" t="s">
        <v>97</v>
      </c>
      <c r="Q212" s="4" t="s">
        <v>97</v>
      </c>
      <c r="R212" s="14" t="s">
        <v>100</v>
      </c>
      <c r="S212" s="14" t="s">
        <v>100</v>
      </c>
      <c r="T212" s="14" t="s">
        <v>100</v>
      </c>
      <c r="U212" s="8"/>
      <c r="V212" s="14"/>
      <c r="W212" s="14"/>
      <c r="X212" s="14"/>
      <c r="Y212" s="5">
        <v>45914</v>
      </c>
      <c r="Z212" s="5">
        <v>45925</v>
      </c>
      <c r="AA212" s="7" t="s">
        <v>97</v>
      </c>
      <c r="AB212" s="7" t="s">
        <v>392</v>
      </c>
      <c r="AC212" s="7" t="s">
        <v>97</v>
      </c>
      <c r="AD212" s="7" t="s">
        <v>97</v>
      </c>
      <c r="AE212" s="7" t="s">
        <v>97</v>
      </c>
      <c r="AF212" s="7" t="s">
        <v>97</v>
      </c>
      <c r="AG212" s="7" t="s">
        <v>97</v>
      </c>
      <c r="AH212" s="7" t="s">
        <v>103</v>
      </c>
      <c r="AI212" s="5">
        <v>45914</v>
      </c>
      <c r="AJ212" s="7" t="s">
        <v>97</v>
      </c>
      <c r="AK212" s="7" t="s">
        <v>97</v>
      </c>
      <c r="AL212" s="7" t="s">
        <v>97</v>
      </c>
      <c r="AM212" s="7" t="s">
        <v>97</v>
      </c>
      <c r="AN212" s="7" t="s">
        <v>103</v>
      </c>
      <c r="AO212" s="7" t="s">
        <v>97</v>
      </c>
      <c r="AP212" s="7" t="s">
        <v>97</v>
      </c>
      <c r="AQ212" s="7" t="s">
        <v>97</v>
      </c>
      <c r="AR212" s="7" t="s">
        <v>97</v>
      </c>
      <c r="AS212" s="7" t="s">
        <v>97</v>
      </c>
      <c r="AT212" s="7"/>
      <c r="AU212" s="7"/>
      <c r="AV212" s="4" t="s">
        <v>103</v>
      </c>
      <c r="AW212" s="4" t="s">
        <v>97</v>
      </c>
      <c r="AX212" s="4" t="s">
        <v>97</v>
      </c>
      <c r="AY212" s="4" t="s">
        <v>97</v>
      </c>
      <c r="AZ212" s="4" t="s">
        <v>103</v>
      </c>
      <c r="BA212" s="4" t="s">
        <v>97</v>
      </c>
      <c r="BB212" s="5">
        <v>45925</v>
      </c>
      <c r="BC212" s="5">
        <v>45925</v>
      </c>
      <c r="BD212" s="5">
        <v>45925</v>
      </c>
      <c r="BE212" s="5">
        <v>45926</v>
      </c>
      <c r="BF212" s="4" t="s">
        <v>98</v>
      </c>
      <c r="BG212" s="4" t="s">
        <v>97</v>
      </c>
      <c r="BH212" s="4" t="s">
        <v>103</v>
      </c>
      <c r="BI212" s="4" t="s">
        <v>115</v>
      </c>
    </row>
    <row r="213" spans="1:61" x14ac:dyDescent="0.35">
      <c r="A213" s="8" t="str">
        <f t="shared" si="22"/>
        <v>Semaine 38-2025</v>
      </c>
      <c r="B213" s="8" t="str">
        <f t="shared" si="18"/>
        <v>2025</v>
      </c>
      <c r="C213" s="2" t="s">
        <v>18</v>
      </c>
      <c r="D213" s="6" t="str">
        <f t="shared" si="19"/>
        <v>Dakar</v>
      </c>
      <c r="E213" s="6">
        <f t="shared" si="20"/>
        <v>419489</v>
      </c>
      <c r="F213" s="6">
        <f t="shared" si="21"/>
        <v>4042240</v>
      </c>
      <c r="G213" s="4" t="s">
        <v>667</v>
      </c>
      <c r="H213" s="4" t="s">
        <v>672</v>
      </c>
      <c r="I213" s="4">
        <v>68</v>
      </c>
      <c r="J213" s="4" t="s">
        <v>96</v>
      </c>
      <c r="K213" s="4"/>
      <c r="L213" s="4"/>
      <c r="M213" s="4"/>
      <c r="N213" s="4"/>
      <c r="O213" s="4" t="s">
        <v>238</v>
      </c>
      <c r="P213" s="4" t="s">
        <v>97</v>
      </c>
      <c r="Q213" s="4" t="s">
        <v>97</v>
      </c>
      <c r="R213" s="14" t="s">
        <v>100</v>
      </c>
      <c r="S213" s="14" t="s">
        <v>100</v>
      </c>
      <c r="T213" s="14" t="s">
        <v>100</v>
      </c>
      <c r="U213" s="8"/>
      <c r="V213" s="14"/>
      <c r="W213" s="14"/>
      <c r="X213" s="14"/>
      <c r="Y213" s="5">
        <v>45915</v>
      </c>
      <c r="Z213" s="5">
        <v>45925</v>
      </c>
      <c r="AA213" s="7" t="s">
        <v>97</v>
      </c>
      <c r="AB213" s="7"/>
      <c r="AC213" s="7" t="s">
        <v>97</v>
      </c>
      <c r="AD213" s="7" t="s">
        <v>103</v>
      </c>
      <c r="AE213" s="7" t="s">
        <v>103</v>
      </c>
      <c r="AF213" s="7" t="s">
        <v>97</v>
      </c>
      <c r="AG213" s="7" t="s">
        <v>97</v>
      </c>
      <c r="AH213" s="7" t="s">
        <v>103</v>
      </c>
      <c r="AI213" s="5">
        <v>45915</v>
      </c>
      <c r="AJ213" s="7"/>
      <c r="AK213" s="7"/>
      <c r="AL213" s="7"/>
      <c r="AM213" s="7" t="s">
        <v>103</v>
      </c>
      <c r="AN213" s="7" t="s">
        <v>103</v>
      </c>
      <c r="AO213" s="7" t="s">
        <v>103</v>
      </c>
      <c r="AP213" s="7" t="s">
        <v>103</v>
      </c>
      <c r="AQ213" s="7"/>
      <c r="AR213" s="7"/>
      <c r="AS213" s="7"/>
      <c r="AT213" s="7"/>
      <c r="AU213" s="7"/>
      <c r="AV213" s="4" t="s">
        <v>103</v>
      </c>
      <c r="AW213" s="4" t="s">
        <v>97</v>
      </c>
      <c r="AX213" s="4" t="s">
        <v>97</v>
      </c>
      <c r="AY213" s="4" t="s">
        <v>97</v>
      </c>
      <c r="AZ213" s="4" t="s">
        <v>103</v>
      </c>
      <c r="BA213" s="4" t="s">
        <v>97</v>
      </c>
      <c r="BB213" s="5">
        <v>45925</v>
      </c>
      <c r="BC213" s="5">
        <v>45925</v>
      </c>
      <c r="BD213" s="5">
        <v>45925</v>
      </c>
      <c r="BE213" s="5">
        <v>45926</v>
      </c>
      <c r="BF213" s="4" t="s">
        <v>98</v>
      </c>
      <c r="BG213" s="4" t="s">
        <v>103</v>
      </c>
      <c r="BH213" s="4" t="s">
        <v>103</v>
      </c>
      <c r="BI213" s="4" t="s">
        <v>115</v>
      </c>
    </row>
    <row r="214" spans="1:61" x14ac:dyDescent="0.35">
      <c r="A214" s="8" t="str">
        <f t="shared" si="22"/>
        <v>Semaine 39-2025</v>
      </c>
      <c r="B214" s="8" t="str">
        <f t="shared" si="18"/>
        <v>2025</v>
      </c>
      <c r="C214" s="2" t="s">
        <v>23</v>
      </c>
      <c r="D214" s="6" t="str">
        <f t="shared" si="19"/>
        <v>Dakar</v>
      </c>
      <c r="E214" s="6">
        <f t="shared" si="20"/>
        <v>167577</v>
      </c>
      <c r="F214" s="6">
        <f t="shared" si="21"/>
        <v>4042240</v>
      </c>
      <c r="G214" s="4" t="s">
        <v>668</v>
      </c>
      <c r="H214" s="4" t="s">
        <v>673</v>
      </c>
      <c r="I214" s="4">
        <v>16</v>
      </c>
      <c r="J214" s="4" t="s">
        <v>114</v>
      </c>
      <c r="K214" s="4"/>
      <c r="L214" s="4"/>
      <c r="M214" s="4"/>
      <c r="N214" s="4"/>
      <c r="O214" s="4" t="s">
        <v>238</v>
      </c>
      <c r="P214" s="4" t="s">
        <v>97</v>
      </c>
      <c r="Q214" s="4" t="s">
        <v>97</v>
      </c>
      <c r="R214" s="14" t="s">
        <v>100</v>
      </c>
      <c r="S214" s="14" t="s">
        <v>100</v>
      </c>
      <c r="T214" s="14" t="s">
        <v>100</v>
      </c>
      <c r="U214" s="8"/>
      <c r="V214" s="14"/>
      <c r="W214" s="14"/>
      <c r="X214" s="14"/>
      <c r="Y214" s="5">
        <v>45923</v>
      </c>
      <c r="Z214" s="5">
        <v>45925</v>
      </c>
      <c r="AA214" s="7" t="s">
        <v>103</v>
      </c>
      <c r="AB214" s="7"/>
      <c r="AC214" s="7" t="s">
        <v>97</v>
      </c>
      <c r="AD214" s="7" t="s">
        <v>103</v>
      </c>
      <c r="AE214" s="7" t="s">
        <v>97</v>
      </c>
      <c r="AF214" s="7" t="s">
        <v>97</v>
      </c>
      <c r="AG214" s="7" t="s">
        <v>97</v>
      </c>
      <c r="AH214" s="7" t="s">
        <v>103</v>
      </c>
      <c r="AI214" s="5">
        <v>45923</v>
      </c>
      <c r="AJ214" s="7"/>
      <c r="AK214" s="7"/>
      <c r="AL214" s="7"/>
      <c r="AM214" s="7"/>
      <c r="AN214" s="7"/>
      <c r="AO214" s="7"/>
      <c r="AP214" s="7"/>
      <c r="AQ214" s="7"/>
      <c r="AR214" s="7"/>
      <c r="AS214" s="7"/>
      <c r="AT214" s="7"/>
      <c r="AU214" s="7"/>
      <c r="AV214" s="4" t="s">
        <v>103</v>
      </c>
      <c r="AW214" s="4" t="s">
        <v>103</v>
      </c>
      <c r="AX214" s="4" t="s">
        <v>97</v>
      </c>
      <c r="AY214" s="4" t="s">
        <v>97</v>
      </c>
      <c r="AZ214" s="4" t="s">
        <v>103</v>
      </c>
      <c r="BA214" s="4" t="s">
        <v>97</v>
      </c>
      <c r="BB214" s="5">
        <v>45925</v>
      </c>
      <c r="BC214" s="5">
        <v>45925</v>
      </c>
      <c r="BD214" s="5">
        <v>45925</v>
      </c>
      <c r="BE214" s="5">
        <v>45926</v>
      </c>
      <c r="BF214" s="4" t="s">
        <v>98</v>
      </c>
      <c r="BG214" s="4" t="s">
        <v>97</v>
      </c>
      <c r="BH214" s="4" t="s">
        <v>103</v>
      </c>
      <c r="BI214" s="4" t="s">
        <v>115</v>
      </c>
    </row>
    <row r="215" spans="1:61" x14ac:dyDescent="0.35">
      <c r="A215" s="8" t="str">
        <f t="shared" si="22"/>
        <v>Semaine 38-2025</v>
      </c>
      <c r="B215" s="8" t="str">
        <f t="shared" si="18"/>
        <v>2025</v>
      </c>
      <c r="C215" s="2" t="s">
        <v>18</v>
      </c>
      <c r="D215" s="6" t="str">
        <f t="shared" si="19"/>
        <v>Dakar</v>
      </c>
      <c r="E215" s="6">
        <f t="shared" si="20"/>
        <v>419489</v>
      </c>
      <c r="F215" s="6">
        <f t="shared" si="21"/>
        <v>4042240</v>
      </c>
      <c r="G215" s="4" t="s">
        <v>669</v>
      </c>
      <c r="H215" s="4" t="s">
        <v>674</v>
      </c>
      <c r="I215" s="4">
        <v>19</v>
      </c>
      <c r="J215" s="4" t="s">
        <v>114</v>
      </c>
      <c r="K215" s="4"/>
      <c r="L215" s="4"/>
      <c r="M215" s="4"/>
      <c r="N215" s="4"/>
      <c r="O215" s="4" t="s">
        <v>238</v>
      </c>
      <c r="P215" s="4" t="s">
        <v>97</v>
      </c>
      <c r="Q215" s="4" t="s">
        <v>97</v>
      </c>
      <c r="R215" s="14" t="s">
        <v>100</v>
      </c>
      <c r="S215" s="14" t="s">
        <v>100</v>
      </c>
      <c r="T215" s="14" t="s">
        <v>100</v>
      </c>
      <c r="U215" s="8"/>
      <c r="V215" s="14"/>
      <c r="W215" s="14"/>
      <c r="X215" s="14"/>
      <c r="Y215" s="5">
        <v>45920</v>
      </c>
      <c r="Z215" s="5">
        <v>45924</v>
      </c>
      <c r="AA215" s="7" t="s">
        <v>97</v>
      </c>
      <c r="AB215" s="7" t="s">
        <v>396</v>
      </c>
      <c r="AC215" s="7" t="s">
        <v>97</v>
      </c>
      <c r="AD215" s="7" t="s">
        <v>97</v>
      </c>
      <c r="AE215" s="7" t="s">
        <v>97</v>
      </c>
      <c r="AF215" s="7" t="s">
        <v>103</v>
      </c>
      <c r="AG215" s="7" t="s">
        <v>97</v>
      </c>
      <c r="AH215" s="7" t="s">
        <v>103</v>
      </c>
      <c r="AI215" s="5">
        <v>45920</v>
      </c>
      <c r="AJ215" s="7" t="s">
        <v>103</v>
      </c>
      <c r="AK215" s="7" t="s">
        <v>97</v>
      </c>
      <c r="AL215" s="7" t="s">
        <v>103</v>
      </c>
      <c r="AM215" s="7" t="s">
        <v>97</v>
      </c>
      <c r="AN215" s="7" t="s">
        <v>103</v>
      </c>
      <c r="AO215" s="7" t="s">
        <v>97</v>
      </c>
      <c r="AP215" s="7" t="s">
        <v>97</v>
      </c>
      <c r="AQ215" s="7" t="s">
        <v>97</v>
      </c>
      <c r="AR215" s="7" t="s">
        <v>97</v>
      </c>
      <c r="AS215" s="7" t="s">
        <v>103</v>
      </c>
      <c r="AT215" s="7" t="s">
        <v>675</v>
      </c>
      <c r="AU215" s="7"/>
      <c r="AV215" s="4" t="s">
        <v>103</v>
      </c>
      <c r="AW215" s="4" t="s">
        <v>97</v>
      </c>
      <c r="AX215" s="4" t="s">
        <v>97</v>
      </c>
      <c r="AY215" s="4" t="s">
        <v>97</v>
      </c>
      <c r="AZ215" s="4" t="s">
        <v>103</v>
      </c>
      <c r="BA215" s="4" t="s">
        <v>97</v>
      </c>
      <c r="BB215" s="5">
        <v>45926</v>
      </c>
      <c r="BC215" s="5">
        <v>45926</v>
      </c>
      <c r="BD215" s="5">
        <v>45926</v>
      </c>
      <c r="BE215" s="5">
        <v>45926</v>
      </c>
      <c r="BF215" s="4" t="s">
        <v>98</v>
      </c>
      <c r="BG215" s="4" t="s">
        <v>97</v>
      </c>
      <c r="BH215" s="4" t="s">
        <v>97</v>
      </c>
      <c r="BI215" s="4" t="s">
        <v>115</v>
      </c>
    </row>
    <row r="216" spans="1:61" x14ac:dyDescent="0.35">
      <c r="A216" s="8" t="str">
        <f t="shared" si="22"/>
        <v>Semaine 38-2025</v>
      </c>
      <c r="B216" s="8" t="str">
        <f t="shared" si="18"/>
        <v>2025</v>
      </c>
      <c r="C216" s="2" t="s">
        <v>58</v>
      </c>
      <c r="D216" s="6" t="str">
        <f t="shared" si="19"/>
        <v>Dakar</v>
      </c>
      <c r="E216" s="6">
        <f t="shared" si="20"/>
        <v>423495</v>
      </c>
      <c r="F216" s="6">
        <f t="shared" si="21"/>
        <v>4042240</v>
      </c>
      <c r="G216" s="4" t="s">
        <v>670</v>
      </c>
      <c r="H216" s="4" t="s">
        <v>514</v>
      </c>
      <c r="I216" s="4">
        <v>21</v>
      </c>
      <c r="J216" s="4" t="s">
        <v>96</v>
      </c>
      <c r="K216" s="4"/>
      <c r="L216" s="4"/>
      <c r="M216" s="4"/>
      <c r="N216" s="4"/>
      <c r="O216" s="4" t="s">
        <v>238</v>
      </c>
      <c r="P216" s="4" t="s">
        <v>103</v>
      </c>
      <c r="Q216" s="4" t="s">
        <v>97</v>
      </c>
      <c r="R216" s="14" t="s">
        <v>481</v>
      </c>
      <c r="S216" s="14" t="s">
        <v>100</v>
      </c>
      <c r="T216" s="14" t="s">
        <v>100</v>
      </c>
      <c r="U216" s="8"/>
      <c r="V216" s="14"/>
      <c r="W216" s="14"/>
      <c r="X216" t="s">
        <v>1136</v>
      </c>
      <c r="Y216" s="5">
        <v>45919</v>
      </c>
      <c r="Z216" s="5">
        <v>45926</v>
      </c>
      <c r="AA216" s="7" t="s">
        <v>103</v>
      </c>
      <c r="AB216" s="7"/>
      <c r="AC216" s="7" t="s">
        <v>103</v>
      </c>
      <c r="AD216" s="7" t="s">
        <v>103</v>
      </c>
      <c r="AE216" s="7" t="s">
        <v>103</v>
      </c>
      <c r="AF216" s="7" t="s">
        <v>103</v>
      </c>
      <c r="AG216" s="7" t="s">
        <v>103</v>
      </c>
      <c r="AH216" s="7" t="s">
        <v>103</v>
      </c>
      <c r="AI216" s="5">
        <v>45919</v>
      </c>
      <c r="AJ216" s="7"/>
      <c r="AK216" s="7"/>
      <c r="AL216" s="7"/>
      <c r="AM216" s="7" t="s">
        <v>103</v>
      </c>
      <c r="AN216" s="7" t="s">
        <v>103</v>
      </c>
      <c r="AO216" s="7" t="s">
        <v>103</v>
      </c>
      <c r="AP216" s="7" t="s">
        <v>103</v>
      </c>
      <c r="AQ216" s="7" t="s">
        <v>103</v>
      </c>
      <c r="AR216" s="7" t="s">
        <v>97</v>
      </c>
      <c r="AS216" s="7" t="s">
        <v>103</v>
      </c>
      <c r="AT216" s="7" t="s">
        <v>676</v>
      </c>
      <c r="AU216" s="7"/>
      <c r="AV216" s="4" t="s">
        <v>103</v>
      </c>
      <c r="AW216" s="4" t="s">
        <v>97</v>
      </c>
      <c r="AX216" s="4" t="s">
        <v>97</v>
      </c>
      <c r="AY216" s="4" t="s">
        <v>97</v>
      </c>
      <c r="AZ216" s="4" t="s">
        <v>103</v>
      </c>
      <c r="BA216" s="4" t="s">
        <v>97</v>
      </c>
      <c r="BB216" s="5">
        <v>45926</v>
      </c>
      <c r="BC216" s="5">
        <v>45926</v>
      </c>
      <c r="BD216" s="5">
        <v>45926</v>
      </c>
      <c r="BE216" s="5">
        <v>45926</v>
      </c>
      <c r="BF216" s="4" t="s">
        <v>98</v>
      </c>
      <c r="BG216" s="4" t="s">
        <v>103</v>
      </c>
      <c r="BH216" s="4" t="s">
        <v>103</v>
      </c>
      <c r="BI216" s="4" t="s">
        <v>482</v>
      </c>
    </row>
    <row r="217" spans="1:61" x14ac:dyDescent="0.35">
      <c r="A217" s="8" t="str">
        <f t="shared" si="22"/>
        <v>Semaine 39-2025</v>
      </c>
      <c r="B217" s="8" t="str">
        <f t="shared" si="18"/>
        <v>2025</v>
      </c>
      <c r="C217" s="2" t="s">
        <v>18</v>
      </c>
      <c r="D217" s="6" t="str">
        <f t="shared" si="19"/>
        <v>Dakar</v>
      </c>
      <c r="E217" s="6">
        <f t="shared" si="20"/>
        <v>419489</v>
      </c>
      <c r="F217" s="6">
        <f t="shared" si="21"/>
        <v>4042240</v>
      </c>
      <c r="G217" s="4" t="s">
        <v>679</v>
      </c>
      <c r="H217" s="4" t="s">
        <v>683</v>
      </c>
      <c r="I217" s="4">
        <v>25</v>
      </c>
      <c r="J217" s="4" t="s">
        <v>96</v>
      </c>
      <c r="K217" s="4"/>
      <c r="L217" s="5"/>
      <c r="M217" s="4"/>
      <c r="N217" s="4"/>
      <c r="O217" s="4" t="s">
        <v>238</v>
      </c>
      <c r="P217" s="4" t="s">
        <v>97</v>
      </c>
      <c r="Q217" s="4" t="s">
        <v>97</v>
      </c>
      <c r="R217" s="14" t="s">
        <v>100</v>
      </c>
      <c r="S217" s="14" t="s">
        <v>100</v>
      </c>
      <c r="T217" s="14" t="s">
        <v>100</v>
      </c>
      <c r="U217" s="8"/>
      <c r="V217" s="14"/>
      <c r="W217" s="14"/>
      <c r="X217" s="14"/>
      <c r="Y217" s="5">
        <v>45923</v>
      </c>
      <c r="Z217" s="5">
        <v>45926</v>
      </c>
      <c r="AA217" s="7" t="s">
        <v>97</v>
      </c>
      <c r="AB217" s="7"/>
      <c r="AC217" s="7" t="s">
        <v>103</v>
      </c>
      <c r="AD217" s="7" t="s">
        <v>103</v>
      </c>
      <c r="AE217" s="7" t="s">
        <v>103</v>
      </c>
      <c r="AF217" s="7" t="s">
        <v>103</v>
      </c>
      <c r="AG217" s="7" t="s">
        <v>97</v>
      </c>
      <c r="AH217" s="7" t="s">
        <v>103</v>
      </c>
      <c r="AI217" s="5">
        <v>45923</v>
      </c>
      <c r="AJ217" s="7" t="s">
        <v>97</v>
      </c>
      <c r="AK217" s="7" t="s">
        <v>97</v>
      </c>
      <c r="AL217" s="7" t="s">
        <v>103</v>
      </c>
      <c r="AM217" s="7" t="s">
        <v>103</v>
      </c>
      <c r="AN217" s="7" t="s">
        <v>97</v>
      </c>
      <c r="AO217" s="7" t="s">
        <v>97</v>
      </c>
      <c r="AP217" s="7" t="s">
        <v>97</v>
      </c>
      <c r="AQ217" s="7" t="s">
        <v>97</v>
      </c>
      <c r="AR217" s="7" t="s">
        <v>97</v>
      </c>
      <c r="AS217" s="7" t="s">
        <v>97</v>
      </c>
      <c r="AT217" s="7"/>
      <c r="AU217" s="7"/>
      <c r="AV217" s="4" t="s">
        <v>103</v>
      </c>
      <c r="AW217" s="4" t="s">
        <v>97</v>
      </c>
      <c r="AX217" s="4" t="s">
        <v>97</v>
      </c>
      <c r="AY217" s="4" t="s">
        <v>97</v>
      </c>
      <c r="AZ217" s="4" t="s">
        <v>103</v>
      </c>
      <c r="BA217" s="4" t="s">
        <v>97</v>
      </c>
      <c r="BB217" s="5">
        <v>45926</v>
      </c>
      <c r="BC217" s="5">
        <v>45927</v>
      </c>
      <c r="BD217" s="5">
        <v>45927</v>
      </c>
      <c r="BE217" s="5">
        <v>45928</v>
      </c>
      <c r="BF217" s="4" t="s">
        <v>98</v>
      </c>
      <c r="BG217" s="4" t="s">
        <v>97</v>
      </c>
      <c r="BH217" s="4" t="s">
        <v>103</v>
      </c>
      <c r="BI217" s="4" t="s">
        <v>115</v>
      </c>
    </row>
    <row r="218" spans="1:61" x14ac:dyDescent="0.35">
      <c r="A218" s="8" t="str">
        <f t="shared" si="22"/>
        <v>Semaine 32-2025</v>
      </c>
      <c r="B218" s="8" t="str">
        <f t="shared" si="18"/>
        <v>2025</v>
      </c>
      <c r="C218" s="2" t="s">
        <v>73</v>
      </c>
      <c r="D218" s="6" t="str">
        <f t="shared" si="19"/>
        <v>Ziguinchor</v>
      </c>
      <c r="E218" s="6">
        <f t="shared" si="20"/>
        <v>54332</v>
      </c>
      <c r="F218" s="6">
        <f t="shared" si="21"/>
        <v>729952</v>
      </c>
      <c r="G218" s="4" t="s">
        <v>680</v>
      </c>
      <c r="H218" s="4" t="s">
        <v>684</v>
      </c>
      <c r="I218" s="4">
        <v>15</v>
      </c>
      <c r="J218" s="4" t="s">
        <v>114</v>
      </c>
      <c r="K218" s="4"/>
      <c r="L218" s="5"/>
      <c r="M218" s="4"/>
      <c r="N218" s="4"/>
      <c r="O218" s="4" t="s">
        <v>238</v>
      </c>
      <c r="P218" s="4" t="s">
        <v>97</v>
      </c>
      <c r="Q218" s="4" t="s">
        <v>97</v>
      </c>
      <c r="R218" s="14" t="s">
        <v>100</v>
      </c>
      <c r="S218" s="14" t="s">
        <v>100</v>
      </c>
      <c r="T218" s="14" t="s">
        <v>100</v>
      </c>
      <c r="U218" s="8"/>
      <c r="V218" s="14"/>
      <c r="W218" s="14"/>
      <c r="X218" s="14"/>
      <c r="Y218" s="5">
        <v>45876</v>
      </c>
      <c r="Z218" s="5">
        <v>45925</v>
      </c>
      <c r="AA218" s="7" t="s">
        <v>103</v>
      </c>
      <c r="AB218" s="7" t="s">
        <v>509</v>
      </c>
      <c r="AC218" s="7" t="s">
        <v>97</v>
      </c>
      <c r="AD218" s="7" t="s">
        <v>97</v>
      </c>
      <c r="AE218" s="7" t="s">
        <v>97</v>
      </c>
      <c r="AF218" s="7" t="s">
        <v>97</v>
      </c>
      <c r="AG218" s="7" t="s">
        <v>97</v>
      </c>
      <c r="AH218" s="7" t="s">
        <v>103</v>
      </c>
      <c r="AI218" s="5">
        <v>45876</v>
      </c>
      <c r="AJ218" s="7" t="s">
        <v>103</v>
      </c>
      <c r="AK218" s="7" t="s">
        <v>103</v>
      </c>
      <c r="AL218" s="7" t="s">
        <v>103</v>
      </c>
      <c r="AM218" s="7" t="s">
        <v>97</v>
      </c>
      <c r="AN218" s="7" t="s">
        <v>103</v>
      </c>
      <c r="AO218" s="7" t="s">
        <v>97</v>
      </c>
      <c r="AP218" s="7" t="s">
        <v>103</v>
      </c>
      <c r="AQ218" s="7" t="s">
        <v>97</v>
      </c>
      <c r="AR218" s="7" t="s">
        <v>97</v>
      </c>
      <c r="AS218" s="7" t="s">
        <v>103</v>
      </c>
      <c r="AT218" s="7" t="s">
        <v>685</v>
      </c>
      <c r="AU218" s="7"/>
      <c r="AV218" s="4" t="s">
        <v>97</v>
      </c>
      <c r="AW218" s="4" t="s">
        <v>97</v>
      </c>
      <c r="AX218" s="4" t="s">
        <v>97</v>
      </c>
      <c r="AY218" s="4" t="s">
        <v>97</v>
      </c>
      <c r="AZ218" s="4" t="s">
        <v>103</v>
      </c>
      <c r="BA218" s="4" t="s">
        <v>97</v>
      </c>
      <c r="BB218" s="5">
        <v>45925</v>
      </c>
      <c r="BC218" s="5">
        <v>45926</v>
      </c>
      <c r="BD218" s="5">
        <v>45926</v>
      </c>
      <c r="BE218" s="5">
        <v>45928</v>
      </c>
      <c r="BF218" s="4" t="s">
        <v>98</v>
      </c>
      <c r="BG218" s="4" t="s">
        <v>97</v>
      </c>
      <c r="BH218" s="4" t="s">
        <v>97</v>
      </c>
      <c r="BI218" s="4" t="s">
        <v>145</v>
      </c>
    </row>
    <row r="219" spans="1:61" x14ac:dyDescent="0.35">
      <c r="A219" s="8" t="str">
        <f t="shared" si="22"/>
        <v>Semaine 39-2025</v>
      </c>
      <c r="B219" s="8" t="str">
        <f t="shared" si="18"/>
        <v>2025</v>
      </c>
      <c r="C219" s="2" t="s">
        <v>54</v>
      </c>
      <c r="D219" s="6" t="str">
        <f t="shared" si="19"/>
        <v>Kaolack</v>
      </c>
      <c r="E219" s="6">
        <f t="shared" si="20"/>
        <v>470647</v>
      </c>
      <c r="F219" s="6">
        <f t="shared" si="21"/>
        <v>1267013</v>
      </c>
      <c r="G219" s="4" t="s">
        <v>681</v>
      </c>
      <c r="H219" s="4" t="s">
        <v>686</v>
      </c>
      <c r="I219" s="4">
        <v>45</v>
      </c>
      <c r="J219" s="4" t="s">
        <v>96</v>
      </c>
      <c r="K219" s="4"/>
      <c r="L219" s="4"/>
      <c r="M219" s="4"/>
      <c r="N219" s="4"/>
      <c r="O219" s="4" t="s">
        <v>238</v>
      </c>
      <c r="P219" s="4" t="s">
        <v>97</v>
      </c>
      <c r="Q219" s="4" t="s">
        <v>97</v>
      </c>
      <c r="R219" s="14" t="s">
        <v>100</v>
      </c>
      <c r="S219" s="14" t="s">
        <v>100</v>
      </c>
      <c r="T219" s="14" t="s">
        <v>100</v>
      </c>
      <c r="U219" s="8"/>
      <c r="V219" s="14"/>
      <c r="W219" s="14"/>
      <c r="X219" s="14"/>
      <c r="Y219" s="5">
        <v>45922</v>
      </c>
      <c r="Z219" s="5">
        <v>45924</v>
      </c>
      <c r="AA219" s="7" t="s">
        <v>103</v>
      </c>
      <c r="AB219" s="7"/>
      <c r="AC219" s="7" t="s">
        <v>103</v>
      </c>
      <c r="AD219" s="7" t="s">
        <v>97</v>
      </c>
      <c r="AE219" s="7" t="s">
        <v>97</v>
      </c>
      <c r="AF219" s="7" t="s">
        <v>103</v>
      </c>
      <c r="AG219" s="7" t="s">
        <v>103</v>
      </c>
      <c r="AH219" s="7" t="s">
        <v>103</v>
      </c>
      <c r="AI219" s="5">
        <v>45922</v>
      </c>
      <c r="AJ219" s="7" t="s">
        <v>103</v>
      </c>
      <c r="AK219" s="7" t="s">
        <v>103</v>
      </c>
      <c r="AL219" s="7" t="s">
        <v>97</v>
      </c>
      <c r="AM219" s="7" t="s">
        <v>97</v>
      </c>
      <c r="AN219" s="7" t="s">
        <v>103</v>
      </c>
      <c r="AO219" s="7" t="s">
        <v>97</v>
      </c>
      <c r="AP219" s="7" t="s">
        <v>97</v>
      </c>
      <c r="AQ219" s="7" t="s">
        <v>97</v>
      </c>
      <c r="AR219" s="7" t="s">
        <v>97</v>
      </c>
      <c r="AS219" s="7" t="s">
        <v>97</v>
      </c>
      <c r="AT219" s="7"/>
      <c r="AU219" s="7"/>
      <c r="AV219" s="4" t="s">
        <v>103</v>
      </c>
      <c r="AW219" s="4" t="s">
        <v>97</v>
      </c>
      <c r="AX219" s="4" t="s">
        <v>97</v>
      </c>
      <c r="AY219" s="4" t="s">
        <v>97</v>
      </c>
      <c r="AZ219" s="4" t="s">
        <v>97</v>
      </c>
      <c r="BA219" s="4" t="s">
        <v>97</v>
      </c>
      <c r="BB219" s="5">
        <v>45924</v>
      </c>
      <c r="BC219" s="5">
        <v>45926</v>
      </c>
      <c r="BD219" s="5">
        <v>45927</v>
      </c>
      <c r="BE219" s="5">
        <v>45928</v>
      </c>
      <c r="BF219" s="4" t="s">
        <v>98</v>
      </c>
      <c r="BG219" s="4" t="s">
        <v>103</v>
      </c>
      <c r="BH219" s="4" t="s">
        <v>103</v>
      </c>
      <c r="BI219" s="4" t="s">
        <v>115</v>
      </c>
    </row>
    <row r="220" spans="1:61" x14ac:dyDescent="0.35">
      <c r="A220" s="8" t="str">
        <f t="shared" si="22"/>
        <v>Semaine 38-2025</v>
      </c>
      <c r="B220" s="8" t="str">
        <f t="shared" si="18"/>
        <v>2025</v>
      </c>
      <c r="C220" s="2" t="s">
        <v>32</v>
      </c>
      <c r="D220" s="6" t="str">
        <f t="shared" si="19"/>
        <v>Kaolack</v>
      </c>
      <c r="E220" s="6">
        <f t="shared" si="20"/>
        <v>151881</v>
      </c>
      <c r="F220" s="6">
        <f t="shared" si="21"/>
        <v>1267013</v>
      </c>
      <c r="G220" s="4" t="s">
        <v>682</v>
      </c>
      <c r="H220" s="4" t="s">
        <v>687</v>
      </c>
      <c r="I220" s="4">
        <v>39</v>
      </c>
      <c r="J220" s="4" t="s">
        <v>114</v>
      </c>
      <c r="K220" s="4"/>
      <c r="L220" s="4"/>
      <c r="M220" s="4"/>
      <c r="N220" s="4"/>
      <c r="O220" s="4" t="s">
        <v>238</v>
      </c>
      <c r="P220" s="4" t="s">
        <v>97</v>
      </c>
      <c r="Q220" s="4" t="s">
        <v>97</v>
      </c>
      <c r="R220" s="14" t="s">
        <v>100</v>
      </c>
      <c r="S220" s="14" t="s">
        <v>100</v>
      </c>
      <c r="T220" s="14" t="s">
        <v>100</v>
      </c>
      <c r="U220" s="8"/>
      <c r="V220" s="14"/>
      <c r="W220" s="14"/>
      <c r="X220" s="14"/>
      <c r="Y220" s="5">
        <v>45918</v>
      </c>
      <c r="Z220" s="5">
        <v>45925</v>
      </c>
      <c r="AA220" s="7" t="s">
        <v>103</v>
      </c>
      <c r="AB220" s="7" t="s">
        <v>272</v>
      </c>
      <c r="AC220" s="7" t="s">
        <v>103</v>
      </c>
      <c r="AD220" s="7" t="s">
        <v>103</v>
      </c>
      <c r="AE220" s="7" t="s">
        <v>97</v>
      </c>
      <c r="AF220" s="7" t="s">
        <v>103</v>
      </c>
      <c r="AG220" s="7" t="s">
        <v>103</v>
      </c>
      <c r="AH220" s="7" t="s">
        <v>103</v>
      </c>
      <c r="AI220" s="5">
        <v>45917</v>
      </c>
      <c r="AJ220" s="7" t="s">
        <v>97</v>
      </c>
      <c r="AK220" s="7" t="s">
        <v>103</v>
      </c>
      <c r="AL220" s="7" t="s">
        <v>103</v>
      </c>
      <c r="AM220" s="7" t="s">
        <v>97</v>
      </c>
      <c r="AN220" s="7" t="s">
        <v>97</v>
      </c>
      <c r="AO220" s="7" t="s">
        <v>97</v>
      </c>
      <c r="AP220" s="7" t="s">
        <v>103</v>
      </c>
      <c r="AQ220" s="7" t="s">
        <v>97</v>
      </c>
      <c r="AR220" s="7" t="s">
        <v>97</v>
      </c>
      <c r="AS220" s="7" t="s">
        <v>97</v>
      </c>
      <c r="AT220" s="7"/>
      <c r="AU220" s="7"/>
      <c r="AV220" s="4" t="s">
        <v>103</v>
      </c>
      <c r="AW220" s="4" t="s">
        <v>97</v>
      </c>
      <c r="AX220" s="4" t="s">
        <v>97</v>
      </c>
      <c r="AY220" s="4" t="s">
        <v>97</v>
      </c>
      <c r="AZ220" s="4" t="s">
        <v>97</v>
      </c>
      <c r="BA220" s="4" t="s">
        <v>97</v>
      </c>
      <c r="BB220" s="5">
        <v>45926</v>
      </c>
      <c r="BC220" s="5">
        <v>45926</v>
      </c>
      <c r="BD220" s="5">
        <v>45926</v>
      </c>
      <c r="BE220" s="5">
        <v>45928</v>
      </c>
      <c r="BF220" s="4" t="s">
        <v>98</v>
      </c>
      <c r="BG220" s="4" t="s">
        <v>97</v>
      </c>
      <c r="BH220" s="4" t="s">
        <v>103</v>
      </c>
      <c r="BI220" s="4" t="s">
        <v>115</v>
      </c>
    </row>
    <row r="221" spans="1:61" x14ac:dyDescent="0.35">
      <c r="A221" s="8" t="str">
        <f t="shared" si="22"/>
        <v>Semaine 37-2025</v>
      </c>
      <c r="B221" s="8" t="str">
        <f t="shared" si="18"/>
        <v>2025</v>
      </c>
      <c r="C221" s="2" t="s">
        <v>60</v>
      </c>
      <c r="D221" s="6" t="str">
        <f t="shared" si="19"/>
        <v>Thies</v>
      </c>
      <c r="E221" s="6">
        <f t="shared" si="20"/>
        <v>92691</v>
      </c>
      <c r="F221" s="6">
        <f t="shared" si="21"/>
        <v>2280463</v>
      </c>
      <c r="G221" s="4" t="s">
        <v>677</v>
      </c>
      <c r="H221" s="4" t="s">
        <v>678</v>
      </c>
      <c r="I221" s="4">
        <v>19</v>
      </c>
      <c r="J221" s="4" t="s">
        <v>96</v>
      </c>
      <c r="K221" s="4" t="s">
        <v>422</v>
      </c>
      <c r="L221" s="5">
        <v>45927</v>
      </c>
      <c r="M221" s="4"/>
      <c r="N221" s="4"/>
      <c r="O221" s="4" t="s">
        <v>238</v>
      </c>
      <c r="P221" s="4" t="s">
        <v>97</v>
      </c>
      <c r="Q221" s="4" t="s">
        <v>97</v>
      </c>
      <c r="R221" s="14" t="s">
        <v>100</v>
      </c>
      <c r="S221" s="14" t="s">
        <v>100</v>
      </c>
      <c r="T221" s="14" t="s">
        <v>100</v>
      </c>
      <c r="U221" s="8"/>
      <c r="V221" s="14"/>
      <c r="W221" s="14"/>
      <c r="X221" s="14"/>
      <c r="Y221" s="5">
        <v>45912</v>
      </c>
      <c r="Z221" s="5">
        <v>45927</v>
      </c>
      <c r="AA221" s="7" t="s">
        <v>97</v>
      </c>
      <c r="AB221" s="7"/>
      <c r="AC221" s="7" t="s">
        <v>97</v>
      </c>
      <c r="AD221" s="7" t="s">
        <v>97</v>
      </c>
      <c r="AE221" s="7" t="s">
        <v>97</v>
      </c>
      <c r="AF221" s="7" t="s">
        <v>97</v>
      </c>
      <c r="AG221" s="7" t="s">
        <v>97</v>
      </c>
      <c r="AH221" s="7" t="s">
        <v>103</v>
      </c>
      <c r="AI221" s="5">
        <v>45914</v>
      </c>
      <c r="AJ221" s="7" t="s">
        <v>97</v>
      </c>
      <c r="AK221" s="7" t="s">
        <v>97</v>
      </c>
      <c r="AL221" s="7" t="s">
        <v>103</v>
      </c>
      <c r="AM221" s="7" t="s">
        <v>103</v>
      </c>
      <c r="AN221" s="7" t="s">
        <v>97</v>
      </c>
      <c r="AO221" s="7" t="s">
        <v>97</v>
      </c>
      <c r="AP221" s="7" t="s">
        <v>97</v>
      </c>
      <c r="AQ221" s="7" t="s">
        <v>97</v>
      </c>
      <c r="AR221" s="7" t="s">
        <v>97</v>
      </c>
      <c r="AS221" s="7" t="s">
        <v>97</v>
      </c>
      <c r="AT221" s="7"/>
      <c r="AU221" s="7"/>
      <c r="AV221" s="4" t="s">
        <v>103</v>
      </c>
      <c r="AW221" s="4" t="s">
        <v>97</v>
      </c>
      <c r="AX221" s="4" t="s">
        <v>97</v>
      </c>
      <c r="AY221" s="4" t="s">
        <v>97</v>
      </c>
      <c r="AZ221" s="4" t="s">
        <v>103</v>
      </c>
      <c r="BA221" s="4" t="s">
        <v>97</v>
      </c>
      <c r="BB221" s="5">
        <v>45927</v>
      </c>
      <c r="BC221" s="5">
        <v>45927</v>
      </c>
      <c r="BD221" s="5">
        <v>45927</v>
      </c>
      <c r="BE221" s="5">
        <v>45928</v>
      </c>
      <c r="BF221" s="4" t="s">
        <v>98</v>
      </c>
      <c r="BG221" s="4" t="s">
        <v>97</v>
      </c>
      <c r="BH221" s="4" t="s">
        <v>103</v>
      </c>
      <c r="BI221" s="4" t="s">
        <v>115</v>
      </c>
    </row>
    <row r="222" spans="1:61" x14ac:dyDescent="0.35">
      <c r="A222" s="8" t="str">
        <f t="shared" si="22"/>
        <v>Semaine 38-2025</v>
      </c>
      <c r="B222" s="8" t="str">
        <f t="shared" si="18"/>
        <v>2025</v>
      </c>
      <c r="C222" s="2" t="s">
        <v>74</v>
      </c>
      <c r="D222" s="6" t="str">
        <f t="shared" si="19"/>
        <v>Thies</v>
      </c>
      <c r="E222" s="6">
        <f t="shared" si="20"/>
        <v>374824</v>
      </c>
      <c r="F222" s="6">
        <f t="shared" si="21"/>
        <v>2280463</v>
      </c>
      <c r="G222" s="4" t="s">
        <v>688</v>
      </c>
      <c r="H222" s="4" t="s">
        <v>691</v>
      </c>
      <c r="I222" s="4">
        <v>35</v>
      </c>
      <c r="J222" s="4" t="s">
        <v>114</v>
      </c>
      <c r="K222" s="4"/>
      <c r="L222" s="4"/>
      <c r="M222" s="4"/>
      <c r="N222" s="4"/>
      <c r="O222" s="4" t="s">
        <v>238</v>
      </c>
      <c r="P222" s="4" t="s">
        <v>97</v>
      </c>
      <c r="Q222" s="4" t="s">
        <v>97</v>
      </c>
      <c r="R222" s="14" t="s">
        <v>100</v>
      </c>
      <c r="S222" s="14" t="s">
        <v>100</v>
      </c>
      <c r="T222" s="14" t="s">
        <v>100</v>
      </c>
      <c r="U222" s="8"/>
      <c r="V222" s="14"/>
      <c r="W222" s="14"/>
      <c r="X222" s="14"/>
      <c r="Y222" s="5">
        <v>45921</v>
      </c>
      <c r="Z222" s="5">
        <v>45929</v>
      </c>
      <c r="AA222" s="7" t="s">
        <v>97</v>
      </c>
      <c r="AB222" s="7" t="s">
        <v>537</v>
      </c>
      <c r="AC222" s="7" t="s">
        <v>97</v>
      </c>
      <c r="AD222" s="7" t="s">
        <v>103</v>
      </c>
      <c r="AE222" s="7" t="s">
        <v>103</v>
      </c>
      <c r="AF222" s="7" t="s">
        <v>97</v>
      </c>
      <c r="AG222" s="7" t="s">
        <v>97</v>
      </c>
      <c r="AH222" s="7" t="s">
        <v>103</v>
      </c>
      <c r="AI222" s="5">
        <v>45921</v>
      </c>
      <c r="AJ222" s="7" t="s">
        <v>97</v>
      </c>
      <c r="AK222" s="7" t="s">
        <v>97</v>
      </c>
      <c r="AL222" s="7" t="s">
        <v>97</v>
      </c>
      <c r="AM222" s="7" t="s">
        <v>103</v>
      </c>
      <c r="AN222" s="7" t="s">
        <v>97</v>
      </c>
      <c r="AO222" s="7" t="s">
        <v>103</v>
      </c>
      <c r="AP222" s="7" t="s">
        <v>103</v>
      </c>
      <c r="AQ222" s="7" t="s">
        <v>97</v>
      </c>
      <c r="AR222" s="7" t="s">
        <v>103</v>
      </c>
      <c r="AS222" s="7" t="s">
        <v>97</v>
      </c>
      <c r="AT222" s="7"/>
      <c r="AU222" s="7"/>
      <c r="AV222" s="4" t="s">
        <v>97</v>
      </c>
      <c r="AW222" s="4" t="s">
        <v>103</v>
      </c>
      <c r="AX222" s="4" t="s">
        <v>97</v>
      </c>
      <c r="AY222" s="4" t="s">
        <v>97</v>
      </c>
      <c r="AZ222" s="4" t="s">
        <v>103</v>
      </c>
      <c r="BA222" s="4" t="s">
        <v>97</v>
      </c>
      <c r="BB222" s="5">
        <v>45929</v>
      </c>
      <c r="BC222" s="5">
        <v>45929</v>
      </c>
      <c r="BD222" s="5">
        <v>45929</v>
      </c>
      <c r="BE222" s="5">
        <v>45929</v>
      </c>
      <c r="BF222" s="4" t="s">
        <v>98</v>
      </c>
      <c r="BG222" s="4" t="s">
        <v>97</v>
      </c>
      <c r="BH222" s="4" t="s">
        <v>103</v>
      </c>
      <c r="BI222" s="5" t="s">
        <v>360</v>
      </c>
    </row>
    <row r="223" spans="1:61" x14ac:dyDescent="0.35">
      <c r="A223" s="8" t="str">
        <f t="shared" si="22"/>
        <v>Semaine 37-2025</v>
      </c>
      <c r="B223" s="8" t="str">
        <f t="shared" si="18"/>
        <v>2025</v>
      </c>
      <c r="C223" s="2" t="s">
        <v>72</v>
      </c>
      <c r="D223" s="6" t="str">
        <f t="shared" si="19"/>
        <v>Thies</v>
      </c>
      <c r="E223" s="6">
        <f t="shared" si="20"/>
        <v>520145</v>
      </c>
      <c r="F223" s="6">
        <f t="shared" si="21"/>
        <v>2280463</v>
      </c>
      <c r="G223" s="4" t="s">
        <v>690</v>
      </c>
      <c r="H223" s="4" t="s">
        <v>692</v>
      </c>
      <c r="I223" s="4">
        <v>42</v>
      </c>
      <c r="J223" s="4" t="s">
        <v>96</v>
      </c>
      <c r="K223" s="4"/>
      <c r="L223" s="4"/>
      <c r="M223" s="4"/>
      <c r="N223" s="4"/>
      <c r="O223" s="4" t="s">
        <v>238</v>
      </c>
      <c r="P223" s="4" t="s">
        <v>97</v>
      </c>
      <c r="Q223" s="4" t="s">
        <v>97</v>
      </c>
      <c r="R223" s="14" t="s">
        <v>100</v>
      </c>
      <c r="S223" s="14" t="s">
        <v>100</v>
      </c>
      <c r="T223" s="14" t="s">
        <v>100</v>
      </c>
      <c r="U223" s="8"/>
      <c r="V223" s="14"/>
      <c r="W223" s="14"/>
      <c r="X223" s="14"/>
      <c r="Y223" s="5">
        <v>45913</v>
      </c>
      <c r="Z223" s="5">
        <v>45929</v>
      </c>
      <c r="AA223" s="7" t="s">
        <v>103</v>
      </c>
      <c r="AB223" s="7"/>
      <c r="AC223" s="7" t="s">
        <v>103</v>
      </c>
      <c r="AD223" s="7" t="s">
        <v>97</v>
      </c>
      <c r="AE223" s="7" t="s">
        <v>97</v>
      </c>
      <c r="AF223" s="7" t="s">
        <v>97</v>
      </c>
      <c r="AG223" s="7" t="s">
        <v>97</v>
      </c>
      <c r="AH223" s="7" t="s">
        <v>103</v>
      </c>
      <c r="AI223" s="5">
        <v>45913</v>
      </c>
      <c r="AJ223" s="7" t="s">
        <v>97</v>
      </c>
      <c r="AK223" s="7" t="s">
        <v>97</v>
      </c>
      <c r="AL223" s="7" t="s">
        <v>103</v>
      </c>
      <c r="AM223" s="7" t="s">
        <v>103</v>
      </c>
      <c r="AN223" s="7" t="s">
        <v>103</v>
      </c>
      <c r="AO223" s="7" t="s">
        <v>97</v>
      </c>
      <c r="AP223" s="7" t="s">
        <v>97</v>
      </c>
      <c r="AQ223" s="7" t="s">
        <v>103</v>
      </c>
      <c r="AR223" s="7" t="s">
        <v>97</v>
      </c>
      <c r="AS223" s="7" t="s">
        <v>97</v>
      </c>
      <c r="AT223" s="7"/>
      <c r="AU223" s="7"/>
      <c r="AV223" s="4" t="s">
        <v>103</v>
      </c>
      <c r="AW223" s="4" t="s">
        <v>97</v>
      </c>
      <c r="AX223" s="4" t="s">
        <v>97</v>
      </c>
      <c r="AY223" s="4" t="s">
        <v>97</v>
      </c>
      <c r="AZ223" s="4" t="s">
        <v>103</v>
      </c>
      <c r="BA223" s="4" t="s">
        <v>97</v>
      </c>
      <c r="BB223" s="5">
        <v>45929</v>
      </c>
      <c r="BC223" s="5">
        <v>45929</v>
      </c>
      <c r="BD223" s="5">
        <v>45929</v>
      </c>
      <c r="BE223" s="5">
        <v>45929</v>
      </c>
      <c r="BF223" s="4" t="s">
        <v>98</v>
      </c>
      <c r="BG223" s="4" t="s">
        <v>97</v>
      </c>
      <c r="BH223" s="4" t="s">
        <v>103</v>
      </c>
      <c r="BI223" s="5" t="s">
        <v>360</v>
      </c>
    </row>
    <row r="224" spans="1:61" x14ac:dyDescent="0.35">
      <c r="A224" s="8" t="str">
        <f t="shared" si="22"/>
        <v>Semaine 39-2025</v>
      </c>
      <c r="B224" s="8" t="str">
        <f t="shared" si="18"/>
        <v>2025</v>
      </c>
      <c r="C224" s="2" t="s">
        <v>75</v>
      </c>
      <c r="D224" s="6" t="str">
        <f t="shared" si="19"/>
        <v>Diourbel</v>
      </c>
      <c r="E224" s="6">
        <f t="shared" si="20"/>
        <v>996481</v>
      </c>
      <c r="F224" s="6">
        <f t="shared" si="21"/>
        <v>1980827</v>
      </c>
      <c r="G224" s="4" t="s">
        <v>693</v>
      </c>
      <c r="H224" s="4" t="s">
        <v>695</v>
      </c>
      <c r="I224" s="4">
        <v>25</v>
      </c>
      <c r="J224" s="4" t="s">
        <v>96</v>
      </c>
      <c r="K224" s="4"/>
      <c r="L224" s="4"/>
      <c r="M224" s="4"/>
      <c r="N224" s="4"/>
      <c r="O224" s="4" t="s">
        <v>238</v>
      </c>
      <c r="P224" s="4" t="s">
        <v>97</v>
      </c>
      <c r="Q224" s="4" t="s">
        <v>97</v>
      </c>
      <c r="R224" s="14" t="s">
        <v>100</v>
      </c>
      <c r="S224" s="14" t="s">
        <v>100</v>
      </c>
      <c r="T224" s="14" t="s">
        <v>100</v>
      </c>
      <c r="U224" s="8"/>
      <c r="V224" s="14"/>
      <c r="W224" s="14"/>
      <c r="X224" s="14"/>
      <c r="Y224" s="5">
        <v>45924</v>
      </c>
      <c r="Z224" s="5">
        <v>45927</v>
      </c>
      <c r="AA224" s="7" t="s">
        <v>103</v>
      </c>
      <c r="AB224" s="7"/>
      <c r="AC224" s="7" t="s">
        <v>103</v>
      </c>
      <c r="AD224" s="7" t="s">
        <v>103</v>
      </c>
      <c r="AE224" s="7" t="s">
        <v>103</v>
      </c>
      <c r="AF224" s="7" t="s">
        <v>103</v>
      </c>
      <c r="AG224" s="7" t="s">
        <v>97</v>
      </c>
      <c r="AH224" s="7" t="s">
        <v>103</v>
      </c>
      <c r="AI224" s="5">
        <v>45924</v>
      </c>
      <c r="AJ224" s="7" t="s">
        <v>97</v>
      </c>
      <c r="AK224" s="7" t="s">
        <v>97</v>
      </c>
      <c r="AL224" s="7" t="s">
        <v>97</v>
      </c>
      <c r="AM224" s="7" t="s">
        <v>97</v>
      </c>
      <c r="AN224" s="7" t="s">
        <v>103</v>
      </c>
      <c r="AO224" s="7" t="s">
        <v>103</v>
      </c>
      <c r="AP224" s="7" t="s">
        <v>103</v>
      </c>
      <c r="AQ224" s="7" t="s">
        <v>97</v>
      </c>
      <c r="AR224" s="7" t="s">
        <v>97</v>
      </c>
      <c r="AS224" s="7" t="s">
        <v>97</v>
      </c>
      <c r="AT224" s="7"/>
      <c r="AU224" s="7"/>
      <c r="AV224" s="4" t="s">
        <v>103</v>
      </c>
      <c r="AW224" s="4" t="s">
        <v>97</v>
      </c>
      <c r="AX224" s="4" t="s">
        <v>97</v>
      </c>
      <c r="AY224" s="4" t="s">
        <v>97</v>
      </c>
      <c r="AZ224" s="4" t="s">
        <v>103</v>
      </c>
      <c r="BA224" s="4" t="s">
        <v>97</v>
      </c>
      <c r="BB224" s="5">
        <v>45927</v>
      </c>
      <c r="BC224" s="5">
        <v>45928</v>
      </c>
      <c r="BD224" s="5">
        <v>45929</v>
      </c>
      <c r="BE224" s="5">
        <v>45929</v>
      </c>
      <c r="BF224" s="4" t="s">
        <v>98</v>
      </c>
      <c r="BG224" s="4" t="s">
        <v>97</v>
      </c>
      <c r="BH224" s="4" t="s">
        <v>103</v>
      </c>
      <c r="BI224" s="4" t="s">
        <v>115</v>
      </c>
    </row>
    <row r="225" spans="1:61" x14ac:dyDescent="0.35">
      <c r="A225" s="8" t="str">
        <f t="shared" si="22"/>
        <v>Semaine 39-2025</v>
      </c>
      <c r="B225" s="8" t="str">
        <f t="shared" si="18"/>
        <v>2025</v>
      </c>
      <c r="C225" s="2" t="s">
        <v>0</v>
      </c>
      <c r="D225" s="6" t="str">
        <f t="shared" si="19"/>
        <v>Matam</v>
      </c>
      <c r="E225" s="6">
        <f t="shared" si="20"/>
        <v>271560</v>
      </c>
      <c r="F225" s="6">
        <f t="shared" si="21"/>
        <v>789215</v>
      </c>
      <c r="G225" s="4" t="s">
        <v>694</v>
      </c>
      <c r="H225" s="4" t="s">
        <v>697</v>
      </c>
      <c r="I225" s="4">
        <v>24</v>
      </c>
      <c r="J225" s="4" t="s">
        <v>114</v>
      </c>
      <c r="K225" s="4"/>
      <c r="L225" s="4"/>
      <c r="M225" s="4"/>
      <c r="N225" s="4"/>
      <c r="O225" s="4" t="s">
        <v>238</v>
      </c>
      <c r="P225" s="4" t="s">
        <v>97</v>
      </c>
      <c r="Q225" s="4" t="s">
        <v>97</v>
      </c>
      <c r="R225" s="14" t="s">
        <v>100</v>
      </c>
      <c r="S225" s="14" t="s">
        <v>100</v>
      </c>
      <c r="T225" s="14" t="s">
        <v>100</v>
      </c>
      <c r="U225" s="8"/>
      <c r="V225" s="14"/>
      <c r="W225" s="14"/>
      <c r="X225" s="14"/>
      <c r="Y225" s="5">
        <v>45927</v>
      </c>
      <c r="Z225" s="5">
        <v>45928</v>
      </c>
      <c r="AA225" s="7" t="s">
        <v>103</v>
      </c>
      <c r="AB225" s="7" t="s">
        <v>698</v>
      </c>
      <c r="AC225" s="7" t="s">
        <v>103</v>
      </c>
      <c r="AD225" s="7" t="s">
        <v>97</v>
      </c>
      <c r="AE225" s="7" t="s">
        <v>97</v>
      </c>
      <c r="AF225" s="7" t="s">
        <v>103</v>
      </c>
      <c r="AG225" s="7" t="s">
        <v>103</v>
      </c>
      <c r="AH225" s="7" t="s">
        <v>103</v>
      </c>
      <c r="AI225" s="5">
        <v>45927</v>
      </c>
      <c r="AJ225" s="7" t="s">
        <v>97</v>
      </c>
      <c r="AK225" s="7" t="s">
        <v>103</v>
      </c>
      <c r="AL225" s="7" t="s">
        <v>97</v>
      </c>
      <c r="AM225" s="7" t="s">
        <v>103</v>
      </c>
      <c r="AN225" s="7" t="s">
        <v>103</v>
      </c>
      <c r="AO225" s="7" t="s">
        <v>97</v>
      </c>
      <c r="AP225" s="7" t="s">
        <v>97</v>
      </c>
      <c r="AQ225" s="7" t="s">
        <v>103</v>
      </c>
      <c r="AR225" s="7" t="s">
        <v>97</v>
      </c>
      <c r="AS225" s="7" t="s">
        <v>97</v>
      </c>
      <c r="AT225" s="7"/>
      <c r="AU225" s="7"/>
      <c r="AV225" s="4" t="s">
        <v>103</v>
      </c>
      <c r="AW225" s="4" t="s">
        <v>97</v>
      </c>
      <c r="AX225" s="4" t="s">
        <v>97</v>
      </c>
      <c r="AY225" s="4" t="s">
        <v>97</v>
      </c>
      <c r="AZ225" s="4" t="s">
        <v>103</v>
      </c>
      <c r="BA225" s="4" t="s">
        <v>97</v>
      </c>
      <c r="BB225" s="5">
        <v>45928</v>
      </c>
      <c r="BC225" s="5">
        <v>45928</v>
      </c>
      <c r="BD225" s="5">
        <v>45929</v>
      </c>
      <c r="BE225" s="5">
        <v>45929</v>
      </c>
      <c r="BF225" s="4" t="s">
        <v>98</v>
      </c>
      <c r="BG225" s="4" t="s">
        <v>103</v>
      </c>
      <c r="BH225" s="4" t="s">
        <v>103</v>
      </c>
      <c r="BI225" s="4" t="s">
        <v>115</v>
      </c>
    </row>
    <row r="226" spans="1:61" x14ac:dyDescent="0.35">
      <c r="A226" s="8" t="str">
        <f t="shared" si="22"/>
        <v>Semaine 39-2025</v>
      </c>
      <c r="B226" s="8" t="str">
        <f t="shared" si="18"/>
        <v>2025</v>
      </c>
      <c r="C226" s="2" t="s">
        <v>18</v>
      </c>
      <c r="D226" s="6" t="str">
        <f t="shared" si="19"/>
        <v>Dakar</v>
      </c>
      <c r="E226" s="6">
        <f t="shared" si="20"/>
        <v>419489</v>
      </c>
      <c r="F226" s="6">
        <f t="shared" si="21"/>
        <v>4042240</v>
      </c>
      <c r="G226" s="4" t="s">
        <v>689</v>
      </c>
      <c r="H226" s="4" t="s">
        <v>699</v>
      </c>
      <c r="I226" s="4">
        <v>20</v>
      </c>
      <c r="J226" s="4" t="s">
        <v>114</v>
      </c>
      <c r="K226" s="4"/>
      <c r="L226" s="4"/>
      <c r="M226" s="4"/>
      <c r="N226" s="4"/>
      <c r="O226" s="4" t="s">
        <v>238</v>
      </c>
      <c r="P226" s="4" t="s">
        <v>97</v>
      </c>
      <c r="Q226" s="4" t="s">
        <v>97</v>
      </c>
      <c r="R226" s="14" t="s">
        <v>100</v>
      </c>
      <c r="S226" s="14" t="s">
        <v>100</v>
      </c>
      <c r="T226" s="14" t="s">
        <v>100</v>
      </c>
      <c r="U226" s="8"/>
      <c r="V226" s="14"/>
      <c r="W226" s="14"/>
      <c r="X226" s="14"/>
      <c r="Y226" s="5">
        <v>45925</v>
      </c>
      <c r="Z226" s="5">
        <v>45929</v>
      </c>
      <c r="AA226" s="7" t="s">
        <v>103</v>
      </c>
      <c r="AB226" s="7" t="s">
        <v>276</v>
      </c>
      <c r="AC226" s="7" t="s">
        <v>97</v>
      </c>
      <c r="AD226" s="7" t="s">
        <v>97</v>
      </c>
      <c r="AE226" s="7" t="s">
        <v>97</v>
      </c>
      <c r="AF226" s="7" t="s">
        <v>97</v>
      </c>
      <c r="AG226" s="7" t="s">
        <v>97</v>
      </c>
      <c r="AH226" s="7" t="s">
        <v>103</v>
      </c>
      <c r="AI226" s="5">
        <v>45925</v>
      </c>
      <c r="AJ226" s="7" t="s">
        <v>103</v>
      </c>
      <c r="AK226" s="7" t="s">
        <v>103</v>
      </c>
      <c r="AL226" s="7" t="s">
        <v>97</v>
      </c>
      <c r="AM226" s="7" t="s">
        <v>103</v>
      </c>
      <c r="AN226" s="7" t="s">
        <v>103</v>
      </c>
      <c r="AO226" s="7" t="s">
        <v>97</v>
      </c>
      <c r="AP226" s="7" t="s">
        <v>103</v>
      </c>
      <c r="AQ226" s="7" t="s">
        <v>97</v>
      </c>
      <c r="AR226" s="7" t="s">
        <v>97</v>
      </c>
      <c r="AS226" s="7" t="s">
        <v>103</v>
      </c>
      <c r="AT226" s="7"/>
      <c r="AU226" s="7"/>
      <c r="AV226" s="4" t="s">
        <v>103</v>
      </c>
      <c r="AW226" s="4" t="s">
        <v>103</v>
      </c>
      <c r="AX226" s="4" t="s">
        <v>97</v>
      </c>
      <c r="AY226" s="4" t="s">
        <v>97</v>
      </c>
      <c r="AZ226" s="4" t="s">
        <v>103</v>
      </c>
      <c r="BA226" s="4" t="s">
        <v>97</v>
      </c>
      <c r="BB226" s="5">
        <v>45929</v>
      </c>
      <c r="BC226" s="5">
        <v>45929</v>
      </c>
      <c r="BD226" s="5">
        <v>45929</v>
      </c>
      <c r="BE226" s="5">
        <v>45929</v>
      </c>
      <c r="BF226" s="4" t="s">
        <v>98</v>
      </c>
      <c r="BG226" s="4" t="s">
        <v>97</v>
      </c>
      <c r="BH226" s="4" t="s">
        <v>103</v>
      </c>
      <c r="BI226" s="4" t="s">
        <v>115</v>
      </c>
    </row>
    <row r="227" spans="1:61" x14ac:dyDescent="0.35">
      <c r="A227" s="8" t="str">
        <f t="shared" si="22"/>
        <v>Semaine 38-2025</v>
      </c>
      <c r="B227" s="8" t="str">
        <f t="shared" si="18"/>
        <v>2025</v>
      </c>
      <c r="C227" s="2" t="s">
        <v>3</v>
      </c>
      <c r="D227" s="6" t="str">
        <f t="shared" si="19"/>
        <v>Kaolack</v>
      </c>
      <c r="E227" s="6">
        <f t="shared" si="20"/>
        <v>412872</v>
      </c>
      <c r="F227" s="6">
        <f t="shared" si="21"/>
        <v>1267013</v>
      </c>
      <c r="G227" s="4" t="s">
        <v>696</v>
      </c>
      <c r="H227" s="4" t="s">
        <v>700</v>
      </c>
      <c r="I227" s="4">
        <v>2</v>
      </c>
      <c r="J227" s="4" t="s">
        <v>96</v>
      </c>
      <c r="K227" s="4"/>
      <c r="L227" s="4"/>
      <c r="M227" s="4"/>
      <c r="N227" s="4"/>
      <c r="O227" s="4" t="s">
        <v>238</v>
      </c>
      <c r="P227" s="4" t="s">
        <v>97</v>
      </c>
      <c r="Q227" s="4" t="s">
        <v>97</v>
      </c>
      <c r="R227" s="14" t="s">
        <v>100</v>
      </c>
      <c r="S227" s="14" t="s">
        <v>100</v>
      </c>
      <c r="T227" s="14" t="s">
        <v>100</v>
      </c>
      <c r="U227" s="8"/>
      <c r="V227" s="14"/>
      <c r="W227" s="14"/>
      <c r="X227" s="14"/>
      <c r="Y227" s="5">
        <v>45920</v>
      </c>
      <c r="Z227" s="5">
        <v>45927</v>
      </c>
      <c r="AA227" s="7" t="s">
        <v>103</v>
      </c>
      <c r="AB227" s="7"/>
      <c r="AC227" s="7" t="s">
        <v>103</v>
      </c>
      <c r="AD227" s="7" t="s">
        <v>97</v>
      </c>
      <c r="AE227" s="7" t="s">
        <v>97</v>
      </c>
      <c r="AF227" s="7" t="s">
        <v>97</v>
      </c>
      <c r="AG227" s="7" t="s">
        <v>97</v>
      </c>
      <c r="AH227" s="7" t="s">
        <v>103</v>
      </c>
      <c r="AI227" s="5">
        <v>45920</v>
      </c>
      <c r="AJ227" s="7" t="s">
        <v>103</v>
      </c>
      <c r="AK227" s="7" t="s">
        <v>97</v>
      </c>
      <c r="AL227" s="7" t="s">
        <v>103</v>
      </c>
      <c r="AM227" s="7" t="s">
        <v>103</v>
      </c>
      <c r="AN227" s="7" t="s">
        <v>103</v>
      </c>
      <c r="AO227" s="7" t="s">
        <v>97</v>
      </c>
      <c r="AP227" s="7" t="s">
        <v>97</v>
      </c>
      <c r="AQ227" s="7" t="s">
        <v>97</v>
      </c>
      <c r="AR227" s="7" t="s">
        <v>97</v>
      </c>
      <c r="AS227" s="7" t="s">
        <v>97</v>
      </c>
      <c r="AT227" s="7"/>
      <c r="AU227" s="7"/>
      <c r="AV227" s="4" t="s">
        <v>103</v>
      </c>
      <c r="AW227" s="4" t="s">
        <v>97</v>
      </c>
      <c r="AX227" s="4" t="s">
        <v>97</v>
      </c>
      <c r="AY227" s="4" t="s">
        <v>97</v>
      </c>
      <c r="AZ227" s="4" t="s">
        <v>103</v>
      </c>
      <c r="BA227" s="4" t="s">
        <v>97</v>
      </c>
      <c r="BB227" s="5">
        <v>45927</v>
      </c>
      <c r="BC227" s="5">
        <v>45928</v>
      </c>
      <c r="BD227" s="5">
        <v>45929</v>
      </c>
      <c r="BE227" s="5">
        <v>45929</v>
      </c>
      <c r="BF227" s="4" t="s">
        <v>98</v>
      </c>
      <c r="BG227" s="4" t="s">
        <v>103</v>
      </c>
      <c r="BH227" s="4" t="s">
        <v>103</v>
      </c>
      <c r="BI227" s="4" t="s">
        <v>115</v>
      </c>
    </row>
    <row r="228" spans="1:61" x14ac:dyDescent="0.35">
      <c r="A228" s="8" t="str">
        <f t="shared" si="22"/>
        <v>Semaine 39-2025</v>
      </c>
      <c r="B228" s="8" t="str">
        <f t="shared" si="18"/>
        <v>2025</v>
      </c>
      <c r="C228" s="2" t="s">
        <v>75</v>
      </c>
      <c r="D228" s="6" t="str">
        <f t="shared" si="19"/>
        <v>Diourbel</v>
      </c>
      <c r="E228" s="6">
        <f t="shared" si="20"/>
        <v>996481</v>
      </c>
      <c r="F228" s="6">
        <f t="shared" si="21"/>
        <v>1980827</v>
      </c>
      <c r="G228" s="4" t="s">
        <v>701</v>
      </c>
      <c r="H228" s="4" t="s">
        <v>703</v>
      </c>
      <c r="I228" s="4">
        <v>5</v>
      </c>
      <c r="J228" s="4" t="s">
        <v>114</v>
      </c>
      <c r="K228" s="4"/>
      <c r="L228" s="4"/>
      <c r="M228" s="4"/>
      <c r="N228" s="4"/>
      <c r="O228" s="4" t="s">
        <v>238</v>
      </c>
      <c r="P228" s="4" t="s">
        <v>97</v>
      </c>
      <c r="Q228" s="4" t="s">
        <v>97</v>
      </c>
      <c r="R228" s="14" t="s">
        <v>100</v>
      </c>
      <c r="S228" s="14" t="s">
        <v>100</v>
      </c>
      <c r="T228" s="14" t="s">
        <v>100</v>
      </c>
      <c r="U228" s="8"/>
      <c r="V228" s="14"/>
      <c r="W228" s="14"/>
      <c r="X228" s="14"/>
      <c r="Y228" s="5">
        <v>45925</v>
      </c>
      <c r="Z228" s="5">
        <v>45929</v>
      </c>
      <c r="AA228" s="7" t="s">
        <v>97</v>
      </c>
      <c r="AB228" s="7"/>
      <c r="AC228" s="7" t="s">
        <v>97</v>
      </c>
      <c r="AD228" s="7" t="s">
        <v>97</v>
      </c>
      <c r="AE228" s="7" t="s">
        <v>97</v>
      </c>
      <c r="AF228" s="7" t="s">
        <v>97</v>
      </c>
      <c r="AG228" s="7" t="s">
        <v>97</v>
      </c>
      <c r="AH228" s="7" t="s">
        <v>103</v>
      </c>
      <c r="AI228" s="5">
        <v>45925</v>
      </c>
      <c r="AJ228" s="7" t="s">
        <v>97</v>
      </c>
      <c r="AK228" s="7" t="s">
        <v>97</v>
      </c>
      <c r="AL228" s="7" t="s">
        <v>97</v>
      </c>
      <c r="AM228" s="7" t="s">
        <v>103</v>
      </c>
      <c r="AN228" s="7" t="s">
        <v>103</v>
      </c>
      <c r="AO228" s="7" t="s">
        <v>97</v>
      </c>
      <c r="AP228" s="7" t="s">
        <v>97</v>
      </c>
      <c r="AQ228" s="7" t="s">
        <v>97</v>
      </c>
      <c r="AR228" s="7" t="s">
        <v>97</v>
      </c>
      <c r="AS228" s="7" t="s">
        <v>97</v>
      </c>
      <c r="AT228" s="7"/>
      <c r="AU228" s="7"/>
      <c r="AV228" s="4" t="s">
        <v>103</v>
      </c>
      <c r="AW228" s="4" t="s">
        <v>97</v>
      </c>
      <c r="AX228" s="4" t="s">
        <v>97</v>
      </c>
      <c r="AY228" s="4" t="s">
        <v>97</v>
      </c>
      <c r="AZ228" s="4" t="s">
        <v>97</v>
      </c>
      <c r="BA228" s="4" t="s">
        <v>97</v>
      </c>
      <c r="BB228" s="5">
        <v>45929</v>
      </c>
      <c r="BC228" s="5">
        <v>45930</v>
      </c>
      <c r="BD228" s="5">
        <v>45930</v>
      </c>
      <c r="BE228" s="5">
        <v>45930</v>
      </c>
      <c r="BF228" s="4" t="s">
        <v>98</v>
      </c>
      <c r="BG228" s="4" t="s">
        <v>97</v>
      </c>
      <c r="BH228" s="4" t="s">
        <v>103</v>
      </c>
      <c r="BI228" s="4" t="s">
        <v>115</v>
      </c>
    </row>
    <row r="229" spans="1:61" x14ac:dyDescent="0.35">
      <c r="A229" s="8" t="str">
        <f t="shared" si="22"/>
        <v>Semaine 39-2025</v>
      </c>
      <c r="B229" s="8" t="str">
        <f t="shared" si="18"/>
        <v>2025</v>
      </c>
      <c r="C229" s="2" t="s">
        <v>31</v>
      </c>
      <c r="D229" s="6" t="str">
        <f t="shared" si="19"/>
        <v>Dakar</v>
      </c>
      <c r="E229" s="6">
        <f t="shared" si="20"/>
        <v>424760</v>
      </c>
      <c r="F229" s="6">
        <f t="shared" si="21"/>
        <v>4042240</v>
      </c>
      <c r="G229" s="4" t="s">
        <v>702</v>
      </c>
      <c r="H229" s="4" t="s">
        <v>706</v>
      </c>
      <c r="I229" s="4">
        <v>7</v>
      </c>
      <c r="J229" s="4" t="s">
        <v>114</v>
      </c>
      <c r="K229" s="4"/>
      <c r="L229" s="4"/>
      <c r="M229" s="4"/>
      <c r="N229" s="4"/>
      <c r="O229" s="4" t="s">
        <v>238</v>
      </c>
      <c r="P229" s="4" t="s">
        <v>97</v>
      </c>
      <c r="Q229" s="4" t="s">
        <v>97</v>
      </c>
      <c r="R229" s="14" t="s">
        <v>100</v>
      </c>
      <c r="S229" s="14" t="s">
        <v>100</v>
      </c>
      <c r="T229" s="14" t="s">
        <v>100</v>
      </c>
      <c r="U229" s="8"/>
      <c r="V229" s="14"/>
      <c r="W229" s="14"/>
      <c r="X229" s="14"/>
      <c r="Y229" s="5">
        <v>45928</v>
      </c>
      <c r="Z229" s="5">
        <v>45929</v>
      </c>
      <c r="AA229" s="7" t="s">
        <v>97</v>
      </c>
      <c r="AB229" s="7" t="s">
        <v>396</v>
      </c>
      <c r="AC229" s="7" t="s">
        <v>97</v>
      </c>
      <c r="AD229" s="7" t="s">
        <v>97</v>
      </c>
      <c r="AE229" s="7" t="s">
        <v>97</v>
      </c>
      <c r="AF229" s="7" t="s">
        <v>97</v>
      </c>
      <c r="AG229" s="7" t="s">
        <v>97</v>
      </c>
      <c r="AH229" s="7" t="s">
        <v>103</v>
      </c>
      <c r="AI229" s="5">
        <v>45928</v>
      </c>
      <c r="AJ229" s="7" t="s">
        <v>103</v>
      </c>
      <c r="AK229" s="7" t="s">
        <v>103</v>
      </c>
      <c r="AL229" s="7" t="s">
        <v>97</v>
      </c>
      <c r="AM229" s="7" t="s">
        <v>103</v>
      </c>
      <c r="AN229" s="7" t="s">
        <v>103</v>
      </c>
      <c r="AO229" s="7" t="s">
        <v>103</v>
      </c>
      <c r="AP229" s="7" t="s">
        <v>97</v>
      </c>
      <c r="AQ229" s="7" t="s">
        <v>97</v>
      </c>
      <c r="AR229" s="7" t="s">
        <v>97</v>
      </c>
      <c r="AS229" s="7" t="s">
        <v>97</v>
      </c>
      <c r="AT229" s="7"/>
      <c r="AU229" s="7"/>
      <c r="AV229" s="4" t="s">
        <v>103</v>
      </c>
      <c r="AW229" s="4" t="s">
        <v>97</v>
      </c>
      <c r="AX229" s="4" t="s">
        <v>97</v>
      </c>
      <c r="AY229" s="4" t="s">
        <v>97</v>
      </c>
      <c r="AZ229" s="4" t="s">
        <v>97</v>
      </c>
      <c r="BA229" s="4" t="s">
        <v>97</v>
      </c>
      <c r="BB229" s="5">
        <v>45929</v>
      </c>
      <c r="BC229" s="5">
        <v>45930</v>
      </c>
      <c r="BD229" s="5">
        <v>45930</v>
      </c>
      <c r="BE229" s="5">
        <v>45930</v>
      </c>
      <c r="BF229" s="4" t="s">
        <v>98</v>
      </c>
      <c r="BG229" s="4" t="s">
        <v>97</v>
      </c>
      <c r="BH229" s="4" t="s">
        <v>103</v>
      </c>
      <c r="BI229" s="4" t="s">
        <v>115</v>
      </c>
    </row>
    <row r="230" spans="1:61" x14ac:dyDescent="0.35">
      <c r="A230" s="8" t="str">
        <f t="shared" si="22"/>
        <v>Semaine 39-2025</v>
      </c>
      <c r="B230" s="8" t="str">
        <f t="shared" si="18"/>
        <v>2025</v>
      </c>
      <c r="C230" s="2" t="s">
        <v>8</v>
      </c>
      <c r="D230" s="6" t="str">
        <f t="shared" si="19"/>
        <v>Fatick</v>
      </c>
      <c r="E230" s="6">
        <f t="shared" si="20"/>
        <v>102630</v>
      </c>
      <c r="F230" s="6">
        <f t="shared" si="21"/>
        <v>965914</v>
      </c>
      <c r="G230" s="4" t="s">
        <v>704</v>
      </c>
      <c r="H230" s="4" t="s">
        <v>707</v>
      </c>
      <c r="I230" s="4">
        <v>7</v>
      </c>
      <c r="J230" s="4" t="s">
        <v>114</v>
      </c>
      <c r="K230" s="4"/>
      <c r="L230" s="4"/>
      <c r="M230" s="4"/>
      <c r="N230" s="4"/>
      <c r="O230" s="4" t="s">
        <v>238</v>
      </c>
      <c r="P230" s="4" t="s">
        <v>97</v>
      </c>
      <c r="Q230" s="4" t="s">
        <v>97</v>
      </c>
      <c r="R230" s="14" t="s">
        <v>100</v>
      </c>
      <c r="S230" s="14" t="s">
        <v>100</v>
      </c>
      <c r="T230" s="14" t="s">
        <v>100</v>
      </c>
      <c r="U230" s="8"/>
      <c r="V230" s="14"/>
      <c r="W230" s="14"/>
      <c r="X230" s="14"/>
      <c r="Y230" s="5">
        <v>45922</v>
      </c>
      <c r="Z230" s="5">
        <v>45929</v>
      </c>
      <c r="AA230" s="7" t="s">
        <v>103</v>
      </c>
      <c r="AB230" s="7" t="s">
        <v>303</v>
      </c>
      <c r="AC230" s="7" t="s">
        <v>97</v>
      </c>
      <c r="AD230" s="7" t="s">
        <v>97</v>
      </c>
      <c r="AE230" s="7" t="s">
        <v>97</v>
      </c>
      <c r="AF230" s="7" t="s">
        <v>103</v>
      </c>
      <c r="AG230" s="7" t="s">
        <v>97</v>
      </c>
      <c r="AH230" s="7" t="s">
        <v>103</v>
      </c>
      <c r="AI230" s="5">
        <v>45926</v>
      </c>
      <c r="AJ230" s="7" t="s">
        <v>97</v>
      </c>
      <c r="AK230" s="7" t="s">
        <v>97</v>
      </c>
      <c r="AL230" s="7" t="s">
        <v>97</v>
      </c>
      <c r="AM230" s="7" t="s">
        <v>103</v>
      </c>
      <c r="AN230" s="7" t="s">
        <v>103</v>
      </c>
      <c r="AO230" s="7" t="s">
        <v>103</v>
      </c>
      <c r="AP230" s="7" t="s">
        <v>103</v>
      </c>
      <c r="AQ230" s="7" t="s">
        <v>103</v>
      </c>
      <c r="AR230" s="7" t="s">
        <v>97</v>
      </c>
      <c r="AS230" s="7" t="s">
        <v>103</v>
      </c>
      <c r="AT230" s="7"/>
      <c r="AU230" s="7"/>
      <c r="AV230" s="4" t="s">
        <v>103</v>
      </c>
      <c r="AW230" s="4" t="s">
        <v>97</v>
      </c>
      <c r="AX230" s="4" t="s">
        <v>97</v>
      </c>
      <c r="AY230" s="4" t="s">
        <v>97</v>
      </c>
      <c r="AZ230" s="4" t="s">
        <v>97</v>
      </c>
      <c r="BA230" s="4" t="s">
        <v>97</v>
      </c>
      <c r="BB230" s="5">
        <v>45929</v>
      </c>
      <c r="BC230" s="5">
        <v>45930</v>
      </c>
      <c r="BD230" s="5">
        <v>45930</v>
      </c>
      <c r="BE230" s="5">
        <v>45930</v>
      </c>
      <c r="BF230" s="4" t="s">
        <v>98</v>
      </c>
      <c r="BG230" s="4" t="s">
        <v>97</v>
      </c>
      <c r="BH230" s="4" t="s">
        <v>103</v>
      </c>
      <c r="BI230" s="4" t="s">
        <v>115</v>
      </c>
    </row>
    <row r="231" spans="1:61" x14ac:dyDescent="0.35">
      <c r="A231" s="8" t="str">
        <f t="shared" si="22"/>
        <v>Semaine 38-2025</v>
      </c>
      <c r="B231" s="8" t="str">
        <f t="shared" si="18"/>
        <v>2025</v>
      </c>
      <c r="C231" s="2" t="s">
        <v>16</v>
      </c>
      <c r="D231" s="6" t="str">
        <f t="shared" si="19"/>
        <v>Saint-Louis</v>
      </c>
      <c r="E231" s="6">
        <f t="shared" si="20"/>
        <v>99833</v>
      </c>
      <c r="F231" s="6">
        <f t="shared" si="21"/>
        <v>1150065</v>
      </c>
      <c r="G231" s="4" t="s">
        <v>705</v>
      </c>
      <c r="H231" s="4" t="s">
        <v>708</v>
      </c>
      <c r="I231" s="4">
        <v>24</v>
      </c>
      <c r="J231" s="4" t="s">
        <v>114</v>
      </c>
      <c r="K231" s="4"/>
      <c r="L231" s="4"/>
      <c r="M231" s="4"/>
      <c r="N231" s="4"/>
      <c r="O231" s="4" t="s">
        <v>238</v>
      </c>
      <c r="P231" s="4" t="s">
        <v>97</v>
      </c>
      <c r="Q231" s="4" t="s">
        <v>97</v>
      </c>
      <c r="R231" s="14" t="s">
        <v>100</v>
      </c>
      <c r="S231" s="14" t="s">
        <v>100</v>
      </c>
      <c r="T231" s="14" t="s">
        <v>100</v>
      </c>
      <c r="U231" s="8"/>
      <c r="V231" s="14"/>
      <c r="W231" s="14"/>
      <c r="X231" s="14"/>
      <c r="Y231" s="5">
        <v>45920</v>
      </c>
      <c r="Z231" s="5">
        <v>45925</v>
      </c>
      <c r="AA231" s="7" t="s">
        <v>97</v>
      </c>
      <c r="AB231" s="7" t="s">
        <v>709</v>
      </c>
      <c r="AC231" s="7" t="s">
        <v>103</v>
      </c>
      <c r="AD231" s="7" t="s">
        <v>103</v>
      </c>
      <c r="AE231" s="7" t="s">
        <v>97</v>
      </c>
      <c r="AF231" s="7" t="s">
        <v>97</v>
      </c>
      <c r="AG231" s="7" t="s">
        <v>97</v>
      </c>
      <c r="AH231" s="7" t="s">
        <v>103</v>
      </c>
      <c r="AI231" s="5">
        <v>45920</v>
      </c>
      <c r="AJ231" s="7" t="s">
        <v>97</v>
      </c>
      <c r="AK231" s="7" t="s">
        <v>97</v>
      </c>
      <c r="AL231" s="7" t="s">
        <v>103</v>
      </c>
      <c r="AM231" s="7" t="s">
        <v>103</v>
      </c>
      <c r="AN231" s="7" t="s">
        <v>103</v>
      </c>
      <c r="AO231" s="7" t="s">
        <v>97</v>
      </c>
      <c r="AP231" s="7" t="s">
        <v>97</v>
      </c>
      <c r="AQ231" s="7" t="s">
        <v>97</v>
      </c>
      <c r="AR231" s="7" t="s">
        <v>97</v>
      </c>
      <c r="AS231" s="7" t="s">
        <v>97</v>
      </c>
      <c r="AT231" s="7"/>
      <c r="AU231" s="7"/>
      <c r="AV231" s="4" t="s">
        <v>103</v>
      </c>
      <c r="AW231" s="4" t="s">
        <v>97</v>
      </c>
      <c r="AX231" s="4" t="s">
        <v>97</v>
      </c>
      <c r="AY231" s="4" t="s">
        <v>97</v>
      </c>
      <c r="AZ231" s="4" t="s">
        <v>103</v>
      </c>
      <c r="BA231" s="4" t="s">
        <v>97</v>
      </c>
      <c r="BB231" s="5">
        <v>45925</v>
      </c>
      <c r="BC231" s="5">
        <v>45929</v>
      </c>
      <c r="BD231" s="5">
        <v>45929</v>
      </c>
      <c r="BE231" s="5">
        <v>45930</v>
      </c>
      <c r="BF231" s="4" t="s">
        <v>98</v>
      </c>
      <c r="BG231" s="4" t="s">
        <v>103</v>
      </c>
      <c r="BH231" s="4" t="s">
        <v>103</v>
      </c>
      <c r="BI231" s="4" t="s">
        <v>115</v>
      </c>
    </row>
    <row r="232" spans="1:61" x14ac:dyDescent="0.35">
      <c r="A232" s="8" t="str">
        <f t="shared" si="22"/>
        <v>Semaine 38-2025</v>
      </c>
      <c r="B232" s="8" t="str">
        <f t="shared" si="18"/>
        <v>2025</v>
      </c>
      <c r="C232" s="2" t="s">
        <v>31</v>
      </c>
      <c r="D232" s="6" t="str">
        <f t="shared" si="19"/>
        <v>Dakar</v>
      </c>
      <c r="E232" s="6">
        <f t="shared" si="20"/>
        <v>424760</v>
      </c>
      <c r="F232" s="6">
        <f t="shared" si="21"/>
        <v>4042240</v>
      </c>
      <c r="G232" s="4" t="s">
        <v>710</v>
      </c>
      <c r="H232" s="4" t="s">
        <v>711</v>
      </c>
      <c r="I232" s="4">
        <v>3</v>
      </c>
      <c r="J232" s="4" t="s">
        <v>96</v>
      </c>
      <c r="K232" s="4"/>
      <c r="L232" s="4"/>
      <c r="M232" s="4"/>
      <c r="N232" s="4"/>
      <c r="O232" s="4" t="s">
        <v>238</v>
      </c>
      <c r="P232" s="4" t="s">
        <v>103</v>
      </c>
      <c r="Q232" s="4" t="s">
        <v>97</v>
      </c>
      <c r="R232" s="14" t="s">
        <v>100</v>
      </c>
      <c r="S232" s="14" t="s">
        <v>100</v>
      </c>
      <c r="T232" s="14" t="s">
        <v>100</v>
      </c>
      <c r="U232" s="8"/>
      <c r="V232" s="14"/>
      <c r="W232" s="14"/>
      <c r="X232" s="14"/>
      <c r="Y232" s="5">
        <v>45921</v>
      </c>
      <c r="Z232" s="5">
        <v>45924</v>
      </c>
      <c r="AA232" s="7" t="s">
        <v>103</v>
      </c>
      <c r="AB232" s="7"/>
      <c r="AC232" s="7" t="s">
        <v>97</v>
      </c>
      <c r="AD232" s="7" t="s">
        <v>97</v>
      </c>
      <c r="AE232" s="7" t="s">
        <v>97</v>
      </c>
      <c r="AF232" s="7" t="s">
        <v>97</v>
      </c>
      <c r="AG232" s="7" t="s">
        <v>97</v>
      </c>
      <c r="AH232" s="7" t="s">
        <v>103</v>
      </c>
      <c r="AI232" s="5">
        <v>45921</v>
      </c>
      <c r="AJ232" s="7" t="s">
        <v>97</v>
      </c>
      <c r="AK232" s="7" t="s">
        <v>103</v>
      </c>
      <c r="AL232" s="7" t="s">
        <v>97</v>
      </c>
      <c r="AM232" s="7" t="s">
        <v>103</v>
      </c>
      <c r="AN232" s="7" t="s">
        <v>103</v>
      </c>
      <c r="AO232" s="7" t="s">
        <v>97</v>
      </c>
      <c r="AP232" s="7" t="s">
        <v>97</v>
      </c>
      <c r="AQ232" s="7" t="s">
        <v>97</v>
      </c>
      <c r="AR232" s="7" t="s">
        <v>97</v>
      </c>
      <c r="AS232" s="7" t="s">
        <v>97</v>
      </c>
      <c r="AT232" s="7"/>
      <c r="AU232" s="7"/>
      <c r="AV232" s="4" t="s">
        <v>97</v>
      </c>
      <c r="AW232" s="4" t="s">
        <v>97</v>
      </c>
      <c r="AX232" s="4" t="s">
        <v>103</v>
      </c>
      <c r="AY232" s="4" t="s">
        <v>97</v>
      </c>
      <c r="AZ232" s="4" t="s">
        <v>103</v>
      </c>
      <c r="BA232" s="4" t="s">
        <v>97</v>
      </c>
      <c r="BB232" s="5">
        <v>45924</v>
      </c>
      <c r="BC232" s="5">
        <v>45924</v>
      </c>
      <c r="BD232" s="5">
        <v>45924</v>
      </c>
      <c r="BE232" s="5">
        <v>45931</v>
      </c>
      <c r="BF232" s="4" t="s">
        <v>98</v>
      </c>
      <c r="BG232" s="4" t="s">
        <v>97</v>
      </c>
      <c r="BH232" s="4" t="s">
        <v>103</v>
      </c>
      <c r="BI232" s="4" t="s">
        <v>115</v>
      </c>
    </row>
    <row r="233" spans="1:61" x14ac:dyDescent="0.35">
      <c r="A233" s="8" t="str">
        <f t="shared" si="22"/>
        <v>Semaine 39-2025</v>
      </c>
      <c r="B233" s="8" t="str">
        <f t="shared" si="18"/>
        <v>2025</v>
      </c>
      <c r="C233" s="2" t="s">
        <v>75</v>
      </c>
      <c r="D233" s="6" t="str">
        <f t="shared" si="19"/>
        <v>Diourbel</v>
      </c>
      <c r="E233" s="6">
        <f t="shared" si="20"/>
        <v>996481</v>
      </c>
      <c r="F233" s="6">
        <f t="shared" si="21"/>
        <v>1980827</v>
      </c>
      <c r="G233" s="4" t="s">
        <v>712</v>
      </c>
      <c r="H233" s="4" t="s">
        <v>717</v>
      </c>
      <c r="I233" s="4">
        <v>6</v>
      </c>
      <c r="J233" s="4" t="s">
        <v>114</v>
      </c>
      <c r="K233" s="4"/>
      <c r="L233" s="4"/>
      <c r="M233" s="4"/>
      <c r="N233" s="4"/>
      <c r="O233" s="4" t="s">
        <v>238</v>
      </c>
      <c r="P233" s="4" t="s">
        <v>97</v>
      </c>
      <c r="Q233" s="4" t="s">
        <v>97</v>
      </c>
      <c r="R233" s="14" t="s">
        <v>100</v>
      </c>
      <c r="S233" s="14" t="s">
        <v>100</v>
      </c>
      <c r="T233" s="14" t="s">
        <v>100</v>
      </c>
      <c r="U233" s="8"/>
      <c r="V233" s="14"/>
      <c r="W233" s="14"/>
      <c r="X233" s="14"/>
      <c r="Y233" s="5">
        <v>45925</v>
      </c>
      <c r="Z233" s="5">
        <v>45930</v>
      </c>
      <c r="AA233" s="7" t="s">
        <v>97</v>
      </c>
      <c r="AB233" s="7" t="s">
        <v>546</v>
      </c>
      <c r="AC233" s="7" t="s">
        <v>103</v>
      </c>
      <c r="AD233" s="7" t="s">
        <v>97</v>
      </c>
      <c r="AE233" s="7" t="s">
        <v>97</v>
      </c>
      <c r="AF233" s="7" t="s">
        <v>97</v>
      </c>
      <c r="AG233" s="7" t="s">
        <v>97</v>
      </c>
      <c r="AH233" s="7" t="s">
        <v>103</v>
      </c>
      <c r="AI233" s="5">
        <v>45925</v>
      </c>
      <c r="AJ233" s="7" t="s">
        <v>97</v>
      </c>
      <c r="AK233" s="7" t="s">
        <v>97</v>
      </c>
      <c r="AL233" s="7" t="s">
        <v>97</v>
      </c>
      <c r="AM233" s="7" t="s">
        <v>103</v>
      </c>
      <c r="AN233" s="7" t="s">
        <v>103</v>
      </c>
      <c r="AO233" s="7" t="s">
        <v>97</v>
      </c>
      <c r="AP233" s="7" t="s">
        <v>97</v>
      </c>
      <c r="AQ233" s="7" t="s">
        <v>97</v>
      </c>
      <c r="AR233" s="7" t="s">
        <v>97</v>
      </c>
      <c r="AS233" s="7" t="s">
        <v>97</v>
      </c>
      <c r="AT233" s="7"/>
      <c r="AU233" s="7"/>
      <c r="AV233" s="4" t="s">
        <v>97</v>
      </c>
      <c r="AW233" s="4" t="s">
        <v>97</v>
      </c>
      <c r="AX233" s="4" t="s">
        <v>97</v>
      </c>
      <c r="AY233" s="4" t="s">
        <v>97</v>
      </c>
      <c r="AZ233" s="4" t="s">
        <v>103</v>
      </c>
      <c r="BA233" s="4" t="s">
        <v>97</v>
      </c>
      <c r="BB233" s="5">
        <v>45930</v>
      </c>
      <c r="BC233" s="5">
        <v>45931</v>
      </c>
      <c r="BD233" s="5">
        <v>45932</v>
      </c>
      <c r="BE233" s="5">
        <v>45932</v>
      </c>
      <c r="BF233" s="4" t="s">
        <v>98</v>
      </c>
      <c r="BG233" s="4" t="s">
        <v>97</v>
      </c>
      <c r="BH233" s="4" t="s">
        <v>103</v>
      </c>
      <c r="BI233" s="4" t="s">
        <v>145</v>
      </c>
    </row>
    <row r="234" spans="1:61" x14ac:dyDescent="0.35">
      <c r="A234" s="8" t="str">
        <f t="shared" si="22"/>
        <v>Semaine 39-2025</v>
      </c>
      <c r="B234" s="8" t="str">
        <f t="shared" si="18"/>
        <v>2025</v>
      </c>
      <c r="C234" s="2" t="s">
        <v>22</v>
      </c>
      <c r="D234" s="6" t="str">
        <f t="shared" si="19"/>
        <v>Louga</v>
      </c>
      <c r="E234" s="6">
        <f t="shared" si="20"/>
        <v>106333</v>
      </c>
      <c r="F234" s="6">
        <f t="shared" si="21"/>
        <v>1121619</v>
      </c>
      <c r="G234" s="4" t="s">
        <v>713</v>
      </c>
      <c r="H234" s="4" t="s">
        <v>718</v>
      </c>
      <c r="I234" s="4">
        <v>1</v>
      </c>
      <c r="J234" s="4" t="s">
        <v>96</v>
      </c>
      <c r="K234" s="4"/>
      <c r="L234" s="4"/>
      <c r="M234" s="4"/>
      <c r="N234" s="4"/>
      <c r="O234" s="4" t="s">
        <v>238</v>
      </c>
      <c r="P234" s="4" t="s">
        <v>97</v>
      </c>
      <c r="Q234" s="4" t="s">
        <v>97</v>
      </c>
      <c r="R234" s="14" t="s">
        <v>100</v>
      </c>
      <c r="S234" s="14" t="s">
        <v>100</v>
      </c>
      <c r="T234" s="14" t="s">
        <v>100</v>
      </c>
      <c r="U234" s="8"/>
      <c r="V234" s="14"/>
      <c r="W234" s="14"/>
      <c r="X234" s="14"/>
      <c r="Y234" s="5">
        <v>45926</v>
      </c>
      <c r="Z234" s="5">
        <v>45930</v>
      </c>
      <c r="AA234" s="7" t="s">
        <v>103</v>
      </c>
      <c r="AB234" s="7" t="s">
        <v>488</v>
      </c>
      <c r="AC234" s="7" t="s">
        <v>103</v>
      </c>
      <c r="AD234" s="7" t="s">
        <v>103</v>
      </c>
      <c r="AE234" s="7" t="s">
        <v>97</v>
      </c>
      <c r="AF234" s="7" t="s">
        <v>97</v>
      </c>
      <c r="AG234" s="7" t="s">
        <v>103</v>
      </c>
      <c r="AH234" s="7" t="s">
        <v>103</v>
      </c>
      <c r="AI234" s="5">
        <v>45926</v>
      </c>
      <c r="AJ234" s="7" t="s">
        <v>103</v>
      </c>
      <c r="AK234" s="7" t="s">
        <v>97</v>
      </c>
      <c r="AL234" s="7" t="s">
        <v>97</v>
      </c>
      <c r="AM234" s="7" t="s">
        <v>103</v>
      </c>
      <c r="AN234" s="7" t="s">
        <v>97</v>
      </c>
      <c r="AO234" s="7" t="s">
        <v>103</v>
      </c>
      <c r="AP234" s="7" t="s">
        <v>103</v>
      </c>
      <c r="AQ234" s="7" t="s">
        <v>97</v>
      </c>
      <c r="AR234" s="7" t="s">
        <v>97</v>
      </c>
      <c r="AS234" s="7" t="s">
        <v>97</v>
      </c>
      <c r="AT234" s="7"/>
      <c r="AU234" s="7"/>
      <c r="AV234" s="4" t="s">
        <v>103</v>
      </c>
      <c r="AW234" s="4" t="s">
        <v>97</v>
      </c>
      <c r="AX234" s="4" t="s">
        <v>97</v>
      </c>
      <c r="AY234" s="4" t="s">
        <v>97</v>
      </c>
      <c r="AZ234" s="4" t="s">
        <v>103</v>
      </c>
      <c r="BA234" s="4" t="s">
        <v>97</v>
      </c>
      <c r="BB234" s="5">
        <v>45930</v>
      </c>
      <c r="BC234" s="5">
        <v>45931</v>
      </c>
      <c r="BD234" s="5">
        <v>45932</v>
      </c>
      <c r="BE234" s="5">
        <v>45932</v>
      </c>
      <c r="BF234" s="4" t="s">
        <v>98</v>
      </c>
      <c r="BG234" s="4" t="s">
        <v>97</v>
      </c>
      <c r="BH234" s="4" t="s">
        <v>103</v>
      </c>
      <c r="BI234" s="4" t="s">
        <v>115</v>
      </c>
    </row>
    <row r="235" spans="1:61" x14ac:dyDescent="0.35">
      <c r="A235" s="8" t="str">
        <f t="shared" si="22"/>
        <v>Semaine 38-2025</v>
      </c>
      <c r="B235" s="8" t="str">
        <f t="shared" si="18"/>
        <v>2025</v>
      </c>
      <c r="C235" s="2" t="s">
        <v>70</v>
      </c>
      <c r="D235" s="6" t="str">
        <f t="shared" si="19"/>
        <v>Fatick</v>
      </c>
      <c r="E235" s="6">
        <f t="shared" si="20"/>
        <v>198755</v>
      </c>
      <c r="F235" s="6">
        <f t="shared" si="21"/>
        <v>965914</v>
      </c>
      <c r="G235" s="4" t="s">
        <v>714</v>
      </c>
      <c r="H235" s="4" t="s">
        <v>719</v>
      </c>
      <c r="I235" s="4">
        <v>21</v>
      </c>
      <c r="J235" s="4" t="s">
        <v>96</v>
      </c>
      <c r="K235" s="4"/>
      <c r="L235" s="4"/>
      <c r="M235" s="4"/>
      <c r="N235" s="4"/>
      <c r="O235" s="4" t="s">
        <v>238</v>
      </c>
      <c r="P235" s="4" t="s">
        <v>97</v>
      </c>
      <c r="Q235" s="4" t="s">
        <v>97</v>
      </c>
      <c r="R235" s="14" t="s">
        <v>100</v>
      </c>
      <c r="S235" s="14" t="s">
        <v>100</v>
      </c>
      <c r="T235" s="14" t="s">
        <v>100</v>
      </c>
      <c r="U235" s="8"/>
      <c r="V235" s="14"/>
      <c r="W235" s="14"/>
      <c r="X235" s="14"/>
      <c r="Y235" s="5">
        <v>45920</v>
      </c>
      <c r="Z235" s="5">
        <v>45924</v>
      </c>
      <c r="AA235" s="7" t="s">
        <v>103</v>
      </c>
      <c r="AB235" s="7" t="s">
        <v>477</v>
      </c>
      <c r="AC235" s="7" t="s">
        <v>97</v>
      </c>
      <c r="AD235" s="7" t="s">
        <v>97</v>
      </c>
      <c r="AE235" s="7" t="s">
        <v>97</v>
      </c>
      <c r="AF235" s="7" t="s">
        <v>97</v>
      </c>
      <c r="AG235" s="7" t="s">
        <v>97</v>
      </c>
      <c r="AH235" s="7" t="s">
        <v>103</v>
      </c>
      <c r="AI235" s="5">
        <v>45920</v>
      </c>
      <c r="AJ235" s="7" t="s">
        <v>103</v>
      </c>
      <c r="AK235" s="7" t="s">
        <v>103</v>
      </c>
      <c r="AL235" s="7" t="s">
        <v>97</v>
      </c>
      <c r="AM235" s="7" t="s">
        <v>103</v>
      </c>
      <c r="AN235" s="7" t="s">
        <v>97</v>
      </c>
      <c r="AO235" s="7" t="s">
        <v>97</v>
      </c>
      <c r="AP235" s="7" t="s">
        <v>103</v>
      </c>
      <c r="AQ235" s="7" t="s">
        <v>97</v>
      </c>
      <c r="AR235" s="7" t="s">
        <v>97</v>
      </c>
      <c r="AS235" s="7" t="s">
        <v>97</v>
      </c>
      <c r="AT235" s="7"/>
      <c r="AU235" s="7"/>
      <c r="AV235" s="4" t="s">
        <v>103</v>
      </c>
      <c r="AW235" s="4" t="s">
        <v>97</v>
      </c>
      <c r="AX235" s="4" t="s">
        <v>97</v>
      </c>
      <c r="AY235" s="4" t="s">
        <v>97</v>
      </c>
      <c r="AZ235" s="4" t="s">
        <v>103</v>
      </c>
      <c r="BA235" s="4" t="s">
        <v>97</v>
      </c>
      <c r="BB235" s="5">
        <v>45929</v>
      </c>
      <c r="BC235" s="5">
        <v>45930</v>
      </c>
      <c r="BD235" s="5">
        <v>45930</v>
      </c>
      <c r="BE235" s="5">
        <v>45932</v>
      </c>
      <c r="BF235" s="4" t="s">
        <v>98</v>
      </c>
      <c r="BG235" s="4" t="s">
        <v>97</v>
      </c>
      <c r="BH235" s="4" t="s">
        <v>103</v>
      </c>
      <c r="BI235" s="4" t="s">
        <v>115</v>
      </c>
    </row>
    <row r="236" spans="1:61" x14ac:dyDescent="0.35">
      <c r="A236" s="8" t="str">
        <f t="shared" si="22"/>
        <v>Semaine 38-2025</v>
      </c>
      <c r="B236" s="8" t="str">
        <f t="shared" si="18"/>
        <v>2025</v>
      </c>
      <c r="C236" s="2" t="s">
        <v>18</v>
      </c>
      <c r="D236" s="6" t="str">
        <f t="shared" si="19"/>
        <v>Dakar</v>
      </c>
      <c r="E236" s="6">
        <f t="shared" si="20"/>
        <v>419489</v>
      </c>
      <c r="F236" s="6">
        <f t="shared" si="21"/>
        <v>4042240</v>
      </c>
      <c r="G236" s="4" t="s">
        <v>715</v>
      </c>
      <c r="H236" s="4" t="s">
        <v>720</v>
      </c>
      <c r="I236" s="4">
        <v>3</v>
      </c>
      <c r="J236" s="4" t="s">
        <v>114</v>
      </c>
      <c r="K236" s="4"/>
      <c r="L236" s="4"/>
      <c r="M236" s="4"/>
      <c r="N236" s="4"/>
      <c r="O236" s="4" t="s">
        <v>238</v>
      </c>
      <c r="P236" s="4" t="s">
        <v>97</v>
      </c>
      <c r="Q236" s="4" t="s">
        <v>97</v>
      </c>
      <c r="R236" s="14" t="s">
        <v>100</v>
      </c>
      <c r="S236" s="14" t="s">
        <v>100</v>
      </c>
      <c r="T236" s="14" t="s">
        <v>100</v>
      </c>
      <c r="U236" s="8"/>
      <c r="V236" s="14"/>
      <c r="W236" s="14"/>
      <c r="X236" s="14"/>
      <c r="Y236" s="5">
        <v>45916</v>
      </c>
      <c r="Z236" s="5">
        <v>45930</v>
      </c>
      <c r="AA236" s="7" t="s">
        <v>97</v>
      </c>
      <c r="AB236" s="7"/>
      <c r="AC236" s="7" t="s">
        <v>97</v>
      </c>
      <c r="AD236" s="7" t="s">
        <v>97</v>
      </c>
      <c r="AE236" s="7" t="s">
        <v>97</v>
      </c>
      <c r="AF236" s="7" t="s">
        <v>97</v>
      </c>
      <c r="AG236" s="7" t="s">
        <v>97</v>
      </c>
      <c r="AH236" s="7" t="s">
        <v>103</v>
      </c>
      <c r="AI236" s="5">
        <v>45916</v>
      </c>
      <c r="AJ236" s="7" t="s">
        <v>103</v>
      </c>
      <c r="AK236" s="7" t="s">
        <v>97</v>
      </c>
      <c r="AL236" s="7" t="s">
        <v>103</v>
      </c>
      <c r="AM236" s="7" t="s">
        <v>97</v>
      </c>
      <c r="AN236" s="7" t="s">
        <v>97</v>
      </c>
      <c r="AO236" s="7" t="s">
        <v>97</v>
      </c>
      <c r="AP236" s="7" t="s">
        <v>97</v>
      </c>
      <c r="AQ236" s="7" t="s">
        <v>103</v>
      </c>
      <c r="AR236" s="7" t="s">
        <v>97</v>
      </c>
      <c r="AS236" s="7" t="s">
        <v>97</v>
      </c>
      <c r="AT236" s="7"/>
      <c r="AU236" s="7"/>
      <c r="AV236" s="4" t="s">
        <v>103</v>
      </c>
      <c r="AW236" s="4" t="s">
        <v>97</v>
      </c>
      <c r="AX236" s="4" t="s">
        <v>97</v>
      </c>
      <c r="AY236" s="4" t="s">
        <v>97</v>
      </c>
      <c r="AZ236" s="4" t="s">
        <v>103</v>
      </c>
      <c r="BA236" s="4" t="s">
        <v>97</v>
      </c>
      <c r="BB236" s="5">
        <v>45930</v>
      </c>
      <c r="BC236" s="5">
        <v>45930</v>
      </c>
      <c r="BD236" s="5">
        <v>45930</v>
      </c>
      <c r="BE236" s="5">
        <v>45932</v>
      </c>
      <c r="BF236" s="4" t="s">
        <v>98</v>
      </c>
      <c r="BG236" s="4" t="s">
        <v>97</v>
      </c>
      <c r="BH236" s="4" t="s">
        <v>103</v>
      </c>
      <c r="BI236" s="4" t="s">
        <v>115</v>
      </c>
    </row>
    <row r="237" spans="1:61" x14ac:dyDescent="0.35">
      <c r="A237" s="8" t="str">
        <f t="shared" si="22"/>
        <v>Semaine 39-2025</v>
      </c>
      <c r="B237" s="8" t="str">
        <f t="shared" si="18"/>
        <v>2025</v>
      </c>
      <c r="C237" s="2" t="s">
        <v>19</v>
      </c>
      <c r="D237" s="6" t="str">
        <f t="shared" si="19"/>
        <v>Dakar</v>
      </c>
      <c r="E237" s="6">
        <f t="shared" si="20"/>
        <v>565040</v>
      </c>
      <c r="F237" s="6">
        <f t="shared" si="21"/>
        <v>4042240</v>
      </c>
      <c r="G237" s="4" t="s">
        <v>716</v>
      </c>
      <c r="H237" s="4" t="s">
        <v>721</v>
      </c>
      <c r="I237" s="4">
        <v>49</v>
      </c>
      <c r="J237" s="4" t="s">
        <v>114</v>
      </c>
      <c r="K237" s="4"/>
      <c r="L237" s="4"/>
      <c r="M237" s="4"/>
      <c r="N237" s="4"/>
      <c r="O237" s="4" t="s">
        <v>238</v>
      </c>
      <c r="P237" s="4" t="s">
        <v>97</v>
      </c>
      <c r="Q237" s="4" t="s">
        <v>103</v>
      </c>
      <c r="R237" s="14" t="s">
        <v>100</v>
      </c>
      <c r="S237" s="14" t="s">
        <v>100</v>
      </c>
      <c r="T237" s="14" t="s">
        <v>100</v>
      </c>
      <c r="U237" s="8"/>
      <c r="V237" s="14"/>
      <c r="W237" s="14"/>
      <c r="X237" s="14"/>
      <c r="Y237" s="5">
        <v>45927</v>
      </c>
      <c r="Z237" s="5">
        <v>45930</v>
      </c>
      <c r="AA237" s="7" t="s">
        <v>103</v>
      </c>
      <c r="AB237" s="7" t="s">
        <v>488</v>
      </c>
      <c r="AC237" s="7" t="s">
        <v>103</v>
      </c>
      <c r="AD237" s="7" t="s">
        <v>97</v>
      </c>
      <c r="AE237" s="7" t="s">
        <v>97</v>
      </c>
      <c r="AF237" s="7" t="s">
        <v>103</v>
      </c>
      <c r="AG237" s="7" t="s">
        <v>103</v>
      </c>
      <c r="AH237" s="7" t="s">
        <v>103</v>
      </c>
      <c r="AI237" s="5">
        <v>45928</v>
      </c>
      <c r="AJ237" s="7" t="s">
        <v>103</v>
      </c>
      <c r="AK237" s="7" t="s">
        <v>97</v>
      </c>
      <c r="AL237" s="7" t="s">
        <v>97</v>
      </c>
      <c r="AM237" s="7" t="s">
        <v>97</v>
      </c>
      <c r="AN237" s="7" t="s">
        <v>103</v>
      </c>
      <c r="AO237" s="7" t="s">
        <v>103</v>
      </c>
      <c r="AP237" s="7" t="s">
        <v>97</v>
      </c>
      <c r="AQ237" s="7" t="s">
        <v>97</v>
      </c>
      <c r="AR237" s="7" t="s">
        <v>97</v>
      </c>
      <c r="AS237" s="7" t="s">
        <v>97</v>
      </c>
      <c r="AT237" s="7"/>
      <c r="AU237" s="7"/>
      <c r="AV237" s="4" t="s">
        <v>103</v>
      </c>
      <c r="AW237" s="4" t="s">
        <v>97</v>
      </c>
      <c r="AX237" s="4" t="s">
        <v>97</v>
      </c>
      <c r="AY237" s="4" t="s">
        <v>97</v>
      </c>
      <c r="AZ237" s="4" t="s">
        <v>97</v>
      </c>
      <c r="BA237" s="4" t="s">
        <v>97</v>
      </c>
      <c r="BB237" s="5">
        <v>45930</v>
      </c>
      <c r="BC237" s="5">
        <v>45930</v>
      </c>
      <c r="BD237" s="5">
        <v>45930</v>
      </c>
      <c r="BE237" s="5">
        <v>45932</v>
      </c>
      <c r="BF237" s="4" t="s">
        <v>98</v>
      </c>
      <c r="BG237" s="4" t="s">
        <v>97</v>
      </c>
      <c r="BH237" s="4" t="s">
        <v>103</v>
      </c>
      <c r="BI237" s="4" t="s">
        <v>115</v>
      </c>
    </row>
    <row r="238" spans="1:61" x14ac:dyDescent="0.35">
      <c r="A238" s="8" t="str">
        <f t="shared" si="22"/>
        <v>Semaine 40-2025</v>
      </c>
      <c r="B238" s="8" t="str">
        <f t="shared" si="18"/>
        <v>2025</v>
      </c>
      <c r="C238" s="2" t="s">
        <v>23</v>
      </c>
      <c r="D238" s="6" t="str">
        <f t="shared" si="19"/>
        <v>Dakar</v>
      </c>
      <c r="E238" s="6">
        <f t="shared" si="20"/>
        <v>167577</v>
      </c>
      <c r="F238" s="6">
        <f t="shared" si="21"/>
        <v>4042240</v>
      </c>
      <c r="G238" s="4" t="s">
        <v>722</v>
      </c>
      <c r="H238" s="4" t="s">
        <v>726</v>
      </c>
      <c r="I238" s="4">
        <v>9</v>
      </c>
      <c r="J238" s="4" t="s">
        <v>114</v>
      </c>
      <c r="K238" s="4"/>
      <c r="L238" s="4"/>
      <c r="M238" s="4"/>
      <c r="N238" s="4"/>
      <c r="O238" s="4" t="s">
        <v>238</v>
      </c>
      <c r="P238" s="4" t="s">
        <v>97</v>
      </c>
      <c r="Q238" s="4" t="s">
        <v>97</v>
      </c>
      <c r="R238" s="14" t="s">
        <v>100</v>
      </c>
      <c r="S238" s="14" t="s">
        <v>100</v>
      </c>
      <c r="T238" s="14" t="s">
        <v>100</v>
      </c>
      <c r="U238" s="8"/>
      <c r="V238" s="14"/>
      <c r="W238" s="14"/>
      <c r="X238" s="14"/>
      <c r="Y238" s="5">
        <v>45929</v>
      </c>
      <c r="Z238" s="5">
        <v>45931</v>
      </c>
      <c r="AA238" s="7"/>
      <c r="AB238" s="7"/>
      <c r="AC238" s="7"/>
      <c r="AD238" s="7"/>
      <c r="AE238" s="7"/>
      <c r="AF238" s="7"/>
      <c r="AG238" s="7"/>
      <c r="AH238" s="7"/>
      <c r="AI238" s="7"/>
      <c r="AJ238" s="7"/>
      <c r="AK238" s="7"/>
      <c r="AL238" s="7"/>
      <c r="AM238" s="7"/>
      <c r="AN238" s="7"/>
      <c r="AO238" s="7"/>
      <c r="AP238" s="7"/>
      <c r="AQ238" s="7"/>
      <c r="AR238" s="7"/>
      <c r="AS238" s="7"/>
      <c r="AT238" s="7"/>
      <c r="AU238" s="7"/>
      <c r="AV238" s="4" t="s">
        <v>103</v>
      </c>
      <c r="AW238" s="4" t="s">
        <v>97</v>
      </c>
      <c r="AX238" s="4" t="s">
        <v>97</v>
      </c>
      <c r="AY238" s="4" t="s">
        <v>97</v>
      </c>
      <c r="AZ238" s="4" t="s">
        <v>103</v>
      </c>
      <c r="BA238" s="4" t="s">
        <v>97</v>
      </c>
      <c r="BB238" s="5">
        <v>45931</v>
      </c>
      <c r="BC238" s="5">
        <v>45931</v>
      </c>
      <c r="BD238" s="5">
        <v>45931</v>
      </c>
      <c r="BE238" s="5">
        <v>45933</v>
      </c>
      <c r="BF238" s="4" t="s">
        <v>98</v>
      </c>
      <c r="BG238" s="4" t="s">
        <v>97</v>
      </c>
      <c r="BH238" s="4" t="s">
        <v>103</v>
      </c>
      <c r="BI238" s="4" t="s">
        <v>115</v>
      </c>
    </row>
    <row r="239" spans="1:61" x14ac:dyDescent="0.35">
      <c r="A239" s="8" t="str">
        <f t="shared" si="22"/>
        <v>Semaine 40-2025</v>
      </c>
      <c r="B239" s="8" t="str">
        <f t="shared" si="18"/>
        <v>2025</v>
      </c>
      <c r="C239" s="2" t="s">
        <v>20</v>
      </c>
      <c r="D239" s="6" t="str">
        <f t="shared" si="19"/>
        <v>Dakar</v>
      </c>
      <c r="E239" s="6">
        <f t="shared" si="20"/>
        <v>272276</v>
      </c>
      <c r="F239" s="6">
        <f t="shared" si="21"/>
        <v>4042240</v>
      </c>
      <c r="G239" s="4" t="s">
        <v>723</v>
      </c>
      <c r="H239" s="4" t="s">
        <v>727</v>
      </c>
      <c r="I239" s="4">
        <v>27</v>
      </c>
      <c r="J239" s="4" t="s">
        <v>114</v>
      </c>
      <c r="K239" s="4"/>
      <c r="L239" s="4"/>
      <c r="M239" s="4"/>
      <c r="N239" s="4"/>
      <c r="O239" s="4" t="s">
        <v>238</v>
      </c>
      <c r="P239" s="4" t="s">
        <v>97</v>
      </c>
      <c r="Q239" s="4" t="s">
        <v>97</v>
      </c>
      <c r="R239" s="14" t="s">
        <v>100</v>
      </c>
      <c r="S239" s="14" t="s">
        <v>100</v>
      </c>
      <c r="T239" s="14" t="s">
        <v>100</v>
      </c>
      <c r="U239" s="8"/>
      <c r="V239" s="14"/>
      <c r="W239" s="14"/>
      <c r="X239" s="14"/>
      <c r="Y239" s="5">
        <v>45930</v>
      </c>
      <c r="Z239" s="5">
        <v>45931</v>
      </c>
      <c r="AA239" s="7" t="s">
        <v>103</v>
      </c>
      <c r="AB239" s="7" t="s">
        <v>272</v>
      </c>
      <c r="AC239" s="7" t="s">
        <v>103</v>
      </c>
      <c r="AD239" s="7" t="s">
        <v>103</v>
      </c>
      <c r="AE239" s="7" t="s">
        <v>103</v>
      </c>
      <c r="AF239" s="7" t="s">
        <v>103</v>
      </c>
      <c r="AG239" s="7" t="s">
        <v>103</v>
      </c>
      <c r="AH239" s="7" t="s">
        <v>103</v>
      </c>
      <c r="AI239" s="5">
        <v>45930</v>
      </c>
      <c r="AJ239" s="7" t="s">
        <v>97</v>
      </c>
      <c r="AK239" s="7" t="s">
        <v>103</v>
      </c>
      <c r="AL239" s="7" t="s">
        <v>97</v>
      </c>
      <c r="AM239" s="7" t="s">
        <v>103</v>
      </c>
      <c r="AN239" s="7" t="s">
        <v>97</v>
      </c>
      <c r="AO239" s="7" t="s">
        <v>103</v>
      </c>
      <c r="AP239" s="7" t="s">
        <v>103</v>
      </c>
      <c r="AQ239" s="7" t="s">
        <v>103</v>
      </c>
      <c r="AR239" s="7" t="s">
        <v>103</v>
      </c>
      <c r="AS239" s="7" t="s">
        <v>103</v>
      </c>
      <c r="AT239" s="7"/>
      <c r="AU239" s="7"/>
      <c r="AV239" s="4" t="s">
        <v>103</v>
      </c>
      <c r="AW239" s="4" t="s">
        <v>97</v>
      </c>
      <c r="AX239" s="4" t="s">
        <v>97</v>
      </c>
      <c r="AY239" s="4" t="s">
        <v>97</v>
      </c>
      <c r="AZ239" s="4" t="s">
        <v>103</v>
      </c>
      <c r="BA239" s="4" t="s">
        <v>97</v>
      </c>
      <c r="BB239" s="5">
        <v>45931</v>
      </c>
      <c r="BC239" s="5">
        <v>45931</v>
      </c>
      <c r="BD239" s="5">
        <v>45931</v>
      </c>
      <c r="BE239" s="5">
        <v>45933</v>
      </c>
      <c r="BF239" s="4" t="s">
        <v>98</v>
      </c>
      <c r="BG239" s="4" t="s">
        <v>97</v>
      </c>
      <c r="BH239" s="4" t="s">
        <v>103</v>
      </c>
      <c r="BI239" s="4" t="s">
        <v>115</v>
      </c>
    </row>
    <row r="240" spans="1:61" x14ac:dyDescent="0.35">
      <c r="A240" s="8" t="str">
        <f t="shared" si="22"/>
        <v>Semaine 39-2025</v>
      </c>
      <c r="B240" s="8" t="str">
        <f t="shared" si="18"/>
        <v>2025</v>
      </c>
      <c r="C240" s="2" t="s">
        <v>52</v>
      </c>
      <c r="D240" s="6" t="str">
        <f t="shared" si="19"/>
        <v>Kaolack</v>
      </c>
      <c r="E240" s="6">
        <f t="shared" si="20"/>
        <v>231613</v>
      </c>
      <c r="F240" s="6">
        <f t="shared" si="21"/>
        <v>1267013</v>
      </c>
      <c r="G240" s="4" t="s">
        <v>724</v>
      </c>
      <c r="H240" s="4" t="s">
        <v>728</v>
      </c>
      <c r="I240" s="4">
        <v>86</v>
      </c>
      <c r="J240" s="4" t="s">
        <v>96</v>
      </c>
      <c r="K240" s="4"/>
      <c r="L240" s="4"/>
      <c r="M240" s="4"/>
      <c r="N240" s="4"/>
      <c r="O240" s="4" t="s">
        <v>238</v>
      </c>
      <c r="P240" s="4" t="s">
        <v>97</v>
      </c>
      <c r="Q240" s="4" t="s">
        <v>97</v>
      </c>
      <c r="R240" s="14" t="s">
        <v>100</v>
      </c>
      <c r="S240" s="14" t="s">
        <v>100</v>
      </c>
      <c r="T240" s="14" t="s">
        <v>100</v>
      </c>
      <c r="U240" s="8"/>
      <c r="V240" s="14"/>
      <c r="W240" s="14"/>
      <c r="X240" s="14"/>
      <c r="Y240" s="5">
        <v>45924</v>
      </c>
      <c r="Z240" s="5">
        <v>45929</v>
      </c>
      <c r="AA240" s="5" t="s">
        <v>97</v>
      </c>
      <c r="AB240" s="7" t="s">
        <v>546</v>
      </c>
      <c r="AC240" s="5" t="s">
        <v>103</v>
      </c>
      <c r="AD240" s="5" t="s">
        <v>97</v>
      </c>
      <c r="AE240" s="5" t="s">
        <v>97</v>
      </c>
      <c r="AF240" s="5" t="s">
        <v>103</v>
      </c>
      <c r="AG240" s="5" t="s">
        <v>97</v>
      </c>
      <c r="AH240" s="5" t="s">
        <v>103</v>
      </c>
      <c r="AI240" s="5">
        <v>45924</v>
      </c>
      <c r="AJ240" s="5" t="s">
        <v>103</v>
      </c>
      <c r="AK240" s="5" t="s">
        <v>97</v>
      </c>
      <c r="AL240" s="5" t="s">
        <v>103</v>
      </c>
      <c r="AM240" s="5" t="s">
        <v>97</v>
      </c>
      <c r="AN240" s="5" t="s">
        <v>103</v>
      </c>
      <c r="AO240" s="5" t="s">
        <v>97</v>
      </c>
      <c r="AP240" s="5" t="s">
        <v>97</v>
      </c>
      <c r="AQ240" s="5" t="s">
        <v>97</v>
      </c>
      <c r="AR240" s="5" t="s">
        <v>97</v>
      </c>
      <c r="AS240" s="5" t="s">
        <v>97</v>
      </c>
      <c r="AT240" s="5"/>
      <c r="AU240" s="5"/>
      <c r="AV240" s="4" t="s">
        <v>103</v>
      </c>
      <c r="AW240" s="4" t="s">
        <v>97</v>
      </c>
      <c r="AX240" s="4" t="s">
        <v>97</v>
      </c>
      <c r="AY240" s="4" t="s">
        <v>97</v>
      </c>
      <c r="AZ240" s="4" t="s">
        <v>103</v>
      </c>
      <c r="BA240" s="4" t="s">
        <v>97</v>
      </c>
      <c r="BB240" s="5">
        <v>45930</v>
      </c>
      <c r="BC240" s="5">
        <v>45931</v>
      </c>
      <c r="BD240" s="5">
        <v>45931</v>
      </c>
      <c r="BE240" s="5">
        <v>45933</v>
      </c>
      <c r="BF240" s="4" t="s">
        <v>98</v>
      </c>
      <c r="BG240" s="4" t="s">
        <v>97</v>
      </c>
      <c r="BH240" s="4" t="s">
        <v>103</v>
      </c>
      <c r="BI240" s="4" t="s">
        <v>115</v>
      </c>
    </row>
    <row r="241" spans="1:61" x14ac:dyDescent="0.35">
      <c r="A241" s="8" t="str">
        <f t="shared" si="22"/>
        <v>Semaine 36-2025</v>
      </c>
      <c r="B241" s="8" t="str">
        <f t="shared" si="18"/>
        <v>2025</v>
      </c>
      <c r="C241" s="2" t="s">
        <v>18</v>
      </c>
      <c r="D241" s="6" t="str">
        <f t="shared" si="19"/>
        <v>Dakar</v>
      </c>
      <c r="E241" s="6">
        <f t="shared" si="20"/>
        <v>419489</v>
      </c>
      <c r="F241" s="6">
        <f t="shared" si="21"/>
        <v>4042240</v>
      </c>
      <c r="G241" s="4" t="s">
        <v>725</v>
      </c>
      <c r="H241" s="4" t="s">
        <v>729</v>
      </c>
      <c r="I241" s="4">
        <v>84</v>
      </c>
      <c r="J241" s="4" t="s">
        <v>114</v>
      </c>
      <c r="K241" s="4" t="s">
        <v>256</v>
      </c>
      <c r="L241" s="5">
        <v>45839</v>
      </c>
      <c r="M241" s="4"/>
      <c r="N241" s="4"/>
      <c r="O241" s="4" t="s">
        <v>238</v>
      </c>
      <c r="P241" s="4" t="s">
        <v>97</v>
      </c>
      <c r="Q241" s="4" t="s">
        <v>97</v>
      </c>
      <c r="R241" s="14" t="s">
        <v>100</v>
      </c>
      <c r="S241" s="14" t="s">
        <v>100</v>
      </c>
      <c r="T241" s="14" t="s">
        <v>100</v>
      </c>
      <c r="U241" s="8"/>
      <c r="V241" s="14"/>
      <c r="W241" s="14"/>
      <c r="X241" s="14"/>
      <c r="Y241" s="5">
        <v>45901</v>
      </c>
      <c r="Z241" s="5">
        <v>45931</v>
      </c>
      <c r="AA241" s="5" t="s">
        <v>97</v>
      </c>
      <c r="AB241" s="5"/>
      <c r="AC241" s="5" t="s">
        <v>97</v>
      </c>
      <c r="AD241" s="5" t="s">
        <v>97</v>
      </c>
      <c r="AE241" s="5" t="s">
        <v>97</v>
      </c>
      <c r="AF241" s="5" t="s">
        <v>103</v>
      </c>
      <c r="AG241" s="5" t="s">
        <v>97</v>
      </c>
      <c r="AH241" s="5" t="s">
        <v>103</v>
      </c>
      <c r="AI241" s="5">
        <v>45924</v>
      </c>
      <c r="AJ241" s="5" t="s">
        <v>103</v>
      </c>
      <c r="AK241" s="5" t="s">
        <v>103</v>
      </c>
      <c r="AL241" s="5" t="s">
        <v>103</v>
      </c>
      <c r="AM241" s="5" t="s">
        <v>103</v>
      </c>
      <c r="AN241" s="5" t="s">
        <v>103</v>
      </c>
      <c r="AO241" s="5" t="s">
        <v>97</v>
      </c>
      <c r="AP241" s="5" t="s">
        <v>103</v>
      </c>
      <c r="AQ241" s="5" t="s">
        <v>97</v>
      </c>
      <c r="AR241" s="5" t="s">
        <v>97</v>
      </c>
      <c r="AS241" s="5" t="s">
        <v>97</v>
      </c>
      <c r="AT241" s="5"/>
      <c r="AU241" s="5"/>
      <c r="AV241" s="4" t="s">
        <v>103</v>
      </c>
      <c r="AW241" s="4" t="s">
        <v>97</v>
      </c>
      <c r="AX241" s="4" t="s">
        <v>103</v>
      </c>
      <c r="AY241" s="4" t="s">
        <v>97</v>
      </c>
      <c r="AZ241" s="4" t="s">
        <v>103</v>
      </c>
      <c r="BA241" s="4" t="s">
        <v>97</v>
      </c>
      <c r="BB241" s="5">
        <v>45931</v>
      </c>
      <c r="BC241" s="5">
        <v>45931</v>
      </c>
      <c r="BD241" s="5">
        <v>45931</v>
      </c>
      <c r="BE241" s="5">
        <v>45933</v>
      </c>
      <c r="BF241" s="4" t="s">
        <v>98</v>
      </c>
      <c r="BG241" s="4" t="s">
        <v>103</v>
      </c>
      <c r="BH241" s="4" t="s">
        <v>103</v>
      </c>
      <c r="BI241" s="4" t="s">
        <v>115</v>
      </c>
    </row>
    <row r="242" spans="1:61" x14ac:dyDescent="0.35">
      <c r="A242" s="8" t="str">
        <f t="shared" si="22"/>
        <v>Semaine 39-2025</v>
      </c>
      <c r="B242" s="8" t="str">
        <f t="shared" si="18"/>
        <v>2025</v>
      </c>
      <c r="C242" s="2" t="s">
        <v>50</v>
      </c>
      <c r="D242" s="6" t="str">
        <f t="shared" si="19"/>
        <v>Kolda</v>
      </c>
      <c r="E242" s="6">
        <f t="shared" si="20"/>
        <v>182525</v>
      </c>
      <c r="F242" s="6">
        <f t="shared" si="21"/>
        <v>875661</v>
      </c>
      <c r="G242" s="4" t="s">
        <v>730</v>
      </c>
      <c r="H242" s="4" t="s">
        <v>732</v>
      </c>
      <c r="I242" s="4">
        <v>40</v>
      </c>
      <c r="J242" s="4" t="s">
        <v>114</v>
      </c>
      <c r="K242" s="4"/>
      <c r="L242" s="4"/>
      <c r="M242" s="4"/>
      <c r="N242" s="4"/>
      <c r="O242" s="4" t="s">
        <v>238</v>
      </c>
      <c r="P242" s="4" t="s">
        <v>97</v>
      </c>
      <c r="Q242" s="4" t="s">
        <v>97</v>
      </c>
      <c r="R242" s="14" t="s">
        <v>100</v>
      </c>
      <c r="S242" s="14" t="s">
        <v>100</v>
      </c>
      <c r="T242" s="14" t="s">
        <v>100</v>
      </c>
      <c r="U242" s="8"/>
      <c r="V242" s="14"/>
      <c r="W242" s="14"/>
      <c r="X242" s="14"/>
      <c r="Y242" s="5">
        <v>45922</v>
      </c>
      <c r="Z242" s="5">
        <v>45930</v>
      </c>
      <c r="AA242" s="5" t="s">
        <v>97</v>
      </c>
      <c r="AB242" s="5"/>
      <c r="AC242" s="5" t="s">
        <v>97</v>
      </c>
      <c r="AD242" s="5" t="s">
        <v>97</v>
      </c>
      <c r="AE242" s="5" t="s">
        <v>97</v>
      </c>
      <c r="AF242" s="5" t="s">
        <v>103</v>
      </c>
      <c r="AG242" s="5" t="s">
        <v>103</v>
      </c>
      <c r="AH242" s="5" t="s">
        <v>103</v>
      </c>
      <c r="AI242" s="5">
        <v>45922</v>
      </c>
      <c r="AJ242" s="5" t="s">
        <v>103</v>
      </c>
      <c r="AK242" s="5" t="s">
        <v>97</v>
      </c>
      <c r="AL242" s="5" t="s">
        <v>103</v>
      </c>
      <c r="AM242" s="5" t="s">
        <v>97</v>
      </c>
      <c r="AN242" s="5" t="s">
        <v>103</v>
      </c>
      <c r="AO242" s="5" t="s">
        <v>97</v>
      </c>
      <c r="AP242" s="5" t="s">
        <v>103</v>
      </c>
      <c r="AQ242" s="5" t="s">
        <v>97</v>
      </c>
      <c r="AR242" s="5" t="s">
        <v>97</v>
      </c>
      <c r="AS242" s="5" t="s">
        <v>97</v>
      </c>
      <c r="AT242" s="5"/>
      <c r="AU242" s="5"/>
      <c r="AV242" s="4" t="s">
        <v>103</v>
      </c>
      <c r="AW242" s="4" t="s">
        <v>97</v>
      </c>
      <c r="AX242" s="4" t="s">
        <v>97</v>
      </c>
      <c r="AY242" s="4" t="s">
        <v>97</v>
      </c>
      <c r="AZ242" s="4" t="s">
        <v>103</v>
      </c>
      <c r="BA242" s="4" t="s">
        <v>97</v>
      </c>
      <c r="BB242" s="5">
        <v>45930</v>
      </c>
      <c r="BC242" s="5">
        <v>45930</v>
      </c>
      <c r="BD242" s="5">
        <v>45932</v>
      </c>
      <c r="BE242" s="5">
        <v>45934</v>
      </c>
      <c r="BF242" s="4" t="s">
        <v>98</v>
      </c>
      <c r="BG242" s="4" t="s">
        <v>97</v>
      </c>
      <c r="BH242" s="4" t="s">
        <v>103</v>
      </c>
      <c r="BI242" s="4" t="s">
        <v>115</v>
      </c>
    </row>
    <row r="243" spans="1:61" x14ac:dyDescent="0.35">
      <c r="A243" s="8" t="str">
        <f t="shared" si="22"/>
        <v>Semaine 36-2025</v>
      </c>
      <c r="B243" s="8" t="str">
        <f t="shared" si="18"/>
        <v>2025</v>
      </c>
      <c r="C243" s="2" t="s">
        <v>52</v>
      </c>
      <c r="D243" s="6" t="str">
        <f t="shared" si="19"/>
        <v>Kaolack</v>
      </c>
      <c r="E243" s="6">
        <f t="shared" si="20"/>
        <v>231613</v>
      </c>
      <c r="F243" s="6">
        <f t="shared" si="21"/>
        <v>1267013</v>
      </c>
      <c r="G243" s="4" t="s">
        <v>731</v>
      </c>
      <c r="H243" s="4" t="s">
        <v>733</v>
      </c>
      <c r="I243" s="4">
        <v>50</v>
      </c>
      <c r="J243" s="4" t="s">
        <v>96</v>
      </c>
      <c r="K243" s="4"/>
      <c r="L243" s="4"/>
      <c r="M243" s="4"/>
      <c r="N243" s="4"/>
      <c r="O243" s="4" t="s">
        <v>238</v>
      </c>
      <c r="P243" s="4" t="s">
        <v>97</v>
      </c>
      <c r="Q243" s="4" t="s">
        <v>97</v>
      </c>
      <c r="R243" s="14" t="s">
        <v>100</v>
      </c>
      <c r="S243" s="14" t="s">
        <v>100</v>
      </c>
      <c r="T243" s="14" t="s">
        <v>100</v>
      </c>
      <c r="U243" s="8"/>
      <c r="V243" s="14"/>
      <c r="W243" s="14"/>
      <c r="X243" s="14"/>
      <c r="Y243" s="5">
        <v>45901</v>
      </c>
      <c r="Z243" s="5">
        <v>45931</v>
      </c>
      <c r="AA243" s="5" t="s">
        <v>97</v>
      </c>
      <c r="AB243" s="5" t="s">
        <v>537</v>
      </c>
      <c r="AC243" s="5" t="s">
        <v>97</v>
      </c>
      <c r="AD243" s="5" t="s">
        <v>97</v>
      </c>
      <c r="AE243" s="5" t="s">
        <v>97</v>
      </c>
      <c r="AF243" s="5" t="s">
        <v>103</v>
      </c>
      <c r="AG243" s="5" t="s">
        <v>103</v>
      </c>
      <c r="AH243" s="5" t="s">
        <v>103</v>
      </c>
      <c r="AI243" s="5">
        <v>45901</v>
      </c>
      <c r="AJ243" s="5" t="s">
        <v>103</v>
      </c>
      <c r="AK243" s="5" t="s">
        <v>103</v>
      </c>
      <c r="AL243" s="5" t="s">
        <v>97</v>
      </c>
      <c r="AM243" s="5" t="s">
        <v>97</v>
      </c>
      <c r="AN243" s="5" t="s">
        <v>103</v>
      </c>
      <c r="AO243" s="5" t="s">
        <v>97</v>
      </c>
      <c r="AP243" s="5" t="s">
        <v>97</v>
      </c>
      <c r="AQ243" s="5" t="s">
        <v>97</v>
      </c>
      <c r="AR243" s="5" t="s">
        <v>97</v>
      </c>
      <c r="AS243" s="5" t="s">
        <v>97</v>
      </c>
      <c r="AT243" s="5"/>
      <c r="AU243" s="5"/>
      <c r="AV243" s="4" t="s">
        <v>103</v>
      </c>
      <c r="AW243" s="4" t="s">
        <v>103</v>
      </c>
      <c r="AX243" s="4" t="s">
        <v>97</v>
      </c>
      <c r="AY243" s="4" t="s">
        <v>97</v>
      </c>
      <c r="AZ243" s="4" t="s">
        <v>97</v>
      </c>
      <c r="BA243" s="4" t="s">
        <v>97</v>
      </c>
      <c r="BB243" s="5">
        <v>45931</v>
      </c>
      <c r="BC243" s="5">
        <v>45932</v>
      </c>
      <c r="BD243" s="5">
        <v>45932</v>
      </c>
      <c r="BE243" s="5">
        <v>45934</v>
      </c>
      <c r="BF243" s="4" t="s">
        <v>98</v>
      </c>
      <c r="BG243" s="4" t="s">
        <v>97</v>
      </c>
      <c r="BH243" s="4" t="s">
        <v>103</v>
      </c>
      <c r="BI243" s="4" t="s">
        <v>115</v>
      </c>
    </row>
    <row r="244" spans="1:61" x14ac:dyDescent="0.35">
      <c r="A244" s="8" t="str">
        <f t="shared" si="22"/>
        <v>Semaine 39-2025</v>
      </c>
      <c r="B244" s="8" t="str">
        <f t="shared" si="18"/>
        <v>2025</v>
      </c>
      <c r="C244" s="2" t="s">
        <v>2</v>
      </c>
      <c r="D244" s="6" t="str">
        <f t="shared" si="19"/>
        <v>Fatick</v>
      </c>
      <c r="E244" s="6">
        <f t="shared" si="20"/>
        <v>151740</v>
      </c>
      <c r="F244" s="6">
        <f t="shared" si="21"/>
        <v>965914</v>
      </c>
      <c r="G244" s="4" t="s">
        <v>734</v>
      </c>
      <c r="H244" s="4" t="s">
        <v>742</v>
      </c>
      <c r="I244" s="4">
        <v>9</v>
      </c>
      <c r="J244" s="4" t="s">
        <v>114</v>
      </c>
      <c r="K244" s="4"/>
      <c r="L244" s="4"/>
      <c r="M244" s="4"/>
      <c r="N244" s="4"/>
      <c r="O244" s="4" t="s">
        <v>238</v>
      </c>
      <c r="P244" s="4" t="s">
        <v>97</v>
      </c>
      <c r="Q244" s="4" t="s">
        <v>97</v>
      </c>
      <c r="R244" s="14" t="s">
        <v>100</v>
      </c>
      <c r="S244" s="14" t="s">
        <v>100</v>
      </c>
      <c r="T244" s="14" t="s">
        <v>100</v>
      </c>
      <c r="U244" s="8"/>
      <c r="V244" s="14"/>
      <c r="W244" s="14"/>
      <c r="X244" s="14"/>
      <c r="Y244" s="5">
        <v>45928</v>
      </c>
      <c r="Z244" s="5">
        <v>45931</v>
      </c>
      <c r="AA244" s="5" t="s">
        <v>103</v>
      </c>
      <c r="AB244" s="5" t="s">
        <v>272</v>
      </c>
      <c r="AC244" s="5" t="s">
        <v>97</v>
      </c>
      <c r="AD244" s="5" t="s">
        <v>103</v>
      </c>
      <c r="AE244" s="5" t="s">
        <v>97</v>
      </c>
      <c r="AF244" s="5" t="s">
        <v>97</v>
      </c>
      <c r="AG244" s="5" t="s">
        <v>97</v>
      </c>
      <c r="AH244" s="5" t="s">
        <v>103</v>
      </c>
      <c r="AI244" s="5">
        <v>45928</v>
      </c>
      <c r="AJ244" s="5" t="s">
        <v>103</v>
      </c>
      <c r="AK244" s="5" t="s">
        <v>103</v>
      </c>
      <c r="AL244" s="5" t="s">
        <v>97</v>
      </c>
      <c r="AM244" s="5" t="s">
        <v>103</v>
      </c>
      <c r="AN244" s="5" t="s">
        <v>103</v>
      </c>
      <c r="AO244" s="5" t="s">
        <v>103</v>
      </c>
      <c r="AP244" s="5" t="s">
        <v>103</v>
      </c>
      <c r="AQ244" s="5" t="s">
        <v>103</v>
      </c>
      <c r="AR244" s="5" t="s">
        <v>103</v>
      </c>
      <c r="AS244" s="5" t="s">
        <v>103</v>
      </c>
      <c r="AT244" s="5"/>
      <c r="AU244" s="5"/>
      <c r="AV244" s="4" t="s">
        <v>103</v>
      </c>
      <c r="AW244" s="4" t="s">
        <v>97</v>
      </c>
      <c r="AX244" s="4" t="s">
        <v>97</v>
      </c>
      <c r="AY244" s="4" t="s">
        <v>97</v>
      </c>
      <c r="AZ244" s="4" t="s">
        <v>103</v>
      </c>
      <c r="BA244" s="4" t="s">
        <v>97</v>
      </c>
      <c r="BB244" s="5">
        <v>45931</v>
      </c>
      <c r="BC244" s="5">
        <v>45932</v>
      </c>
      <c r="BD244" s="5">
        <v>45933</v>
      </c>
      <c r="BE244" s="5">
        <v>45935</v>
      </c>
      <c r="BF244" s="4" t="s">
        <v>98</v>
      </c>
      <c r="BG244" s="4" t="s">
        <v>97</v>
      </c>
      <c r="BH244" s="4" t="s">
        <v>103</v>
      </c>
      <c r="BI244" s="4" t="s">
        <v>115</v>
      </c>
    </row>
    <row r="245" spans="1:61" x14ac:dyDescent="0.35">
      <c r="A245" s="8" t="str">
        <f t="shared" si="22"/>
        <v>Semaine 38-2025</v>
      </c>
      <c r="B245" s="8" t="str">
        <f t="shared" si="18"/>
        <v>2025</v>
      </c>
      <c r="C245" s="2" t="s">
        <v>20</v>
      </c>
      <c r="D245" s="6" t="str">
        <f t="shared" si="19"/>
        <v>Dakar</v>
      </c>
      <c r="E245" s="6">
        <f t="shared" si="20"/>
        <v>272276</v>
      </c>
      <c r="F245" s="6">
        <f t="shared" si="21"/>
        <v>4042240</v>
      </c>
      <c r="G245" s="4" t="s">
        <v>735</v>
      </c>
      <c r="H245" s="4" t="s">
        <v>743</v>
      </c>
      <c r="I245" s="4">
        <v>17</v>
      </c>
      <c r="J245" s="4" t="s">
        <v>114</v>
      </c>
      <c r="K245" s="4"/>
      <c r="L245" s="4"/>
      <c r="M245" s="4"/>
      <c r="N245" s="4"/>
      <c r="O245" s="4" t="s">
        <v>238</v>
      </c>
      <c r="P245" s="4" t="s">
        <v>97</v>
      </c>
      <c r="Q245" s="4" t="s">
        <v>97</v>
      </c>
      <c r="R245" s="14" t="s">
        <v>100</v>
      </c>
      <c r="S245" s="14" t="s">
        <v>100</v>
      </c>
      <c r="T245" s="14" t="s">
        <v>100</v>
      </c>
      <c r="U245" s="8"/>
      <c r="V245" s="14"/>
      <c r="W245" s="14"/>
      <c r="X245" s="14"/>
      <c r="Y245" s="5">
        <v>45919</v>
      </c>
      <c r="Z245" s="5">
        <v>45933</v>
      </c>
      <c r="AA245" s="5" t="s">
        <v>97</v>
      </c>
      <c r="AB245" s="5" t="s">
        <v>392</v>
      </c>
      <c r="AC245" s="5" t="s">
        <v>103</v>
      </c>
      <c r="AD245" s="5" t="s">
        <v>97</v>
      </c>
      <c r="AE245" s="5" t="s">
        <v>97</v>
      </c>
      <c r="AF245" s="5" t="s">
        <v>97</v>
      </c>
      <c r="AG245" s="5" t="s">
        <v>97</v>
      </c>
      <c r="AH245" s="5" t="s">
        <v>103</v>
      </c>
      <c r="AI245" s="5">
        <v>45931</v>
      </c>
      <c r="AJ245" s="5" t="s">
        <v>103</v>
      </c>
      <c r="AK245" s="5" t="s">
        <v>97</v>
      </c>
      <c r="AL245" s="5" t="s">
        <v>97</v>
      </c>
      <c r="AM245" s="5" t="s">
        <v>97</v>
      </c>
      <c r="AN245" s="5" t="s">
        <v>103</v>
      </c>
      <c r="AO245" s="5" t="s">
        <v>97</v>
      </c>
      <c r="AP245" s="5" t="s">
        <v>97</v>
      </c>
      <c r="AQ245" s="5" t="s">
        <v>97</v>
      </c>
      <c r="AR245" s="5" t="s">
        <v>97</v>
      </c>
      <c r="AS245" s="5" t="s">
        <v>97</v>
      </c>
      <c r="AT245" s="5"/>
      <c r="AU245" s="5"/>
      <c r="AV245" s="4" t="s">
        <v>97</v>
      </c>
      <c r="AW245" s="4" t="s">
        <v>97</v>
      </c>
      <c r="AX245" s="4" t="s">
        <v>97</v>
      </c>
      <c r="AY245" s="4" t="s">
        <v>97</v>
      </c>
      <c r="AZ245" s="4" t="s">
        <v>103</v>
      </c>
      <c r="BA245" s="4" t="s">
        <v>97</v>
      </c>
      <c r="BB245" s="5">
        <v>45933</v>
      </c>
      <c r="BC245" s="5">
        <v>45933</v>
      </c>
      <c r="BD245" s="5">
        <v>45933</v>
      </c>
      <c r="BE245" s="5">
        <v>45935</v>
      </c>
      <c r="BF245" s="4" t="s">
        <v>98</v>
      </c>
      <c r="BG245" s="4" t="s">
        <v>103</v>
      </c>
      <c r="BH245" s="4" t="s">
        <v>103</v>
      </c>
      <c r="BI245" s="4" t="s">
        <v>744</v>
      </c>
    </row>
    <row r="246" spans="1:61" x14ac:dyDescent="0.35">
      <c r="A246" s="8" t="str">
        <f t="shared" si="22"/>
        <v>Semaine 39-2025</v>
      </c>
      <c r="B246" s="8" t="str">
        <f t="shared" si="18"/>
        <v>2025</v>
      </c>
      <c r="C246" s="2" t="s">
        <v>31</v>
      </c>
      <c r="D246" s="6" t="str">
        <f t="shared" si="19"/>
        <v>Dakar</v>
      </c>
      <c r="E246" s="6">
        <f t="shared" si="20"/>
        <v>424760</v>
      </c>
      <c r="F246" s="6">
        <f t="shared" si="21"/>
        <v>4042240</v>
      </c>
      <c r="G246" s="4" t="s">
        <v>736</v>
      </c>
      <c r="H246" s="4" t="s">
        <v>745</v>
      </c>
      <c r="I246" s="4">
        <v>4</v>
      </c>
      <c r="J246" s="4" t="s">
        <v>96</v>
      </c>
      <c r="K246" s="4" t="s">
        <v>746</v>
      </c>
      <c r="L246" s="5">
        <v>45926</v>
      </c>
      <c r="M246" s="4"/>
      <c r="N246" s="4"/>
      <c r="O246" s="4" t="s">
        <v>238</v>
      </c>
      <c r="P246" s="4" t="s">
        <v>97</v>
      </c>
      <c r="Q246" s="4" t="s">
        <v>97</v>
      </c>
      <c r="R246" s="14" t="s">
        <v>100</v>
      </c>
      <c r="S246" s="14" t="s">
        <v>100</v>
      </c>
      <c r="T246" s="14" t="s">
        <v>100</v>
      </c>
      <c r="U246" s="8"/>
      <c r="V246" s="14"/>
      <c r="W246" s="14"/>
      <c r="X246" s="14"/>
      <c r="Y246" s="5">
        <v>45926</v>
      </c>
      <c r="Z246" s="5">
        <v>45933</v>
      </c>
      <c r="AA246" s="5" t="s">
        <v>103</v>
      </c>
      <c r="AB246" s="5" t="s">
        <v>314</v>
      </c>
      <c r="AC246" s="5" t="s">
        <v>97</v>
      </c>
      <c r="AD246" s="5" t="s">
        <v>97</v>
      </c>
      <c r="AE246" s="5" t="s">
        <v>97</v>
      </c>
      <c r="AF246" s="5" t="s">
        <v>97</v>
      </c>
      <c r="AG246" s="5" t="s">
        <v>97</v>
      </c>
      <c r="AH246" s="5" t="s">
        <v>103</v>
      </c>
      <c r="AI246" s="5">
        <v>45931</v>
      </c>
      <c r="AJ246" s="5" t="s">
        <v>103</v>
      </c>
      <c r="AK246" s="5" t="s">
        <v>97</v>
      </c>
      <c r="AL246" s="5" t="s">
        <v>97</v>
      </c>
      <c r="AM246" s="5" t="s">
        <v>103</v>
      </c>
      <c r="AN246" s="5" t="s">
        <v>103</v>
      </c>
      <c r="AO246" s="5" t="s">
        <v>97</v>
      </c>
      <c r="AP246" s="5" t="s">
        <v>97</v>
      </c>
      <c r="AQ246" s="5" t="s">
        <v>97</v>
      </c>
      <c r="AR246" s="5" t="s">
        <v>97</v>
      </c>
      <c r="AS246" s="5" t="s">
        <v>97</v>
      </c>
      <c r="AT246" s="5"/>
      <c r="AU246" s="5"/>
      <c r="AV246" s="4" t="s">
        <v>103</v>
      </c>
      <c r="AW246" s="4" t="s">
        <v>97</v>
      </c>
      <c r="AX246" s="4" t="s">
        <v>97</v>
      </c>
      <c r="AY246" s="4" t="s">
        <v>97</v>
      </c>
      <c r="AZ246" s="4" t="s">
        <v>103</v>
      </c>
      <c r="BA246" s="4" t="s">
        <v>97</v>
      </c>
      <c r="BB246" s="5">
        <v>45933</v>
      </c>
      <c r="BC246" s="5">
        <v>45933</v>
      </c>
      <c r="BD246" s="5">
        <v>45933</v>
      </c>
      <c r="BE246" s="5">
        <v>45935</v>
      </c>
      <c r="BF246" s="4" t="s">
        <v>98</v>
      </c>
      <c r="BG246" s="4" t="s">
        <v>97</v>
      </c>
      <c r="BH246" s="4" t="s">
        <v>103</v>
      </c>
      <c r="BI246" s="4" t="s">
        <v>115</v>
      </c>
    </row>
    <row r="247" spans="1:61" x14ac:dyDescent="0.35">
      <c r="A247" s="8" t="str">
        <f t="shared" si="22"/>
        <v>Semaine 40-2025</v>
      </c>
      <c r="B247" s="8" t="str">
        <f t="shared" si="18"/>
        <v>2025</v>
      </c>
      <c r="C247" s="2" t="s">
        <v>49</v>
      </c>
      <c r="D247" s="6" t="str">
        <f t="shared" si="19"/>
        <v>Dakar</v>
      </c>
      <c r="E247" s="6">
        <f t="shared" si="20"/>
        <v>441950</v>
      </c>
      <c r="F247" s="6">
        <f t="shared" si="21"/>
        <v>4042240</v>
      </c>
      <c r="G247" s="4" t="s">
        <v>737</v>
      </c>
      <c r="H247" s="4" t="s">
        <v>747</v>
      </c>
      <c r="I247" s="4">
        <v>35</v>
      </c>
      <c r="J247" s="4" t="s">
        <v>114</v>
      </c>
      <c r="K247" s="4"/>
      <c r="L247" s="4"/>
      <c r="M247" s="4"/>
      <c r="N247" s="4"/>
      <c r="O247" s="4" t="s">
        <v>238</v>
      </c>
      <c r="P247" s="4" t="s">
        <v>97</v>
      </c>
      <c r="Q247" s="4" t="s">
        <v>97</v>
      </c>
      <c r="R247" s="14" t="s">
        <v>100</v>
      </c>
      <c r="S247" s="14" t="s">
        <v>100</v>
      </c>
      <c r="T247" s="14" t="s">
        <v>100</v>
      </c>
      <c r="U247" s="8"/>
      <c r="V247" s="14"/>
      <c r="W247" s="14"/>
      <c r="X247" s="14"/>
      <c r="Y247" s="5">
        <v>45932</v>
      </c>
      <c r="Z247" s="5">
        <v>45933</v>
      </c>
      <c r="AA247" s="5" t="s">
        <v>97</v>
      </c>
      <c r="AB247" s="5"/>
      <c r="AC247" s="5" t="s">
        <v>97</v>
      </c>
      <c r="AD247" s="5" t="s">
        <v>97</v>
      </c>
      <c r="AE247" s="5" t="s">
        <v>97</v>
      </c>
      <c r="AF247" s="5" t="s">
        <v>103</v>
      </c>
      <c r="AG247" s="5" t="s">
        <v>103</v>
      </c>
      <c r="AH247" s="5" t="s">
        <v>103</v>
      </c>
      <c r="AI247" s="5">
        <v>45932</v>
      </c>
      <c r="AJ247" s="5" t="s">
        <v>103</v>
      </c>
      <c r="AK247" s="5" t="s">
        <v>97</v>
      </c>
      <c r="AL247" s="5" t="s">
        <v>103</v>
      </c>
      <c r="AM247" s="5" t="s">
        <v>103</v>
      </c>
      <c r="AN247" s="5" t="s">
        <v>103</v>
      </c>
      <c r="AO247" s="5" t="s">
        <v>97</v>
      </c>
      <c r="AP247" s="5" t="s">
        <v>97</v>
      </c>
      <c r="AQ247" s="5" t="s">
        <v>97</v>
      </c>
      <c r="AR247" s="5" t="s">
        <v>97</v>
      </c>
      <c r="AS247" s="5" t="s">
        <v>97</v>
      </c>
      <c r="AT247" s="5"/>
      <c r="AU247" s="5"/>
      <c r="AV247" s="4" t="s">
        <v>103</v>
      </c>
      <c r="AW247" s="4" t="s">
        <v>97</v>
      </c>
      <c r="AX247" s="4" t="s">
        <v>97</v>
      </c>
      <c r="AY247" s="4" t="s">
        <v>97</v>
      </c>
      <c r="AZ247" s="4" t="s">
        <v>103</v>
      </c>
      <c r="BA247" s="4" t="s">
        <v>97</v>
      </c>
      <c r="BB247" s="5">
        <v>45933</v>
      </c>
      <c r="BC247" s="5">
        <v>45933</v>
      </c>
      <c r="BD247" s="5">
        <v>45933</v>
      </c>
      <c r="BE247" s="5">
        <v>45935</v>
      </c>
      <c r="BF247" s="4" t="s">
        <v>98</v>
      </c>
      <c r="BG247" s="4" t="s">
        <v>97</v>
      </c>
      <c r="BH247" s="4" t="s">
        <v>103</v>
      </c>
      <c r="BI247" s="4" t="s">
        <v>115</v>
      </c>
    </row>
    <row r="248" spans="1:61" x14ac:dyDescent="0.35">
      <c r="A248" s="8" t="str">
        <f t="shared" si="22"/>
        <v>Semaine 39-2025</v>
      </c>
      <c r="B248" s="8" t="str">
        <f t="shared" si="18"/>
        <v>2025</v>
      </c>
      <c r="C248" s="2" t="s">
        <v>31</v>
      </c>
      <c r="D248" s="6" t="str">
        <f t="shared" si="19"/>
        <v>Dakar</v>
      </c>
      <c r="E248" s="6">
        <f t="shared" si="20"/>
        <v>424760</v>
      </c>
      <c r="F248" s="6">
        <f t="shared" si="21"/>
        <v>4042240</v>
      </c>
      <c r="G248" s="4" t="s">
        <v>738</v>
      </c>
      <c r="H248" s="4" t="s">
        <v>748</v>
      </c>
      <c r="I248" s="4">
        <v>11</v>
      </c>
      <c r="J248" s="4" t="s">
        <v>96</v>
      </c>
      <c r="K248" s="4" t="s">
        <v>746</v>
      </c>
      <c r="L248" s="5">
        <v>45926</v>
      </c>
      <c r="M248" s="4"/>
      <c r="N248" s="4"/>
      <c r="O248" s="4" t="s">
        <v>238</v>
      </c>
      <c r="P248" s="4" t="s">
        <v>97</v>
      </c>
      <c r="Q248" s="4" t="s">
        <v>97</v>
      </c>
      <c r="R248" s="14" t="s">
        <v>100</v>
      </c>
      <c r="S248" s="14" t="s">
        <v>100</v>
      </c>
      <c r="T248" s="14" t="s">
        <v>100</v>
      </c>
      <c r="U248" s="8"/>
      <c r="V248" s="14"/>
      <c r="W248" s="14"/>
      <c r="X248" s="14"/>
      <c r="Y248" s="5">
        <v>45925</v>
      </c>
      <c r="Z248" s="5">
        <v>45933</v>
      </c>
      <c r="AA248" s="5" t="s">
        <v>103</v>
      </c>
      <c r="AB248" s="5" t="s">
        <v>509</v>
      </c>
      <c r="AC248" s="5" t="s">
        <v>97</v>
      </c>
      <c r="AD248" s="5" t="s">
        <v>97</v>
      </c>
      <c r="AE248" s="5" t="s">
        <v>97</v>
      </c>
      <c r="AF248" s="5" t="s">
        <v>97</v>
      </c>
      <c r="AG248" s="5" t="s">
        <v>97</v>
      </c>
      <c r="AH248" s="5" t="s">
        <v>103</v>
      </c>
      <c r="AI248" s="5">
        <v>45926</v>
      </c>
      <c r="AJ248" s="5" t="s">
        <v>103</v>
      </c>
      <c r="AK248" s="5" t="s">
        <v>97</v>
      </c>
      <c r="AL248" s="5" t="s">
        <v>97</v>
      </c>
      <c r="AM248" s="5" t="s">
        <v>103</v>
      </c>
      <c r="AN248" s="5" t="s">
        <v>103</v>
      </c>
      <c r="AO248" s="5" t="s">
        <v>97</v>
      </c>
      <c r="AP248" s="5" t="s">
        <v>97</v>
      </c>
      <c r="AQ248" s="5" t="s">
        <v>97</v>
      </c>
      <c r="AR248" s="5" t="s">
        <v>97</v>
      </c>
      <c r="AS248" s="5" t="s">
        <v>97</v>
      </c>
      <c r="AT248" s="5"/>
      <c r="AU248" s="5"/>
      <c r="AV248" s="4" t="s">
        <v>103</v>
      </c>
      <c r="AW248" s="4" t="s">
        <v>97</v>
      </c>
      <c r="AX248" s="4" t="s">
        <v>97</v>
      </c>
      <c r="AY248" s="4" t="s">
        <v>97</v>
      </c>
      <c r="AZ248" s="4" t="s">
        <v>103</v>
      </c>
      <c r="BA248" s="4" t="s">
        <v>97</v>
      </c>
      <c r="BB248" s="5">
        <v>45933</v>
      </c>
      <c r="BC248" s="5">
        <v>45933</v>
      </c>
      <c r="BD248" s="5">
        <v>45933</v>
      </c>
      <c r="BE248" s="5">
        <v>45935</v>
      </c>
      <c r="BF248" s="4" t="s">
        <v>98</v>
      </c>
      <c r="BG248" s="4" t="s">
        <v>97</v>
      </c>
      <c r="BH248" s="4" t="s">
        <v>103</v>
      </c>
      <c r="BI248" s="4" t="s">
        <v>115</v>
      </c>
    </row>
    <row r="249" spans="1:61" x14ac:dyDescent="0.35">
      <c r="A249" s="8" t="str">
        <f t="shared" si="22"/>
        <v>Semaine 40-2025</v>
      </c>
      <c r="B249" s="8" t="str">
        <f t="shared" si="18"/>
        <v>2025</v>
      </c>
      <c r="C249" s="2" t="s">
        <v>31</v>
      </c>
      <c r="D249" s="6" t="str">
        <f t="shared" si="19"/>
        <v>Dakar</v>
      </c>
      <c r="E249" s="6">
        <f t="shared" si="20"/>
        <v>424760</v>
      </c>
      <c r="F249" s="6">
        <f t="shared" si="21"/>
        <v>4042240</v>
      </c>
      <c r="G249" s="4" t="s">
        <v>739</v>
      </c>
      <c r="H249" s="4" t="s">
        <v>749</v>
      </c>
      <c r="I249" s="4">
        <v>1</v>
      </c>
      <c r="J249" s="4" t="s">
        <v>96</v>
      </c>
      <c r="K249" s="4" t="s">
        <v>746</v>
      </c>
      <c r="L249" s="5">
        <v>45926</v>
      </c>
      <c r="M249" s="4"/>
      <c r="N249" s="4"/>
      <c r="O249" s="4" t="s">
        <v>238</v>
      </c>
      <c r="P249" s="4" t="s">
        <v>97</v>
      </c>
      <c r="Q249" s="4" t="s">
        <v>97</v>
      </c>
      <c r="R249" s="14" t="s">
        <v>100</v>
      </c>
      <c r="S249" s="14" t="s">
        <v>100</v>
      </c>
      <c r="T249" s="14" t="s">
        <v>100</v>
      </c>
      <c r="U249" s="8"/>
      <c r="V249" s="14"/>
      <c r="W249" s="14"/>
      <c r="X249" s="14"/>
      <c r="Y249" s="5">
        <v>45929</v>
      </c>
      <c r="Z249" s="5">
        <v>45933</v>
      </c>
      <c r="AA249" s="5" t="s">
        <v>97</v>
      </c>
      <c r="AB249" s="5" t="s">
        <v>636</v>
      </c>
      <c r="AC249" s="5" t="s">
        <v>97</v>
      </c>
      <c r="AD249" s="5" t="s">
        <v>97</v>
      </c>
      <c r="AE249" s="5" t="s">
        <v>97</v>
      </c>
      <c r="AF249" s="5" t="s">
        <v>97</v>
      </c>
      <c r="AG249" s="5" t="s">
        <v>97</v>
      </c>
      <c r="AH249" s="5" t="s">
        <v>103</v>
      </c>
      <c r="AI249" s="5">
        <v>45931</v>
      </c>
      <c r="AJ249" s="5" t="s">
        <v>103</v>
      </c>
      <c r="AK249" s="5" t="s">
        <v>97</v>
      </c>
      <c r="AL249" s="5" t="s">
        <v>97</v>
      </c>
      <c r="AM249" s="5" t="s">
        <v>103</v>
      </c>
      <c r="AN249" s="5" t="s">
        <v>103</v>
      </c>
      <c r="AO249" s="5" t="s">
        <v>97</v>
      </c>
      <c r="AP249" s="5" t="s">
        <v>97</v>
      </c>
      <c r="AQ249" s="5" t="s">
        <v>97</v>
      </c>
      <c r="AR249" s="5" t="s">
        <v>97</v>
      </c>
      <c r="AS249" s="5" t="s">
        <v>97</v>
      </c>
      <c r="AT249" s="5"/>
      <c r="AU249" s="5"/>
      <c r="AV249" s="4" t="s">
        <v>103</v>
      </c>
      <c r="AW249" s="4" t="s">
        <v>97</v>
      </c>
      <c r="AX249" s="4" t="s">
        <v>97</v>
      </c>
      <c r="AY249" s="4" t="s">
        <v>97</v>
      </c>
      <c r="AZ249" s="4" t="s">
        <v>103</v>
      </c>
      <c r="BA249" s="4" t="s">
        <v>97</v>
      </c>
      <c r="BB249" s="5">
        <v>45933</v>
      </c>
      <c r="BC249" s="5">
        <v>45933</v>
      </c>
      <c r="BD249" s="5">
        <v>45933</v>
      </c>
      <c r="BE249" s="5">
        <v>45935</v>
      </c>
      <c r="BF249" s="4" t="s">
        <v>98</v>
      </c>
      <c r="BG249" s="4" t="s">
        <v>97</v>
      </c>
      <c r="BH249" s="4" t="s">
        <v>103</v>
      </c>
      <c r="BI249" s="4" t="s">
        <v>115</v>
      </c>
    </row>
    <row r="250" spans="1:61" x14ac:dyDescent="0.35">
      <c r="A250" s="8" t="str">
        <f t="shared" si="22"/>
        <v>Semaine 40-2025</v>
      </c>
      <c r="B250" s="8" t="str">
        <f t="shared" si="18"/>
        <v>2025</v>
      </c>
      <c r="C250" s="2" t="s">
        <v>18</v>
      </c>
      <c r="D250" s="6" t="str">
        <f t="shared" si="19"/>
        <v>Dakar</v>
      </c>
      <c r="E250" s="6">
        <f t="shared" si="20"/>
        <v>419489</v>
      </c>
      <c r="F250" s="6">
        <f t="shared" si="21"/>
        <v>4042240</v>
      </c>
      <c r="G250" s="4" t="s">
        <v>740</v>
      </c>
      <c r="H250" s="4" t="s">
        <v>750</v>
      </c>
      <c r="I250" s="4">
        <v>34</v>
      </c>
      <c r="J250" s="4" t="s">
        <v>114</v>
      </c>
      <c r="K250" s="4"/>
      <c r="L250" s="4"/>
      <c r="M250" s="4"/>
      <c r="N250" s="4"/>
      <c r="O250" s="4" t="s">
        <v>238</v>
      </c>
      <c r="P250" s="4" t="s">
        <v>97</v>
      </c>
      <c r="Q250" s="4" t="s">
        <v>97</v>
      </c>
      <c r="R250" s="14" t="s">
        <v>100</v>
      </c>
      <c r="S250" s="14" t="s">
        <v>100</v>
      </c>
      <c r="T250" s="14" t="s">
        <v>100</v>
      </c>
      <c r="U250" s="8"/>
      <c r="V250" s="14"/>
      <c r="W250" s="14"/>
      <c r="X250" s="14"/>
      <c r="Y250" s="5">
        <v>45930</v>
      </c>
      <c r="Z250" s="5">
        <v>45933</v>
      </c>
      <c r="AA250" s="5" t="s">
        <v>103</v>
      </c>
      <c r="AB250" s="5"/>
      <c r="AC250" s="5" t="s">
        <v>103</v>
      </c>
      <c r="AD250" s="5" t="s">
        <v>97</v>
      </c>
      <c r="AE250" s="5" t="s">
        <v>97</v>
      </c>
      <c r="AF250" s="5" t="s">
        <v>97</v>
      </c>
      <c r="AG250" s="5" t="s">
        <v>97</v>
      </c>
      <c r="AH250" s="5" t="s">
        <v>103</v>
      </c>
      <c r="AI250" s="5">
        <v>45930</v>
      </c>
      <c r="AJ250" s="5" t="s">
        <v>97</v>
      </c>
      <c r="AK250" s="5" t="s">
        <v>97</v>
      </c>
      <c r="AL250" s="5" t="s">
        <v>97</v>
      </c>
      <c r="AM250" s="5" t="s">
        <v>103</v>
      </c>
      <c r="AN250" s="5" t="s">
        <v>103</v>
      </c>
      <c r="AO250" s="5" t="s">
        <v>97</v>
      </c>
      <c r="AP250" s="5" t="s">
        <v>97</v>
      </c>
      <c r="AQ250" s="5" t="s">
        <v>97</v>
      </c>
      <c r="AR250" s="5" t="s">
        <v>97</v>
      </c>
      <c r="AS250" s="5" t="s">
        <v>97</v>
      </c>
      <c r="AT250" s="5" t="s">
        <v>751</v>
      </c>
      <c r="AU250" s="5"/>
      <c r="AV250" s="4" t="s">
        <v>103</v>
      </c>
      <c r="AW250" s="4" t="s">
        <v>97</v>
      </c>
      <c r="AX250" s="4" t="s">
        <v>97</v>
      </c>
      <c r="AY250" s="4" t="s">
        <v>97</v>
      </c>
      <c r="AZ250" s="4" t="s">
        <v>103</v>
      </c>
      <c r="BA250" s="4" t="s">
        <v>97</v>
      </c>
      <c r="BB250" s="5">
        <v>45933</v>
      </c>
      <c r="BC250" s="5">
        <v>45934</v>
      </c>
      <c r="BD250" s="5">
        <v>45934</v>
      </c>
      <c r="BE250" s="5">
        <v>45935</v>
      </c>
      <c r="BF250" s="4" t="s">
        <v>98</v>
      </c>
      <c r="BG250" s="4" t="s">
        <v>97</v>
      </c>
      <c r="BH250" s="4" t="s">
        <v>103</v>
      </c>
      <c r="BI250" s="4" t="s">
        <v>115</v>
      </c>
    </row>
    <row r="251" spans="1:61" x14ac:dyDescent="0.35">
      <c r="A251" s="8" t="str">
        <f t="shared" si="22"/>
        <v>Semaine 40-2025</v>
      </c>
      <c r="B251" s="8" t="str">
        <f t="shared" si="18"/>
        <v>2025</v>
      </c>
      <c r="C251" s="2" t="s">
        <v>18</v>
      </c>
      <c r="D251" s="6" t="str">
        <f t="shared" si="19"/>
        <v>Dakar</v>
      </c>
      <c r="E251" s="6">
        <f t="shared" si="20"/>
        <v>419489</v>
      </c>
      <c r="F251" s="6">
        <f t="shared" si="21"/>
        <v>4042240</v>
      </c>
      <c r="G251" s="4" t="s">
        <v>741</v>
      </c>
      <c r="H251" s="4" t="s">
        <v>752</v>
      </c>
      <c r="I251" s="4">
        <v>46</v>
      </c>
      <c r="J251" s="4" t="s">
        <v>114</v>
      </c>
      <c r="K251" s="4"/>
      <c r="L251" s="4"/>
      <c r="M251" s="4"/>
      <c r="N251" s="4"/>
      <c r="O251" s="4" t="s">
        <v>238</v>
      </c>
      <c r="P251" s="4" t="s">
        <v>97</v>
      </c>
      <c r="Q251" s="4" t="s">
        <v>97</v>
      </c>
      <c r="R251" s="14" t="s">
        <v>100</v>
      </c>
      <c r="S251" s="14" t="s">
        <v>100</v>
      </c>
      <c r="T251" s="14" t="s">
        <v>100</v>
      </c>
      <c r="U251" s="8"/>
      <c r="V251" s="14"/>
      <c r="W251" s="14"/>
      <c r="X251" s="14"/>
      <c r="Y251" s="5">
        <v>45932</v>
      </c>
      <c r="Z251" s="5">
        <v>45934</v>
      </c>
      <c r="AA251" s="5" t="s">
        <v>97</v>
      </c>
      <c r="AB251" s="5" t="s">
        <v>546</v>
      </c>
      <c r="AC251" s="5" t="s">
        <v>103</v>
      </c>
      <c r="AD251" s="5" t="s">
        <v>103</v>
      </c>
      <c r="AE251" s="5" t="s">
        <v>97</v>
      </c>
      <c r="AF251" s="5" t="s">
        <v>103</v>
      </c>
      <c r="AG251" s="5" t="s">
        <v>97</v>
      </c>
      <c r="AH251" s="5" t="s">
        <v>103</v>
      </c>
      <c r="AI251" s="5">
        <v>45932</v>
      </c>
      <c r="AJ251" s="5" t="s">
        <v>103</v>
      </c>
      <c r="AK251" s="5" t="s">
        <v>103</v>
      </c>
      <c r="AL251" s="5" t="s">
        <v>103</v>
      </c>
      <c r="AM251" s="5" t="s">
        <v>103</v>
      </c>
      <c r="AN251" s="5" t="s">
        <v>103</v>
      </c>
      <c r="AO251" s="5" t="s">
        <v>103</v>
      </c>
      <c r="AP251" s="5" t="s">
        <v>103</v>
      </c>
      <c r="AQ251" s="5" t="s">
        <v>97</v>
      </c>
      <c r="AR251" s="5" t="s">
        <v>103</v>
      </c>
      <c r="AS251" s="5" t="s">
        <v>103</v>
      </c>
      <c r="AT251" s="5"/>
      <c r="AU251" s="5"/>
      <c r="AV251" s="4" t="s">
        <v>103</v>
      </c>
      <c r="AW251" s="4" t="s">
        <v>97</v>
      </c>
      <c r="AX251" s="4" t="s">
        <v>97</v>
      </c>
      <c r="AY251" s="4" t="s">
        <v>97</v>
      </c>
      <c r="AZ251" s="4" t="s">
        <v>103</v>
      </c>
      <c r="BA251" s="4" t="s">
        <v>97</v>
      </c>
      <c r="BB251" s="5">
        <v>45934</v>
      </c>
      <c r="BC251" s="5">
        <v>45934</v>
      </c>
      <c r="BD251" s="5">
        <v>45934</v>
      </c>
      <c r="BE251" s="5">
        <v>45935</v>
      </c>
      <c r="BF251" s="4" t="s">
        <v>98</v>
      </c>
      <c r="BG251" s="4" t="s">
        <v>97</v>
      </c>
      <c r="BH251" s="4" t="s">
        <v>103</v>
      </c>
      <c r="BI251" s="4" t="s">
        <v>115</v>
      </c>
    </row>
    <row r="252" spans="1:61" x14ac:dyDescent="0.35">
      <c r="A252" s="8" t="str">
        <f t="shared" si="22"/>
        <v>Semaine 39-2025</v>
      </c>
      <c r="B252" s="8" t="str">
        <f t="shared" si="18"/>
        <v>2025</v>
      </c>
      <c r="C252" s="2" t="s">
        <v>4</v>
      </c>
      <c r="D252" s="6" t="str">
        <f t="shared" si="19"/>
        <v>Thies</v>
      </c>
      <c r="E252" s="6">
        <f t="shared" si="20"/>
        <v>462449</v>
      </c>
      <c r="F252" s="6">
        <f t="shared" si="21"/>
        <v>2280463</v>
      </c>
      <c r="G252" s="4" t="s">
        <v>753</v>
      </c>
      <c r="H252" s="4" t="s">
        <v>754</v>
      </c>
      <c r="I252" s="4">
        <v>12</v>
      </c>
      <c r="J252" s="4" t="s">
        <v>96</v>
      </c>
      <c r="K252" s="4"/>
      <c r="L252" s="4"/>
      <c r="M252" s="4"/>
      <c r="N252" s="4"/>
      <c r="O252" s="4" t="s">
        <v>238</v>
      </c>
      <c r="P252" s="4" t="s">
        <v>97</v>
      </c>
      <c r="Q252" s="4" t="s">
        <v>97</v>
      </c>
      <c r="R252" s="14" t="s">
        <v>100</v>
      </c>
      <c r="S252" s="14" t="s">
        <v>100</v>
      </c>
      <c r="T252" s="14" t="s">
        <v>100</v>
      </c>
      <c r="U252" s="8"/>
      <c r="V252" s="14"/>
      <c r="W252" s="14"/>
      <c r="X252" s="14"/>
      <c r="Y252" s="5">
        <v>45926</v>
      </c>
      <c r="Z252" s="5">
        <v>45933</v>
      </c>
      <c r="AA252" s="5" t="s">
        <v>103</v>
      </c>
      <c r="AB252" s="5"/>
      <c r="AC252" s="5" t="s">
        <v>103</v>
      </c>
      <c r="AD252" s="5" t="s">
        <v>97</v>
      </c>
      <c r="AE252" s="5" t="s">
        <v>97</v>
      </c>
      <c r="AF252" s="5" t="s">
        <v>97</v>
      </c>
      <c r="AG252" s="5" t="s">
        <v>97</v>
      </c>
      <c r="AH252" s="5" t="s">
        <v>103</v>
      </c>
      <c r="AI252" s="5">
        <v>45926</v>
      </c>
      <c r="AJ252" s="5" t="s">
        <v>97</v>
      </c>
      <c r="AK252" s="5" t="s">
        <v>97</v>
      </c>
      <c r="AL252" s="5" t="s">
        <v>103</v>
      </c>
      <c r="AM252" s="5" t="s">
        <v>97</v>
      </c>
      <c r="AN252" s="5" t="s">
        <v>103</v>
      </c>
      <c r="AO252" s="5" t="s">
        <v>97</v>
      </c>
      <c r="AP252" s="5" t="s">
        <v>97</v>
      </c>
      <c r="AQ252" s="5" t="s">
        <v>97</v>
      </c>
      <c r="AR252" s="5" t="s">
        <v>97</v>
      </c>
      <c r="AS252" s="5" t="s">
        <v>97</v>
      </c>
      <c r="AT252" s="5" t="s">
        <v>755</v>
      </c>
      <c r="AU252" s="5"/>
      <c r="AV252" s="4" t="s">
        <v>97</v>
      </c>
      <c r="AW252" s="4" t="s">
        <v>97</v>
      </c>
      <c r="AX252" s="4" t="s">
        <v>97</v>
      </c>
      <c r="AY252" s="4" t="s">
        <v>97</v>
      </c>
      <c r="AZ252" s="4" t="s">
        <v>103</v>
      </c>
      <c r="BA252" s="4" t="s">
        <v>97</v>
      </c>
      <c r="BB252" s="5">
        <v>45933</v>
      </c>
      <c r="BC252" s="5">
        <v>45936</v>
      </c>
      <c r="BD252" s="5">
        <v>45936</v>
      </c>
      <c r="BE252" s="5">
        <v>45936</v>
      </c>
      <c r="BF252" s="4" t="s">
        <v>98</v>
      </c>
      <c r="BG252" s="4" t="s">
        <v>97</v>
      </c>
      <c r="BH252" s="4" t="s">
        <v>103</v>
      </c>
      <c r="BI252" s="5" t="s">
        <v>360</v>
      </c>
    </row>
    <row r="253" spans="1:61" x14ac:dyDescent="0.35">
      <c r="A253" s="8" t="str">
        <f t="shared" si="22"/>
        <v>Semaine 40-2025</v>
      </c>
      <c r="B253" s="8" t="str">
        <f t="shared" si="18"/>
        <v>2025</v>
      </c>
      <c r="C253" s="2" t="s">
        <v>19</v>
      </c>
      <c r="D253" s="6" t="str">
        <f t="shared" si="19"/>
        <v>Dakar</v>
      </c>
      <c r="E253" s="6">
        <f t="shared" si="20"/>
        <v>565040</v>
      </c>
      <c r="F253" s="6">
        <f t="shared" si="21"/>
        <v>4042240</v>
      </c>
      <c r="G253" s="4" t="s">
        <v>756</v>
      </c>
      <c r="H253" s="4" t="s">
        <v>761</v>
      </c>
      <c r="I253" s="4">
        <v>18</v>
      </c>
      <c r="J253" s="4" t="s">
        <v>114</v>
      </c>
      <c r="K253" s="4" t="s">
        <v>256</v>
      </c>
      <c r="L253" s="5">
        <v>45930</v>
      </c>
      <c r="M253" s="4"/>
      <c r="N253" s="4"/>
      <c r="O253" s="4" t="s">
        <v>238</v>
      </c>
      <c r="P253" s="4" t="s">
        <v>97</v>
      </c>
      <c r="Q253" s="4" t="s">
        <v>97</v>
      </c>
      <c r="R253" s="14" t="s">
        <v>100</v>
      </c>
      <c r="S253" s="14" t="s">
        <v>100</v>
      </c>
      <c r="T253" s="14" t="s">
        <v>100</v>
      </c>
      <c r="U253" s="8"/>
      <c r="V253" s="14"/>
      <c r="W253" s="14"/>
      <c r="X253" s="14"/>
      <c r="Y253" s="5">
        <v>45930</v>
      </c>
      <c r="Z253" s="5">
        <v>45934</v>
      </c>
      <c r="AA253" s="5" t="s">
        <v>103</v>
      </c>
      <c r="AB253" s="5" t="s">
        <v>550</v>
      </c>
      <c r="AC253" s="5" t="s">
        <v>97</v>
      </c>
      <c r="AD253" s="5" t="s">
        <v>97</v>
      </c>
      <c r="AE253" s="5" t="s">
        <v>97</v>
      </c>
      <c r="AF253" s="5" t="s">
        <v>97</v>
      </c>
      <c r="AG253" s="5" t="s">
        <v>97</v>
      </c>
      <c r="AH253" s="5" t="s">
        <v>103</v>
      </c>
      <c r="AI253" s="5">
        <v>45930</v>
      </c>
      <c r="AJ253" s="5" t="s">
        <v>97</v>
      </c>
      <c r="AK253" s="5" t="s">
        <v>97</v>
      </c>
      <c r="AL253" s="5" t="s">
        <v>97</v>
      </c>
      <c r="AM253" s="5" t="s">
        <v>103</v>
      </c>
      <c r="AN253" s="5" t="s">
        <v>103</v>
      </c>
      <c r="AO253" s="5" t="s">
        <v>97</v>
      </c>
      <c r="AP253" s="5" t="s">
        <v>97</v>
      </c>
      <c r="AQ253" s="5" t="s">
        <v>97</v>
      </c>
      <c r="AR253" s="5" t="s">
        <v>97</v>
      </c>
      <c r="AS253" s="5" t="s">
        <v>97</v>
      </c>
      <c r="AT253" s="5"/>
      <c r="AU253" s="5"/>
      <c r="AV253" s="4" t="s">
        <v>103</v>
      </c>
      <c r="AW253" s="4" t="s">
        <v>97</v>
      </c>
      <c r="AX253" s="4" t="s">
        <v>97</v>
      </c>
      <c r="AY253" s="4" t="s">
        <v>97</v>
      </c>
      <c r="AZ253" s="4" t="s">
        <v>103</v>
      </c>
      <c r="BA253" s="4" t="s">
        <v>97</v>
      </c>
      <c r="BB253" s="5">
        <v>45934</v>
      </c>
      <c r="BC253" s="5">
        <v>45934</v>
      </c>
      <c r="BD253" s="5">
        <v>45936</v>
      </c>
      <c r="BE253" s="5">
        <v>45936</v>
      </c>
      <c r="BF253" s="4" t="s">
        <v>98</v>
      </c>
      <c r="BG253" s="4" t="s">
        <v>103</v>
      </c>
      <c r="BH253" s="4" t="s">
        <v>103</v>
      </c>
      <c r="BI253" s="4" t="s">
        <v>115</v>
      </c>
    </row>
    <row r="254" spans="1:61" x14ac:dyDescent="0.35">
      <c r="A254" s="8" t="str">
        <f t="shared" si="22"/>
        <v>Semaine 40-2025</v>
      </c>
      <c r="B254" s="8" t="str">
        <f t="shared" si="18"/>
        <v>2025</v>
      </c>
      <c r="C254" s="2" t="s">
        <v>65</v>
      </c>
      <c r="D254" s="6" t="str">
        <f t="shared" si="19"/>
        <v>Saint-Louis</v>
      </c>
      <c r="E254" s="6">
        <f t="shared" si="20"/>
        <v>375150</v>
      </c>
      <c r="F254" s="6">
        <f t="shared" si="21"/>
        <v>1150065</v>
      </c>
      <c r="G254" s="4" t="s">
        <v>757</v>
      </c>
      <c r="H254" s="4" t="s">
        <v>762</v>
      </c>
      <c r="I254" s="4">
        <v>30</v>
      </c>
      <c r="J254" s="4" t="s">
        <v>96</v>
      </c>
      <c r="K254" s="4"/>
      <c r="L254" s="4"/>
      <c r="M254" s="4"/>
      <c r="N254" s="4"/>
      <c r="O254" s="4" t="s">
        <v>238</v>
      </c>
      <c r="P254" s="4" t="s">
        <v>97</v>
      </c>
      <c r="Q254" s="4" t="s">
        <v>97</v>
      </c>
      <c r="R254" s="14" t="s">
        <v>100</v>
      </c>
      <c r="S254" s="14" t="s">
        <v>100</v>
      </c>
      <c r="T254" s="14" t="s">
        <v>100</v>
      </c>
      <c r="U254" s="8"/>
      <c r="V254" s="14"/>
      <c r="W254" s="14"/>
      <c r="X254" s="14"/>
      <c r="Y254" s="5">
        <v>45930</v>
      </c>
      <c r="Z254" s="5">
        <v>45933</v>
      </c>
      <c r="AA254" s="5" t="s">
        <v>103</v>
      </c>
      <c r="AB254" s="5" t="s">
        <v>272</v>
      </c>
      <c r="AC254" s="5" t="s">
        <v>103</v>
      </c>
      <c r="AD254" s="5" t="s">
        <v>97</v>
      </c>
      <c r="AE254" s="5" t="s">
        <v>97</v>
      </c>
      <c r="AF254" s="5" t="s">
        <v>103</v>
      </c>
      <c r="AG254" s="5" t="s">
        <v>103</v>
      </c>
      <c r="AH254" s="5" t="s">
        <v>103</v>
      </c>
      <c r="AI254" s="5">
        <v>45931</v>
      </c>
      <c r="AJ254" s="5" t="s">
        <v>103</v>
      </c>
      <c r="AK254" s="5" t="s">
        <v>103</v>
      </c>
      <c r="AL254" s="5" t="s">
        <v>103</v>
      </c>
      <c r="AM254" s="5" t="s">
        <v>103</v>
      </c>
      <c r="AN254" s="5" t="s">
        <v>103</v>
      </c>
      <c r="AO254" s="5" t="s">
        <v>97</v>
      </c>
      <c r="AP254" s="5" t="s">
        <v>97</v>
      </c>
      <c r="AQ254" s="5" t="s">
        <v>97</v>
      </c>
      <c r="AR254" s="5" t="s">
        <v>97</v>
      </c>
      <c r="AS254" s="5" t="s">
        <v>97</v>
      </c>
      <c r="AT254" s="5"/>
      <c r="AU254" s="5"/>
      <c r="AV254" s="4" t="s">
        <v>103</v>
      </c>
      <c r="AW254" s="4" t="s">
        <v>103</v>
      </c>
      <c r="AX254" s="4" t="s">
        <v>97</v>
      </c>
      <c r="AY254" s="4" t="s">
        <v>97</v>
      </c>
      <c r="AZ254" s="4" t="s">
        <v>103</v>
      </c>
      <c r="BA254" s="4" t="s">
        <v>97</v>
      </c>
      <c r="BB254" s="5">
        <v>45933</v>
      </c>
      <c r="BC254" s="5">
        <v>45934</v>
      </c>
      <c r="BD254" s="5">
        <v>45936</v>
      </c>
      <c r="BE254" s="5">
        <v>45936</v>
      </c>
      <c r="BF254" s="4" t="s">
        <v>98</v>
      </c>
      <c r="BG254" s="4" t="s">
        <v>97</v>
      </c>
      <c r="BH254" s="4" t="s">
        <v>103</v>
      </c>
      <c r="BI254" s="4" t="s">
        <v>115</v>
      </c>
    </row>
    <row r="255" spans="1:61" x14ac:dyDescent="0.35">
      <c r="A255" s="8" t="str">
        <f t="shared" si="22"/>
        <v>Semaine 40-2025</v>
      </c>
      <c r="B255" s="8" t="str">
        <f t="shared" si="18"/>
        <v>2025</v>
      </c>
      <c r="C255" s="2" t="s">
        <v>18</v>
      </c>
      <c r="D255" s="6" t="str">
        <f t="shared" si="19"/>
        <v>Dakar</v>
      </c>
      <c r="E255" s="6">
        <f t="shared" si="20"/>
        <v>419489</v>
      </c>
      <c r="F255" s="6">
        <f t="shared" si="21"/>
        <v>4042240</v>
      </c>
      <c r="G255" s="4" t="s">
        <v>758</v>
      </c>
      <c r="H255" s="4" t="s">
        <v>763</v>
      </c>
      <c r="I255" s="4">
        <v>20</v>
      </c>
      <c r="J255" s="4" t="s">
        <v>114</v>
      </c>
      <c r="K255" s="4"/>
      <c r="L255" s="4"/>
      <c r="M255" s="4"/>
      <c r="N255" s="4"/>
      <c r="O255" s="4" t="s">
        <v>238</v>
      </c>
      <c r="P255" s="4" t="s">
        <v>97</v>
      </c>
      <c r="Q255" s="4" t="s">
        <v>97</v>
      </c>
      <c r="R255" s="14" t="s">
        <v>100</v>
      </c>
      <c r="S255" s="14" t="s">
        <v>100</v>
      </c>
      <c r="T255" s="14" t="s">
        <v>100</v>
      </c>
      <c r="U255" s="8"/>
      <c r="V255" s="14"/>
      <c r="W255" s="14"/>
      <c r="X255" s="14"/>
      <c r="Y255" s="5">
        <v>45932</v>
      </c>
      <c r="Z255" s="5">
        <v>45934</v>
      </c>
      <c r="AA255" s="5" t="s">
        <v>103</v>
      </c>
      <c r="AB255" s="5"/>
      <c r="AC255" s="5" t="s">
        <v>103</v>
      </c>
      <c r="AD255" s="5" t="s">
        <v>97</v>
      </c>
      <c r="AE255" s="5" t="s">
        <v>97</v>
      </c>
      <c r="AF255" s="5" t="s">
        <v>103</v>
      </c>
      <c r="AG255" s="5" t="s">
        <v>103</v>
      </c>
      <c r="AH255" s="5" t="s">
        <v>103</v>
      </c>
      <c r="AI255" s="5">
        <v>45933</v>
      </c>
      <c r="AJ255" s="5" t="s">
        <v>103</v>
      </c>
      <c r="AK255" s="5" t="s">
        <v>97</v>
      </c>
      <c r="AL255" s="5" t="s">
        <v>103</v>
      </c>
      <c r="AM255" s="5" t="s">
        <v>103</v>
      </c>
      <c r="AN255" s="5" t="s">
        <v>103</v>
      </c>
      <c r="AO255" s="5" t="s">
        <v>97</v>
      </c>
      <c r="AP255" s="5" t="s">
        <v>97</v>
      </c>
      <c r="AQ255" s="5" t="s">
        <v>97</v>
      </c>
      <c r="AR255" s="5" t="s">
        <v>103</v>
      </c>
      <c r="AS255" s="5" t="s">
        <v>103</v>
      </c>
      <c r="AT255" s="5"/>
      <c r="AU255" s="5"/>
      <c r="AV255" s="4" t="s">
        <v>103</v>
      </c>
      <c r="AW255" s="4" t="s">
        <v>97</v>
      </c>
      <c r="AX255" s="4" t="s">
        <v>97</v>
      </c>
      <c r="AY255" s="4" t="s">
        <v>97</v>
      </c>
      <c r="AZ255" s="4" t="s">
        <v>103</v>
      </c>
      <c r="BA255" s="4" t="s">
        <v>97</v>
      </c>
      <c r="BB255" s="5">
        <v>45934</v>
      </c>
      <c r="BC255" s="5">
        <v>45936</v>
      </c>
      <c r="BD255" s="5">
        <v>45936</v>
      </c>
      <c r="BE255" s="5">
        <v>45936</v>
      </c>
      <c r="BF255" s="4" t="s">
        <v>98</v>
      </c>
      <c r="BG255" s="4" t="s">
        <v>97</v>
      </c>
      <c r="BH255" s="4" t="s">
        <v>103</v>
      </c>
      <c r="BI255" s="4" t="s">
        <v>115</v>
      </c>
    </row>
    <row r="256" spans="1:61" x14ac:dyDescent="0.35">
      <c r="A256" s="8" t="str">
        <f t="shared" si="22"/>
        <v>Semaine 39-2025</v>
      </c>
      <c r="B256" s="8" t="str">
        <f t="shared" si="18"/>
        <v>2025</v>
      </c>
      <c r="C256" s="2" t="s">
        <v>20</v>
      </c>
      <c r="D256" s="6" t="str">
        <f t="shared" si="19"/>
        <v>Dakar</v>
      </c>
      <c r="E256" s="6">
        <f t="shared" si="20"/>
        <v>272276</v>
      </c>
      <c r="F256" s="6">
        <f t="shared" si="21"/>
        <v>4042240</v>
      </c>
      <c r="G256" s="4" t="s">
        <v>759</v>
      </c>
      <c r="H256" s="4" t="s">
        <v>764</v>
      </c>
      <c r="I256" s="4">
        <v>26</v>
      </c>
      <c r="J256" s="4" t="s">
        <v>96</v>
      </c>
      <c r="K256" s="4"/>
      <c r="L256" s="4"/>
      <c r="M256" s="4"/>
      <c r="N256" s="4"/>
      <c r="O256" s="4" t="s">
        <v>238</v>
      </c>
      <c r="P256" s="4" t="s">
        <v>97</v>
      </c>
      <c r="Q256" s="4" t="s">
        <v>97</v>
      </c>
      <c r="R256" s="14" t="s">
        <v>481</v>
      </c>
      <c r="S256" s="14" t="s">
        <v>100</v>
      </c>
      <c r="T256" s="14" t="s">
        <v>100</v>
      </c>
      <c r="U256" s="8"/>
      <c r="V256" s="14"/>
      <c r="W256" s="14"/>
      <c r="X256" t="s">
        <v>1136</v>
      </c>
      <c r="Y256" s="5">
        <v>45926</v>
      </c>
      <c r="Z256" s="5">
        <v>45933</v>
      </c>
      <c r="AA256" s="5" t="s">
        <v>103</v>
      </c>
      <c r="AB256" s="5"/>
      <c r="AC256" s="5" t="s">
        <v>97</v>
      </c>
      <c r="AD256" s="5" t="s">
        <v>103</v>
      </c>
      <c r="AE256" s="5" t="s">
        <v>97</v>
      </c>
      <c r="AF256" s="5" t="s">
        <v>103</v>
      </c>
      <c r="AG256" s="5" t="s">
        <v>103</v>
      </c>
      <c r="AH256" s="5" t="s">
        <v>103</v>
      </c>
      <c r="AI256" s="5">
        <v>45926</v>
      </c>
      <c r="AJ256" s="5" t="s">
        <v>97</v>
      </c>
      <c r="AK256" s="5" t="s">
        <v>103</v>
      </c>
      <c r="AL256" s="5" t="s">
        <v>103</v>
      </c>
      <c r="AM256" s="5" t="s">
        <v>103</v>
      </c>
      <c r="AN256" s="5" t="s">
        <v>103</v>
      </c>
      <c r="AO256" s="5" t="s">
        <v>97</v>
      </c>
      <c r="AP256" s="5" t="s">
        <v>97</v>
      </c>
      <c r="AQ256" s="5" t="s">
        <v>97</v>
      </c>
      <c r="AR256" s="5" t="s">
        <v>97</v>
      </c>
      <c r="AS256" s="5" t="s">
        <v>103</v>
      </c>
      <c r="AT256" s="5"/>
      <c r="AU256" s="5"/>
      <c r="AV256" s="4" t="s">
        <v>103</v>
      </c>
      <c r="AW256" s="4" t="s">
        <v>97</v>
      </c>
      <c r="AX256" s="4" t="s">
        <v>97</v>
      </c>
      <c r="AY256" s="4" t="s">
        <v>97</v>
      </c>
      <c r="AZ256" s="4" t="s">
        <v>103</v>
      </c>
      <c r="BA256" s="4" t="s">
        <v>97</v>
      </c>
      <c r="BB256" s="5">
        <v>45933</v>
      </c>
      <c r="BC256" s="5">
        <v>45936</v>
      </c>
      <c r="BD256" s="5">
        <v>45936</v>
      </c>
      <c r="BE256" s="5">
        <v>45936</v>
      </c>
      <c r="BF256" s="4" t="s">
        <v>98</v>
      </c>
      <c r="BG256" s="4" t="s">
        <v>97</v>
      </c>
      <c r="BH256" s="4" t="s">
        <v>103</v>
      </c>
      <c r="BI256" s="4" t="s">
        <v>482</v>
      </c>
    </row>
    <row r="257" spans="1:61" x14ac:dyDescent="0.35">
      <c r="A257" s="8" t="str">
        <f t="shared" si="22"/>
        <v>Semaine 40-2025</v>
      </c>
      <c r="B257" s="8" t="str">
        <f t="shared" si="18"/>
        <v>2025</v>
      </c>
      <c r="C257" s="2" t="s">
        <v>19</v>
      </c>
      <c r="D257" s="6" t="str">
        <f t="shared" si="19"/>
        <v>Dakar</v>
      </c>
      <c r="E257" s="6">
        <f t="shared" si="20"/>
        <v>565040</v>
      </c>
      <c r="F257" s="6">
        <f t="shared" si="21"/>
        <v>4042240</v>
      </c>
      <c r="G257" s="4" t="s">
        <v>760</v>
      </c>
      <c r="H257" s="4" t="s">
        <v>765</v>
      </c>
      <c r="I257" s="4">
        <v>6</v>
      </c>
      <c r="J257" s="4" t="s">
        <v>114</v>
      </c>
      <c r="K257" s="4"/>
      <c r="L257" s="4"/>
      <c r="M257" s="4"/>
      <c r="N257" s="4"/>
      <c r="O257" s="4" t="s">
        <v>238</v>
      </c>
      <c r="P257" s="4" t="s">
        <v>97</v>
      </c>
      <c r="Q257" s="4" t="s">
        <v>97</v>
      </c>
      <c r="R257" s="14" t="s">
        <v>100</v>
      </c>
      <c r="S257" s="14" t="s">
        <v>100</v>
      </c>
      <c r="T257" s="14" t="s">
        <v>100</v>
      </c>
      <c r="U257" s="8"/>
      <c r="V257" s="14"/>
      <c r="W257" s="14"/>
      <c r="X257" s="14"/>
      <c r="Y257" s="5">
        <v>45934</v>
      </c>
      <c r="Z257" s="5">
        <v>45934</v>
      </c>
      <c r="AA257" s="5" t="s">
        <v>103</v>
      </c>
      <c r="AB257" s="5" t="s">
        <v>296</v>
      </c>
      <c r="AC257" s="5" t="s">
        <v>103</v>
      </c>
      <c r="AD257" s="5" t="s">
        <v>97</v>
      </c>
      <c r="AE257" s="5" t="s">
        <v>97</v>
      </c>
      <c r="AF257" s="5" t="s">
        <v>103</v>
      </c>
      <c r="AG257" s="5" t="s">
        <v>103</v>
      </c>
      <c r="AH257" s="5" t="s">
        <v>103</v>
      </c>
      <c r="AI257" s="5">
        <v>45934</v>
      </c>
      <c r="AJ257" s="5" t="s">
        <v>103</v>
      </c>
      <c r="AK257" s="5" t="s">
        <v>97</v>
      </c>
      <c r="AL257" s="5" t="s">
        <v>97</v>
      </c>
      <c r="AM257" s="5" t="s">
        <v>103</v>
      </c>
      <c r="AN257" s="5" t="s">
        <v>103</v>
      </c>
      <c r="AO257" s="5" t="s">
        <v>103</v>
      </c>
      <c r="AP257" s="5" t="s">
        <v>103</v>
      </c>
      <c r="AQ257" s="5" t="s">
        <v>103</v>
      </c>
      <c r="AR257" s="5" t="s">
        <v>97</v>
      </c>
      <c r="AS257" s="5" t="s">
        <v>97</v>
      </c>
      <c r="AT257" s="5"/>
      <c r="AU257" s="5"/>
      <c r="AV257" s="4" t="s">
        <v>103</v>
      </c>
      <c r="AW257" s="4" t="s">
        <v>97</v>
      </c>
      <c r="AX257" s="4" t="s">
        <v>97</v>
      </c>
      <c r="AY257" s="4" t="s">
        <v>97</v>
      </c>
      <c r="AZ257" s="4" t="s">
        <v>103</v>
      </c>
      <c r="BA257" s="4" t="s">
        <v>97</v>
      </c>
      <c r="BB257" s="5">
        <v>45934</v>
      </c>
      <c r="BC257" s="5">
        <v>45936</v>
      </c>
      <c r="BD257" s="5">
        <v>45936</v>
      </c>
      <c r="BE257" s="5">
        <v>45936</v>
      </c>
      <c r="BF257" s="4" t="s">
        <v>98</v>
      </c>
      <c r="BG257" s="4" t="s">
        <v>103</v>
      </c>
      <c r="BH257" s="4" t="s">
        <v>103</v>
      </c>
      <c r="BI257" s="4" t="s">
        <v>115</v>
      </c>
    </row>
    <row r="258" spans="1:61" x14ac:dyDescent="0.35">
      <c r="A258" s="8" t="str">
        <f t="shared" si="22"/>
        <v>Semaine 40-2025</v>
      </c>
      <c r="B258" s="8" t="str">
        <f t="shared" si="18"/>
        <v>2025</v>
      </c>
      <c r="C258" s="2" t="s">
        <v>71</v>
      </c>
      <c r="D258" s="6" t="str">
        <f t="shared" si="19"/>
        <v>Thies</v>
      </c>
      <c r="E258" s="6">
        <f t="shared" si="20"/>
        <v>195082</v>
      </c>
      <c r="F258" s="6">
        <f t="shared" si="21"/>
        <v>2280463</v>
      </c>
      <c r="G258" s="4" t="s">
        <v>766</v>
      </c>
      <c r="H258" s="4" t="s">
        <v>769</v>
      </c>
      <c r="I258" s="4">
        <v>18</v>
      </c>
      <c r="J258" s="4" t="s">
        <v>114</v>
      </c>
      <c r="K258" s="4"/>
      <c r="L258" s="4"/>
      <c r="M258" s="4"/>
      <c r="N258" s="4"/>
      <c r="O258" s="4" t="s">
        <v>238</v>
      </c>
      <c r="P258" s="4" t="s">
        <v>97</v>
      </c>
      <c r="Q258" s="4" t="s">
        <v>97</v>
      </c>
      <c r="R258" s="14" t="s">
        <v>100</v>
      </c>
      <c r="S258" s="14" t="s">
        <v>100</v>
      </c>
      <c r="T258" s="14" t="s">
        <v>100</v>
      </c>
      <c r="U258" s="8"/>
      <c r="V258" s="14"/>
      <c r="W258" s="14"/>
      <c r="X258" s="14"/>
      <c r="Y258" s="5">
        <v>45930</v>
      </c>
      <c r="Z258" s="5">
        <v>45933</v>
      </c>
      <c r="AA258" s="5" t="s">
        <v>103</v>
      </c>
      <c r="AB258" s="5"/>
      <c r="AC258" s="5" t="s">
        <v>97</v>
      </c>
      <c r="AD258" s="5" t="s">
        <v>97</v>
      </c>
      <c r="AE258" s="5" t="s">
        <v>97</v>
      </c>
      <c r="AF258" s="5" t="s">
        <v>103</v>
      </c>
      <c r="AG258" s="5" t="s">
        <v>103</v>
      </c>
      <c r="AH258" s="5" t="s">
        <v>103</v>
      </c>
      <c r="AI258" s="5">
        <v>45930</v>
      </c>
      <c r="AJ258" s="5" t="s">
        <v>97</v>
      </c>
      <c r="AK258" s="5" t="s">
        <v>103</v>
      </c>
      <c r="AL258" s="5" t="s">
        <v>97</v>
      </c>
      <c r="AM258" s="5" t="s">
        <v>103</v>
      </c>
      <c r="AN258" s="5" t="s">
        <v>103</v>
      </c>
      <c r="AO258" s="5" t="s">
        <v>103</v>
      </c>
      <c r="AP258" s="5" t="s">
        <v>97</v>
      </c>
      <c r="AQ258" s="5" t="s">
        <v>97</v>
      </c>
      <c r="AR258" s="5" t="s">
        <v>97</v>
      </c>
      <c r="AS258" s="5" t="s">
        <v>103</v>
      </c>
      <c r="AT258" s="5"/>
      <c r="AU258" s="5"/>
      <c r="AV258" s="4" t="s">
        <v>103</v>
      </c>
      <c r="AW258" s="4" t="s">
        <v>97</v>
      </c>
      <c r="AX258" s="4" t="s">
        <v>97</v>
      </c>
      <c r="AY258" s="4" t="s">
        <v>97</v>
      </c>
      <c r="AZ258" s="4" t="s">
        <v>97</v>
      </c>
      <c r="BA258" s="4" t="s">
        <v>97</v>
      </c>
      <c r="BB258" s="5">
        <v>45933</v>
      </c>
      <c r="BC258" s="5">
        <v>45937</v>
      </c>
      <c r="BD258" s="5">
        <v>45937</v>
      </c>
      <c r="BE258" s="5">
        <v>45937</v>
      </c>
      <c r="BF258" s="4" t="s">
        <v>98</v>
      </c>
      <c r="BG258" s="4" t="s">
        <v>97</v>
      </c>
      <c r="BH258" s="4" t="s">
        <v>103</v>
      </c>
      <c r="BI258" s="5" t="s">
        <v>360</v>
      </c>
    </row>
    <row r="259" spans="1:61" x14ac:dyDescent="0.35">
      <c r="A259" s="8" t="str">
        <f t="shared" si="22"/>
        <v>Semaine 40-2025</v>
      </c>
      <c r="B259" s="8" t="str">
        <f t="shared" si="18"/>
        <v>2025</v>
      </c>
      <c r="C259" s="2" t="s">
        <v>71</v>
      </c>
      <c r="D259" s="6" t="str">
        <f t="shared" si="19"/>
        <v>Thies</v>
      </c>
      <c r="E259" s="6">
        <f t="shared" si="20"/>
        <v>195082</v>
      </c>
      <c r="F259" s="6">
        <f t="shared" si="21"/>
        <v>2280463</v>
      </c>
      <c r="G259" s="4" t="s">
        <v>767</v>
      </c>
      <c r="H259" s="4" t="s">
        <v>770</v>
      </c>
      <c r="I259" s="4">
        <v>18</v>
      </c>
      <c r="J259" s="4" t="s">
        <v>114</v>
      </c>
      <c r="K259" s="4"/>
      <c r="L259" s="4"/>
      <c r="M259" s="4"/>
      <c r="N259" s="4"/>
      <c r="O259" s="4" t="s">
        <v>238</v>
      </c>
      <c r="P259" s="4" t="s">
        <v>97</v>
      </c>
      <c r="Q259" s="4" t="s">
        <v>97</v>
      </c>
      <c r="R259" s="14" t="s">
        <v>100</v>
      </c>
      <c r="S259" s="14" t="s">
        <v>100</v>
      </c>
      <c r="T259" s="14" t="s">
        <v>100</v>
      </c>
      <c r="U259" s="8"/>
      <c r="V259" s="14"/>
      <c r="W259" s="14"/>
      <c r="X259" s="14"/>
      <c r="Y259" s="5">
        <v>45933</v>
      </c>
      <c r="Z259" s="5">
        <v>45936</v>
      </c>
      <c r="AA259" s="5" t="s">
        <v>97</v>
      </c>
      <c r="AB259" s="5" t="s">
        <v>578</v>
      </c>
      <c r="AC259" s="5" t="s">
        <v>97</v>
      </c>
      <c r="AD259" s="5" t="s">
        <v>97</v>
      </c>
      <c r="AE259" s="5" t="s">
        <v>97</v>
      </c>
      <c r="AF259" s="5" t="s">
        <v>103</v>
      </c>
      <c r="AG259" s="5" t="s">
        <v>103</v>
      </c>
      <c r="AH259" s="5" t="s">
        <v>103</v>
      </c>
      <c r="AI259" s="5">
        <v>45933</v>
      </c>
      <c r="AJ259" s="5" t="s">
        <v>103</v>
      </c>
      <c r="AK259" s="5" t="s">
        <v>97</v>
      </c>
      <c r="AL259" s="5" t="s">
        <v>97</v>
      </c>
      <c r="AM259" s="5" t="s">
        <v>97</v>
      </c>
      <c r="AN259" s="5" t="s">
        <v>103</v>
      </c>
      <c r="AO259" s="5" t="s">
        <v>97</v>
      </c>
      <c r="AP259" s="5" t="s">
        <v>97</v>
      </c>
      <c r="AQ259" s="5" t="s">
        <v>97</v>
      </c>
      <c r="AR259" s="5" t="s">
        <v>97</v>
      </c>
      <c r="AS259" s="5" t="s">
        <v>97</v>
      </c>
      <c r="AT259" s="5"/>
      <c r="AU259" s="5"/>
      <c r="AV259" s="4" t="s">
        <v>103</v>
      </c>
      <c r="AW259" s="4" t="s">
        <v>103</v>
      </c>
      <c r="AX259" s="4" t="s">
        <v>97</v>
      </c>
      <c r="AY259" s="4" t="s">
        <v>97</v>
      </c>
      <c r="AZ259" s="4" t="s">
        <v>97</v>
      </c>
      <c r="BA259" s="4" t="s">
        <v>97</v>
      </c>
      <c r="BB259" s="5">
        <v>45936</v>
      </c>
      <c r="BC259" s="5">
        <v>45937</v>
      </c>
      <c r="BD259" s="5">
        <v>45937</v>
      </c>
      <c r="BE259" s="5">
        <v>45937</v>
      </c>
      <c r="BF259" s="4" t="s">
        <v>98</v>
      </c>
      <c r="BG259" s="4" t="s">
        <v>97</v>
      </c>
      <c r="BH259" s="4" t="s">
        <v>103</v>
      </c>
      <c r="BI259" s="5" t="s">
        <v>360</v>
      </c>
    </row>
    <row r="260" spans="1:61" x14ac:dyDescent="0.35">
      <c r="A260" s="8" t="str">
        <f t="shared" si="22"/>
        <v>Semaine 40-2025</v>
      </c>
      <c r="B260" s="8" t="str">
        <f t="shared" si="18"/>
        <v>2025</v>
      </c>
      <c r="C260" s="2" t="s">
        <v>71</v>
      </c>
      <c r="D260" s="6" t="str">
        <f t="shared" si="19"/>
        <v>Thies</v>
      </c>
      <c r="E260" s="6">
        <f t="shared" si="20"/>
        <v>195082</v>
      </c>
      <c r="F260" s="6">
        <f t="shared" si="21"/>
        <v>2280463</v>
      </c>
      <c r="G260" s="4" t="s">
        <v>768</v>
      </c>
      <c r="H260" s="4" t="s">
        <v>771</v>
      </c>
      <c r="I260" s="4">
        <v>27</v>
      </c>
      <c r="J260" s="4" t="s">
        <v>96</v>
      </c>
      <c r="K260" s="4"/>
      <c r="L260" s="4"/>
      <c r="M260" s="4"/>
      <c r="N260" s="4"/>
      <c r="O260" s="4" t="s">
        <v>238</v>
      </c>
      <c r="P260" s="4" t="s">
        <v>97</v>
      </c>
      <c r="Q260" s="4" t="s">
        <v>97</v>
      </c>
      <c r="R260" s="14" t="s">
        <v>100</v>
      </c>
      <c r="S260" s="14" t="s">
        <v>100</v>
      </c>
      <c r="T260" s="14" t="s">
        <v>100</v>
      </c>
      <c r="U260" s="8"/>
      <c r="V260" s="14"/>
      <c r="W260" s="14"/>
      <c r="X260" s="14"/>
      <c r="Y260" s="5">
        <v>45933</v>
      </c>
      <c r="Z260" s="5">
        <v>45936</v>
      </c>
      <c r="AA260" s="5" t="s">
        <v>103</v>
      </c>
      <c r="AB260" s="5" t="s">
        <v>387</v>
      </c>
      <c r="AC260" s="5" t="s">
        <v>103</v>
      </c>
      <c r="AD260" s="5" t="s">
        <v>97</v>
      </c>
      <c r="AE260" s="5" t="s">
        <v>97</v>
      </c>
      <c r="AF260" s="5" t="s">
        <v>103</v>
      </c>
      <c r="AG260" s="5" t="s">
        <v>103</v>
      </c>
      <c r="AH260" s="5" t="s">
        <v>103</v>
      </c>
      <c r="AI260" s="5">
        <v>45934</v>
      </c>
      <c r="AJ260" s="5" t="s">
        <v>97</v>
      </c>
      <c r="AK260" s="5" t="s">
        <v>97</v>
      </c>
      <c r="AL260" s="5" t="s">
        <v>97</v>
      </c>
      <c r="AM260" s="5" t="s">
        <v>97</v>
      </c>
      <c r="AN260" s="5" t="s">
        <v>97</v>
      </c>
      <c r="AO260" s="5" t="s">
        <v>103</v>
      </c>
      <c r="AP260" s="5" t="s">
        <v>103</v>
      </c>
      <c r="AQ260" s="5" t="s">
        <v>97</v>
      </c>
      <c r="AR260" s="5" t="s">
        <v>97</v>
      </c>
      <c r="AS260" s="5" t="s">
        <v>97</v>
      </c>
      <c r="AT260" s="5"/>
      <c r="AU260" s="5"/>
      <c r="AV260" s="4" t="s">
        <v>97</v>
      </c>
      <c r="AW260" s="4" t="s">
        <v>97</v>
      </c>
      <c r="AX260" s="4" t="s">
        <v>97</v>
      </c>
      <c r="AY260" s="4" t="s">
        <v>97</v>
      </c>
      <c r="AZ260" s="4" t="s">
        <v>103</v>
      </c>
      <c r="BA260" s="4" t="s">
        <v>97</v>
      </c>
      <c r="BB260" s="5">
        <v>45936</v>
      </c>
      <c r="BC260" s="5">
        <v>45937</v>
      </c>
      <c r="BD260" s="5">
        <v>45937</v>
      </c>
      <c r="BE260" s="5">
        <v>45937</v>
      </c>
      <c r="BF260" s="4" t="s">
        <v>98</v>
      </c>
      <c r="BG260" s="4" t="s">
        <v>97</v>
      </c>
      <c r="BH260" s="4" t="s">
        <v>103</v>
      </c>
      <c r="BI260" s="5" t="s">
        <v>360</v>
      </c>
    </row>
    <row r="261" spans="1:61" x14ac:dyDescent="0.35">
      <c r="A261" s="8" t="str">
        <f t="shared" si="22"/>
        <v>Semaine 39-2025</v>
      </c>
      <c r="B261" s="8" t="str">
        <f t="shared" ref="B261:B323" si="23">RIGHT(A261,4)</f>
        <v>2025</v>
      </c>
      <c r="C261" s="2" t="s">
        <v>44</v>
      </c>
      <c r="D261" s="6" t="str">
        <f t="shared" ref="D261:D323" si="24">IF(C261="","",VLOOKUP(C261,district_region,2,FALSE))</f>
        <v>Louga</v>
      </c>
      <c r="E261" s="6">
        <f t="shared" ref="E261:E323" si="25">IF(C261="","",VLOOKUP(C261,liste_pop,3,FALSE))</f>
        <v>141243</v>
      </c>
      <c r="F261" s="6">
        <f t="shared" ref="F261:F323" si="26">IF(D261="","",IF(D261="Dakar",4042240,VLOOKUP(D261,liste_pop,4,FALSE)))</f>
        <v>1121619</v>
      </c>
      <c r="G261" s="4" t="s">
        <v>772</v>
      </c>
      <c r="H261" s="4" t="s">
        <v>781</v>
      </c>
      <c r="I261" s="4">
        <v>19</v>
      </c>
      <c r="J261" s="4" t="s">
        <v>114</v>
      </c>
      <c r="K261" s="4"/>
      <c r="L261" s="4"/>
      <c r="M261" s="4"/>
      <c r="N261" s="4"/>
      <c r="O261" s="4" t="s">
        <v>238</v>
      </c>
      <c r="P261" s="4" t="s">
        <v>97</v>
      </c>
      <c r="Q261" s="4" t="s">
        <v>97</v>
      </c>
      <c r="R261" s="14" t="s">
        <v>100</v>
      </c>
      <c r="S261" s="14" t="s">
        <v>100</v>
      </c>
      <c r="T261" s="14" t="s">
        <v>100</v>
      </c>
      <c r="U261" s="8"/>
      <c r="V261" s="14"/>
      <c r="W261" s="14"/>
      <c r="X261" s="14"/>
      <c r="Y261" s="5">
        <v>45925</v>
      </c>
      <c r="Z261" s="5">
        <v>45929</v>
      </c>
      <c r="AA261" s="5" t="s">
        <v>103</v>
      </c>
      <c r="AB261" s="5" t="s">
        <v>272</v>
      </c>
      <c r="AC261" s="5" t="s">
        <v>103</v>
      </c>
      <c r="AD261" s="5" t="s">
        <v>97</v>
      </c>
      <c r="AE261" s="5" t="s">
        <v>97</v>
      </c>
      <c r="AF261" s="5" t="s">
        <v>97</v>
      </c>
      <c r="AG261" s="5" t="s">
        <v>97</v>
      </c>
      <c r="AH261" s="5" t="s">
        <v>103</v>
      </c>
      <c r="AI261" s="5">
        <v>45925</v>
      </c>
      <c r="AJ261" s="5" t="s">
        <v>97</v>
      </c>
      <c r="AK261" s="5" t="s">
        <v>97</v>
      </c>
      <c r="AL261" s="5" t="s">
        <v>97</v>
      </c>
      <c r="AM261" s="5" t="s">
        <v>103</v>
      </c>
      <c r="AN261" s="5" t="s">
        <v>103</v>
      </c>
      <c r="AO261" s="5" t="s">
        <v>103</v>
      </c>
      <c r="AP261" s="5" t="s">
        <v>103</v>
      </c>
      <c r="AQ261" s="5" t="s">
        <v>97</v>
      </c>
      <c r="AR261" s="5" t="s">
        <v>97</v>
      </c>
      <c r="AS261" s="5" t="s">
        <v>97</v>
      </c>
      <c r="AT261" s="5"/>
      <c r="AU261" s="5"/>
      <c r="AV261" s="4" t="s">
        <v>103</v>
      </c>
      <c r="AW261" s="4" t="s">
        <v>103</v>
      </c>
      <c r="AX261" s="4" t="s">
        <v>97</v>
      </c>
      <c r="AY261" s="4" t="s">
        <v>97</v>
      </c>
      <c r="AZ261" s="4" t="s">
        <v>97</v>
      </c>
      <c r="BA261" s="4" t="s">
        <v>97</v>
      </c>
      <c r="BB261" s="5">
        <v>45931</v>
      </c>
      <c r="BC261" s="5">
        <v>45933</v>
      </c>
      <c r="BD261" s="5">
        <v>45937</v>
      </c>
      <c r="BE261" s="5">
        <v>45937</v>
      </c>
      <c r="BF261" s="4" t="s">
        <v>98</v>
      </c>
      <c r="BG261" s="4" t="s">
        <v>97</v>
      </c>
      <c r="BH261" s="4" t="s">
        <v>103</v>
      </c>
      <c r="BI261" s="4" t="s">
        <v>115</v>
      </c>
    </row>
    <row r="262" spans="1:61" x14ac:dyDescent="0.35">
      <c r="A262" s="8" t="str">
        <f t="shared" ref="A262:A321" si="27">"Semaine " &amp; _xlfn.ISOWEEKNUM(Y262) &amp; "-" &amp; YEAR(Y262)</f>
        <v>Semaine 39-2025</v>
      </c>
      <c r="B262" s="8" t="str">
        <f t="shared" si="23"/>
        <v>2025</v>
      </c>
      <c r="C262" s="2" t="s">
        <v>44</v>
      </c>
      <c r="D262" s="6" t="str">
        <f t="shared" si="24"/>
        <v>Louga</v>
      </c>
      <c r="E262" s="6">
        <f t="shared" si="25"/>
        <v>141243</v>
      </c>
      <c r="F262" s="6">
        <f t="shared" si="26"/>
        <v>1121619</v>
      </c>
      <c r="G262" s="4" t="s">
        <v>773</v>
      </c>
      <c r="H262" s="4" t="s">
        <v>782</v>
      </c>
      <c r="I262" s="4">
        <v>16</v>
      </c>
      <c r="J262" s="4" t="s">
        <v>114</v>
      </c>
      <c r="K262" s="4"/>
      <c r="L262" s="4"/>
      <c r="M262" s="4"/>
      <c r="N262" s="4"/>
      <c r="O262" s="4" t="s">
        <v>238</v>
      </c>
      <c r="P262" s="4" t="s">
        <v>97</v>
      </c>
      <c r="Q262" s="4" t="s">
        <v>97</v>
      </c>
      <c r="R262" s="14" t="s">
        <v>100</v>
      </c>
      <c r="S262" s="14" t="s">
        <v>100</v>
      </c>
      <c r="T262" s="14" t="s">
        <v>100</v>
      </c>
      <c r="U262" s="8"/>
      <c r="V262" s="14"/>
      <c r="W262" s="14"/>
      <c r="X262" s="14"/>
      <c r="Y262" s="5">
        <v>45923</v>
      </c>
      <c r="Z262" s="5">
        <v>45928</v>
      </c>
      <c r="AA262" s="5" t="s">
        <v>103</v>
      </c>
      <c r="AB262" s="5" t="s">
        <v>272</v>
      </c>
      <c r="AC262" s="5" t="s">
        <v>103</v>
      </c>
      <c r="AD262" s="5" t="s">
        <v>103</v>
      </c>
      <c r="AE262" s="5" t="s">
        <v>97</v>
      </c>
      <c r="AF262" s="5" t="s">
        <v>97</v>
      </c>
      <c r="AG262" s="5" t="s">
        <v>97</v>
      </c>
      <c r="AH262" s="5" t="s">
        <v>103</v>
      </c>
      <c r="AI262" s="5">
        <v>45923</v>
      </c>
      <c r="AJ262" s="5" t="s">
        <v>97</v>
      </c>
      <c r="AK262" s="5" t="s">
        <v>97</v>
      </c>
      <c r="AL262" s="5" t="s">
        <v>97</v>
      </c>
      <c r="AM262" s="5" t="s">
        <v>103</v>
      </c>
      <c r="AN262" s="5" t="s">
        <v>103</v>
      </c>
      <c r="AO262" s="5" t="s">
        <v>103</v>
      </c>
      <c r="AP262" s="5" t="s">
        <v>103</v>
      </c>
      <c r="AQ262" s="5" t="s">
        <v>97</v>
      </c>
      <c r="AR262" s="5" t="s">
        <v>97</v>
      </c>
      <c r="AS262" s="5" t="s">
        <v>97</v>
      </c>
      <c r="AT262" s="5"/>
      <c r="AU262" s="5"/>
      <c r="AV262" s="4" t="s">
        <v>103</v>
      </c>
      <c r="AW262" s="4" t="s">
        <v>103</v>
      </c>
      <c r="AX262" s="4" t="s">
        <v>97</v>
      </c>
      <c r="AY262" s="4" t="s">
        <v>97</v>
      </c>
      <c r="AZ262" s="4" t="s">
        <v>97</v>
      </c>
      <c r="BA262" s="4" t="s">
        <v>97</v>
      </c>
      <c r="BB262" s="5">
        <v>45931</v>
      </c>
      <c r="BC262" s="5">
        <v>45933</v>
      </c>
      <c r="BD262" s="5">
        <v>45937</v>
      </c>
      <c r="BE262" s="5">
        <v>45937</v>
      </c>
      <c r="BF262" s="4" t="s">
        <v>98</v>
      </c>
      <c r="BG262" s="4" t="s">
        <v>97</v>
      </c>
      <c r="BH262" s="4" t="s">
        <v>103</v>
      </c>
      <c r="BI262" s="4" t="s">
        <v>115</v>
      </c>
    </row>
    <row r="263" spans="1:61" x14ac:dyDescent="0.35">
      <c r="A263" s="8" t="str">
        <f t="shared" si="27"/>
        <v>Semaine 40-2025</v>
      </c>
      <c r="B263" s="8" t="str">
        <f t="shared" si="23"/>
        <v>2025</v>
      </c>
      <c r="C263" s="2" t="s">
        <v>75</v>
      </c>
      <c r="D263" s="6" t="str">
        <f t="shared" si="24"/>
        <v>Diourbel</v>
      </c>
      <c r="E263" s="6">
        <f t="shared" si="25"/>
        <v>996481</v>
      </c>
      <c r="F263" s="6">
        <f t="shared" si="26"/>
        <v>1980827</v>
      </c>
      <c r="G263" s="4" t="s">
        <v>774</v>
      </c>
      <c r="H263" s="4" t="s">
        <v>783</v>
      </c>
      <c r="I263" s="4">
        <v>7</v>
      </c>
      <c r="J263" s="4" t="s">
        <v>114</v>
      </c>
      <c r="K263" s="4"/>
      <c r="L263" s="4"/>
      <c r="M263" s="4"/>
      <c r="N263" s="4"/>
      <c r="O263" s="4" t="s">
        <v>238</v>
      </c>
      <c r="P263" s="4" t="s">
        <v>97</v>
      </c>
      <c r="Q263" s="4" t="s">
        <v>103</v>
      </c>
      <c r="R263" s="14" t="s">
        <v>100</v>
      </c>
      <c r="S263" s="14" t="s">
        <v>100</v>
      </c>
      <c r="T263" s="14" t="s">
        <v>100</v>
      </c>
      <c r="U263" s="8"/>
      <c r="V263" s="14"/>
      <c r="W263" s="14"/>
      <c r="X263" s="14"/>
      <c r="Y263" s="5">
        <v>45930</v>
      </c>
      <c r="Z263" s="5">
        <v>45932</v>
      </c>
      <c r="AA263" s="5" t="s">
        <v>103</v>
      </c>
      <c r="AB263" s="5"/>
      <c r="AC263" s="5" t="s">
        <v>103</v>
      </c>
      <c r="AD263" s="5" t="s">
        <v>103</v>
      </c>
      <c r="AE263" s="5" t="s">
        <v>97</v>
      </c>
      <c r="AF263" s="5" t="s">
        <v>97</v>
      </c>
      <c r="AG263" s="5" t="s">
        <v>97</v>
      </c>
      <c r="AH263" s="5" t="s">
        <v>103</v>
      </c>
      <c r="AI263" s="5">
        <v>45930</v>
      </c>
      <c r="AJ263" s="5" t="s">
        <v>97</v>
      </c>
      <c r="AK263" s="5" t="s">
        <v>97</v>
      </c>
      <c r="AL263" s="5" t="s">
        <v>97</v>
      </c>
      <c r="AM263" s="5" t="s">
        <v>103</v>
      </c>
      <c r="AN263" s="5" t="s">
        <v>103</v>
      </c>
      <c r="AO263" s="5" t="s">
        <v>97</v>
      </c>
      <c r="AP263" s="5" t="s">
        <v>97</v>
      </c>
      <c r="AQ263" s="5" t="s">
        <v>97</v>
      </c>
      <c r="AR263" s="5" t="s">
        <v>97</v>
      </c>
      <c r="AS263" s="5" t="s">
        <v>97</v>
      </c>
      <c r="AT263" s="5"/>
      <c r="AU263" s="5"/>
      <c r="AV263" s="4" t="s">
        <v>103</v>
      </c>
      <c r="AW263" s="4" t="s">
        <v>103</v>
      </c>
      <c r="AX263" s="4" t="s">
        <v>97</v>
      </c>
      <c r="AY263" s="4" t="s">
        <v>97</v>
      </c>
      <c r="AZ263" s="4" t="s">
        <v>97</v>
      </c>
      <c r="BA263" s="4" t="s">
        <v>97</v>
      </c>
      <c r="BB263" s="5">
        <v>45932</v>
      </c>
      <c r="BC263" s="5">
        <v>45933</v>
      </c>
      <c r="BD263" s="5">
        <v>45937</v>
      </c>
      <c r="BE263" s="5">
        <v>45937</v>
      </c>
      <c r="BF263" s="4" t="s">
        <v>98</v>
      </c>
      <c r="BG263" s="4" t="s">
        <v>103</v>
      </c>
      <c r="BH263" s="4" t="s">
        <v>103</v>
      </c>
      <c r="BI263" s="4" t="s">
        <v>115</v>
      </c>
    </row>
    <row r="264" spans="1:61" x14ac:dyDescent="0.35">
      <c r="A264" s="8" t="str">
        <f t="shared" si="27"/>
        <v>Semaine 38-2025</v>
      </c>
      <c r="B264" s="8" t="str">
        <f t="shared" si="23"/>
        <v>2025</v>
      </c>
      <c r="C264" s="2" t="s">
        <v>62</v>
      </c>
      <c r="D264" s="6" t="str">
        <f t="shared" si="24"/>
        <v>Matam</v>
      </c>
      <c r="E264" s="6">
        <f t="shared" si="25"/>
        <v>71989</v>
      </c>
      <c r="F264" s="6">
        <f t="shared" si="26"/>
        <v>789215</v>
      </c>
      <c r="G264" s="4" t="s">
        <v>775</v>
      </c>
      <c r="H264" s="4" t="s">
        <v>750</v>
      </c>
      <c r="I264" s="4">
        <v>33</v>
      </c>
      <c r="J264" s="4" t="s">
        <v>114</v>
      </c>
      <c r="K264" s="4"/>
      <c r="L264" s="4"/>
      <c r="M264" s="4"/>
      <c r="N264" s="4"/>
      <c r="O264" s="4" t="s">
        <v>238</v>
      </c>
      <c r="P264" s="4" t="s">
        <v>97</v>
      </c>
      <c r="Q264" s="4" t="s">
        <v>97</v>
      </c>
      <c r="R264" s="14" t="s">
        <v>100</v>
      </c>
      <c r="S264" s="14" t="s">
        <v>100</v>
      </c>
      <c r="T264" s="14" t="s">
        <v>100</v>
      </c>
      <c r="U264" s="8"/>
      <c r="V264" s="14"/>
      <c r="W264" s="14"/>
      <c r="X264" s="14"/>
      <c r="Y264" s="5">
        <v>45920</v>
      </c>
      <c r="Z264" s="5">
        <v>45934</v>
      </c>
      <c r="AA264" s="5" t="s">
        <v>103</v>
      </c>
      <c r="AB264" s="5"/>
      <c r="AC264" s="5" t="s">
        <v>103</v>
      </c>
      <c r="AD264" s="5" t="s">
        <v>103</v>
      </c>
      <c r="AE264" s="5" t="s">
        <v>103</v>
      </c>
      <c r="AF264" s="5" t="s">
        <v>103</v>
      </c>
      <c r="AG264" s="5" t="s">
        <v>103</v>
      </c>
      <c r="AH264" s="5" t="s">
        <v>103</v>
      </c>
      <c r="AI264" s="5">
        <v>45923</v>
      </c>
      <c r="AJ264" s="5" t="s">
        <v>103</v>
      </c>
      <c r="AK264" s="5" t="s">
        <v>103</v>
      </c>
      <c r="AL264" s="5" t="s">
        <v>103</v>
      </c>
      <c r="AM264" s="5" t="s">
        <v>103</v>
      </c>
      <c r="AN264" s="5" t="s">
        <v>97</v>
      </c>
      <c r="AO264" s="5" t="s">
        <v>103</v>
      </c>
      <c r="AP264" s="5" t="s">
        <v>103</v>
      </c>
      <c r="AQ264" s="5" t="s">
        <v>103</v>
      </c>
      <c r="AR264" s="5" t="s">
        <v>103</v>
      </c>
      <c r="AS264" s="5" t="s">
        <v>103</v>
      </c>
      <c r="AT264" s="5"/>
      <c r="AU264" s="5"/>
      <c r="AV264" s="4" t="s">
        <v>103</v>
      </c>
      <c r="AW264" s="4" t="s">
        <v>103</v>
      </c>
      <c r="AX264" s="4" t="s">
        <v>97</v>
      </c>
      <c r="AY264" s="4" t="s">
        <v>97</v>
      </c>
      <c r="AZ264" s="4" t="s">
        <v>103</v>
      </c>
      <c r="BA264" s="4" t="s">
        <v>97</v>
      </c>
      <c r="BB264" s="5">
        <v>45936</v>
      </c>
      <c r="BC264" s="5">
        <v>45937</v>
      </c>
      <c r="BD264" s="5">
        <v>45937</v>
      </c>
      <c r="BE264" s="5">
        <v>45937</v>
      </c>
      <c r="BF264" s="4" t="s">
        <v>98</v>
      </c>
      <c r="BG264" s="4" t="s">
        <v>97</v>
      </c>
      <c r="BH264" s="4" t="s">
        <v>103</v>
      </c>
      <c r="BI264" s="4" t="s">
        <v>115</v>
      </c>
    </row>
    <row r="265" spans="1:61" x14ac:dyDescent="0.35">
      <c r="A265" s="8" t="str">
        <f t="shared" si="27"/>
        <v>Semaine 40-2025</v>
      </c>
      <c r="B265" s="8" t="str">
        <f t="shared" si="23"/>
        <v>2025</v>
      </c>
      <c r="C265" s="2" t="s">
        <v>39</v>
      </c>
      <c r="D265" s="6" t="str">
        <f t="shared" si="24"/>
        <v>Thies</v>
      </c>
      <c r="E265" s="6">
        <f t="shared" si="25"/>
        <v>177609</v>
      </c>
      <c r="F265" s="6">
        <f t="shared" si="26"/>
        <v>2280463</v>
      </c>
      <c r="G265" s="4" t="s">
        <v>784</v>
      </c>
      <c r="H265" s="4" t="s">
        <v>785</v>
      </c>
      <c r="I265" s="4">
        <v>5</v>
      </c>
      <c r="J265" s="4" t="s">
        <v>114</v>
      </c>
      <c r="K265" s="4"/>
      <c r="L265" s="4"/>
      <c r="M265" s="4"/>
      <c r="N265" s="4"/>
      <c r="O265" s="4" t="s">
        <v>238</v>
      </c>
      <c r="P265" s="4" t="s">
        <v>97</v>
      </c>
      <c r="Q265" s="4" t="s">
        <v>97</v>
      </c>
      <c r="R265" s="14" t="s">
        <v>100</v>
      </c>
      <c r="S265" s="14" t="s">
        <v>100</v>
      </c>
      <c r="T265" s="14" t="s">
        <v>100</v>
      </c>
      <c r="U265" s="8"/>
      <c r="V265" s="14"/>
      <c r="W265" s="14"/>
      <c r="X265" s="14"/>
      <c r="Y265" s="5">
        <v>45934</v>
      </c>
      <c r="Z265" s="5">
        <v>45937</v>
      </c>
      <c r="AA265" s="5" t="s">
        <v>97</v>
      </c>
      <c r="AB265" s="5" t="s">
        <v>396</v>
      </c>
      <c r="AC265" s="5" t="s">
        <v>97</v>
      </c>
      <c r="AD265" s="5" t="s">
        <v>97</v>
      </c>
      <c r="AE265" s="5" t="s">
        <v>97</v>
      </c>
      <c r="AF265" s="5" t="s">
        <v>97</v>
      </c>
      <c r="AG265" s="5" t="s">
        <v>97</v>
      </c>
      <c r="AH265" s="5" t="s">
        <v>103</v>
      </c>
      <c r="AI265" s="5">
        <v>45934</v>
      </c>
      <c r="AJ265" s="5" t="s">
        <v>103</v>
      </c>
      <c r="AK265" s="5" t="s">
        <v>97</v>
      </c>
      <c r="AL265" s="5" t="s">
        <v>103</v>
      </c>
      <c r="AM265" s="5" t="s">
        <v>97</v>
      </c>
      <c r="AN265" s="5" t="s">
        <v>103</v>
      </c>
      <c r="AO265" s="5" t="s">
        <v>97</v>
      </c>
      <c r="AP265" s="5" t="s">
        <v>97</v>
      </c>
      <c r="AQ265" s="5" t="s">
        <v>97</v>
      </c>
      <c r="AR265" s="5" t="s">
        <v>97</v>
      </c>
      <c r="AS265" s="5" t="s">
        <v>97</v>
      </c>
      <c r="AT265" s="5"/>
      <c r="AU265" s="5"/>
      <c r="AV265" s="4" t="s">
        <v>103</v>
      </c>
      <c r="AW265" s="4" t="s">
        <v>103</v>
      </c>
      <c r="AX265" s="4" t="s">
        <v>97</v>
      </c>
      <c r="AY265" s="4" t="s">
        <v>97</v>
      </c>
      <c r="AZ265" s="4" t="s">
        <v>103</v>
      </c>
      <c r="BA265" s="4" t="s">
        <v>97</v>
      </c>
      <c r="BB265" s="5">
        <v>45937</v>
      </c>
      <c r="BC265" s="5">
        <v>45938</v>
      </c>
      <c r="BD265" s="5">
        <v>45938</v>
      </c>
      <c r="BE265" s="5">
        <v>45938</v>
      </c>
      <c r="BF265" s="4" t="s">
        <v>98</v>
      </c>
      <c r="BG265" s="4" t="s">
        <v>97</v>
      </c>
      <c r="BH265" s="4" t="s">
        <v>103</v>
      </c>
      <c r="BI265" s="4" t="s">
        <v>115</v>
      </c>
    </row>
    <row r="266" spans="1:61" x14ac:dyDescent="0.35">
      <c r="A266" s="8" t="str">
        <f t="shared" si="27"/>
        <v>Semaine 40-2025</v>
      </c>
      <c r="B266" s="8" t="str">
        <f t="shared" si="23"/>
        <v>2025</v>
      </c>
      <c r="C266" s="2" t="s">
        <v>26</v>
      </c>
      <c r="D266" s="6" t="str">
        <f t="shared" si="24"/>
        <v>Diourbel</v>
      </c>
      <c r="E266" s="6">
        <f t="shared" si="25"/>
        <v>354792</v>
      </c>
      <c r="F266" s="6">
        <f t="shared" si="26"/>
        <v>1980827</v>
      </c>
      <c r="G266" s="4" t="s">
        <v>776</v>
      </c>
      <c r="H266" s="4" t="s">
        <v>789</v>
      </c>
      <c r="I266" s="4">
        <v>40</v>
      </c>
      <c r="J266" s="4" t="s">
        <v>96</v>
      </c>
      <c r="K266" s="4"/>
      <c r="L266" s="4"/>
      <c r="M266" s="4"/>
      <c r="N266" s="4"/>
      <c r="O266" s="4" t="s">
        <v>238</v>
      </c>
      <c r="P266" s="4" t="s">
        <v>97</v>
      </c>
      <c r="Q266" s="4" t="s">
        <v>97</v>
      </c>
      <c r="R266" s="14" t="s">
        <v>100</v>
      </c>
      <c r="S266" s="14" t="s">
        <v>100</v>
      </c>
      <c r="T266" s="14" t="s">
        <v>100</v>
      </c>
      <c r="U266" s="8"/>
      <c r="V266" s="14"/>
      <c r="W266" s="14"/>
      <c r="X266" s="14"/>
      <c r="Y266" s="5">
        <v>45929</v>
      </c>
      <c r="Z266" s="5">
        <v>45937</v>
      </c>
      <c r="AA266" s="5" t="s">
        <v>97</v>
      </c>
      <c r="AB266" s="5"/>
      <c r="AC266" s="5" t="s">
        <v>97</v>
      </c>
      <c r="AD266" s="5" t="s">
        <v>97</v>
      </c>
      <c r="AE266" s="5" t="s">
        <v>97</v>
      </c>
      <c r="AF266" s="5" t="s">
        <v>97</v>
      </c>
      <c r="AG266" s="5" t="s">
        <v>97</v>
      </c>
      <c r="AH266" s="5" t="s">
        <v>103</v>
      </c>
      <c r="AI266" s="5">
        <v>45929</v>
      </c>
      <c r="AJ266" s="5" t="s">
        <v>97</v>
      </c>
      <c r="AK266" s="5" t="s">
        <v>97</v>
      </c>
      <c r="AL266" s="5" t="s">
        <v>97</v>
      </c>
      <c r="AM266" s="5" t="s">
        <v>97</v>
      </c>
      <c r="AN266" s="5" t="s">
        <v>97</v>
      </c>
      <c r="AO266" s="5" t="s">
        <v>97</v>
      </c>
      <c r="AP266" s="5" t="s">
        <v>97</v>
      </c>
      <c r="AQ266" s="5" t="s">
        <v>97</v>
      </c>
      <c r="AR266" s="5" t="s">
        <v>97</v>
      </c>
      <c r="AS266" s="5" t="s">
        <v>97</v>
      </c>
      <c r="AT266" s="5" t="s">
        <v>409</v>
      </c>
      <c r="AU266" s="5"/>
      <c r="AV266" s="4" t="s">
        <v>97</v>
      </c>
      <c r="AW266" s="4" t="s">
        <v>97</v>
      </c>
      <c r="AX266" s="4" t="s">
        <v>97</v>
      </c>
      <c r="AY266" s="4" t="s">
        <v>97</v>
      </c>
      <c r="AZ266" s="4" t="s">
        <v>103</v>
      </c>
      <c r="BA266" s="4" t="s">
        <v>97</v>
      </c>
      <c r="BB266" s="5">
        <v>45937</v>
      </c>
      <c r="BC266" s="5">
        <v>45939</v>
      </c>
      <c r="BD266" s="5">
        <v>45939</v>
      </c>
      <c r="BE266" s="5">
        <v>45939</v>
      </c>
      <c r="BF266" s="4" t="s">
        <v>98</v>
      </c>
      <c r="BG266" s="4" t="s">
        <v>97</v>
      </c>
      <c r="BH266" s="4" t="s">
        <v>103</v>
      </c>
      <c r="BI266" s="4" t="s">
        <v>744</v>
      </c>
    </row>
    <row r="267" spans="1:61" x14ac:dyDescent="0.35">
      <c r="A267" s="8" t="str">
        <f t="shared" si="27"/>
        <v>Semaine 40-2025</v>
      </c>
      <c r="B267" s="8" t="str">
        <f t="shared" si="23"/>
        <v>2025</v>
      </c>
      <c r="C267" s="2" t="s">
        <v>31</v>
      </c>
      <c r="D267" s="6" t="str">
        <f t="shared" si="24"/>
        <v>Dakar</v>
      </c>
      <c r="E267" s="6">
        <f t="shared" si="25"/>
        <v>424760</v>
      </c>
      <c r="F267" s="6">
        <f t="shared" si="26"/>
        <v>4042240</v>
      </c>
      <c r="G267" s="4" t="s">
        <v>777</v>
      </c>
      <c r="H267" s="4" t="s">
        <v>786</v>
      </c>
      <c r="I267" s="4">
        <v>17</v>
      </c>
      <c r="J267" s="4" t="s">
        <v>114</v>
      </c>
      <c r="K267" s="4"/>
      <c r="L267" s="4"/>
      <c r="M267" s="4"/>
      <c r="N267" s="4"/>
      <c r="O267" s="4" t="s">
        <v>238</v>
      </c>
      <c r="P267" s="4" t="s">
        <v>97</v>
      </c>
      <c r="Q267" s="4" t="s">
        <v>97</v>
      </c>
      <c r="R267" s="14" t="s">
        <v>100</v>
      </c>
      <c r="S267" s="14" t="s">
        <v>100</v>
      </c>
      <c r="T267" s="14" t="s">
        <v>100</v>
      </c>
      <c r="U267" s="8"/>
      <c r="V267" s="14"/>
      <c r="W267" s="14"/>
      <c r="X267" s="14"/>
      <c r="Y267" s="5">
        <v>45934</v>
      </c>
      <c r="Z267" s="5">
        <v>45936</v>
      </c>
      <c r="AA267" s="5" t="s">
        <v>97</v>
      </c>
      <c r="AB267" s="5" t="s">
        <v>787</v>
      </c>
      <c r="AC267" s="5" t="s">
        <v>97</v>
      </c>
      <c r="AD267" s="5" t="s">
        <v>97</v>
      </c>
      <c r="AE267" s="5" t="s">
        <v>97</v>
      </c>
      <c r="AF267" s="5" t="s">
        <v>97</v>
      </c>
      <c r="AG267" s="5" t="s">
        <v>97</v>
      </c>
      <c r="AH267" s="5" t="s">
        <v>103</v>
      </c>
      <c r="AI267" s="5">
        <v>45934</v>
      </c>
      <c r="AJ267" s="5" t="s">
        <v>97</v>
      </c>
      <c r="AK267" s="5" t="s">
        <v>97</v>
      </c>
      <c r="AL267" s="5" t="s">
        <v>103</v>
      </c>
      <c r="AM267" s="5" t="s">
        <v>103</v>
      </c>
      <c r="AN267" s="5" t="s">
        <v>97</v>
      </c>
      <c r="AO267" s="5" t="s">
        <v>97</v>
      </c>
      <c r="AP267" s="5" t="s">
        <v>97</v>
      </c>
      <c r="AQ267" s="5" t="s">
        <v>97</v>
      </c>
      <c r="AR267" s="5" t="s">
        <v>97</v>
      </c>
      <c r="AS267" s="5" t="s">
        <v>97</v>
      </c>
      <c r="AT267" s="5"/>
      <c r="AU267" s="5"/>
      <c r="AV267" s="4" t="s">
        <v>103</v>
      </c>
      <c r="AW267" s="4" t="s">
        <v>97</v>
      </c>
      <c r="AX267" s="4" t="s">
        <v>97</v>
      </c>
      <c r="AY267" s="4" t="s">
        <v>97</v>
      </c>
      <c r="AZ267" s="4" t="s">
        <v>103</v>
      </c>
      <c r="BA267" s="4" t="s">
        <v>97</v>
      </c>
      <c r="BB267" s="5">
        <v>45936</v>
      </c>
      <c r="BC267" s="5">
        <v>45936</v>
      </c>
      <c r="BD267" s="5">
        <v>45936</v>
      </c>
      <c r="BE267" s="5">
        <v>45937</v>
      </c>
      <c r="BF267" s="4" t="s">
        <v>98</v>
      </c>
      <c r="BG267" s="4" t="s">
        <v>97</v>
      </c>
      <c r="BH267" s="4" t="s">
        <v>103</v>
      </c>
      <c r="BI267" s="4" t="s">
        <v>115</v>
      </c>
    </row>
    <row r="268" spans="1:61" x14ac:dyDescent="0.35">
      <c r="A268" s="8" t="str">
        <f t="shared" si="27"/>
        <v>Semaine 38-2025</v>
      </c>
      <c r="B268" s="8" t="str">
        <f t="shared" si="23"/>
        <v>2025</v>
      </c>
      <c r="C268" s="2" t="s">
        <v>20</v>
      </c>
      <c r="D268" s="6" t="str">
        <f t="shared" si="24"/>
        <v>Dakar</v>
      </c>
      <c r="E268" s="6">
        <f t="shared" si="25"/>
        <v>272276</v>
      </c>
      <c r="F268" s="6">
        <f t="shared" si="26"/>
        <v>4042240</v>
      </c>
      <c r="G268" s="4" t="s">
        <v>778</v>
      </c>
      <c r="H268" s="4" t="s">
        <v>788</v>
      </c>
      <c r="I268" s="4">
        <v>36</v>
      </c>
      <c r="J268" s="4" t="s">
        <v>114</v>
      </c>
      <c r="K268" s="4"/>
      <c r="L268" s="4"/>
      <c r="M268" s="4"/>
      <c r="N268" s="4"/>
      <c r="O268" s="4" t="s">
        <v>238</v>
      </c>
      <c r="P268" s="4" t="s">
        <v>103</v>
      </c>
      <c r="Q268" s="4" t="s">
        <v>97</v>
      </c>
      <c r="R268" s="14" t="s">
        <v>100</v>
      </c>
      <c r="S268" s="14" t="s">
        <v>481</v>
      </c>
      <c r="T268" s="14" t="s">
        <v>481</v>
      </c>
      <c r="U268" s="8"/>
      <c r="V268" s="14"/>
      <c r="W268" s="14"/>
      <c r="X268" s="14"/>
      <c r="Y268" s="5">
        <v>45915</v>
      </c>
      <c r="Z268" s="5">
        <v>45937</v>
      </c>
      <c r="AA268" s="5" t="s">
        <v>103</v>
      </c>
      <c r="AB268" s="5"/>
      <c r="AC268" s="5" t="s">
        <v>97</v>
      </c>
      <c r="AD268" s="5" t="s">
        <v>97</v>
      </c>
      <c r="AE268" s="5" t="s">
        <v>97</v>
      </c>
      <c r="AF268" s="5" t="s">
        <v>97</v>
      </c>
      <c r="AG268" s="5" t="s">
        <v>103</v>
      </c>
      <c r="AH268" s="5" t="s">
        <v>103</v>
      </c>
      <c r="AI268" s="5">
        <v>45920</v>
      </c>
      <c r="AJ268" s="5" t="s">
        <v>97</v>
      </c>
      <c r="AK268" s="5" t="s">
        <v>97</v>
      </c>
      <c r="AL268" s="5" t="s">
        <v>97</v>
      </c>
      <c r="AM268" s="5" t="s">
        <v>97</v>
      </c>
      <c r="AN268" s="5" t="s">
        <v>103</v>
      </c>
      <c r="AO268" s="5" t="s">
        <v>97</v>
      </c>
      <c r="AP268" s="5" t="s">
        <v>103</v>
      </c>
      <c r="AQ268" s="5" t="s">
        <v>97</v>
      </c>
      <c r="AR268" s="5" t="s">
        <v>97</v>
      </c>
      <c r="AS268" s="5" t="s">
        <v>97</v>
      </c>
      <c r="AT268" s="5"/>
      <c r="AU268" s="5"/>
      <c r="AV268" s="4" t="s">
        <v>97</v>
      </c>
      <c r="AW268" s="4" t="s">
        <v>97</v>
      </c>
      <c r="AX268" s="4" t="s">
        <v>103</v>
      </c>
      <c r="AY268" s="4" t="s">
        <v>97</v>
      </c>
      <c r="AZ268" s="4" t="s">
        <v>103</v>
      </c>
      <c r="BA268" s="4" t="s">
        <v>103</v>
      </c>
      <c r="BB268" s="5">
        <v>45937</v>
      </c>
      <c r="BC268" s="5">
        <v>45938</v>
      </c>
      <c r="BD268" s="5">
        <v>45939</v>
      </c>
      <c r="BE268" s="5">
        <v>45940</v>
      </c>
      <c r="BF268" s="4" t="s">
        <v>98</v>
      </c>
      <c r="BG268" s="4" t="s">
        <v>97</v>
      </c>
      <c r="BH268" s="4" t="s">
        <v>103</v>
      </c>
      <c r="BI268" s="4" t="s">
        <v>482</v>
      </c>
    </row>
    <row r="269" spans="1:61" x14ac:dyDescent="0.35">
      <c r="A269" s="8" t="str">
        <f t="shared" si="27"/>
        <v>Semaine 39-2025</v>
      </c>
      <c r="B269" s="8" t="str">
        <f t="shared" si="23"/>
        <v>2025</v>
      </c>
      <c r="C269" s="2" t="s">
        <v>20</v>
      </c>
      <c r="D269" s="6" t="str">
        <f t="shared" si="24"/>
        <v>Dakar</v>
      </c>
      <c r="E269" s="6">
        <f t="shared" si="25"/>
        <v>272276</v>
      </c>
      <c r="F269" s="6">
        <f t="shared" si="26"/>
        <v>4042240</v>
      </c>
      <c r="G269" s="4" t="s">
        <v>779</v>
      </c>
      <c r="H269" s="4" t="s">
        <v>790</v>
      </c>
      <c r="I269" s="4">
        <v>14</v>
      </c>
      <c r="J269" s="4" t="s">
        <v>96</v>
      </c>
      <c r="K269" s="4" t="s">
        <v>256</v>
      </c>
      <c r="L269" s="5">
        <v>45931</v>
      </c>
      <c r="M269" s="4"/>
      <c r="N269" s="4"/>
      <c r="O269" s="4" t="s">
        <v>238</v>
      </c>
      <c r="P269" s="4" t="s">
        <v>97</v>
      </c>
      <c r="Q269" s="4" t="s">
        <v>97</v>
      </c>
      <c r="R269" s="14" t="s">
        <v>100</v>
      </c>
      <c r="S269" s="14" t="s">
        <v>100</v>
      </c>
      <c r="T269" s="14" t="s">
        <v>100</v>
      </c>
      <c r="U269" s="8"/>
      <c r="V269" s="14"/>
      <c r="W269" s="14"/>
      <c r="X269" s="14"/>
      <c r="Y269" s="5">
        <v>45923</v>
      </c>
      <c r="Z269" s="5">
        <v>45937</v>
      </c>
      <c r="AA269" s="5" t="s">
        <v>97</v>
      </c>
      <c r="AB269" s="5"/>
      <c r="AC269" s="5" t="s">
        <v>103</v>
      </c>
      <c r="AD269" s="5" t="s">
        <v>97</v>
      </c>
      <c r="AE269" s="5" t="s">
        <v>97</v>
      </c>
      <c r="AF269" s="5" t="s">
        <v>103</v>
      </c>
      <c r="AG269" s="5" t="s">
        <v>103</v>
      </c>
      <c r="AH269" s="5" t="s">
        <v>103</v>
      </c>
      <c r="AI269" s="5">
        <v>45931</v>
      </c>
      <c r="AJ269" s="5" t="s">
        <v>103</v>
      </c>
      <c r="AK269" s="5" t="s">
        <v>97</v>
      </c>
      <c r="AL269" s="5" t="s">
        <v>103</v>
      </c>
      <c r="AM269" s="5" t="s">
        <v>97</v>
      </c>
      <c r="AN269" s="5" t="s">
        <v>103</v>
      </c>
      <c r="AO269" s="5" t="s">
        <v>97</v>
      </c>
      <c r="AP269" s="5" t="s">
        <v>97</v>
      </c>
      <c r="AQ269" s="5" t="s">
        <v>97</v>
      </c>
      <c r="AR269" s="5" t="s">
        <v>97</v>
      </c>
      <c r="AS269" s="5" t="s">
        <v>97</v>
      </c>
      <c r="AT269" s="5"/>
      <c r="AU269" s="5"/>
      <c r="AV269" s="4" t="s">
        <v>103</v>
      </c>
      <c r="AW269" s="4" t="s">
        <v>97</v>
      </c>
      <c r="AX269" s="4" t="s">
        <v>97</v>
      </c>
      <c r="AY269" s="4" t="s">
        <v>97</v>
      </c>
      <c r="AZ269" s="4" t="s">
        <v>103</v>
      </c>
      <c r="BA269" s="4" t="s">
        <v>97</v>
      </c>
      <c r="BB269" s="5">
        <v>45938</v>
      </c>
      <c r="BC269" s="5">
        <v>45938</v>
      </c>
      <c r="BD269" s="5">
        <v>45939</v>
      </c>
      <c r="BE269" s="5">
        <v>45939</v>
      </c>
      <c r="BF269" s="4" t="s">
        <v>98</v>
      </c>
      <c r="BG269" s="4" t="s">
        <v>103</v>
      </c>
      <c r="BH269" s="4" t="s">
        <v>103</v>
      </c>
      <c r="BI269" s="4" t="s">
        <v>115</v>
      </c>
    </row>
    <row r="270" spans="1:61" x14ac:dyDescent="0.35">
      <c r="A270" s="8" t="str">
        <f t="shared" si="27"/>
        <v>Semaine 38-2025</v>
      </c>
      <c r="B270" s="8" t="str">
        <f t="shared" si="23"/>
        <v>2025</v>
      </c>
      <c r="C270" s="2" t="s">
        <v>52</v>
      </c>
      <c r="D270" s="6" t="str">
        <f t="shared" si="24"/>
        <v>Kaolack</v>
      </c>
      <c r="E270" s="6">
        <f t="shared" si="25"/>
        <v>231613</v>
      </c>
      <c r="F270" s="6">
        <f t="shared" si="26"/>
        <v>1267013</v>
      </c>
      <c r="G270" s="4" t="s">
        <v>780</v>
      </c>
      <c r="H270" s="4" t="s">
        <v>791</v>
      </c>
      <c r="I270" s="4">
        <v>60</v>
      </c>
      <c r="J270" s="4" t="s">
        <v>96</v>
      </c>
      <c r="K270" s="4"/>
      <c r="L270" s="4"/>
      <c r="M270" s="4"/>
      <c r="N270" s="4"/>
      <c r="O270" s="4" t="s">
        <v>238</v>
      </c>
      <c r="P270" s="4" t="s">
        <v>97</v>
      </c>
      <c r="Q270" s="4" t="s">
        <v>97</v>
      </c>
      <c r="R270" s="14" t="s">
        <v>100</v>
      </c>
      <c r="S270" s="14" t="s">
        <v>100</v>
      </c>
      <c r="T270" s="14" t="s">
        <v>100</v>
      </c>
      <c r="U270" s="8"/>
      <c r="V270" s="14"/>
      <c r="W270" s="14"/>
      <c r="X270" s="14"/>
      <c r="Y270" s="5">
        <v>45920</v>
      </c>
      <c r="Z270" s="5">
        <v>45924</v>
      </c>
      <c r="AA270" s="5" t="s">
        <v>97</v>
      </c>
      <c r="AB270" s="5" t="s">
        <v>396</v>
      </c>
      <c r="AC270" s="5" t="s">
        <v>103</v>
      </c>
      <c r="AD270" s="5" t="s">
        <v>97</v>
      </c>
      <c r="AE270" s="5" t="s">
        <v>97</v>
      </c>
      <c r="AF270" s="5" t="s">
        <v>103</v>
      </c>
      <c r="AG270" s="5" t="s">
        <v>103</v>
      </c>
      <c r="AH270" s="5" t="s">
        <v>103</v>
      </c>
      <c r="AI270" s="5">
        <v>45920</v>
      </c>
      <c r="AJ270" s="5" t="s">
        <v>103</v>
      </c>
      <c r="AK270" s="5" t="s">
        <v>103</v>
      </c>
      <c r="AL270" s="5" t="s">
        <v>97</v>
      </c>
      <c r="AM270" s="5" t="s">
        <v>103</v>
      </c>
      <c r="AN270" s="5" t="s">
        <v>103</v>
      </c>
      <c r="AO270" s="5" t="s">
        <v>103</v>
      </c>
      <c r="AP270" s="5" t="s">
        <v>103</v>
      </c>
      <c r="AQ270" s="5" t="s">
        <v>103</v>
      </c>
      <c r="AR270" s="5" t="s">
        <v>103</v>
      </c>
      <c r="AS270" s="5" t="s">
        <v>103</v>
      </c>
      <c r="AT270" s="5"/>
      <c r="AU270" s="5"/>
      <c r="AV270" s="4" t="s">
        <v>103</v>
      </c>
      <c r="AW270" s="4" t="s">
        <v>103</v>
      </c>
      <c r="AX270" s="4" t="s">
        <v>97</v>
      </c>
      <c r="AY270" s="4" t="s">
        <v>97</v>
      </c>
      <c r="AZ270" s="4" t="s">
        <v>103</v>
      </c>
      <c r="BA270" s="4" t="s">
        <v>97</v>
      </c>
      <c r="BB270" s="5">
        <v>45937</v>
      </c>
      <c r="BC270" s="5">
        <v>45938</v>
      </c>
      <c r="BD270" s="5">
        <v>45939</v>
      </c>
      <c r="BE270" s="5">
        <v>45939</v>
      </c>
      <c r="BF270" s="4" t="s">
        <v>98</v>
      </c>
      <c r="BG270" s="4" t="s">
        <v>97</v>
      </c>
      <c r="BH270" s="4" t="s">
        <v>103</v>
      </c>
      <c r="BI270" s="4" t="s">
        <v>115</v>
      </c>
    </row>
    <row r="271" spans="1:61" x14ac:dyDescent="0.35">
      <c r="A271" s="8" t="str">
        <f t="shared" si="27"/>
        <v>Semaine 39-2025</v>
      </c>
      <c r="B271" s="8" t="str">
        <f t="shared" si="23"/>
        <v>2025</v>
      </c>
      <c r="C271" s="2" t="s">
        <v>74</v>
      </c>
      <c r="D271" s="6" t="str">
        <f t="shared" si="24"/>
        <v>Thies</v>
      </c>
      <c r="E271" s="6">
        <f t="shared" si="25"/>
        <v>374824</v>
      </c>
      <c r="F271" s="6">
        <f t="shared" si="26"/>
        <v>2280463</v>
      </c>
      <c r="G271" s="4" t="s">
        <v>792</v>
      </c>
      <c r="H271" s="4" t="s">
        <v>793</v>
      </c>
      <c r="I271" s="4">
        <v>6</v>
      </c>
      <c r="J271" s="4" t="s">
        <v>114</v>
      </c>
      <c r="K271" s="4"/>
      <c r="L271" s="4"/>
      <c r="M271" s="4"/>
      <c r="N271" s="4"/>
      <c r="O271" s="4" t="s">
        <v>238</v>
      </c>
      <c r="P271" s="4" t="s">
        <v>97</v>
      </c>
      <c r="Q271" s="4" t="s">
        <v>103</v>
      </c>
      <c r="R271" s="14" t="s">
        <v>100</v>
      </c>
      <c r="S271" s="14" t="s">
        <v>100</v>
      </c>
      <c r="T271" s="14" t="s">
        <v>100</v>
      </c>
      <c r="U271" s="8"/>
      <c r="V271" s="14"/>
      <c r="W271" s="14"/>
      <c r="X271" s="14"/>
      <c r="Y271" s="5">
        <v>45928</v>
      </c>
      <c r="Z271" s="5">
        <v>45930</v>
      </c>
      <c r="AA271" s="5" t="s">
        <v>97</v>
      </c>
      <c r="AB271" s="5" t="s">
        <v>794</v>
      </c>
      <c r="AC271" s="5" t="s">
        <v>97</v>
      </c>
      <c r="AD271" s="5" t="s">
        <v>103</v>
      </c>
      <c r="AE271" s="5" t="s">
        <v>97</v>
      </c>
      <c r="AF271" s="5" t="s">
        <v>97</v>
      </c>
      <c r="AG271" s="5" t="s">
        <v>97</v>
      </c>
      <c r="AH271" s="5" t="s">
        <v>103</v>
      </c>
      <c r="AI271" s="5">
        <v>45930</v>
      </c>
      <c r="AJ271" s="5" t="s">
        <v>97</v>
      </c>
      <c r="AK271" s="5" t="s">
        <v>103</v>
      </c>
      <c r="AL271" s="5" t="s">
        <v>103</v>
      </c>
      <c r="AM271" s="5" t="s">
        <v>103</v>
      </c>
      <c r="AN271" s="5" t="s">
        <v>103</v>
      </c>
      <c r="AO271" s="5" t="s">
        <v>97</v>
      </c>
      <c r="AP271" s="5" t="s">
        <v>97</v>
      </c>
      <c r="AQ271" s="5" t="s">
        <v>103</v>
      </c>
      <c r="AR271" s="5" t="s">
        <v>103</v>
      </c>
      <c r="AS271" s="5" t="s">
        <v>103</v>
      </c>
      <c r="AT271" s="5" t="s">
        <v>795</v>
      </c>
      <c r="AU271" s="5"/>
      <c r="AV271" s="4" t="s">
        <v>103</v>
      </c>
      <c r="AW271" s="4" t="s">
        <v>103</v>
      </c>
      <c r="AX271" s="4" t="s">
        <v>97</v>
      </c>
      <c r="AY271" s="4" t="s">
        <v>97</v>
      </c>
      <c r="AZ271" s="4" t="s">
        <v>103</v>
      </c>
      <c r="BA271" s="4" t="s">
        <v>97</v>
      </c>
      <c r="BB271" s="5">
        <v>45940</v>
      </c>
      <c r="BC271" s="5">
        <v>45940</v>
      </c>
      <c r="BD271" s="5">
        <v>45940</v>
      </c>
      <c r="BE271" s="5">
        <v>45940</v>
      </c>
      <c r="BF271" s="4" t="s">
        <v>98</v>
      </c>
      <c r="BG271" s="4" t="s">
        <v>97</v>
      </c>
      <c r="BH271" s="4" t="s">
        <v>103</v>
      </c>
      <c r="BI271" s="4" t="s">
        <v>115</v>
      </c>
    </row>
    <row r="272" spans="1:61" x14ac:dyDescent="0.35">
      <c r="A272" s="8" t="str">
        <f t="shared" si="27"/>
        <v>Semaine 40-2025</v>
      </c>
      <c r="B272" s="8" t="str">
        <f t="shared" si="23"/>
        <v>2025</v>
      </c>
      <c r="C272" s="2" t="s">
        <v>75</v>
      </c>
      <c r="D272" s="6" t="str">
        <f t="shared" si="24"/>
        <v>Diourbel</v>
      </c>
      <c r="E272" s="6">
        <f t="shared" si="25"/>
        <v>996481</v>
      </c>
      <c r="F272" s="6">
        <f t="shared" si="26"/>
        <v>1980827</v>
      </c>
      <c r="G272" s="4" t="s">
        <v>796</v>
      </c>
      <c r="H272" s="4" t="s">
        <v>804</v>
      </c>
      <c r="I272" s="4">
        <v>16</v>
      </c>
      <c r="J272" s="4" t="s">
        <v>96</v>
      </c>
      <c r="K272" s="4"/>
      <c r="L272" s="4"/>
      <c r="M272" s="4"/>
      <c r="N272" s="4"/>
      <c r="O272" s="4" t="s">
        <v>238</v>
      </c>
      <c r="P272" s="4" t="s">
        <v>97</v>
      </c>
      <c r="Q272" s="4" t="s">
        <v>97</v>
      </c>
      <c r="R272" s="14" t="s">
        <v>100</v>
      </c>
      <c r="S272" s="14" t="s">
        <v>100</v>
      </c>
      <c r="T272" s="14" t="s">
        <v>100</v>
      </c>
      <c r="U272" s="8"/>
      <c r="V272" s="14"/>
      <c r="W272" s="14"/>
      <c r="X272" s="14"/>
      <c r="Y272" s="5">
        <v>45933</v>
      </c>
      <c r="Z272" s="5">
        <v>45939</v>
      </c>
      <c r="AA272" s="5" t="s">
        <v>103</v>
      </c>
      <c r="AB272" s="5" t="s">
        <v>488</v>
      </c>
      <c r="AC272" s="5" t="s">
        <v>97</v>
      </c>
      <c r="AD272" s="5" t="s">
        <v>103</v>
      </c>
      <c r="AE272" s="5" t="s">
        <v>97</v>
      </c>
      <c r="AF272" s="5" t="s">
        <v>97</v>
      </c>
      <c r="AG272" s="5" t="s">
        <v>97</v>
      </c>
      <c r="AH272" s="5" t="s">
        <v>103</v>
      </c>
      <c r="AI272" s="5">
        <v>45933</v>
      </c>
      <c r="AJ272" s="5" t="s">
        <v>97</v>
      </c>
      <c r="AK272" s="5" t="s">
        <v>103</v>
      </c>
      <c r="AL272" s="5" t="s">
        <v>97</v>
      </c>
      <c r="AM272" s="5" t="s">
        <v>103</v>
      </c>
      <c r="AN272" s="5" t="s">
        <v>103</v>
      </c>
      <c r="AO272" s="5" t="s">
        <v>97</v>
      </c>
      <c r="AP272" s="5" t="s">
        <v>103</v>
      </c>
      <c r="AQ272" s="5" t="s">
        <v>97</v>
      </c>
      <c r="AR272" s="5" t="s">
        <v>97</v>
      </c>
      <c r="AS272" s="5" t="s">
        <v>97</v>
      </c>
      <c r="AT272" s="5"/>
      <c r="AU272" s="5"/>
      <c r="AV272" s="4" t="s">
        <v>103</v>
      </c>
      <c r="AW272" s="4" t="s">
        <v>97</v>
      </c>
      <c r="AX272" s="4" t="s">
        <v>97</v>
      </c>
      <c r="AY272" s="4" t="s">
        <v>97</v>
      </c>
      <c r="AZ272" s="4" t="s">
        <v>103</v>
      </c>
      <c r="BA272" s="4" t="s">
        <v>97</v>
      </c>
      <c r="BB272" s="5">
        <v>45939</v>
      </c>
      <c r="BC272" s="5">
        <v>45939</v>
      </c>
      <c r="BD272" s="5">
        <v>45939</v>
      </c>
      <c r="BE272" s="5">
        <v>45940</v>
      </c>
      <c r="BF272" s="4" t="s">
        <v>98</v>
      </c>
      <c r="BG272" s="4" t="s">
        <v>97</v>
      </c>
      <c r="BH272" s="4" t="s">
        <v>103</v>
      </c>
      <c r="BI272" s="4" t="s">
        <v>115</v>
      </c>
    </row>
    <row r="273" spans="1:61" x14ac:dyDescent="0.35">
      <c r="A273" s="8" t="str">
        <f t="shared" si="27"/>
        <v>Semaine 40-2025</v>
      </c>
      <c r="B273" s="8" t="str">
        <f t="shared" si="23"/>
        <v>2025</v>
      </c>
      <c r="C273" s="2" t="s">
        <v>75</v>
      </c>
      <c r="D273" s="6" t="str">
        <f t="shared" si="24"/>
        <v>Diourbel</v>
      </c>
      <c r="E273" s="6">
        <f t="shared" si="25"/>
        <v>996481</v>
      </c>
      <c r="F273" s="6">
        <f t="shared" si="26"/>
        <v>1980827</v>
      </c>
      <c r="G273" s="4" t="s">
        <v>797</v>
      </c>
      <c r="H273" s="4" t="s">
        <v>805</v>
      </c>
      <c r="I273" s="4">
        <v>8</v>
      </c>
      <c r="J273" s="4" t="s">
        <v>96</v>
      </c>
      <c r="K273" s="4"/>
      <c r="L273" s="4"/>
      <c r="M273" s="4"/>
      <c r="N273" s="4"/>
      <c r="O273" s="4" t="s">
        <v>238</v>
      </c>
      <c r="P273" s="4" t="s">
        <v>97</v>
      </c>
      <c r="Q273" s="4" t="s">
        <v>97</v>
      </c>
      <c r="R273" s="14" t="s">
        <v>100</v>
      </c>
      <c r="S273" s="14" t="s">
        <v>100</v>
      </c>
      <c r="T273" s="14" t="s">
        <v>100</v>
      </c>
      <c r="U273" s="8"/>
      <c r="V273" s="14"/>
      <c r="W273" s="14"/>
      <c r="X273" s="14"/>
      <c r="Y273" s="5">
        <v>45935</v>
      </c>
      <c r="Z273" s="5">
        <v>45938</v>
      </c>
      <c r="AA273" s="5" t="s">
        <v>103</v>
      </c>
      <c r="AB273" s="5"/>
      <c r="AC273" s="5" t="s">
        <v>97</v>
      </c>
      <c r="AD273" s="5" t="s">
        <v>97</v>
      </c>
      <c r="AE273" s="5" t="s">
        <v>97</v>
      </c>
      <c r="AF273" s="5" t="s">
        <v>97</v>
      </c>
      <c r="AG273" s="5" t="s">
        <v>97</v>
      </c>
      <c r="AH273" s="5" t="s">
        <v>103</v>
      </c>
      <c r="AI273" s="5">
        <v>45935</v>
      </c>
      <c r="AJ273" s="5" t="s">
        <v>97</v>
      </c>
      <c r="AK273" s="5" t="s">
        <v>97</v>
      </c>
      <c r="AL273" s="5" t="s">
        <v>97</v>
      </c>
      <c r="AM273" s="5" t="s">
        <v>103</v>
      </c>
      <c r="AN273" s="5" t="s">
        <v>103</v>
      </c>
      <c r="AO273" s="5" t="s">
        <v>97</v>
      </c>
      <c r="AP273" s="5" t="s">
        <v>97</v>
      </c>
      <c r="AQ273" s="5" t="s">
        <v>103</v>
      </c>
      <c r="AR273" s="5" t="s">
        <v>97</v>
      </c>
      <c r="AS273" s="5" t="s">
        <v>103</v>
      </c>
      <c r="AT273" s="5" t="s">
        <v>344</v>
      </c>
      <c r="AU273" s="5"/>
      <c r="AV273" s="4" t="s">
        <v>103</v>
      </c>
      <c r="AW273" s="4" t="s">
        <v>97</v>
      </c>
      <c r="AX273" s="4" t="s">
        <v>97</v>
      </c>
      <c r="AY273" s="4" t="s">
        <v>97</v>
      </c>
      <c r="AZ273" s="4" t="s">
        <v>103</v>
      </c>
      <c r="BA273" s="4" t="s">
        <v>97</v>
      </c>
      <c r="BB273" s="5">
        <v>45939</v>
      </c>
      <c r="BC273" s="5">
        <v>45939</v>
      </c>
      <c r="BD273" s="5">
        <v>45939</v>
      </c>
      <c r="BE273" s="5">
        <v>45940</v>
      </c>
      <c r="BF273" s="4" t="s">
        <v>98</v>
      </c>
      <c r="BG273" s="4" t="s">
        <v>103</v>
      </c>
      <c r="BH273" s="4" t="s">
        <v>103</v>
      </c>
      <c r="BI273" s="4" t="s">
        <v>115</v>
      </c>
    </row>
    <row r="274" spans="1:61" x14ac:dyDescent="0.35">
      <c r="A274" s="8" t="str">
        <f t="shared" si="27"/>
        <v>Semaine 41-2025</v>
      </c>
      <c r="B274" s="8" t="str">
        <f t="shared" si="23"/>
        <v>2025</v>
      </c>
      <c r="C274" s="2" t="s">
        <v>19</v>
      </c>
      <c r="D274" s="6" t="str">
        <f t="shared" si="24"/>
        <v>Dakar</v>
      </c>
      <c r="E274" s="6">
        <f t="shared" si="25"/>
        <v>565040</v>
      </c>
      <c r="F274" s="6">
        <f t="shared" si="26"/>
        <v>4042240</v>
      </c>
      <c r="G274" s="4" t="s">
        <v>798</v>
      </c>
      <c r="H274" s="4" t="s">
        <v>806</v>
      </c>
      <c r="I274" s="4">
        <v>6</v>
      </c>
      <c r="J274" s="4" t="s">
        <v>96</v>
      </c>
      <c r="K274" s="4"/>
      <c r="L274" s="4"/>
      <c r="M274" s="4"/>
      <c r="N274" s="4"/>
      <c r="O274" s="4" t="s">
        <v>238</v>
      </c>
      <c r="P274" s="4" t="s">
        <v>97</v>
      </c>
      <c r="Q274" s="4" t="s">
        <v>97</v>
      </c>
      <c r="R274" s="14" t="s">
        <v>100</v>
      </c>
      <c r="S274" s="14" t="s">
        <v>100</v>
      </c>
      <c r="T274" s="14" t="s">
        <v>100</v>
      </c>
      <c r="U274" s="8"/>
      <c r="V274" s="14"/>
      <c r="W274" s="14"/>
      <c r="X274" s="14"/>
      <c r="Y274" s="5">
        <v>45938</v>
      </c>
      <c r="Z274" s="5">
        <v>45939</v>
      </c>
      <c r="AA274" s="5" t="s">
        <v>103</v>
      </c>
      <c r="AB274" s="5" t="s">
        <v>509</v>
      </c>
      <c r="AC274" s="5" t="s">
        <v>97</v>
      </c>
      <c r="AD274" s="5" t="s">
        <v>97</v>
      </c>
      <c r="AE274" s="5" t="s">
        <v>97</v>
      </c>
      <c r="AF274" s="5" t="s">
        <v>97</v>
      </c>
      <c r="AG274" s="5" t="s">
        <v>97</v>
      </c>
      <c r="AH274" s="5" t="s">
        <v>103</v>
      </c>
      <c r="AI274" s="5">
        <v>45938</v>
      </c>
      <c r="AJ274" s="5" t="s">
        <v>97</v>
      </c>
      <c r="AK274" s="5" t="s">
        <v>97</v>
      </c>
      <c r="AL274" s="5" t="s">
        <v>103</v>
      </c>
      <c r="AM274" s="5" t="s">
        <v>103</v>
      </c>
      <c r="AN274" s="5" t="s">
        <v>97</v>
      </c>
      <c r="AO274" s="5" t="s">
        <v>97</v>
      </c>
      <c r="AP274" s="5" t="s">
        <v>97</v>
      </c>
      <c r="AQ274" s="5" t="s">
        <v>97</v>
      </c>
      <c r="AR274" s="5" t="s">
        <v>97</v>
      </c>
      <c r="AS274" s="5" t="s">
        <v>97</v>
      </c>
      <c r="AT274" s="5"/>
      <c r="AU274" s="5"/>
      <c r="AV274" s="4" t="s">
        <v>103</v>
      </c>
      <c r="AW274" s="4" t="s">
        <v>97</v>
      </c>
      <c r="AX274" s="4" t="s">
        <v>97</v>
      </c>
      <c r="AY274" s="4" t="s">
        <v>97</v>
      </c>
      <c r="AZ274" s="4" t="s">
        <v>103</v>
      </c>
      <c r="BA274" s="4" t="s">
        <v>97</v>
      </c>
      <c r="BB274" s="5">
        <v>45939</v>
      </c>
      <c r="BC274" s="5">
        <v>45939</v>
      </c>
      <c r="BD274" s="5">
        <v>45939</v>
      </c>
      <c r="BE274" s="5">
        <v>45940</v>
      </c>
      <c r="BF274" s="4" t="s">
        <v>98</v>
      </c>
      <c r="BG274" s="4" t="s">
        <v>97</v>
      </c>
      <c r="BH274" s="4" t="s">
        <v>103</v>
      </c>
      <c r="BI274" s="4" t="s">
        <v>115</v>
      </c>
    </row>
    <row r="275" spans="1:61" x14ac:dyDescent="0.35">
      <c r="A275" s="8" t="str">
        <f t="shared" si="27"/>
        <v>Semaine 39-2025</v>
      </c>
      <c r="B275" s="8" t="str">
        <f t="shared" si="23"/>
        <v>2025</v>
      </c>
      <c r="C275" s="2" t="s">
        <v>6</v>
      </c>
      <c r="D275" s="6" t="str">
        <f t="shared" si="24"/>
        <v>Kaffrine</v>
      </c>
      <c r="E275" s="6">
        <f t="shared" si="25"/>
        <v>286531</v>
      </c>
      <c r="F275" s="6">
        <f t="shared" si="26"/>
        <v>782275</v>
      </c>
      <c r="G275" s="4" t="s">
        <v>799</v>
      </c>
      <c r="H275" s="4" t="s">
        <v>807</v>
      </c>
      <c r="I275" s="4">
        <v>40</v>
      </c>
      <c r="J275" s="4" t="s">
        <v>114</v>
      </c>
      <c r="K275" s="4"/>
      <c r="L275" s="4"/>
      <c r="M275" s="4"/>
      <c r="N275" s="4"/>
      <c r="O275" s="4" t="s">
        <v>238</v>
      </c>
      <c r="P275" s="4" t="s">
        <v>97</v>
      </c>
      <c r="Q275" s="4" t="s">
        <v>97</v>
      </c>
      <c r="R275" s="14" t="s">
        <v>100</v>
      </c>
      <c r="S275" s="14" t="s">
        <v>100</v>
      </c>
      <c r="T275" s="14" t="s">
        <v>100</v>
      </c>
      <c r="U275" s="8"/>
      <c r="V275" s="14"/>
      <c r="W275" s="14"/>
      <c r="X275" s="14"/>
      <c r="Y275" s="5">
        <v>45928</v>
      </c>
      <c r="Z275" s="5">
        <v>45930</v>
      </c>
      <c r="AA275" s="5" t="s">
        <v>103</v>
      </c>
      <c r="AB275" s="5" t="s">
        <v>808</v>
      </c>
      <c r="AC275" s="5" t="s">
        <v>103</v>
      </c>
      <c r="AD275" s="5" t="s">
        <v>97</v>
      </c>
      <c r="AE275" s="5" t="s">
        <v>97</v>
      </c>
      <c r="AF275" s="5" t="s">
        <v>103</v>
      </c>
      <c r="AG275" s="5" t="s">
        <v>97</v>
      </c>
      <c r="AH275" s="5" t="s">
        <v>103</v>
      </c>
      <c r="AI275" s="5">
        <v>45930</v>
      </c>
      <c r="AJ275" s="5" t="s">
        <v>103</v>
      </c>
      <c r="AK275" s="5" t="s">
        <v>97</v>
      </c>
      <c r="AL275" s="5" t="s">
        <v>103</v>
      </c>
      <c r="AM275" s="5" t="s">
        <v>103</v>
      </c>
      <c r="AN275" s="5" t="s">
        <v>97</v>
      </c>
      <c r="AO275" s="5" t="s">
        <v>97</v>
      </c>
      <c r="AP275" s="5" t="s">
        <v>97</v>
      </c>
      <c r="AQ275" s="5" t="s">
        <v>103</v>
      </c>
      <c r="AR275" s="5" t="s">
        <v>97</v>
      </c>
      <c r="AS275" s="5" t="s">
        <v>97</v>
      </c>
      <c r="AT275" s="5" t="s">
        <v>809</v>
      </c>
      <c r="AU275" s="5"/>
      <c r="AV275" s="4" t="s">
        <v>103</v>
      </c>
      <c r="AW275" s="4" t="s">
        <v>103</v>
      </c>
      <c r="AX275" s="4" t="s">
        <v>97</v>
      </c>
      <c r="AY275" s="4" t="s">
        <v>97</v>
      </c>
      <c r="AZ275" s="4" t="s">
        <v>97</v>
      </c>
      <c r="BA275" s="4" t="s">
        <v>97</v>
      </c>
      <c r="BB275" s="5">
        <v>45939</v>
      </c>
      <c r="BC275" s="5">
        <v>45939</v>
      </c>
      <c r="BD275" s="5">
        <v>45939</v>
      </c>
      <c r="BE275" s="5">
        <v>45940</v>
      </c>
      <c r="BF275" s="4" t="s">
        <v>98</v>
      </c>
      <c r="BG275" s="4" t="s">
        <v>103</v>
      </c>
      <c r="BH275" s="4" t="s">
        <v>103</v>
      </c>
      <c r="BI275" s="4" t="s">
        <v>115</v>
      </c>
    </row>
    <row r="276" spans="1:61" x14ac:dyDescent="0.35">
      <c r="A276" s="8" t="str">
        <f t="shared" si="27"/>
        <v>Semaine 40-2025</v>
      </c>
      <c r="B276" s="8" t="str">
        <f t="shared" si="23"/>
        <v>2025</v>
      </c>
      <c r="C276" s="2" t="s">
        <v>2</v>
      </c>
      <c r="D276" s="6" t="str">
        <f t="shared" si="24"/>
        <v>Fatick</v>
      </c>
      <c r="E276" s="6">
        <f t="shared" si="25"/>
        <v>151740</v>
      </c>
      <c r="F276" s="6">
        <f t="shared" si="26"/>
        <v>965914</v>
      </c>
      <c r="G276" s="4" t="s">
        <v>800</v>
      </c>
      <c r="H276" s="4" t="s">
        <v>810</v>
      </c>
      <c r="I276" s="4">
        <v>9</v>
      </c>
      <c r="J276" s="4" t="s">
        <v>114</v>
      </c>
      <c r="K276" s="4"/>
      <c r="L276" s="4"/>
      <c r="M276" s="4"/>
      <c r="N276" s="4"/>
      <c r="O276" s="4" t="s">
        <v>238</v>
      </c>
      <c r="P276" s="4" t="s">
        <v>97</v>
      </c>
      <c r="Q276" s="4" t="s">
        <v>97</v>
      </c>
      <c r="R276" s="14" t="s">
        <v>100</v>
      </c>
      <c r="S276" s="14" t="s">
        <v>100</v>
      </c>
      <c r="T276" s="14" t="s">
        <v>100</v>
      </c>
      <c r="U276" s="8"/>
      <c r="V276" s="14"/>
      <c r="W276" s="14"/>
      <c r="X276" s="14"/>
      <c r="Y276" s="5">
        <v>45932</v>
      </c>
      <c r="Z276" s="5">
        <v>45933</v>
      </c>
      <c r="AA276" s="5" t="s">
        <v>103</v>
      </c>
      <c r="AB276" s="5" t="s">
        <v>698</v>
      </c>
      <c r="AC276" s="5" t="s">
        <v>97</v>
      </c>
      <c r="AD276" s="5" t="s">
        <v>97</v>
      </c>
      <c r="AE276" s="5" t="s">
        <v>97</v>
      </c>
      <c r="AF276" s="5" t="s">
        <v>97</v>
      </c>
      <c r="AG276" s="5" t="s">
        <v>97</v>
      </c>
      <c r="AH276" s="5" t="s">
        <v>103</v>
      </c>
      <c r="AI276" s="5">
        <v>45932</v>
      </c>
      <c r="AJ276" s="5" t="s">
        <v>103</v>
      </c>
      <c r="AK276" s="5" t="s">
        <v>103</v>
      </c>
      <c r="AL276" s="5" t="s">
        <v>97</v>
      </c>
      <c r="AM276" s="5" t="s">
        <v>103</v>
      </c>
      <c r="AN276" s="5" t="s">
        <v>103</v>
      </c>
      <c r="AO276" s="5" t="s">
        <v>103</v>
      </c>
      <c r="AP276" s="5" t="s">
        <v>103</v>
      </c>
      <c r="AQ276" s="5" t="s">
        <v>97</v>
      </c>
      <c r="AR276" s="5" t="s">
        <v>103</v>
      </c>
      <c r="AS276" s="5" t="s">
        <v>97</v>
      </c>
      <c r="AT276" s="5"/>
      <c r="AU276" s="5"/>
      <c r="AV276" s="4" t="s">
        <v>103</v>
      </c>
      <c r="AW276" s="4" t="s">
        <v>97</v>
      </c>
      <c r="AX276" s="4" t="s">
        <v>103</v>
      </c>
      <c r="AY276" s="4" t="s">
        <v>97</v>
      </c>
      <c r="AZ276" s="4" t="s">
        <v>97</v>
      </c>
      <c r="BA276" s="4" t="s">
        <v>97</v>
      </c>
      <c r="BB276" s="5">
        <v>45933</v>
      </c>
      <c r="BC276" s="5">
        <v>45939</v>
      </c>
      <c r="BD276" s="5">
        <v>45939</v>
      </c>
      <c r="BE276" s="5">
        <v>45940</v>
      </c>
      <c r="BF276" s="4" t="s">
        <v>98</v>
      </c>
      <c r="BG276" s="4" t="s">
        <v>97</v>
      </c>
      <c r="BH276" s="4" t="s">
        <v>103</v>
      </c>
      <c r="BI276" s="4" t="s">
        <v>115</v>
      </c>
    </row>
    <row r="277" spans="1:61" x14ac:dyDescent="0.35">
      <c r="A277" s="8" t="str">
        <f t="shared" si="27"/>
        <v>Semaine 41-2025</v>
      </c>
      <c r="B277" s="8" t="str">
        <f t="shared" si="23"/>
        <v>2025</v>
      </c>
      <c r="C277" s="2" t="s">
        <v>19</v>
      </c>
      <c r="D277" s="6" t="str">
        <f t="shared" si="24"/>
        <v>Dakar</v>
      </c>
      <c r="E277" s="6">
        <f t="shared" si="25"/>
        <v>565040</v>
      </c>
      <c r="F277" s="6">
        <f t="shared" si="26"/>
        <v>4042240</v>
      </c>
      <c r="G277" s="4" t="s">
        <v>801</v>
      </c>
      <c r="H277" s="4" t="s">
        <v>811</v>
      </c>
      <c r="I277" s="4">
        <v>37</v>
      </c>
      <c r="J277" s="4" t="s">
        <v>114</v>
      </c>
      <c r="K277" s="4"/>
      <c r="L277" s="4"/>
      <c r="M277" s="4"/>
      <c r="N277" s="4"/>
      <c r="O277" s="4" t="s">
        <v>238</v>
      </c>
      <c r="P277" s="4" t="s">
        <v>97</v>
      </c>
      <c r="Q277" s="4" t="s">
        <v>97</v>
      </c>
      <c r="R277" s="14" t="s">
        <v>100</v>
      </c>
      <c r="S277" s="14" t="s">
        <v>100</v>
      </c>
      <c r="T277" s="14" t="s">
        <v>100</v>
      </c>
      <c r="U277" s="8"/>
      <c r="V277" s="14"/>
      <c r="W277" s="14"/>
      <c r="X277" s="14"/>
      <c r="Y277" s="5">
        <v>45938</v>
      </c>
      <c r="Z277" s="5">
        <v>45940</v>
      </c>
      <c r="AA277" s="5" t="s">
        <v>97</v>
      </c>
      <c r="AB277" s="5"/>
      <c r="AC277" s="5" t="s">
        <v>103</v>
      </c>
      <c r="AD277" s="5" t="s">
        <v>103</v>
      </c>
      <c r="AE277" s="5" t="s">
        <v>97</v>
      </c>
      <c r="AF277" s="5" t="s">
        <v>97</v>
      </c>
      <c r="AG277" s="5" t="s">
        <v>97</v>
      </c>
      <c r="AH277" s="5" t="s">
        <v>103</v>
      </c>
      <c r="AI277" s="5">
        <v>45939</v>
      </c>
      <c r="AJ277" s="5" t="s">
        <v>103</v>
      </c>
      <c r="AK277" s="5" t="s">
        <v>103</v>
      </c>
      <c r="AL277" s="5" t="s">
        <v>97</v>
      </c>
      <c r="AM277" s="5" t="s">
        <v>103</v>
      </c>
      <c r="AN277" s="5" t="s">
        <v>103</v>
      </c>
      <c r="AO277" s="5" t="s">
        <v>97</v>
      </c>
      <c r="AP277" s="5" t="s">
        <v>103</v>
      </c>
      <c r="AQ277" s="5" t="s">
        <v>103</v>
      </c>
      <c r="AR277" s="5" t="s">
        <v>97</v>
      </c>
      <c r="AS277" s="5" t="s">
        <v>103</v>
      </c>
      <c r="AT277" s="5"/>
      <c r="AU277" s="5"/>
      <c r="AV277" s="4" t="s">
        <v>103</v>
      </c>
      <c r="AW277" s="4" t="s">
        <v>103</v>
      </c>
      <c r="AX277" s="4" t="s">
        <v>97</v>
      </c>
      <c r="AY277" s="4" t="s">
        <v>97</v>
      </c>
      <c r="AZ277" s="4" t="s">
        <v>103</v>
      </c>
      <c r="BA277" s="4" t="s">
        <v>97</v>
      </c>
      <c r="BB277" s="5">
        <v>45940</v>
      </c>
      <c r="BC277" s="5">
        <v>45940</v>
      </c>
      <c r="BD277" s="5">
        <v>45940</v>
      </c>
      <c r="BE277" s="5">
        <v>45940</v>
      </c>
      <c r="BF277" s="4" t="s">
        <v>98</v>
      </c>
      <c r="BG277" s="4" t="s">
        <v>97</v>
      </c>
      <c r="BH277" s="4" t="s">
        <v>103</v>
      </c>
      <c r="BI277" s="4" t="s">
        <v>115</v>
      </c>
    </row>
    <row r="278" spans="1:61" x14ac:dyDescent="0.35">
      <c r="A278" s="8" t="str">
        <f t="shared" si="27"/>
        <v>Semaine 39-2025</v>
      </c>
      <c r="B278" s="8" t="str">
        <f t="shared" si="23"/>
        <v>2025</v>
      </c>
      <c r="C278" s="2" t="s">
        <v>91</v>
      </c>
      <c r="D278" s="6" t="str">
        <f t="shared" si="24"/>
        <v>Dakar</v>
      </c>
      <c r="E278" s="6">
        <f t="shared" si="25"/>
        <v>179835</v>
      </c>
      <c r="F278" s="6">
        <f t="shared" si="26"/>
        <v>4042240</v>
      </c>
      <c r="G278" s="4" t="s">
        <v>802</v>
      </c>
      <c r="H278" s="4" t="s">
        <v>812</v>
      </c>
      <c r="I278" s="4">
        <v>39</v>
      </c>
      <c r="J278" s="4" t="s">
        <v>96</v>
      </c>
      <c r="K278" s="4"/>
      <c r="L278" s="4"/>
      <c r="M278" s="4"/>
      <c r="N278" s="4"/>
      <c r="O278" s="4" t="s">
        <v>238</v>
      </c>
      <c r="P278" s="4" t="s">
        <v>97</v>
      </c>
      <c r="Q278" s="4" t="s">
        <v>97</v>
      </c>
      <c r="R278" s="14" t="s">
        <v>100</v>
      </c>
      <c r="S278" s="14" t="s">
        <v>100</v>
      </c>
      <c r="T278" s="14" t="s">
        <v>100</v>
      </c>
      <c r="U278" s="8"/>
      <c r="V278" s="14"/>
      <c r="W278" s="14"/>
      <c r="X278" s="14"/>
      <c r="Y278" s="5">
        <v>45925</v>
      </c>
      <c r="Z278" s="5">
        <v>45940</v>
      </c>
      <c r="AA278" s="5" t="s">
        <v>97</v>
      </c>
      <c r="AB278" s="5"/>
      <c r="AC278" s="5" t="s">
        <v>97</v>
      </c>
      <c r="AD278" s="5" t="s">
        <v>97</v>
      </c>
      <c r="AE278" s="5" t="s">
        <v>97</v>
      </c>
      <c r="AF278" s="5" t="s">
        <v>97</v>
      </c>
      <c r="AG278" s="5" t="s">
        <v>103</v>
      </c>
      <c r="AH278" s="5" t="s">
        <v>103</v>
      </c>
      <c r="AI278" s="5">
        <v>45925</v>
      </c>
      <c r="AJ278" s="5" t="s">
        <v>97</v>
      </c>
      <c r="AK278" s="5" t="s">
        <v>103</v>
      </c>
      <c r="AL278" s="5" t="s">
        <v>97</v>
      </c>
      <c r="AM278" s="5" t="s">
        <v>97</v>
      </c>
      <c r="AN278" s="5" t="s">
        <v>103</v>
      </c>
      <c r="AO278" s="5" t="s">
        <v>97</v>
      </c>
      <c r="AP278" s="5" t="s">
        <v>97</v>
      </c>
      <c r="AQ278" s="5" t="s">
        <v>97</v>
      </c>
      <c r="AR278" s="5" t="s">
        <v>97</v>
      </c>
      <c r="AS278" s="5" t="s">
        <v>97</v>
      </c>
      <c r="AT278" s="5"/>
      <c r="AU278" s="5"/>
      <c r="AV278" s="4" t="s">
        <v>103</v>
      </c>
      <c r="AW278" s="4" t="s">
        <v>97</v>
      </c>
      <c r="AX278" s="4" t="s">
        <v>103</v>
      </c>
      <c r="AY278" s="4" t="s">
        <v>97</v>
      </c>
      <c r="AZ278" s="4" t="s">
        <v>97</v>
      </c>
      <c r="BA278" s="4" t="s">
        <v>97</v>
      </c>
      <c r="BB278" s="5">
        <v>45940</v>
      </c>
      <c r="BC278" s="5">
        <v>45940</v>
      </c>
      <c r="BD278" s="5">
        <v>45940</v>
      </c>
      <c r="BE278" s="5">
        <v>45940</v>
      </c>
      <c r="BF278" s="4" t="s">
        <v>98</v>
      </c>
      <c r="BG278" s="4" t="s">
        <v>97</v>
      </c>
      <c r="BH278" s="4" t="s">
        <v>103</v>
      </c>
      <c r="BI278" s="4" t="s">
        <v>115</v>
      </c>
    </row>
    <row r="279" spans="1:61" x14ac:dyDescent="0.35">
      <c r="A279" s="8" t="str">
        <f t="shared" si="27"/>
        <v>Semaine 39-2025</v>
      </c>
      <c r="B279" s="8" t="str">
        <f t="shared" si="23"/>
        <v>2025</v>
      </c>
      <c r="C279" s="2" t="s">
        <v>18</v>
      </c>
      <c r="D279" s="6" t="str">
        <f t="shared" si="24"/>
        <v>Dakar</v>
      </c>
      <c r="E279" s="6">
        <f t="shared" si="25"/>
        <v>419489</v>
      </c>
      <c r="F279" s="6">
        <f t="shared" si="26"/>
        <v>4042240</v>
      </c>
      <c r="G279" s="4" t="s">
        <v>803</v>
      </c>
      <c r="H279" s="4" t="s">
        <v>813</v>
      </c>
      <c r="I279" s="4">
        <v>27</v>
      </c>
      <c r="J279" s="4" t="s">
        <v>96</v>
      </c>
      <c r="K279" s="4"/>
      <c r="L279" s="4"/>
      <c r="M279" s="4"/>
      <c r="N279" s="4"/>
      <c r="O279" s="4" t="s">
        <v>238</v>
      </c>
      <c r="P279" s="4" t="s">
        <v>97</v>
      </c>
      <c r="Q279" s="4" t="s">
        <v>97</v>
      </c>
      <c r="R279" s="14" t="s">
        <v>100</v>
      </c>
      <c r="S279" s="14" t="s">
        <v>100</v>
      </c>
      <c r="T279" s="14" t="s">
        <v>100</v>
      </c>
      <c r="U279" s="8"/>
      <c r="V279" s="14"/>
      <c r="W279" s="14"/>
      <c r="X279" s="14"/>
      <c r="Y279" s="5">
        <v>45922</v>
      </c>
      <c r="Z279" s="5">
        <v>45940</v>
      </c>
      <c r="AA279" s="5" t="s">
        <v>97</v>
      </c>
      <c r="AB279" s="5"/>
      <c r="AC279" s="5" t="s">
        <v>103</v>
      </c>
      <c r="AD279" s="5" t="s">
        <v>97</v>
      </c>
      <c r="AE279" s="5" t="s">
        <v>97</v>
      </c>
      <c r="AF279" s="5" t="s">
        <v>97</v>
      </c>
      <c r="AG279" s="5" t="s">
        <v>97</v>
      </c>
      <c r="AH279" s="5" t="s">
        <v>103</v>
      </c>
      <c r="AI279" s="5">
        <v>45922</v>
      </c>
      <c r="AJ279" s="5" t="s">
        <v>97</v>
      </c>
      <c r="AK279" s="5" t="s">
        <v>97</v>
      </c>
      <c r="AL279" s="5" t="s">
        <v>97</v>
      </c>
      <c r="AM279" s="5" t="s">
        <v>97</v>
      </c>
      <c r="AN279" s="5" t="s">
        <v>103</v>
      </c>
      <c r="AO279" s="5" t="s">
        <v>97</v>
      </c>
      <c r="AP279" s="5" t="s">
        <v>97</v>
      </c>
      <c r="AQ279" s="5" t="s">
        <v>97</v>
      </c>
      <c r="AR279" s="5" t="s">
        <v>97</v>
      </c>
      <c r="AS279" s="5" t="s">
        <v>97</v>
      </c>
      <c r="AT279" s="5" t="s">
        <v>382</v>
      </c>
      <c r="AU279" s="5"/>
      <c r="AV279" s="4" t="s">
        <v>97</v>
      </c>
      <c r="AW279" s="4" t="s">
        <v>97</v>
      </c>
      <c r="AX279" s="4" t="s">
        <v>97</v>
      </c>
      <c r="AY279" s="4" t="s">
        <v>97</v>
      </c>
      <c r="AZ279" s="4" t="s">
        <v>103</v>
      </c>
      <c r="BA279" s="4" t="s">
        <v>97</v>
      </c>
      <c r="BB279" s="5">
        <v>45940</v>
      </c>
      <c r="BC279" s="5">
        <v>45940</v>
      </c>
      <c r="BD279" s="5">
        <v>45940</v>
      </c>
      <c r="BE279" s="5">
        <v>45940</v>
      </c>
      <c r="BF279" s="4" t="s">
        <v>98</v>
      </c>
      <c r="BG279" s="4" t="s">
        <v>97</v>
      </c>
      <c r="BH279" s="4" t="s">
        <v>103</v>
      </c>
      <c r="BI279" s="4" t="s">
        <v>744</v>
      </c>
    </row>
    <row r="280" spans="1:61" x14ac:dyDescent="0.35">
      <c r="A280" s="8" t="str">
        <f t="shared" si="27"/>
        <v>Semaine 39-2025</v>
      </c>
      <c r="B280" s="8" t="str">
        <f t="shared" si="23"/>
        <v>2025</v>
      </c>
      <c r="C280" s="2" t="s">
        <v>74</v>
      </c>
      <c r="D280" s="6" t="str">
        <f t="shared" si="24"/>
        <v>Thies</v>
      </c>
      <c r="E280" s="6">
        <f t="shared" si="25"/>
        <v>374824</v>
      </c>
      <c r="F280" s="6">
        <f t="shared" si="26"/>
        <v>2280463</v>
      </c>
      <c r="G280" s="4" t="s">
        <v>817</v>
      </c>
      <c r="H280" s="4" t="s">
        <v>821</v>
      </c>
      <c r="I280" s="4">
        <v>50</v>
      </c>
      <c r="J280" s="4" t="s">
        <v>96</v>
      </c>
      <c r="K280" s="4"/>
      <c r="L280" s="4"/>
      <c r="M280" s="4"/>
      <c r="N280" s="4"/>
      <c r="O280" s="4" t="s">
        <v>238</v>
      </c>
      <c r="P280" s="4" t="s">
        <v>97</v>
      </c>
      <c r="Q280" s="4" t="s">
        <v>97</v>
      </c>
      <c r="R280" s="14" t="s">
        <v>100</v>
      </c>
      <c r="S280" s="14" t="s">
        <v>100</v>
      </c>
      <c r="T280" s="14" t="s">
        <v>100</v>
      </c>
      <c r="U280" s="8"/>
      <c r="V280" s="14"/>
      <c r="W280" s="14"/>
      <c r="X280" s="14"/>
      <c r="Y280" s="5">
        <v>45927</v>
      </c>
      <c r="Z280" s="5">
        <v>45943</v>
      </c>
      <c r="AA280" s="5" t="s">
        <v>103</v>
      </c>
      <c r="AB280" s="5" t="s">
        <v>387</v>
      </c>
      <c r="AC280" s="5" t="s">
        <v>97</v>
      </c>
      <c r="AD280" s="5" t="s">
        <v>97</v>
      </c>
      <c r="AE280" s="5" t="s">
        <v>97</v>
      </c>
      <c r="AF280" s="5" t="s">
        <v>97</v>
      </c>
      <c r="AG280" s="5" t="s">
        <v>97</v>
      </c>
      <c r="AH280" s="5" t="s">
        <v>103</v>
      </c>
      <c r="AI280" s="5">
        <v>45927</v>
      </c>
      <c r="AJ280" s="5" t="s">
        <v>103</v>
      </c>
      <c r="AK280" s="5" t="s">
        <v>97</v>
      </c>
      <c r="AL280" s="5" t="s">
        <v>103</v>
      </c>
      <c r="AM280" s="5" t="s">
        <v>103</v>
      </c>
      <c r="AN280" s="5" t="s">
        <v>103</v>
      </c>
      <c r="AO280" s="5" t="s">
        <v>97</v>
      </c>
      <c r="AP280" s="5" t="s">
        <v>97</v>
      </c>
      <c r="AQ280" s="5" t="s">
        <v>97</v>
      </c>
      <c r="AR280" s="5" t="s">
        <v>97</v>
      </c>
      <c r="AS280" s="5" t="s">
        <v>97</v>
      </c>
      <c r="AT280" s="5"/>
      <c r="AU280" s="5"/>
      <c r="AV280" s="4" t="s">
        <v>103</v>
      </c>
      <c r="AW280" s="4" t="s">
        <v>97</v>
      </c>
      <c r="AX280" s="4" t="s">
        <v>97</v>
      </c>
      <c r="AY280" s="4" t="s">
        <v>97</v>
      </c>
      <c r="AZ280" s="4" t="s">
        <v>103</v>
      </c>
      <c r="BA280" s="4" t="s">
        <v>97</v>
      </c>
      <c r="BB280" s="5">
        <v>45943</v>
      </c>
      <c r="BC280" s="5">
        <v>45943</v>
      </c>
      <c r="BD280" s="5">
        <v>45943</v>
      </c>
      <c r="BE280" s="5">
        <v>45944</v>
      </c>
      <c r="BF280" s="4" t="s">
        <v>98</v>
      </c>
      <c r="BG280" s="4" t="s">
        <v>97</v>
      </c>
      <c r="BH280" s="4" t="s">
        <v>103</v>
      </c>
      <c r="BI280" s="4" t="s">
        <v>360</v>
      </c>
    </row>
    <row r="281" spans="1:61" x14ac:dyDescent="0.35">
      <c r="A281" s="8" t="str">
        <f t="shared" si="27"/>
        <v>Semaine 39-2025</v>
      </c>
      <c r="B281" s="8" t="str">
        <f t="shared" si="23"/>
        <v>2025</v>
      </c>
      <c r="C281" s="2" t="s">
        <v>74</v>
      </c>
      <c r="D281" s="6" t="str">
        <f t="shared" si="24"/>
        <v>Thies</v>
      </c>
      <c r="E281" s="6">
        <f t="shared" si="25"/>
        <v>374824</v>
      </c>
      <c r="F281" s="6">
        <f t="shared" si="26"/>
        <v>2280463</v>
      </c>
      <c r="G281" s="4" t="s">
        <v>818</v>
      </c>
      <c r="H281" s="4" t="s">
        <v>822</v>
      </c>
      <c r="I281" s="4">
        <v>19</v>
      </c>
      <c r="J281" s="4" t="s">
        <v>96</v>
      </c>
      <c r="K281" s="4"/>
      <c r="L281" s="4"/>
      <c r="M281" s="4"/>
      <c r="N281" s="4"/>
      <c r="O281" s="4" t="s">
        <v>238</v>
      </c>
      <c r="P281" s="4" t="s">
        <v>97</v>
      </c>
      <c r="Q281" s="4" t="s">
        <v>97</v>
      </c>
      <c r="R281" s="14" t="s">
        <v>100</v>
      </c>
      <c r="S281" s="14" t="s">
        <v>100</v>
      </c>
      <c r="T281" s="14" t="s">
        <v>100</v>
      </c>
      <c r="U281" s="8"/>
      <c r="V281" s="14"/>
      <c r="W281" s="14"/>
      <c r="X281" s="14"/>
      <c r="Y281" s="5">
        <v>45926</v>
      </c>
      <c r="Z281" s="5">
        <v>45943</v>
      </c>
      <c r="AA281" s="5" t="s">
        <v>103</v>
      </c>
      <c r="AB281" s="5" t="s">
        <v>272</v>
      </c>
      <c r="AC281" s="5" t="s">
        <v>103</v>
      </c>
      <c r="AD281" s="5" t="s">
        <v>103</v>
      </c>
      <c r="AE281" s="5" t="s">
        <v>97</v>
      </c>
      <c r="AF281" s="5" t="s">
        <v>103</v>
      </c>
      <c r="AG281" s="5" t="s">
        <v>103</v>
      </c>
      <c r="AH281" s="5" t="s">
        <v>103</v>
      </c>
      <c r="AI281" s="5">
        <v>45926</v>
      </c>
      <c r="AJ281" s="5" t="s">
        <v>97</v>
      </c>
      <c r="AK281" s="5" t="s">
        <v>97</v>
      </c>
      <c r="AL281" s="5" t="s">
        <v>103</v>
      </c>
      <c r="AM281" s="5" t="s">
        <v>103</v>
      </c>
      <c r="AN281" s="5" t="s">
        <v>103</v>
      </c>
      <c r="AO281" s="5" t="s">
        <v>103</v>
      </c>
      <c r="AP281" s="5" t="s">
        <v>103</v>
      </c>
      <c r="AQ281" s="5" t="s">
        <v>97</v>
      </c>
      <c r="AR281" s="5" t="s">
        <v>97</v>
      </c>
      <c r="AS281" s="5" t="s">
        <v>97</v>
      </c>
      <c r="AT281" s="5"/>
      <c r="AU281" s="5"/>
      <c r="AV281" s="4" t="s">
        <v>103</v>
      </c>
      <c r="AW281" s="4" t="s">
        <v>103</v>
      </c>
      <c r="AX281" s="4" t="s">
        <v>97</v>
      </c>
      <c r="AY281" s="4" t="s">
        <v>97</v>
      </c>
      <c r="AZ281" s="4" t="s">
        <v>103</v>
      </c>
      <c r="BA281" s="4" t="s">
        <v>97</v>
      </c>
      <c r="BB281" s="5">
        <v>45943</v>
      </c>
      <c r="BC281" s="5">
        <v>45943</v>
      </c>
      <c r="BD281" s="5">
        <v>45943</v>
      </c>
      <c r="BE281" s="5">
        <v>45944</v>
      </c>
      <c r="BF281" s="4" t="s">
        <v>98</v>
      </c>
      <c r="BG281" s="4" t="s">
        <v>97</v>
      </c>
      <c r="BH281" s="4" t="s">
        <v>103</v>
      </c>
      <c r="BI281" s="4" t="s">
        <v>360</v>
      </c>
    </row>
    <row r="282" spans="1:61" x14ac:dyDescent="0.35">
      <c r="A282" s="8" t="str">
        <f t="shared" si="27"/>
        <v>Semaine 41-2025</v>
      </c>
      <c r="B282" s="8" t="str">
        <f t="shared" si="23"/>
        <v>2025</v>
      </c>
      <c r="C282" s="2" t="s">
        <v>74</v>
      </c>
      <c r="D282" s="6" t="str">
        <f t="shared" si="24"/>
        <v>Thies</v>
      </c>
      <c r="E282" s="6">
        <f t="shared" si="25"/>
        <v>374824</v>
      </c>
      <c r="F282" s="6">
        <f t="shared" si="26"/>
        <v>2280463</v>
      </c>
      <c r="G282" s="4" t="s">
        <v>819</v>
      </c>
      <c r="H282" s="4" t="s">
        <v>823</v>
      </c>
      <c r="I282" s="4">
        <v>52</v>
      </c>
      <c r="J282" s="4" t="s">
        <v>114</v>
      </c>
      <c r="K282" s="4"/>
      <c r="L282" s="4"/>
      <c r="M282" s="4"/>
      <c r="N282" s="4"/>
      <c r="O282" s="4" t="s">
        <v>238</v>
      </c>
      <c r="P282" s="4" t="s">
        <v>97</v>
      </c>
      <c r="Q282" s="4" t="s">
        <v>97</v>
      </c>
      <c r="R282" s="14" t="s">
        <v>100</v>
      </c>
      <c r="S282" s="14" t="s">
        <v>100</v>
      </c>
      <c r="T282" s="14" t="s">
        <v>100</v>
      </c>
      <c r="U282" s="8"/>
      <c r="V282" s="14"/>
      <c r="W282" s="14"/>
      <c r="X282" s="14"/>
      <c r="Y282" s="5">
        <v>45937</v>
      </c>
      <c r="Z282" s="5">
        <v>45943</v>
      </c>
      <c r="AA282" s="5" t="s">
        <v>97</v>
      </c>
      <c r="AB282" s="5"/>
      <c r="AC282" s="5" t="s">
        <v>97</v>
      </c>
      <c r="AD282" s="5" t="s">
        <v>97</v>
      </c>
      <c r="AE282" s="5" t="s">
        <v>97</v>
      </c>
      <c r="AF282" s="5" t="s">
        <v>97</v>
      </c>
      <c r="AG282" s="5" t="s">
        <v>97</v>
      </c>
      <c r="AH282" s="5" t="s">
        <v>103</v>
      </c>
      <c r="AI282" s="5">
        <v>45937</v>
      </c>
      <c r="AJ282" s="5" t="s">
        <v>103</v>
      </c>
      <c r="AK282" s="5" t="s">
        <v>103</v>
      </c>
      <c r="AL282" s="5" t="s">
        <v>97</v>
      </c>
      <c r="AM282" s="5" t="s">
        <v>97</v>
      </c>
      <c r="AN282" s="5" t="s">
        <v>103</v>
      </c>
      <c r="AO282" s="5" t="s">
        <v>97</v>
      </c>
      <c r="AP282" s="5" t="s">
        <v>97</v>
      </c>
      <c r="AQ282" s="5" t="s">
        <v>97</v>
      </c>
      <c r="AR282" s="5" t="s">
        <v>97</v>
      </c>
      <c r="AS282" s="5" t="s">
        <v>97</v>
      </c>
      <c r="AT282" s="5"/>
      <c r="AU282" s="5"/>
      <c r="AV282" s="4" t="s">
        <v>103</v>
      </c>
      <c r="AW282" s="4" t="s">
        <v>97</v>
      </c>
      <c r="AX282" s="4" t="s">
        <v>97</v>
      </c>
      <c r="AY282" s="4" t="s">
        <v>97</v>
      </c>
      <c r="AZ282" s="4" t="s">
        <v>97</v>
      </c>
      <c r="BA282" s="4" t="s">
        <v>97</v>
      </c>
      <c r="BB282" s="5">
        <v>45943</v>
      </c>
      <c r="BC282" s="5">
        <v>45943</v>
      </c>
      <c r="BD282" s="5">
        <v>45943</v>
      </c>
      <c r="BE282" s="5">
        <v>45944</v>
      </c>
      <c r="BF282" s="4" t="s">
        <v>98</v>
      </c>
      <c r="BG282" s="4" t="s">
        <v>103</v>
      </c>
      <c r="BH282" s="4" t="s">
        <v>103</v>
      </c>
      <c r="BI282" s="4" t="s">
        <v>360</v>
      </c>
    </row>
    <row r="283" spans="1:61" x14ac:dyDescent="0.35">
      <c r="A283" s="8" t="str">
        <f t="shared" si="27"/>
        <v>Semaine 41-2025</v>
      </c>
      <c r="B283" s="8" t="str">
        <f t="shared" si="23"/>
        <v>2025</v>
      </c>
      <c r="C283" s="2" t="s">
        <v>51</v>
      </c>
      <c r="D283" s="6" t="str">
        <f t="shared" si="24"/>
        <v>Thies</v>
      </c>
      <c r="E283" s="6">
        <f t="shared" si="25"/>
        <v>201606</v>
      </c>
      <c r="F283" s="6">
        <f t="shared" si="26"/>
        <v>2280463</v>
      </c>
      <c r="G283" s="4" t="s">
        <v>820</v>
      </c>
      <c r="H283" s="4" t="s">
        <v>824</v>
      </c>
      <c r="I283" s="4">
        <v>7</v>
      </c>
      <c r="J283" s="4" t="s">
        <v>96</v>
      </c>
      <c r="K283" s="4"/>
      <c r="L283" s="4"/>
      <c r="M283" s="4"/>
      <c r="N283" s="4"/>
      <c r="O283" s="4" t="s">
        <v>238</v>
      </c>
      <c r="P283" s="4" t="s">
        <v>97</v>
      </c>
      <c r="Q283" s="4" t="s">
        <v>97</v>
      </c>
      <c r="R283" s="14" t="s">
        <v>100</v>
      </c>
      <c r="S283" s="14" t="s">
        <v>100</v>
      </c>
      <c r="T283" s="14" t="s">
        <v>100</v>
      </c>
      <c r="U283" s="8"/>
      <c r="V283" s="14"/>
      <c r="W283" s="14"/>
      <c r="X283" s="14"/>
      <c r="Y283" s="5">
        <v>45940</v>
      </c>
      <c r="Z283" s="5">
        <v>45942</v>
      </c>
      <c r="AA283" s="5" t="s">
        <v>103</v>
      </c>
      <c r="AB283" s="5" t="s">
        <v>272</v>
      </c>
      <c r="AC283" s="5" t="s">
        <v>97</v>
      </c>
      <c r="AD283" s="5" t="s">
        <v>97</v>
      </c>
      <c r="AE283" s="5" t="s">
        <v>97</v>
      </c>
      <c r="AF283" s="5" t="s">
        <v>103</v>
      </c>
      <c r="AG283" s="5" t="s">
        <v>97</v>
      </c>
      <c r="AH283" s="5" t="s">
        <v>103</v>
      </c>
      <c r="AI283" s="5">
        <v>45940</v>
      </c>
      <c r="AJ283" s="5" t="s">
        <v>103</v>
      </c>
      <c r="AK283" s="5" t="s">
        <v>97</v>
      </c>
      <c r="AL283" s="5" t="s">
        <v>97</v>
      </c>
      <c r="AM283" s="5" t="s">
        <v>103</v>
      </c>
      <c r="AN283" s="5" t="s">
        <v>103</v>
      </c>
      <c r="AO283" s="5" t="s">
        <v>97</v>
      </c>
      <c r="AP283" s="5" t="s">
        <v>97</v>
      </c>
      <c r="AQ283" s="5" t="s">
        <v>103</v>
      </c>
      <c r="AR283" s="5" t="s">
        <v>97</v>
      </c>
      <c r="AS283" s="5" t="s">
        <v>97</v>
      </c>
      <c r="AT283" s="5" t="s">
        <v>825</v>
      </c>
      <c r="AU283" s="5"/>
      <c r="AV283" s="4" t="s">
        <v>103</v>
      </c>
      <c r="AW283" s="4" t="s">
        <v>97</v>
      </c>
      <c r="AX283" s="4" t="s">
        <v>97</v>
      </c>
      <c r="AY283" s="4" t="s">
        <v>97</v>
      </c>
      <c r="AZ283" s="4" t="s">
        <v>103</v>
      </c>
      <c r="BA283" s="4" t="s">
        <v>97</v>
      </c>
      <c r="BB283" s="5">
        <v>45943</v>
      </c>
      <c r="BC283" s="5">
        <v>45943</v>
      </c>
      <c r="BD283" s="5">
        <v>45943</v>
      </c>
      <c r="BE283" s="5">
        <v>45944</v>
      </c>
      <c r="BF283" s="4" t="s">
        <v>98</v>
      </c>
      <c r="BG283" s="4" t="s">
        <v>103</v>
      </c>
      <c r="BH283" s="4" t="s">
        <v>103</v>
      </c>
      <c r="BI283" s="4" t="s">
        <v>360</v>
      </c>
    </row>
    <row r="284" spans="1:61" x14ac:dyDescent="0.35">
      <c r="A284" s="8" t="str">
        <f t="shared" si="27"/>
        <v>Semaine 40-2025</v>
      </c>
      <c r="B284" s="8" t="str">
        <f t="shared" si="23"/>
        <v>2025</v>
      </c>
      <c r="C284" s="2" t="s">
        <v>63</v>
      </c>
      <c r="D284" s="6" t="str">
        <f t="shared" si="24"/>
        <v>Saint-Louis</v>
      </c>
      <c r="E284" s="6">
        <f t="shared" si="25"/>
        <v>205977</v>
      </c>
      <c r="F284" s="6">
        <f t="shared" si="26"/>
        <v>1150065</v>
      </c>
      <c r="G284" s="4" t="s">
        <v>826</v>
      </c>
      <c r="H284" s="4" t="s">
        <v>832</v>
      </c>
      <c r="I284" s="4">
        <v>7</v>
      </c>
      <c r="J284" s="4" t="s">
        <v>114</v>
      </c>
      <c r="K284" s="4"/>
      <c r="L284" s="4"/>
      <c r="M284" s="4"/>
      <c r="N284" s="4"/>
      <c r="O284" s="4" t="s">
        <v>238</v>
      </c>
      <c r="P284" s="4" t="s">
        <v>97</v>
      </c>
      <c r="Q284" s="4" t="s">
        <v>97</v>
      </c>
      <c r="R284" s="14" t="s">
        <v>100</v>
      </c>
      <c r="S284" s="14" t="s">
        <v>100</v>
      </c>
      <c r="T284" s="14" t="s">
        <v>100</v>
      </c>
      <c r="U284" s="8"/>
      <c r="V284" s="14"/>
      <c r="W284" s="14"/>
      <c r="X284" s="14"/>
      <c r="Y284" s="5">
        <v>45931</v>
      </c>
      <c r="Z284" s="5">
        <v>45940</v>
      </c>
      <c r="AA284" s="5" t="s">
        <v>97</v>
      </c>
      <c r="AB284" s="5"/>
      <c r="AC284" s="5" t="s">
        <v>97</v>
      </c>
      <c r="AD284" s="5" t="s">
        <v>103</v>
      </c>
      <c r="AE284" s="5" t="s">
        <v>97</v>
      </c>
      <c r="AF284" s="5" t="s">
        <v>97</v>
      </c>
      <c r="AG284" s="5" t="s">
        <v>97</v>
      </c>
      <c r="AH284" s="5" t="s">
        <v>103</v>
      </c>
      <c r="AI284" s="5">
        <v>45933</v>
      </c>
      <c r="AJ284" s="5" t="s">
        <v>97</v>
      </c>
      <c r="AK284" s="5" t="s">
        <v>97</v>
      </c>
      <c r="AL284" s="5" t="s">
        <v>103</v>
      </c>
      <c r="AM284" s="5" t="s">
        <v>103</v>
      </c>
      <c r="AN284" s="5" t="s">
        <v>103</v>
      </c>
      <c r="AO284" s="5" t="s">
        <v>97</v>
      </c>
      <c r="AP284" s="5" t="s">
        <v>97</v>
      </c>
      <c r="AQ284" s="5" t="s">
        <v>103</v>
      </c>
      <c r="AR284" s="5" t="s">
        <v>103</v>
      </c>
      <c r="AS284" s="5" t="s">
        <v>103</v>
      </c>
      <c r="AT284" s="5"/>
      <c r="AU284" s="5"/>
      <c r="AV284" s="4" t="s">
        <v>97</v>
      </c>
      <c r="AW284" s="4" t="s">
        <v>97</v>
      </c>
      <c r="AX284" s="4" t="s">
        <v>97</v>
      </c>
      <c r="AY284" s="4" t="s">
        <v>97</v>
      </c>
      <c r="AZ284" s="4" t="s">
        <v>103</v>
      </c>
      <c r="BA284" s="4" t="s">
        <v>97</v>
      </c>
      <c r="BB284" s="5">
        <v>45941</v>
      </c>
      <c r="BC284" s="5">
        <v>45942</v>
      </c>
      <c r="BD284" s="5">
        <v>45942</v>
      </c>
      <c r="BE284" s="5">
        <v>45943</v>
      </c>
      <c r="BF284" s="4" t="s">
        <v>98</v>
      </c>
      <c r="BG284" s="4" t="s">
        <v>97</v>
      </c>
      <c r="BH284" s="4" t="s">
        <v>103</v>
      </c>
      <c r="BI284" s="4" t="s">
        <v>833</v>
      </c>
    </row>
    <row r="285" spans="1:61" x14ac:dyDescent="0.35">
      <c r="A285" s="8" t="str">
        <f t="shared" si="27"/>
        <v>Semaine 41-2025</v>
      </c>
      <c r="B285" s="8" t="str">
        <f t="shared" si="23"/>
        <v>2025</v>
      </c>
      <c r="C285" s="2" t="s">
        <v>31</v>
      </c>
      <c r="D285" s="6" t="str">
        <f t="shared" si="24"/>
        <v>Dakar</v>
      </c>
      <c r="E285" s="6">
        <f t="shared" si="25"/>
        <v>424760</v>
      </c>
      <c r="F285" s="6">
        <f t="shared" si="26"/>
        <v>4042240</v>
      </c>
      <c r="G285" s="4" t="s">
        <v>827</v>
      </c>
      <c r="H285" s="4" t="s">
        <v>811</v>
      </c>
      <c r="I285" s="4">
        <v>37</v>
      </c>
      <c r="J285" s="4" t="s">
        <v>114</v>
      </c>
      <c r="K285" s="4"/>
      <c r="L285" s="4"/>
      <c r="M285" s="4"/>
      <c r="N285" s="4"/>
      <c r="O285" s="4" t="s">
        <v>238</v>
      </c>
      <c r="P285" s="4" t="s">
        <v>97</v>
      </c>
      <c r="Q285" s="4" t="s">
        <v>97</v>
      </c>
      <c r="R285" s="14" t="s">
        <v>100</v>
      </c>
      <c r="S285" s="14" t="s">
        <v>100</v>
      </c>
      <c r="T285" s="14" t="s">
        <v>100</v>
      </c>
      <c r="U285" s="8"/>
      <c r="V285" s="14"/>
      <c r="W285" s="14"/>
      <c r="X285" s="14"/>
      <c r="Y285" s="5">
        <v>45939</v>
      </c>
      <c r="Z285" s="5">
        <v>45941</v>
      </c>
      <c r="AA285" s="5" t="s">
        <v>97</v>
      </c>
      <c r="AB285" s="5" t="s">
        <v>513</v>
      </c>
      <c r="AC285" s="5" t="s">
        <v>97</v>
      </c>
      <c r="AD285" s="5" t="s">
        <v>97</v>
      </c>
      <c r="AE285" s="5" t="s">
        <v>97</v>
      </c>
      <c r="AF285" s="5" t="s">
        <v>97</v>
      </c>
      <c r="AG285" s="5" t="s">
        <v>97</v>
      </c>
      <c r="AH285" s="5" t="s">
        <v>103</v>
      </c>
      <c r="AI285" s="5">
        <v>45940</v>
      </c>
      <c r="AJ285" s="5" t="s">
        <v>97</v>
      </c>
      <c r="AK285" s="5" t="s">
        <v>97</v>
      </c>
      <c r="AL285" s="5" t="s">
        <v>97</v>
      </c>
      <c r="AM285" s="5" t="s">
        <v>103</v>
      </c>
      <c r="AN285" s="5" t="s">
        <v>103</v>
      </c>
      <c r="AO285" s="5" t="s">
        <v>97</v>
      </c>
      <c r="AP285" s="5" t="s">
        <v>103</v>
      </c>
      <c r="AQ285" s="5" t="s">
        <v>97</v>
      </c>
      <c r="AR285" s="5" t="s">
        <v>97</v>
      </c>
      <c r="AS285" s="5" t="s">
        <v>103</v>
      </c>
      <c r="AT285" s="5"/>
      <c r="AU285" s="5"/>
      <c r="AV285" s="4" t="s">
        <v>103</v>
      </c>
      <c r="AW285" s="4" t="s">
        <v>97</v>
      </c>
      <c r="AX285" s="4" t="s">
        <v>97</v>
      </c>
      <c r="AY285" s="4" t="s">
        <v>97</v>
      </c>
      <c r="AZ285" s="4" t="s">
        <v>103</v>
      </c>
      <c r="BA285" s="4" t="s">
        <v>97</v>
      </c>
      <c r="BB285" s="5">
        <v>45941</v>
      </c>
      <c r="BC285" s="5">
        <v>45942</v>
      </c>
      <c r="BD285" s="5">
        <v>45942</v>
      </c>
      <c r="BE285" s="5">
        <v>45943</v>
      </c>
      <c r="BF285" s="4" t="s">
        <v>98</v>
      </c>
      <c r="BG285" s="4" t="s">
        <v>103</v>
      </c>
      <c r="BH285" s="4" t="s">
        <v>103</v>
      </c>
      <c r="BI285" s="4" t="s">
        <v>834</v>
      </c>
    </row>
    <row r="286" spans="1:61" x14ac:dyDescent="0.35">
      <c r="A286" s="8" t="str">
        <f t="shared" si="27"/>
        <v>Semaine 40-2025</v>
      </c>
      <c r="B286" s="8" t="str">
        <f t="shared" si="23"/>
        <v>2025</v>
      </c>
      <c r="C286" s="2" t="s">
        <v>18</v>
      </c>
      <c r="D286" s="6" t="str">
        <f t="shared" si="24"/>
        <v>Dakar</v>
      </c>
      <c r="E286" s="6">
        <f t="shared" si="25"/>
        <v>419489</v>
      </c>
      <c r="F286" s="6">
        <f t="shared" si="26"/>
        <v>4042240</v>
      </c>
      <c r="G286" s="4" t="s">
        <v>828</v>
      </c>
      <c r="H286" s="4" t="s">
        <v>835</v>
      </c>
      <c r="I286" s="4">
        <v>65</v>
      </c>
      <c r="J286" s="4" t="s">
        <v>96</v>
      </c>
      <c r="K286" s="4"/>
      <c r="L286" s="4"/>
      <c r="M286" s="4"/>
      <c r="N286" s="4"/>
      <c r="O286" s="4" t="s">
        <v>238</v>
      </c>
      <c r="P286" s="4" t="s">
        <v>97</v>
      </c>
      <c r="Q286" s="4" t="s">
        <v>97</v>
      </c>
      <c r="R286" s="14" t="s">
        <v>100</v>
      </c>
      <c r="S286" s="14" t="s">
        <v>100</v>
      </c>
      <c r="T286" s="14" t="s">
        <v>100</v>
      </c>
      <c r="U286" s="8"/>
      <c r="V286" s="14"/>
      <c r="W286" s="14"/>
      <c r="X286" s="14"/>
      <c r="Y286" s="5">
        <v>45933</v>
      </c>
      <c r="Z286" s="5">
        <v>45941</v>
      </c>
      <c r="AA286" s="5" t="s">
        <v>103</v>
      </c>
      <c r="AB286" s="5" t="s">
        <v>509</v>
      </c>
      <c r="AC286" s="5" t="s">
        <v>97</v>
      </c>
      <c r="AD286" s="5" t="s">
        <v>103</v>
      </c>
      <c r="AE286" s="5" t="s">
        <v>97</v>
      </c>
      <c r="AF286" s="5" t="s">
        <v>103</v>
      </c>
      <c r="AG286" s="5" t="s">
        <v>103</v>
      </c>
      <c r="AH286" s="5" t="s">
        <v>103</v>
      </c>
      <c r="AI286" s="5">
        <v>45933</v>
      </c>
      <c r="AJ286" s="5" t="s">
        <v>97</v>
      </c>
      <c r="AK286" s="5" t="s">
        <v>103</v>
      </c>
      <c r="AL286" s="5" t="s">
        <v>97</v>
      </c>
      <c r="AM286" s="5" t="s">
        <v>97</v>
      </c>
      <c r="AN286" s="5" t="s">
        <v>103</v>
      </c>
      <c r="AO286" s="5" t="s">
        <v>97</v>
      </c>
      <c r="AP286" s="5" t="s">
        <v>97</v>
      </c>
      <c r="AQ286" s="5" t="s">
        <v>97</v>
      </c>
      <c r="AR286" s="5" t="s">
        <v>97</v>
      </c>
      <c r="AS286" s="5" t="s">
        <v>103</v>
      </c>
      <c r="AT286" s="5"/>
      <c r="AU286" s="5"/>
      <c r="AV286" s="4" t="s">
        <v>103</v>
      </c>
      <c r="AW286" s="4" t="s">
        <v>97</v>
      </c>
      <c r="AX286" s="4" t="s">
        <v>97</v>
      </c>
      <c r="AY286" s="4" t="s">
        <v>97</v>
      </c>
      <c r="AZ286" s="4" t="s">
        <v>103</v>
      </c>
      <c r="BA286" s="4" t="s">
        <v>97</v>
      </c>
      <c r="BB286" s="5">
        <v>45941</v>
      </c>
      <c r="BC286" s="5">
        <v>45942</v>
      </c>
      <c r="BD286" s="5">
        <v>45942</v>
      </c>
      <c r="BE286" s="5">
        <v>45943</v>
      </c>
      <c r="BF286" s="4" t="s">
        <v>98</v>
      </c>
      <c r="BG286" s="4" t="s">
        <v>97</v>
      </c>
      <c r="BH286" s="4" t="s">
        <v>103</v>
      </c>
      <c r="BI286" s="4" t="s">
        <v>834</v>
      </c>
    </row>
    <row r="287" spans="1:61" x14ac:dyDescent="0.35">
      <c r="A287" s="8" t="str">
        <f t="shared" si="27"/>
        <v>Semaine 41-2025</v>
      </c>
      <c r="B287" s="8" t="str">
        <f t="shared" si="23"/>
        <v>2025</v>
      </c>
      <c r="C287" s="2" t="s">
        <v>18</v>
      </c>
      <c r="D287" s="6" t="str">
        <f t="shared" si="24"/>
        <v>Dakar</v>
      </c>
      <c r="E287" s="6">
        <f t="shared" si="25"/>
        <v>419489</v>
      </c>
      <c r="F287" s="6">
        <f t="shared" si="26"/>
        <v>4042240</v>
      </c>
      <c r="G287" s="4" t="s">
        <v>829</v>
      </c>
      <c r="H287" s="4" t="s">
        <v>836</v>
      </c>
      <c r="I287" s="4">
        <v>23</v>
      </c>
      <c r="J287" s="4" t="s">
        <v>114</v>
      </c>
      <c r="K287" s="4"/>
      <c r="L287" s="4"/>
      <c r="M287" s="4"/>
      <c r="N287" s="4"/>
      <c r="O287" s="4" t="s">
        <v>238</v>
      </c>
      <c r="P287" s="4" t="s">
        <v>97</v>
      </c>
      <c r="Q287" s="4" t="s">
        <v>97</v>
      </c>
      <c r="R287" s="14" t="s">
        <v>100</v>
      </c>
      <c r="S287" s="14" t="s">
        <v>100</v>
      </c>
      <c r="T287" s="14" t="s">
        <v>100</v>
      </c>
      <c r="U287" s="8"/>
      <c r="V287" s="14"/>
      <c r="W287" s="14"/>
      <c r="X287" s="14"/>
      <c r="Y287" s="5">
        <v>45940</v>
      </c>
      <c r="Z287" s="5">
        <v>45942</v>
      </c>
      <c r="AA287" s="4" t="s">
        <v>103</v>
      </c>
      <c r="AB287" s="4"/>
      <c r="AC287" s="4" t="s">
        <v>103</v>
      </c>
      <c r="AD287" s="4" t="s">
        <v>103</v>
      </c>
      <c r="AE287" s="4" t="s">
        <v>97</v>
      </c>
      <c r="AF287" s="4" t="s">
        <v>97</v>
      </c>
      <c r="AG287" s="4" t="s">
        <v>97</v>
      </c>
      <c r="AH287" s="5" t="s">
        <v>103</v>
      </c>
      <c r="AI287" s="5">
        <v>45940</v>
      </c>
      <c r="AJ287" s="4" t="s">
        <v>97</v>
      </c>
      <c r="AK287" s="4" t="s">
        <v>97</v>
      </c>
      <c r="AL287" s="4" t="s">
        <v>97</v>
      </c>
      <c r="AM287" s="4" t="s">
        <v>103</v>
      </c>
      <c r="AN287" s="4" t="s">
        <v>103</v>
      </c>
      <c r="AO287" s="4" t="s">
        <v>97</v>
      </c>
      <c r="AP287" s="4" t="s">
        <v>97</v>
      </c>
      <c r="AQ287" s="4" t="s">
        <v>97</v>
      </c>
      <c r="AR287" s="4" t="s">
        <v>97</v>
      </c>
      <c r="AS287" s="4" t="s">
        <v>103</v>
      </c>
      <c r="AT287" s="4"/>
      <c r="AU287" s="4"/>
      <c r="AV287" s="4" t="s">
        <v>103</v>
      </c>
      <c r="AW287" s="4" t="s">
        <v>97</v>
      </c>
      <c r="AX287" s="4" t="s">
        <v>97</v>
      </c>
      <c r="AY287" s="4" t="s">
        <v>97</v>
      </c>
      <c r="AZ287" s="4" t="s">
        <v>103</v>
      </c>
      <c r="BA287" s="4" t="s">
        <v>97</v>
      </c>
      <c r="BB287" s="5">
        <v>45942</v>
      </c>
      <c r="BC287" s="5">
        <v>45942</v>
      </c>
      <c r="BD287" s="5">
        <v>45943</v>
      </c>
      <c r="BE287" s="5">
        <v>45943</v>
      </c>
      <c r="BF287" s="4" t="s">
        <v>98</v>
      </c>
      <c r="BG287" s="4" t="s">
        <v>97</v>
      </c>
      <c r="BH287" s="4" t="s">
        <v>103</v>
      </c>
      <c r="BI287" s="4" t="s">
        <v>834</v>
      </c>
    </row>
    <row r="288" spans="1:61" x14ac:dyDescent="0.35">
      <c r="A288" s="8" t="str">
        <f t="shared" si="27"/>
        <v>Semaine 41-2025</v>
      </c>
      <c r="B288" s="8" t="str">
        <f t="shared" si="23"/>
        <v>2025</v>
      </c>
      <c r="C288" s="2" t="s">
        <v>31</v>
      </c>
      <c r="D288" s="6" t="str">
        <f t="shared" si="24"/>
        <v>Dakar</v>
      </c>
      <c r="E288" s="6">
        <f t="shared" si="25"/>
        <v>424760</v>
      </c>
      <c r="F288" s="6">
        <f t="shared" si="26"/>
        <v>4042240</v>
      </c>
      <c r="G288" s="4" t="s">
        <v>830</v>
      </c>
      <c r="H288" s="4" t="s">
        <v>837</v>
      </c>
      <c r="I288" s="4">
        <v>1</v>
      </c>
      <c r="J288" s="4" t="s">
        <v>114</v>
      </c>
      <c r="K288" s="4"/>
      <c r="L288" s="4"/>
      <c r="M288" s="4"/>
      <c r="N288" s="4"/>
      <c r="O288" s="4" t="s">
        <v>238</v>
      </c>
      <c r="P288" s="4" t="s">
        <v>97</v>
      </c>
      <c r="Q288" s="4" t="s">
        <v>97</v>
      </c>
      <c r="R288" s="14" t="s">
        <v>100</v>
      </c>
      <c r="S288" s="14" t="s">
        <v>100</v>
      </c>
      <c r="T288" s="14" t="s">
        <v>100</v>
      </c>
      <c r="U288" s="8"/>
      <c r="V288" s="14"/>
      <c r="W288" s="14"/>
      <c r="X288" s="14"/>
      <c r="Y288" s="5">
        <v>45940</v>
      </c>
      <c r="Z288" s="5">
        <v>45941</v>
      </c>
      <c r="AA288" s="4" t="s">
        <v>97</v>
      </c>
      <c r="AB288" s="4" t="s">
        <v>396</v>
      </c>
      <c r="AC288" s="4" t="s">
        <v>97</v>
      </c>
      <c r="AD288" s="4" t="s">
        <v>97</v>
      </c>
      <c r="AE288" s="4" t="s">
        <v>97</v>
      </c>
      <c r="AF288" s="4" t="s">
        <v>97</v>
      </c>
      <c r="AG288" s="4" t="s">
        <v>97</v>
      </c>
      <c r="AH288" s="5" t="s">
        <v>103</v>
      </c>
      <c r="AI288" s="5">
        <v>45940</v>
      </c>
      <c r="AJ288" s="4" t="s">
        <v>97</v>
      </c>
      <c r="AK288" s="4" t="s">
        <v>103</v>
      </c>
      <c r="AL288" s="4" t="s">
        <v>97</v>
      </c>
      <c r="AM288" s="4" t="s">
        <v>97</v>
      </c>
      <c r="AN288" s="4" t="s">
        <v>103</v>
      </c>
      <c r="AO288" s="4" t="s">
        <v>97</v>
      </c>
      <c r="AP288" s="4" t="s">
        <v>97</v>
      </c>
      <c r="AQ288" s="4" t="s">
        <v>97</v>
      </c>
      <c r="AR288" s="4" t="s">
        <v>97</v>
      </c>
      <c r="AS288" s="4" t="s">
        <v>103</v>
      </c>
      <c r="AT288" s="4"/>
      <c r="AU288" s="4"/>
      <c r="AV288" s="4" t="s">
        <v>103</v>
      </c>
      <c r="AW288" s="4" t="s">
        <v>97</v>
      </c>
      <c r="AX288" s="4" t="s">
        <v>97</v>
      </c>
      <c r="AY288" s="4" t="s">
        <v>97</v>
      </c>
      <c r="AZ288" s="4" t="s">
        <v>103</v>
      </c>
      <c r="BA288" s="4" t="s">
        <v>97</v>
      </c>
      <c r="BB288" s="5">
        <v>45941</v>
      </c>
      <c r="BC288" s="5">
        <v>45941</v>
      </c>
      <c r="BD288" s="5">
        <v>45942</v>
      </c>
      <c r="BE288" s="5">
        <v>45943</v>
      </c>
      <c r="BF288" s="4" t="s">
        <v>98</v>
      </c>
      <c r="BG288" s="4" t="s">
        <v>97</v>
      </c>
      <c r="BH288" s="4" t="s">
        <v>103</v>
      </c>
      <c r="BI288" s="4" t="s">
        <v>834</v>
      </c>
    </row>
    <row r="289" spans="1:61" x14ac:dyDescent="0.35">
      <c r="A289" s="8" t="str">
        <f t="shared" si="27"/>
        <v>Semaine 41-2025</v>
      </c>
      <c r="B289" s="8" t="str">
        <f t="shared" si="23"/>
        <v>2025</v>
      </c>
      <c r="C289" s="2" t="s">
        <v>18</v>
      </c>
      <c r="D289" s="6" t="str">
        <f t="shared" si="24"/>
        <v>Dakar</v>
      </c>
      <c r="E289" s="6">
        <f t="shared" si="25"/>
        <v>419489</v>
      </c>
      <c r="F289" s="6">
        <f t="shared" si="26"/>
        <v>4042240</v>
      </c>
      <c r="G289" s="4" t="s">
        <v>831</v>
      </c>
      <c r="H289" s="4" t="s">
        <v>839</v>
      </c>
      <c r="I289" s="4">
        <v>1</v>
      </c>
      <c r="J289" s="4" t="s">
        <v>114</v>
      </c>
      <c r="K289" s="4"/>
      <c r="L289" s="4"/>
      <c r="M289" s="4"/>
      <c r="N289" s="4"/>
      <c r="O289" s="4" t="s">
        <v>238</v>
      </c>
      <c r="P289" s="4" t="s">
        <v>97</v>
      </c>
      <c r="Q289" s="4" t="s">
        <v>97</v>
      </c>
      <c r="R289" s="14" t="s">
        <v>100</v>
      </c>
      <c r="S289" s="14" t="s">
        <v>100</v>
      </c>
      <c r="T289" s="14" t="s">
        <v>100</v>
      </c>
      <c r="U289" s="8"/>
      <c r="V289" s="14"/>
      <c r="W289" s="14"/>
      <c r="X289" s="14"/>
      <c r="Y289" s="5">
        <v>45941</v>
      </c>
      <c r="Z289" s="5">
        <v>45943</v>
      </c>
      <c r="AA289" s="4" t="s">
        <v>103</v>
      </c>
      <c r="AB289" s="4" t="s">
        <v>272</v>
      </c>
      <c r="AC289" s="4" t="s">
        <v>97</v>
      </c>
      <c r="AD289" s="4" t="s">
        <v>97</v>
      </c>
      <c r="AE289" s="4" t="s">
        <v>97</v>
      </c>
      <c r="AF289" s="4" t="s">
        <v>103</v>
      </c>
      <c r="AG289" s="4" t="s">
        <v>97</v>
      </c>
      <c r="AH289" s="5" t="s">
        <v>103</v>
      </c>
      <c r="AI289" s="5">
        <v>45941</v>
      </c>
      <c r="AJ289" s="4" t="s">
        <v>97</v>
      </c>
      <c r="AK289" s="4" t="s">
        <v>97</v>
      </c>
      <c r="AL289" s="4" t="s">
        <v>97</v>
      </c>
      <c r="AM289" s="4" t="s">
        <v>97</v>
      </c>
      <c r="AN289" s="4" t="s">
        <v>103</v>
      </c>
      <c r="AO289" s="4" t="s">
        <v>97</v>
      </c>
      <c r="AP289" s="4" t="s">
        <v>97</v>
      </c>
      <c r="AQ289" s="4" t="s">
        <v>97</v>
      </c>
      <c r="AR289" s="4" t="s">
        <v>103</v>
      </c>
      <c r="AS289" s="4" t="s">
        <v>97</v>
      </c>
      <c r="AT289" s="4"/>
      <c r="AU289" s="4"/>
      <c r="AV289" s="4" t="s">
        <v>103</v>
      </c>
      <c r="AW289" s="4" t="s">
        <v>97</v>
      </c>
      <c r="AX289" s="4" t="s">
        <v>97</v>
      </c>
      <c r="AY289" s="4" t="s">
        <v>97</v>
      </c>
      <c r="AZ289" s="4" t="s">
        <v>103</v>
      </c>
      <c r="BA289" s="4" t="s">
        <v>97</v>
      </c>
      <c r="BB289" s="5">
        <v>45943</v>
      </c>
      <c r="BC289" s="5">
        <v>45943</v>
      </c>
      <c r="BD289" s="5">
        <v>45943</v>
      </c>
      <c r="BE289" s="5">
        <v>45943</v>
      </c>
      <c r="BF289" s="4" t="s">
        <v>98</v>
      </c>
      <c r="BG289" s="4" t="s">
        <v>97</v>
      </c>
      <c r="BH289" s="4" t="s">
        <v>103</v>
      </c>
      <c r="BI289" s="4" t="s">
        <v>834</v>
      </c>
    </row>
    <row r="290" spans="1:61" x14ac:dyDescent="0.35">
      <c r="A290" s="8" t="str">
        <f t="shared" si="27"/>
        <v>Semaine 41-2025</v>
      </c>
      <c r="B290" s="8" t="str">
        <f t="shared" si="23"/>
        <v>2025</v>
      </c>
      <c r="C290" s="2" t="s">
        <v>19</v>
      </c>
      <c r="D290" s="6" t="str">
        <f t="shared" si="24"/>
        <v>Dakar</v>
      </c>
      <c r="E290" s="6">
        <f t="shared" si="25"/>
        <v>565040</v>
      </c>
      <c r="F290" s="6">
        <f t="shared" si="26"/>
        <v>4042240</v>
      </c>
      <c r="G290" s="4" t="s">
        <v>838</v>
      </c>
      <c r="H290" s="4" t="s">
        <v>840</v>
      </c>
      <c r="I290" s="4">
        <v>3</v>
      </c>
      <c r="J290" s="4" t="s">
        <v>114</v>
      </c>
      <c r="K290" s="4"/>
      <c r="L290" s="4"/>
      <c r="M290" s="4"/>
      <c r="N290" s="4"/>
      <c r="O290" s="4" t="s">
        <v>238</v>
      </c>
      <c r="P290" s="4" t="s">
        <v>97</v>
      </c>
      <c r="Q290" s="4" t="s">
        <v>97</v>
      </c>
      <c r="R290" s="14" t="s">
        <v>100</v>
      </c>
      <c r="S290" s="14" t="s">
        <v>100</v>
      </c>
      <c r="T290" s="14" t="s">
        <v>100</v>
      </c>
      <c r="U290" s="8"/>
      <c r="V290" s="14"/>
      <c r="W290" s="14"/>
      <c r="X290" s="14"/>
      <c r="Y290" s="5">
        <v>45940</v>
      </c>
      <c r="Z290" s="5">
        <v>45942</v>
      </c>
      <c r="AA290" s="4" t="s">
        <v>103</v>
      </c>
      <c r="AB290" s="4" t="s">
        <v>272</v>
      </c>
      <c r="AC290" s="4" t="s">
        <v>97</v>
      </c>
      <c r="AD290" s="4" t="s">
        <v>97</v>
      </c>
      <c r="AE290" s="4" t="s">
        <v>97</v>
      </c>
      <c r="AF290" s="4" t="s">
        <v>97</v>
      </c>
      <c r="AG290" s="4" t="s">
        <v>97</v>
      </c>
      <c r="AH290" s="5" t="s">
        <v>103</v>
      </c>
      <c r="AI290" s="5">
        <v>45940</v>
      </c>
      <c r="AJ290" s="4" t="s">
        <v>97</v>
      </c>
      <c r="AK290" s="4" t="s">
        <v>97</v>
      </c>
      <c r="AL290" s="4" t="s">
        <v>97</v>
      </c>
      <c r="AM290" s="4" t="s">
        <v>103</v>
      </c>
      <c r="AN290" s="4" t="s">
        <v>103</v>
      </c>
      <c r="AO290" s="4" t="s">
        <v>97</v>
      </c>
      <c r="AP290" s="4" t="s">
        <v>97</v>
      </c>
      <c r="AQ290" s="4" t="s">
        <v>97</v>
      </c>
      <c r="AR290" s="4" t="s">
        <v>97</v>
      </c>
      <c r="AS290" s="4" t="s">
        <v>97</v>
      </c>
      <c r="AT290" s="4"/>
      <c r="AU290" s="4"/>
      <c r="AV290" s="4" t="s">
        <v>97</v>
      </c>
      <c r="AW290" s="4" t="s">
        <v>97</v>
      </c>
      <c r="AX290" s="4" t="s">
        <v>103</v>
      </c>
      <c r="AY290" s="4" t="s">
        <v>97</v>
      </c>
      <c r="AZ290" s="4" t="s">
        <v>97</v>
      </c>
      <c r="BA290" s="4" t="s">
        <v>97</v>
      </c>
      <c r="BB290" s="5">
        <v>45943</v>
      </c>
      <c r="BC290" s="5">
        <v>45943</v>
      </c>
      <c r="BD290" s="5">
        <v>45943</v>
      </c>
      <c r="BE290" s="5">
        <v>45943</v>
      </c>
      <c r="BF290" s="4" t="s">
        <v>98</v>
      </c>
      <c r="BG290" s="4" t="s">
        <v>97</v>
      </c>
      <c r="BH290" s="4" t="s">
        <v>103</v>
      </c>
      <c r="BI290" s="4" t="s">
        <v>834</v>
      </c>
    </row>
    <row r="291" spans="1:61" x14ac:dyDescent="0.35">
      <c r="A291" s="8" t="str">
        <f t="shared" si="27"/>
        <v>Semaine 41-2025</v>
      </c>
      <c r="B291" s="8" t="str">
        <f t="shared" si="23"/>
        <v>2025</v>
      </c>
      <c r="C291" s="2" t="s">
        <v>52</v>
      </c>
      <c r="D291" s="6" t="str">
        <f t="shared" si="24"/>
        <v>Kaolack</v>
      </c>
      <c r="E291" s="6">
        <f t="shared" si="25"/>
        <v>231613</v>
      </c>
      <c r="F291" s="6">
        <f t="shared" si="26"/>
        <v>1267013</v>
      </c>
      <c r="G291" s="4" t="s">
        <v>841</v>
      </c>
      <c r="H291" s="4" t="s">
        <v>853</v>
      </c>
      <c r="I291" s="4">
        <v>12</v>
      </c>
      <c r="J291" s="4" t="s">
        <v>114</v>
      </c>
      <c r="K291" s="4"/>
      <c r="L291" s="4"/>
      <c r="M291" s="4"/>
      <c r="N291" s="4"/>
      <c r="O291" s="4" t="s">
        <v>238</v>
      </c>
      <c r="P291" s="4" t="s">
        <v>97</v>
      </c>
      <c r="Q291" s="4" t="s">
        <v>97</v>
      </c>
      <c r="R291" s="14" t="s">
        <v>100</v>
      </c>
      <c r="S291" s="14" t="s">
        <v>100</v>
      </c>
      <c r="T291" s="14" t="s">
        <v>100</v>
      </c>
      <c r="U291" s="8"/>
      <c r="V291" s="14"/>
      <c r="W291" s="14"/>
      <c r="X291" s="14"/>
      <c r="Y291" s="5">
        <v>45939</v>
      </c>
      <c r="Z291" s="5">
        <v>45941</v>
      </c>
      <c r="AA291" s="4" t="s">
        <v>103</v>
      </c>
      <c r="AB291" s="4" t="s">
        <v>387</v>
      </c>
      <c r="AC291" s="4" t="s">
        <v>97</v>
      </c>
      <c r="AD291" s="4" t="s">
        <v>103</v>
      </c>
      <c r="AE291" s="4" t="s">
        <v>97</v>
      </c>
      <c r="AF291" s="4" t="s">
        <v>103</v>
      </c>
      <c r="AG291" s="4" t="s">
        <v>97</v>
      </c>
      <c r="AH291" s="5" t="s">
        <v>103</v>
      </c>
      <c r="AI291" s="5">
        <v>45940</v>
      </c>
      <c r="AJ291" s="4" t="s">
        <v>97</v>
      </c>
      <c r="AK291" s="4" t="s">
        <v>97</v>
      </c>
      <c r="AL291" s="4" t="s">
        <v>103</v>
      </c>
      <c r="AM291" s="4" t="s">
        <v>97</v>
      </c>
      <c r="AN291" s="4" t="s">
        <v>103</v>
      </c>
      <c r="AO291" s="4" t="s">
        <v>97</v>
      </c>
      <c r="AP291" s="4" t="s">
        <v>97</v>
      </c>
      <c r="AQ291" s="4" t="s">
        <v>97</v>
      </c>
      <c r="AR291" s="4" t="s">
        <v>97</v>
      </c>
      <c r="AS291" s="4" t="s">
        <v>97</v>
      </c>
      <c r="AT291" s="4"/>
      <c r="AU291" s="4"/>
      <c r="AV291" s="4" t="s">
        <v>103</v>
      </c>
      <c r="AW291" s="4" t="s">
        <v>103</v>
      </c>
      <c r="AX291" s="4" t="s">
        <v>97</v>
      </c>
      <c r="AY291" s="4" t="s">
        <v>97</v>
      </c>
      <c r="AZ291" s="4" t="s">
        <v>97</v>
      </c>
      <c r="BA291" s="4" t="s">
        <v>97</v>
      </c>
      <c r="BB291" s="5">
        <v>45942</v>
      </c>
      <c r="BC291" s="5">
        <v>45943</v>
      </c>
      <c r="BD291" s="5">
        <v>45943</v>
      </c>
      <c r="BE291" s="5">
        <v>45944</v>
      </c>
      <c r="BF291" s="4" t="s">
        <v>98</v>
      </c>
      <c r="BG291" s="4" t="s">
        <v>97</v>
      </c>
      <c r="BH291" s="4" t="s">
        <v>103</v>
      </c>
      <c r="BI291" s="4" t="s">
        <v>834</v>
      </c>
    </row>
    <row r="292" spans="1:61" x14ac:dyDescent="0.35">
      <c r="A292" s="8" t="str">
        <f t="shared" si="27"/>
        <v>Semaine 39-2025</v>
      </c>
      <c r="B292" s="8" t="str">
        <f t="shared" si="23"/>
        <v>2025</v>
      </c>
      <c r="C292" s="2" t="s">
        <v>8</v>
      </c>
      <c r="D292" s="6" t="str">
        <f t="shared" si="24"/>
        <v>Fatick</v>
      </c>
      <c r="E292" s="6">
        <f t="shared" si="25"/>
        <v>102630</v>
      </c>
      <c r="F292" s="6">
        <f t="shared" si="26"/>
        <v>965914</v>
      </c>
      <c r="G292" s="4" t="s">
        <v>842</v>
      </c>
      <c r="H292" s="4" t="s">
        <v>854</v>
      </c>
      <c r="I292" s="4">
        <v>5</v>
      </c>
      <c r="J292" s="4" t="s">
        <v>96</v>
      </c>
      <c r="K292" s="4"/>
      <c r="L292" s="4"/>
      <c r="M292" s="4"/>
      <c r="N292" s="4"/>
      <c r="O292" s="4" t="s">
        <v>238</v>
      </c>
      <c r="P292" s="4" t="s">
        <v>97</v>
      </c>
      <c r="Q292" s="4" t="s">
        <v>97</v>
      </c>
      <c r="R292" s="14" t="s">
        <v>100</v>
      </c>
      <c r="S292" s="14" t="s">
        <v>100</v>
      </c>
      <c r="T292" s="14" t="s">
        <v>100</v>
      </c>
      <c r="U292" s="8"/>
      <c r="V292" s="14"/>
      <c r="W292" s="14"/>
      <c r="X292" s="14"/>
      <c r="Y292" s="5">
        <v>45926</v>
      </c>
      <c r="Z292" s="5">
        <v>45940</v>
      </c>
      <c r="AA292" s="4" t="s">
        <v>97</v>
      </c>
      <c r="AB292" s="4" t="s">
        <v>419</v>
      </c>
      <c r="AC292" s="4" t="s">
        <v>97</v>
      </c>
      <c r="AD292" s="4" t="s">
        <v>97</v>
      </c>
      <c r="AE292" s="4" t="s">
        <v>97</v>
      </c>
      <c r="AF292" s="4" t="s">
        <v>97</v>
      </c>
      <c r="AG292" s="4" t="s">
        <v>97</v>
      </c>
      <c r="AH292" s="5" t="s">
        <v>103</v>
      </c>
      <c r="AI292" s="5">
        <v>45926</v>
      </c>
      <c r="AJ292" s="4" t="s">
        <v>97</v>
      </c>
      <c r="AK292" s="4" t="s">
        <v>97</v>
      </c>
      <c r="AL292" s="4" t="s">
        <v>103</v>
      </c>
      <c r="AM292" s="4" t="s">
        <v>103</v>
      </c>
      <c r="AN292" s="4" t="s">
        <v>103</v>
      </c>
      <c r="AO292" s="4" t="s">
        <v>97</v>
      </c>
      <c r="AP292" s="4" t="s">
        <v>103</v>
      </c>
      <c r="AQ292" s="4" t="s">
        <v>103</v>
      </c>
      <c r="AR292" s="4" t="s">
        <v>97</v>
      </c>
      <c r="AS292" s="4" t="s">
        <v>103</v>
      </c>
      <c r="AT292" s="4"/>
      <c r="AU292" s="4"/>
      <c r="AV292" s="4" t="s">
        <v>103</v>
      </c>
      <c r="AW292" s="4" t="s">
        <v>97</v>
      </c>
      <c r="AX292" s="4" t="s">
        <v>97</v>
      </c>
      <c r="AY292" s="4" t="s">
        <v>97</v>
      </c>
      <c r="AZ292" s="4" t="s">
        <v>97</v>
      </c>
      <c r="BA292" s="4" t="s">
        <v>97</v>
      </c>
      <c r="BB292" s="5">
        <v>45942</v>
      </c>
      <c r="BC292" s="5">
        <v>45943</v>
      </c>
      <c r="BD292" s="5">
        <v>45944</v>
      </c>
      <c r="BE292" s="5">
        <v>45944</v>
      </c>
      <c r="BF292" s="4" t="s">
        <v>98</v>
      </c>
      <c r="BG292" s="4" t="s">
        <v>97</v>
      </c>
      <c r="BH292" s="4" t="s">
        <v>103</v>
      </c>
      <c r="BI292" s="4" t="s">
        <v>834</v>
      </c>
    </row>
    <row r="293" spans="1:61" x14ac:dyDescent="0.35">
      <c r="A293" s="8" t="str">
        <f t="shared" si="27"/>
        <v>Semaine 40-2025</v>
      </c>
      <c r="B293" s="8" t="str">
        <f t="shared" si="23"/>
        <v>2025</v>
      </c>
      <c r="C293" s="2" t="s">
        <v>8</v>
      </c>
      <c r="D293" s="6" t="str">
        <f t="shared" si="24"/>
        <v>Fatick</v>
      </c>
      <c r="E293" s="6">
        <f t="shared" si="25"/>
        <v>102630</v>
      </c>
      <c r="F293" s="6">
        <f t="shared" si="26"/>
        <v>965914</v>
      </c>
      <c r="G293" s="4" t="s">
        <v>843</v>
      </c>
      <c r="H293" s="4" t="s">
        <v>855</v>
      </c>
      <c r="I293" s="22">
        <v>4</v>
      </c>
      <c r="J293" s="4" t="s">
        <v>96</v>
      </c>
      <c r="K293" s="4"/>
      <c r="L293" s="4"/>
      <c r="M293" s="4"/>
      <c r="N293" s="4"/>
      <c r="O293" s="4" t="s">
        <v>238</v>
      </c>
      <c r="P293" s="4" t="s">
        <v>97</v>
      </c>
      <c r="Q293" s="4" t="s">
        <v>97</v>
      </c>
      <c r="R293" s="14" t="s">
        <v>100</v>
      </c>
      <c r="S293" s="14" t="s">
        <v>100</v>
      </c>
      <c r="T293" s="14" t="s">
        <v>100</v>
      </c>
      <c r="U293" s="8" t="s">
        <v>282</v>
      </c>
      <c r="V293" s="14"/>
      <c r="W293" s="14"/>
      <c r="X293" s="14"/>
      <c r="Y293" s="5">
        <v>45930</v>
      </c>
      <c r="Z293" s="5">
        <v>45940</v>
      </c>
      <c r="AA293" s="4" t="s">
        <v>97</v>
      </c>
      <c r="AB293" s="4" t="s">
        <v>578</v>
      </c>
      <c r="AC293" s="4" t="s">
        <v>97</v>
      </c>
      <c r="AD293" s="4" t="s">
        <v>97</v>
      </c>
      <c r="AE293" s="4" t="s">
        <v>97</v>
      </c>
      <c r="AF293" s="4" t="s">
        <v>97</v>
      </c>
      <c r="AG293" s="4" t="s">
        <v>97</v>
      </c>
      <c r="AH293" s="5" t="s">
        <v>103</v>
      </c>
      <c r="AI293" s="5">
        <v>45931</v>
      </c>
      <c r="AJ293" s="4" t="s">
        <v>97</v>
      </c>
      <c r="AK293" s="4" t="s">
        <v>103</v>
      </c>
      <c r="AL293" s="4" t="s">
        <v>97</v>
      </c>
      <c r="AM293" s="4" t="s">
        <v>103</v>
      </c>
      <c r="AN293" s="4" t="s">
        <v>103</v>
      </c>
      <c r="AO293" s="4" t="s">
        <v>97</v>
      </c>
      <c r="AP293" s="4" t="s">
        <v>97</v>
      </c>
      <c r="AQ293" s="4" t="s">
        <v>103</v>
      </c>
      <c r="AR293" s="4" t="s">
        <v>97</v>
      </c>
      <c r="AS293" s="4" t="s">
        <v>97</v>
      </c>
      <c r="AT293" s="4"/>
      <c r="AU293" s="4"/>
      <c r="AV293" s="4" t="s">
        <v>103</v>
      </c>
      <c r="AW293" s="4" t="s">
        <v>97</v>
      </c>
      <c r="AX293" s="4" t="s">
        <v>97</v>
      </c>
      <c r="AY293" s="4" t="s">
        <v>97</v>
      </c>
      <c r="AZ293" s="4" t="s">
        <v>97</v>
      </c>
      <c r="BA293" s="4" t="s">
        <v>97</v>
      </c>
      <c r="BB293" s="5">
        <v>45942</v>
      </c>
      <c r="BC293" s="5">
        <v>45943</v>
      </c>
      <c r="BD293" s="5">
        <v>45944</v>
      </c>
      <c r="BE293" s="5">
        <v>45944</v>
      </c>
      <c r="BF293" s="4" t="s">
        <v>98</v>
      </c>
      <c r="BG293" s="4" t="s">
        <v>97</v>
      </c>
      <c r="BH293" s="4" t="s">
        <v>103</v>
      </c>
      <c r="BI293" s="4" t="s">
        <v>834</v>
      </c>
    </row>
    <row r="294" spans="1:61" x14ac:dyDescent="0.35">
      <c r="A294" s="8" t="str">
        <f t="shared" si="27"/>
        <v>Semaine 40-2025</v>
      </c>
      <c r="B294" s="8" t="str">
        <f t="shared" si="23"/>
        <v>2025</v>
      </c>
      <c r="C294" s="2" t="s">
        <v>8</v>
      </c>
      <c r="D294" s="6" t="str">
        <f t="shared" si="24"/>
        <v>Fatick</v>
      </c>
      <c r="E294" s="6">
        <f t="shared" si="25"/>
        <v>102630</v>
      </c>
      <c r="F294" s="6">
        <f t="shared" si="26"/>
        <v>965914</v>
      </c>
      <c r="G294" s="4" t="s">
        <v>844</v>
      </c>
      <c r="H294" s="4" t="s">
        <v>856</v>
      </c>
      <c r="I294" s="22">
        <v>4</v>
      </c>
      <c r="J294" s="4" t="s">
        <v>96</v>
      </c>
      <c r="K294" s="4"/>
      <c r="L294" s="4"/>
      <c r="M294" s="4"/>
      <c r="N294" s="4"/>
      <c r="O294" s="4" t="s">
        <v>238</v>
      </c>
      <c r="P294" s="4" t="s">
        <v>97</v>
      </c>
      <c r="Q294" s="4" t="s">
        <v>97</v>
      </c>
      <c r="R294" s="14" t="s">
        <v>100</v>
      </c>
      <c r="S294" s="14" t="s">
        <v>100</v>
      </c>
      <c r="T294" s="14" t="s">
        <v>100</v>
      </c>
      <c r="U294" s="8" t="s">
        <v>327</v>
      </c>
      <c r="V294" s="14" t="s">
        <v>282</v>
      </c>
      <c r="W294" s="14"/>
      <c r="X294" s="14"/>
      <c r="Y294" s="5">
        <v>45931</v>
      </c>
      <c r="Z294" s="5">
        <v>45940</v>
      </c>
      <c r="AA294" s="4" t="s">
        <v>97</v>
      </c>
      <c r="AB294" s="4" t="s">
        <v>857</v>
      </c>
      <c r="AC294" s="4" t="s">
        <v>97</v>
      </c>
      <c r="AD294" s="4" t="s">
        <v>97</v>
      </c>
      <c r="AE294" s="4" t="s">
        <v>97</v>
      </c>
      <c r="AF294" s="4" t="s">
        <v>97</v>
      </c>
      <c r="AG294" s="4" t="s">
        <v>97</v>
      </c>
      <c r="AH294" s="5" t="s">
        <v>103</v>
      </c>
      <c r="AI294" s="5">
        <v>45931</v>
      </c>
      <c r="AJ294" s="4" t="s">
        <v>97</v>
      </c>
      <c r="AK294" s="4" t="s">
        <v>97</v>
      </c>
      <c r="AL294" s="4" t="s">
        <v>103</v>
      </c>
      <c r="AM294" s="4" t="s">
        <v>103</v>
      </c>
      <c r="AN294" s="4" t="s">
        <v>103</v>
      </c>
      <c r="AO294" s="4" t="s">
        <v>97</v>
      </c>
      <c r="AP294" s="4" t="s">
        <v>103</v>
      </c>
      <c r="AQ294" s="4" t="s">
        <v>103</v>
      </c>
      <c r="AR294" s="4" t="s">
        <v>97</v>
      </c>
      <c r="AS294" s="4" t="s">
        <v>97</v>
      </c>
      <c r="AT294" s="4"/>
      <c r="AU294" s="4"/>
      <c r="AV294" s="4" t="s">
        <v>103</v>
      </c>
      <c r="AW294" s="4" t="s">
        <v>97</v>
      </c>
      <c r="AX294" s="4" t="s">
        <v>97</v>
      </c>
      <c r="AY294" s="4" t="s">
        <v>97</v>
      </c>
      <c r="AZ294" s="4" t="s">
        <v>97</v>
      </c>
      <c r="BA294" s="4" t="s">
        <v>97</v>
      </c>
      <c r="BB294" s="5">
        <v>45942</v>
      </c>
      <c r="BC294" s="5">
        <v>45943</v>
      </c>
      <c r="BD294" s="5">
        <v>45944</v>
      </c>
      <c r="BE294" s="5">
        <v>45944</v>
      </c>
      <c r="BF294" s="4" t="s">
        <v>98</v>
      </c>
      <c r="BG294" s="4" t="s">
        <v>97</v>
      </c>
      <c r="BH294" s="4" t="s">
        <v>103</v>
      </c>
      <c r="BI294" s="4" t="s">
        <v>834</v>
      </c>
    </row>
    <row r="295" spans="1:61" x14ac:dyDescent="0.35">
      <c r="A295" s="8" t="str">
        <f t="shared" si="27"/>
        <v>Semaine 40-2025</v>
      </c>
      <c r="B295" s="8" t="str">
        <f t="shared" si="23"/>
        <v>2025</v>
      </c>
      <c r="C295" s="2" t="s">
        <v>8</v>
      </c>
      <c r="D295" s="6" t="str">
        <f t="shared" si="24"/>
        <v>Fatick</v>
      </c>
      <c r="E295" s="6">
        <f t="shared" si="25"/>
        <v>102630</v>
      </c>
      <c r="F295" s="6">
        <f t="shared" si="26"/>
        <v>965914</v>
      </c>
      <c r="G295" s="4" t="s">
        <v>845</v>
      </c>
      <c r="H295" s="4" t="s">
        <v>858</v>
      </c>
      <c r="I295" s="4">
        <v>35</v>
      </c>
      <c r="J295" s="4" t="s">
        <v>96</v>
      </c>
      <c r="K295" s="4"/>
      <c r="L295" s="4"/>
      <c r="M295" s="4"/>
      <c r="N295" s="4"/>
      <c r="O295" s="4" t="s">
        <v>238</v>
      </c>
      <c r="P295" s="4" t="s">
        <v>97</v>
      </c>
      <c r="Q295" s="4" t="s">
        <v>97</v>
      </c>
      <c r="R295" s="14" t="s">
        <v>100</v>
      </c>
      <c r="S295" s="14" t="s">
        <v>100</v>
      </c>
      <c r="T295" s="14" t="s">
        <v>100</v>
      </c>
      <c r="U295" s="8"/>
      <c r="V295" s="14"/>
      <c r="W295" s="14"/>
      <c r="X295" s="14"/>
      <c r="Y295" s="5">
        <v>45931</v>
      </c>
      <c r="Z295" s="5">
        <v>45940</v>
      </c>
      <c r="AA295" s="4" t="s">
        <v>97</v>
      </c>
      <c r="AB295" s="4"/>
      <c r="AC295" s="4" t="s">
        <v>103</v>
      </c>
      <c r="AD295" s="4" t="s">
        <v>97</v>
      </c>
      <c r="AE295" s="4" t="s">
        <v>97</v>
      </c>
      <c r="AF295" s="4" t="s">
        <v>103</v>
      </c>
      <c r="AG295" s="4" t="s">
        <v>97</v>
      </c>
      <c r="AH295" s="5" t="s">
        <v>103</v>
      </c>
      <c r="AI295" s="5">
        <v>45931</v>
      </c>
      <c r="AJ295" s="4" t="s">
        <v>97</v>
      </c>
      <c r="AK295" s="4" t="s">
        <v>103</v>
      </c>
      <c r="AL295" s="4" t="s">
        <v>97</v>
      </c>
      <c r="AM295" s="4" t="s">
        <v>103</v>
      </c>
      <c r="AN295" s="4" t="s">
        <v>103</v>
      </c>
      <c r="AO295" s="4" t="s">
        <v>97</v>
      </c>
      <c r="AP295" s="4" t="s">
        <v>103</v>
      </c>
      <c r="AQ295" s="4" t="s">
        <v>103</v>
      </c>
      <c r="AR295" s="4" t="s">
        <v>97</v>
      </c>
      <c r="AS295" s="4" t="s">
        <v>97</v>
      </c>
      <c r="AT295" s="4"/>
      <c r="AU295" s="4"/>
      <c r="AV295" s="4" t="s">
        <v>103</v>
      </c>
      <c r="AW295" s="4" t="s">
        <v>97</v>
      </c>
      <c r="AX295" s="4" t="s">
        <v>97</v>
      </c>
      <c r="AY295" s="4" t="s">
        <v>97</v>
      </c>
      <c r="AZ295" s="4" t="s">
        <v>97</v>
      </c>
      <c r="BA295" s="4" t="s">
        <v>97</v>
      </c>
      <c r="BB295" s="5">
        <v>45942</v>
      </c>
      <c r="BC295" s="5">
        <v>45943</v>
      </c>
      <c r="BD295" s="5">
        <v>45944</v>
      </c>
      <c r="BE295" s="5">
        <v>45944</v>
      </c>
      <c r="BF295" s="4" t="s">
        <v>98</v>
      </c>
      <c r="BG295" s="4" t="s">
        <v>97</v>
      </c>
      <c r="BH295" s="4" t="s">
        <v>103</v>
      </c>
      <c r="BI295" s="4" t="s">
        <v>834</v>
      </c>
    </row>
    <row r="296" spans="1:61" x14ac:dyDescent="0.35">
      <c r="A296" s="8" t="str">
        <f t="shared" si="27"/>
        <v>Semaine 40-2025</v>
      </c>
      <c r="B296" s="8" t="str">
        <f t="shared" si="23"/>
        <v>2025</v>
      </c>
      <c r="C296" s="2" t="s">
        <v>8</v>
      </c>
      <c r="D296" s="6" t="str">
        <f t="shared" si="24"/>
        <v>Fatick</v>
      </c>
      <c r="E296" s="6">
        <f t="shared" si="25"/>
        <v>102630</v>
      </c>
      <c r="F296" s="6">
        <f t="shared" si="26"/>
        <v>965914</v>
      </c>
      <c r="G296" s="4" t="s">
        <v>846</v>
      </c>
      <c r="H296" s="4" t="s">
        <v>859</v>
      </c>
      <c r="I296" s="4">
        <v>5</v>
      </c>
      <c r="J296" s="4" t="s">
        <v>96</v>
      </c>
      <c r="K296" s="4"/>
      <c r="L296" s="4"/>
      <c r="M296" s="4"/>
      <c r="N296" s="4"/>
      <c r="O296" s="4" t="s">
        <v>238</v>
      </c>
      <c r="P296" s="4" t="s">
        <v>97</v>
      </c>
      <c r="Q296" s="4" t="s">
        <v>97</v>
      </c>
      <c r="R296" s="14" t="s">
        <v>100</v>
      </c>
      <c r="S296" s="14" t="s">
        <v>100</v>
      </c>
      <c r="T296" s="14" t="s">
        <v>100</v>
      </c>
      <c r="U296" s="8"/>
      <c r="V296" s="14"/>
      <c r="W296" s="14"/>
      <c r="X296" s="14"/>
      <c r="Y296" s="5">
        <v>45931</v>
      </c>
      <c r="Z296" s="5">
        <v>45940</v>
      </c>
      <c r="AA296" s="4" t="s">
        <v>97</v>
      </c>
      <c r="AB296" s="4" t="s">
        <v>578</v>
      </c>
      <c r="AC296" s="4" t="s">
        <v>97</v>
      </c>
      <c r="AD296" s="4" t="s">
        <v>97</v>
      </c>
      <c r="AE296" s="4" t="s">
        <v>97</v>
      </c>
      <c r="AF296" s="4" t="s">
        <v>97</v>
      </c>
      <c r="AG296" s="4" t="s">
        <v>97</v>
      </c>
      <c r="AH296" s="5" t="s">
        <v>103</v>
      </c>
      <c r="AI296" s="5">
        <v>45931</v>
      </c>
      <c r="AJ296" s="4" t="s">
        <v>97</v>
      </c>
      <c r="AK296" s="4" t="s">
        <v>97</v>
      </c>
      <c r="AL296" s="4" t="s">
        <v>103</v>
      </c>
      <c r="AM296" s="4" t="s">
        <v>103</v>
      </c>
      <c r="AN296" s="4" t="s">
        <v>103</v>
      </c>
      <c r="AO296" s="4" t="s">
        <v>97</v>
      </c>
      <c r="AP296" s="4" t="s">
        <v>103</v>
      </c>
      <c r="AQ296" s="4" t="s">
        <v>103</v>
      </c>
      <c r="AR296" s="4" t="s">
        <v>97</v>
      </c>
      <c r="AS296" s="4" t="s">
        <v>97</v>
      </c>
      <c r="AT296" s="4" t="s">
        <v>641</v>
      </c>
      <c r="AU296" s="4"/>
      <c r="AV296" s="4" t="s">
        <v>103</v>
      </c>
      <c r="AW296" s="4" t="s">
        <v>97</v>
      </c>
      <c r="AX296" s="4" t="s">
        <v>97</v>
      </c>
      <c r="AY296" s="4" t="s">
        <v>97</v>
      </c>
      <c r="AZ296" s="4" t="s">
        <v>97</v>
      </c>
      <c r="BA296" s="4" t="s">
        <v>97</v>
      </c>
      <c r="BB296" s="5">
        <v>45942</v>
      </c>
      <c r="BC296" s="5">
        <v>45943</v>
      </c>
      <c r="BD296" s="5">
        <v>45944</v>
      </c>
      <c r="BE296" s="5">
        <v>45944</v>
      </c>
      <c r="BF296" s="4" t="s">
        <v>98</v>
      </c>
      <c r="BG296" s="4" t="s">
        <v>97</v>
      </c>
      <c r="BH296" s="4" t="s">
        <v>103</v>
      </c>
      <c r="BI296" s="4" t="s">
        <v>834</v>
      </c>
    </row>
    <row r="297" spans="1:61" x14ac:dyDescent="0.35">
      <c r="A297" s="8" t="str">
        <f t="shared" si="27"/>
        <v>Semaine 40-2025</v>
      </c>
      <c r="B297" s="8" t="str">
        <f t="shared" si="23"/>
        <v>2025</v>
      </c>
      <c r="C297" s="2" t="s">
        <v>8</v>
      </c>
      <c r="D297" s="6" t="str">
        <f t="shared" si="24"/>
        <v>Fatick</v>
      </c>
      <c r="E297" s="6">
        <f t="shared" si="25"/>
        <v>102630</v>
      </c>
      <c r="F297" s="6">
        <f t="shared" si="26"/>
        <v>965914</v>
      </c>
      <c r="G297" s="4" t="s">
        <v>847</v>
      </c>
      <c r="H297" s="4" t="s">
        <v>860</v>
      </c>
      <c r="I297" s="4">
        <v>5</v>
      </c>
      <c r="J297" s="4" t="s">
        <v>96</v>
      </c>
      <c r="K297" s="4"/>
      <c r="L297" s="4"/>
      <c r="M297" s="4"/>
      <c r="N297" s="4"/>
      <c r="O297" s="4" t="s">
        <v>238</v>
      </c>
      <c r="P297" s="4" t="s">
        <v>97</v>
      </c>
      <c r="Q297" s="4" t="s">
        <v>97</v>
      </c>
      <c r="R297" s="14" t="s">
        <v>100</v>
      </c>
      <c r="S297" s="14" t="s">
        <v>100</v>
      </c>
      <c r="T297" s="14" t="s">
        <v>100</v>
      </c>
      <c r="U297" s="8"/>
      <c r="V297" s="14"/>
      <c r="W297" s="14"/>
      <c r="X297" s="14"/>
      <c r="Y297" s="5">
        <v>45931</v>
      </c>
      <c r="Z297" s="5">
        <v>45940</v>
      </c>
      <c r="AA297" s="4" t="s">
        <v>97</v>
      </c>
      <c r="AB297" s="4" t="s">
        <v>537</v>
      </c>
      <c r="AC297" s="4" t="s">
        <v>97</v>
      </c>
      <c r="AD297" s="4" t="s">
        <v>97</v>
      </c>
      <c r="AE297" s="4" t="s">
        <v>97</v>
      </c>
      <c r="AF297" s="4" t="s">
        <v>97</v>
      </c>
      <c r="AG297" s="4" t="s">
        <v>97</v>
      </c>
      <c r="AH297" s="5" t="s">
        <v>103</v>
      </c>
      <c r="AI297" s="5">
        <v>45931</v>
      </c>
      <c r="AJ297" s="4" t="s">
        <v>97</v>
      </c>
      <c r="AK297" s="4" t="s">
        <v>97</v>
      </c>
      <c r="AL297" s="4" t="s">
        <v>103</v>
      </c>
      <c r="AM297" s="4" t="s">
        <v>103</v>
      </c>
      <c r="AN297" s="4" t="s">
        <v>103</v>
      </c>
      <c r="AO297" s="4" t="s">
        <v>97</v>
      </c>
      <c r="AP297" s="4" t="s">
        <v>103</v>
      </c>
      <c r="AQ297" s="4" t="s">
        <v>103</v>
      </c>
      <c r="AR297" s="4" t="s">
        <v>97</v>
      </c>
      <c r="AS297" s="4" t="s">
        <v>97</v>
      </c>
      <c r="AT297" s="4" t="s">
        <v>861</v>
      </c>
      <c r="AU297" s="4"/>
      <c r="AV297" s="4" t="s">
        <v>103</v>
      </c>
      <c r="AW297" s="4" t="s">
        <v>97</v>
      </c>
      <c r="AX297" s="4" t="s">
        <v>97</v>
      </c>
      <c r="AY297" s="4" t="s">
        <v>97</v>
      </c>
      <c r="AZ297" s="4" t="s">
        <v>97</v>
      </c>
      <c r="BA297" s="4" t="s">
        <v>97</v>
      </c>
      <c r="BB297" s="5">
        <v>45942</v>
      </c>
      <c r="BC297" s="5">
        <v>45943</v>
      </c>
      <c r="BD297" s="5">
        <v>45944</v>
      </c>
      <c r="BE297" s="5">
        <v>45944</v>
      </c>
      <c r="BF297" s="4" t="s">
        <v>98</v>
      </c>
      <c r="BG297" s="4" t="s">
        <v>97</v>
      </c>
      <c r="BH297" s="4" t="s">
        <v>103</v>
      </c>
      <c r="BI297" s="4" t="s">
        <v>834</v>
      </c>
    </row>
    <row r="298" spans="1:61" x14ac:dyDescent="0.35">
      <c r="A298" s="8" t="str">
        <f t="shared" si="27"/>
        <v>Semaine 40-2025</v>
      </c>
      <c r="B298" s="8" t="str">
        <f t="shared" si="23"/>
        <v>2025</v>
      </c>
      <c r="C298" s="2" t="s">
        <v>8</v>
      </c>
      <c r="D298" s="6" t="str">
        <f t="shared" si="24"/>
        <v>Fatick</v>
      </c>
      <c r="E298" s="6">
        <f t="shared" si="25"/>
        <v>102630</v>
      </c>
      <c r="F298" s="6">
        <f t="shared" si="26"/>
        <v>965914</v>
      </c>
      <c r="G298" s="4" t="s">
        <v>848</v>
      </c>
      <c r="H298" s="4" t="s">
        <v>862</v>
      </c>
      <c r="I298" s="4">
        <v>3</v>
      </c>
      <c r="J298" s="4" t="s">
        <v>96</v>
      </c>
      <c r="K298" s="4"/>
      <c r="L298" s="4"/>
      <c r="M298" s="4"/>
      <c r="N298" s="4"/>
      <c r="O298" s="4" t="s">
        <v>238</v>
      </c>
      <c r="P298" s="4" t="s">
        <v>97</v>
      </c>
      <c r="Q298" s="4" t="s">
        <v>97</v>
      </c>
      <c r="R298" s="14" t="s">
        <v>100</v>
      </c>
      <c r="S298" s="14" t="s">
        <v>100</v>
      </c>
      <c r="T298" s="14" t="s">
        <v>100</v>
      </c>
      <c r="U298" s="8" t="s">
        <v>327</v>
      </c>
      <c r="V298" s="14" t="s">
        <v>282</v>
      </c>
      <c r="W298" s="14"/>
      <c r="X298" s="14"/>
      <c r="Y298" s="5">
        <v>45930</v>
      </c>
      <c r="Z298" s="5">
        <v>45940</v>
      </c>
      <c r="AA298" s="4" t="s">
        <v>97</v>
      </c>
      <c r="AB298" s="4" t="s">
        <v>578</v>
      </c>
      <c r="AC298" s="4" t="s">
        <v>97</v>
      </c>
      <c r="AD298" s="4" t="s">
        <v>97</v>
      </c>
      <c r="AE298" s="4" t="s">
        <v>97</v>
      </c>
      <c r="AF298" s="4" t="s">
        <v>97</v>
      </c>
      <c r="AG298" s="4" t="s">
        <v>97</v>
      </c>
      <c r="AH298" s="5" t="s">
        <v>103</v>
      </c>
      <c r="AI298" s="5">
        <v>45930</v>
      </c>
      <c r="AJ298" s="4" t="s">
        <v>97</v>
      </c>
      <c r="AK298" s="4" t="s">
        <v>97</v>
      </c>
      <c r="AL298" s="4" t="s">
        <v>103</v>
      </c>
      <c r="AM298" s="4" t="s">
        <v>103</v>
      </c>
      <c r="AN298" s="4" t="s">
        <v>103</v>
      </c>
      <c r="AO298" s="4" t="s">
        <v>97</v>
      </c>
      <c r="AP298" s="4" t="s">
        <v>103</v>
      </c>
      <c r="AQ298" s="4" t="s">
        <v>103</v>
      </c>
      <c r="AR298" s="4" t="s">
        <v>97</v>
      </c>
      <c r="AS298" s="4" t="s">
        <v>97</v>
      </c>
      <c r="AT298" s="4"/>
      <c r="AU298" s="4"/>
      <c r="AV298" s="4" t="s">
        <v>103</v>
      </c>
      <c r="AW298" s="4" t="s">
        <v>97</v>
      </c>
      <c r="AX298" s="4" t="s">
        <v>97</v>
      </c>
      <c r="AY298" s="4" t="s">
        <v>97</v>
      </c>
      <c r="AZ298" s="4" t="s">
        <v>97</v>
      </c>
      <c r="BA298" s="4" t="s">
        <v>97</v>
      </c>
      <c r="BB298" s="5">
        <v>45942</v>
      </c>
      <c r="BC298" s="5">
        <v>45943</v>
      </c>
      <c r="BD298" s="5">
        <v>45944</v>
      </c>
      <c r="BE298" s="5">
        <v>45944</v>
      </c>
      <c r="BF298" s="4" t="s">
        <v>98</v>
      </c>
      <c r="BG298" s="4" t="s">
        <v>97</v>
      </c>
      <c r="BH298" s="4" t="s">
        <v>103</v>
      </c>
      <c r="BI298" s="4" t="s">
        <v>834</v>
      </c>
    </row>
    <row r="299" spans="1:61" x14ac:dyDescent="0.35">
      <c r="A299" s="8" t="str">
        <f t="shared" si="27"/>
        <v>Semaine 40-2025</v>
      </c>
      <c r="B299" s="8" t="str">
        <f t="shared" si="23"/>
        <v>2025</v>
      </c>
      <c r="C299" s="2" t="s">
        <v>8</v>
      </c>
      <c r="D299" s="6" t="str">
        <f t="shared" si="24"/>
        <v>Fatick</v>
      </c>
      <c r="E299" s="6">
        <f t="shared" si="25"/>
        <v>102630</v>
      </c>
      <c r="F299" s="6">
        <f t="shared" si="26"/>
        <v>965914</v>
      </c>
      <c r="G299" s="4" t="s">
        <v>849</v>
      </c>
      <c r="H299" s="4" t="s">
        <v>863</v>
      </c>
      <c r="I299" s="4">
        <v>2</v>
      </c>
      <c r="J299" s="4" t="s">
        <v>114</v>
      </c>
      <c r="K299" s="4"/>
      <c r="L299" s="4"/>
      <c r="M299" s="4"/>
      <c r="N299" s="4"/>
      <c r="O299" s="4" t="s">
        <v>238</v>
      </c>
      <c r="P299" s="4" t="s">
        <v>97</v>
      </c>
      <c r="Q299" s="4" t="s">
        <v>97</v>
      </c>
      <c r="R299" s="14" t="s">
        <v>100</v>
      </c>
      <c r="S299" s="14" t="s">
        <v>100</v>
      </c>
      <c r="T299" s="14" t="s">
        <v>100</v>
      </c>
      <c r="U299" s="8" t="s">
        <v>327</v>
      </c>
      <c r="V299" s="14" t="s">
        <v>282</v>
      </c>
      <c r="W299" s="14"/>
      <c r="X299" s="14"/>
      <c r="Y299" s="5">
        <v>45931</v>
      </c>
      <c r="Z299" s="5">
        <v>45940</v>
      </c>
      <c r="AA299" s="4" t="s">
        <v>97</v>
      </c>
      <c r="AB299" s="4" t="s">
        <v>537</v>
      </c>
      <c r="AC299" s="4" t="s">
        <v>97</v>
      </c>
      <c r="AD299" s="4" t="s">
        <v>97</v>
      </c>
      <c r="AE299" s="4" t="s">
        <v>97</v>
      </c>
      <c r="AF299" s="4" t="s">
        <v>97</v>
      </c>
      <c r="AG299" s="4" t="s">
        <v>97</v>
      </c>
      <c r="AH299" s="5" t="s">
        <v>103</v>
      </c>
      <c r="AI299" s="5">
        <v>45931</v>
      </c>
      <c r="AJ299" s="4" t="s">
        <v>97</v>
      </c>
      <c r="AK299" s="4" t="s">
        <v>97</v>
      </c>
      <c r="AL299" s="4" t="s">
        <v>103</v>
      </c>
      <c r="AM299" s="4" t="s">
        <v>103</v>
      </c>
      <c r="AN299" s="4" t="s">
        <v>97</v>
      </c>
      <c r="AO299" s="4" t="s">
        <v>97</v>
      </c>
      <c r="AP299" s="4" t="s">
        <v>103</v>
      </c>
      <c r="AQ299" s="4" t="s">
        <v>103</v>
      </c>
      <c r="AR299" s="4" t="s">
        <v>97</v>
      </c>
      <c r="AS299" s="4" t="s">
        <v>97</v>
      </c>
      <c r="AT299" s="4" t="s">
        <v>641</v>
      </c>
      <c r="AU299" s="4"/>
      <c r="AV299" s="4" t="s">
        <v>103</v>
      </c>
      <c r="AW299" s="4" t="s">
        <v>97</v>
      </c>
      <c r="AX299" s="4" t="s">
        <v>97</v>
      </c>
      <c r="AY299" s="4" t="s">
        <v>97</v>
      </c>
      <c r="AZ299" s="4" t="s">
        <v>97</v>
      </c>
      <c r="BA299" s="4" t="s">
        <v>97</v>
      </c>
      <c r="BB299" s="5">
        <v>45942</v>
      </c>
      <c r="BC299" s="5">
        <v>45943</v>
      </c>
      <c r="BD299" s="5">
        <v>45944</v>
      </c>
      <c r="BE299" s="5">
        <v>45944</v>
      </c>
      <c r="BF299" s="4" t="s">
        <v>98</v>
      </c>
      <c r="BG299" s="4" t="s">
        <v>97</v>
      </c>
      <c r="BH299" s="4" t="s">
        <v>103</v>
      </c>
      <c r="BI299" s="4" t="s">
        <v>834</v>
      </c>
    </row>
    <row r="300" spans="1:61" x14ac:dyDescent="0.35">
      <c r="A300" s="8" t="str">
        <f t="shared" si="27"/>
        <v>Semaine 41-2025</v>
      </c>
      <c r="B300" s="8" t="str">
        <f t="shared" si="23"/>
        <v>2025</v>
      </c>
      <c r="C300" s="2" t="s">
        <v>36</v>
      </c>
      <c r="D300" s="6" t="str">
        <f t="shared" si="24"/>
        <v>Kedougou</v>
      </c>
      <c r="E300" s="6">
        <f t="shared" si="25"/>
        <v>105689</v>
      </c>
      <c r="F300" s="6">
        <f t="shared" si="26"/>
        <v>203720</v>
      </c>
      <c r="G300" s="4" t="s">
        <v>850</v>
      </c>
      <c r="H300" s="4" t="s">
        <v>864</v>
      </c>
      <c r="I300" s="4">
        <v>27</v>
      </c>
      <c r="J300" s="4" t="s">
        <v>114</v>
      </c>
      <c r="K300" s="4"/>
      <c r="L300" s="4"/>
      <c r="M300" s="4"/>
      <c r="N300" s="4"/>
      <c r="O300" s="4" t="s">
        <v>238</v>
      </c>
      <c r="P300" s="4" t="s">
        <v>97</v>
      </c>
      <c r="Q300" s="4" t="s">
        <v>97</v>
      </c>
      <c r="R300" s="14" t="s">
        <v>100</v>
      </c>
      <c r="S300" s="14" t="s">
        <v>100</v>
      </c>
      <c r="T300" s="14" t="s">
        <v>100</v>
      </c>
      <c r="U300" s="8"/>
      <c r="V300" s="14"/>
      <c r="W300" s="14"/>
      <c r="X300" s="14"/>
      <c r="Y300" s="5">
        <v>45937</v>
      </c>
      <c r="Z300" s="5">
        <v>45941</v>
      </c>
      <c r="AA300" s="4" t="s">
        <v>97</v>
      </c>
      <c r="AB300" s="4" t="s">
        <v>396</v>
      </c>
      <c r="AC300" s="4" t="s">
        <v>103</v>
      </c>
      <c r="AD300" s="4" t="s">
        <v>97</v>
      </c>
      <c r="AE300" s="4" t="s">
        <v>97</v>
      </c>
      <c r="AF300" s="4" t="s">
        <v>97</v>
      </c>
      <c r="AG300" s="4" t="s">
        <v>97</v>
      </c>
      <c r="AH300" s="5" t="s">
        <v>103</v>
      </c>
      <c r="AI300" s="5">
        <v>45937</v>
      </c>
      <c r="AJ300" s="4" t="s">
        <v>97</v>
      </c>
      <c r="AK300" s="4" t="s">
        <v>103</v>
      </c>
      <c r="AL300" s="4" t="s">
        <v>97</v>
      </c>
      <c r="AM300" s="4" t="s">
        <v>103</v>
      </c>
      <c r="AN300" s="4" t="s">
        <v>103</v>
      </c>
      <c r="AO300" s="4" t="s">
        <v>103</v>
      </c>
      <c r="AP300" s="4" t="s">
        <v>103</v>
      </c>
      <c r="AQ300" s="4" t="s">
        <v>97</v>
      </c>
      <c r="AR300" s="4" t="s">
        <v>97</v>
      </c>
      <c r="AS300" s="4" t="s">
        <v>103</v>
      </c>
      <c r="AT300" s="4"/>
      <c r="AU300" s="4"/>
      <c r="AV300" s="4" t="s">
        <v>103</v>
      </c>
      <c r="AW300" s="4" t="s">
        <v>97</v>
      </c>
      <c r="AX300" s="4" t="s">
        <v>103</v>
      </c>
      <c r="AY300" s="4" t="s">
        <v>97</v>
      </c>
      <c r="AZ300" s="4" t="s">
        <v>103</v>
      </c>
      <c r="BA300" s="4" t="s">
        <v>97</v>
      </c>
      <c r="BB300" s="5">
        <v>45941</v>
      </c>
      <c r="BC300" s="5">
        <v>45943</v>
      </c>
      <c r="BD300" s="5">
        <v>45944</v>
      </c>
      <c r="BE300" s="5">
        <v>45944</v>
      </c>
      <c r="BF300" s="4" t="s">
        <v>98</v>
      </c>
      <c r="BG300" s="4" t="s">
        <v>97</v>
      </c>
      <c r="BH300" s="4" t="s">
        <v>103</v>
      </c>
      <c r="BI300" s="4" t="s">
        <v>834</v>
      </c>
    </row>
    <row r="301" spans="1:61" x14ac:dyDescent="0.35">
      <c r="A301" s="8" t="str">
        <f t="shared" si="27"/>
        <v>Semaine 41-2025</v>
      </c>
      <c r="B301" s="8" t="str">
        <f t="shared" si="23"/>
        <v>2025</v>
      </c>
      <c r="C301" s="2" t="s">
        <v>36</v>
      </c>
      <c r="D301" s="6" t="str">
        <f t="shared" si="24"/>
        <v>Kedougou</v>
      </c>
      <c r="E301" s="6">
        <f t="shared" si="25"/>
        <v>105689</v>
      </c>
      <c r="F301" s="6">
        <f t="shared" si="26"/>
        <v>203720</v>
      </c>
      <c r="G301" s="4" t="s">
        <v>851</v>
      </c>
      <c r="H301" s="4" t="s">
        <v>865</v>
      </c>
      <c r="I301" s="4">
        <v>20</v>
      </c>
      <c r="J301" s="4" t="s">
        <v>114</v>
      </c>
      <c r="K301" s="4"/>
      <c r="L301" s="4"/>
      <c r="M301" s="4"/>
      <c r="N301" s="4"/>
      <c r="O301" s="4" t="s">
        <v>238</v>
      </c>
      <c r="P301" s="4" t="s">
        <v>97</v>
      </c>
      <c r="Q301" s="4" t="s">
        <v>97</v>
      </c>
      <c r="R301" s="14" t="s">
        <v>100</v>
      </c>
      <c r="S301" s="14" t="s">
        <v>100</v>
      </c>
      <c r="T301" s="14" t="s">
        <v>100</v>
      </c>
      <c r="U301" s="8"/>
      <c r="V301" s="14"/>
      <c r="W301" s="14"/>
      <c r="X301" s="14"/>
      <c r="Y301" s="5">
        <v>45936</v>
      </c>
      <c r="Z301" s="5">
        <v>45940</v>
      </c>
      <c r="AA301" s="4" t="s">
        <v>103</v>
      </c>
      <c r="AB301" s="4" t="s">
        <v>488</v>
      </c>
      <c r="AC301" s="4" t="s">
        <v>103</v>
      </c>
      <c r="AD301" s="4" t="s">
        <v>97</v>
      </c>
      <c r="AE301" s="4" t="s">
        <v>103</v>
      </c>
      <c r="AF301" s="4" t="s">
        <v>97</v>
      </c>
      <c r="AG301" s="4" t="s">
        <v>103</v>
      </c>
      <c r="AH301" s="5" t="s">
        <v>103</v>
      </c>
      <c r="AI301" s="5">
        <v>45936</v>
      </c>
      <c r="AJ301" s="4" t="s">
        <v>97</v>
      </c>
      <c r="AK301" s="4" t="s">
        <v>97</v>
      </c>
      <c r="AL301" s="4" t="s">
        <v>97</v>
      </c>
      <c r="AM301" s="4" t="s">
        <v>103</v>
      </c>
      <c r="AN301" s="4" t="s">
        <v>103</v>
      </c>
      <c r="AO301" s="4" t="s">
        <v>97</v>
      </c>
      <c r="AP301" s="4" t="s">
        <v>97</v>
      </c>
      <c r="AQ301" s="4" t="s">
        <v>97</v>
      </c>
      <c r="AR301" s="4" t="s">
        <v>97</v>
      </c>
      <c r="AS301" s="4" t="s">
        <v>103</v>
      </c>
      <c r="AT301" s="4"/>
      <c r="AU301" s="4"/>
      <c r="AV301" s="4" t="s">
        <v>103</v>
      </c>
      <c r="AW301" s="4" t="s">
        <v>97</v>
      </c>
      <c r="AX301" s="4" t="s">
        <v>103</v>
      </c>
      <c r="AY301" s="4" t="s">
        <v>97</v>
      </c>
      <c r="AZ301" s="4" t="s">
        <v>103</v>
      </c>
      <c r="BA301" s="4" t="s">
        <v>97</v>
      </c>
      <c r="BB301" s="5">
        <v>45940</v>
      </c>
      <c r="BC301" s="5">
        <v>45943</v>
      </c>
      <c r="BD301" s="5">
        <v>45944</v>
      </c>
      <c r="BE301" s="5">
        <v>45944</v>
      </c>
      <c r="BF301" s="4" t="s">
        <v>98</v>
      </c>
      <c r="BG301" s="4" t="s">
        <v>97</v>
      </c>
      <c r="BH301" s="4" t="s">
        <v>103</v>
      </c>
      <c r="BI301" s="4" t="s">
        <v>834</v>
      </c>
    </row>
    <row r="302" spans="1:61" x14ac:dyDescent="0.35">
      <c r="A302" s="8" t="str">
        <f t="shared" si="27"/>
        <v>Semaine 41-2025</v>
      </c>
      <c r="B302" s="8" t="str">
        <f t="shared" si="23"/>
        <v>2025</v>
      </c>
      <c r="C302" s="2" t="s">
        <v>36</v>
      </c>
      <c r="D302" s="6" t="str">
        <f t="shared" si="24"/>
        <v>Kedougou</v>
      </c>
      <c r="E302" s="6">
        <f t="shared" si="25"/>
        <v>105689</v>
      </c>
      <c r="F302" s="6">
        <f t="shared" si="26"/>
        <v>203720</v>
      </c>
      <c r="G302" s="4" t="s">
        <v>852</v>
      </c>
      <c r="H302" s="4" t="s">
        <v>873</v>
      </c>
      <c r="I302" s="4">
        <v>2</v>
      </c>
      <c r="J302" s="4" t="s">
        <v>114</v>
      </c>
      <c r="K302" s="4"/>
      <c r="L302" s="4"/>
      <c r="M302" s="4"/>
      <c r="N302" s="4"/>
      <c r="O302" s="4" t="s">
        <v>238</v>
      </c>
      <c r="P302" s="4" t="s">
        <v>97</v>
      </c>
      <c r="Q302" s="4" t="s">
        <v>97</v>
      </c>
      <c r="R302" s="14" t="s">
        <v>100</v>
      </c>
      <c r="S302" s="14" t="s">
        <v>100</v>
      </c>
      <c r="T302" s="14" t="s">
        <v>100</v>
      </c>
      <c r="U302" s="8"/>
      <c r="V302" s="14"/>
      <c r="W302" s="14"/>
      <c r="X302" s="14"/>
      <c r="Y302" s="5">
        <v>45937</v>
      </c>
      <c r="Z302" s="5">
        <v>45939</v>
      </c>
      <c r="AA302" s="4" t="s">
        <v>103</v>
      </c>
      <c r="AB302" s="4" t="s">
        <v>314</v>
      </c>
      <c r="AC302" s="4" t="s">
        <v>97</v>
      </c>
      <c r="AD302" s="4" t="s">
        <v>97</v>
      </c>
      <c r="AE302" s="4" t="s">
        <v>97</v>
      </c>
      <c r="AF302" s="4" t="s">
        <v>97</v>
      </c>
      <c r="AG302" s="4" t="s">
        <v>97</v>
      </c>
      <c r="AH302" s="5" t="s">
        <v>103</v>
      </c>
      <c r="AI302" s="5">
        <v>45937</v>
      </c>
      <c r="AJ302" s="4" t="s">
        <v>97</v>
      </c>
      <c r="AK302" s="4" t="s">
        <v>97</v>
      </c>
      <c r="AL302" s="4" t="s">
        <v>103</v>
      </c>
      <c r="AM302" s="4" t="s">
        <v>103</v>
      </c>
      <c r="AN302" s="4" t="s">
        <v>103</v>
      </c>
      <c r="AO302" s="4" t="s">
        <v>97</v>
      </c>
      <c r="AP302" s="4" t="s">
        <v>97</v>
      </c>
      <c r="AQ302" s="4" t="s">
        <v>97</v>
      </c>
      <c r="AR302" s="4" t="s">
        <v>97</v>
      </c>
      <c r="AS302" s="4" t="s">
        <v>97</v>
      </c>
      <c r="AT302" s="4" t="s">
        <v>866</v>
      </c>
      <c r="AU302" s="4"/>
      <c r="AV302" s="4" t="s">
        <v>103</v>
      </c>
      <c r="AW302" s="4" t="s">
        <v>97</v>
      </c>
      <c r="AX302" s="4" t="s">
        <v>103</v>
      </c>
      <c r="AY302" s="4" t="s">
        <v>97</v>
      </c>
      <c r="AZ302" s="4" t="s">
        <v>103</v>
      </c>
      <c r="BA302" s="4" t="s">
        <v>97</v>
      </c>
      <c r="BB302" s="5">
        <v>45939</v>
      </c>
      <c r="BC302" s="5">
        <v>45943</v>
      </c>
      <c r="BD302" s="5">
        <v>45944</v>
      </c>
      <c r="BE302" s="5">
        <v>45944</v>
      </c>
      <c r="BF302" s="4" t="s">
        <v>98</v>
      </c>
      <c r="BG302" s="4" t="s">
        <v>97</v>
      </c>
      <c r="BH302" s="4" t="s">
        <v>103</v>
      </c>
      <c r="BI302" s="4" t="s">
        <v>834</v>
      </c>
    </row>
    <row r="303" spans="1:61" x14ac:dyDescent="0.35">
      <c r="A303" s="8" t="str">
        <f t="shared" si="27"/>
        <v>Semaine 41-2025</v>
      </c>
      <c r="B303" s="8" t="str">
        <f t="shared" si="23"/>
        <v>2025</v>
      </c>
      <c r="C303" s="2" t="s">
        <v>75</v>
      </c>
      <c r="D303" s="6" t="str">
        <f t="shared" si="24"/>
        <v>Diourbel</v>
      </c>
      <c r="E303" s="6">
        <f t="shared" si="25"/>
        <v>996481</v>
      </c>
      <c r="F303" s="6">
        <f t="shared" si="26"/>
        <v>1980827</v>
      </c>
      <c r="G303" s="4" t="s">
        <v>867</v>
      </c>
      <c r="H303" s="4" t="s">
        <v>874</v>
      </c>
      <c r="I303" s="4">
        <v>13</v>
      </c>
      <c r="J303" s="4" t="s">
        <v>96</v>
      </c>
      <c r="K303" s="4"/>
      <c r="L303" s="4"/>
      <c r="M303" s="4"/>
      <c r="N303" s="4"/>
      <c r="O303" s="4" t="s">
        <v>238</v>
      </c>
      <c r="P303" s="4" t="s">
        <v>97</v>
      </c>
      <c r="Q303" s="4" t="s">
        <v>97</v>
      </c>
      <c r="R303" s="14" t="s">
        <v>100</v>
      </c>
      <c r="S303" s="14" t="s">
        <v>100</v>
      </c>
      <c r="T303" s="14" t="s">
        <v>100</v>
      </c>
      <c r="U303" s="8"/>
      <c r="V303" s="14"/>
      <c r="W303" s="14"/>
      <c r="X303" s="14"/>
      <c r="Y303" s="5">
        <v>45942</v>
      </c>
      <c r="Z303" s="5">
        <v>45944</v>
      </c>
      <c r="AA303" s="4" t="s">
        <v>103</v>
      </c>
      <c r="AB303" s="4"/>
      <c r="AC303" s="4" t="s">
        <v>97</v>
      </c>
      <c r="AD303" s="4" t="s">
        <v>97</v>
      </c>
      <c r="AE303" s="4" t="s">
        <v>97</v>
      </c>
      <c r="AF303" s="4" t="s">
        <v>97</v>
      </c>
      <c r="AG303" s="4" t="s">
        <v>97</v>
      </c>
      <c r="AH303" s="5" t="s">
        <v>103</v>
      </c>
      <c r="AI303" s="5">
        <v>45942</v>
      </c>
      <c r="AJ303" s="4" t="s">
        <v>97</v>
      </c>
      <c r="AK303" s="4" t="s">
        <v>97</v>
      </c>
      <c r="AL303" s="4" t="s">
        <v>97</v>
      </c>
      <c r="AM303" s="4" t="s">
        <v>103</v>
      </c>
      <c r="AN303" s="4" t="s">
        <v>103</v>
      </c>
      <c r="AO303" s="4" t="s">
        <v>103</v>
      </c>
      <c r="AP303" s="4" t="s">
        <v>103</v>
      </c>
      <c r="AQ303" s="4" t="s">
        <v>97</v>
      </c>
      <c r="AR303" s="4" t="s">
        <v>97</v>
      </c>
      <c r="AS303" s="4" t="s">
        <v>97</v>
      </c>
      <c r="AT303" s="4"/>
      <c r="AU303" s="4"/>
      <c r="AV303" s="4" t="s">
        <v>97</v>
      </c>
      <c r="AW303" s="4" t="s">
        <v>97</v>
      </c>
      <c r="AX303" s="4" t="s">
        <v>97</v>
      </c>
      <c r="AY303" s="4" t="s">
        <v>97</v>
      </c>
      <c r="AZ303" s="4" t="s">
        <v>103</v>
      </c>
      <c r="BA303" s="4" t="s">
        <v>97</v>
      </c>
      <c r="BB303" s="5">
        <v>45944</v>
      </c>
      <c r="BC303" s="5">
        <v>45945</v>
      </c>
      <c r="BD303" s="5">
        <v>45945</v>
      </c>
      <c r="BE303" s="5">
        <v>45945</v>
      </c>
      <c r="BF303" s="4" t="s">
        <v>98</v>
      </c>
      <c r="BG303" s="4" t="s">
        <v>97</v>
      </c>
      <c r="BH303" s="4" t="s">
        <v>103</v>
      </c>
      <c r="BI303" s="4" t="s">
        <v>833</v>
      </c>
    </row>
    <row r="304" spans="1:61" x14ac:dyDescent="0.35">
      <c r="A304" s="8" t="str">
        <f t="shared" si="27"/>
        <v>Semaine 41-2025</v>
      </c>
      <c r="B304" s="8" t="str">
        <f t="shared" si="23"/>
        <v>2025</v>
      </c>
      <c r="C304" s="2" t="s">
        <v>75</v>
      </c>
      <c r="D304" s="6" t="str">
        <f t="shared" si="24"/>
        <v>Diourbel</v>
      </c>
      <c r="E304" s="6">
        <f t="shared" si="25"/>
        <v>996481</v>
      </c>
      <c r="F304" s="6">
        <f t="shared" si="26"/>
        <v>1980827</v>
      </c>
      <c r="G304" s="4" t="s">
        <v>407</v>
      </c>
      <c r="H304" s="4" t="s">
        <v>875</v>
      </c>
      <c r="I304" s="4">
        <v>1</v>
      </c>
      <c r="J304" s="4" t="s">
        <v>96</v>
      </c>
      <c r="K304" s="4"/>
      <c r="L304" s="4"/>
      <c r="M304" s="4"/>
      <c r="N304" s="4"/>
      <c r="O304" s="4" t="s">
        <v>238</v>
      </c>
      <c r="P304" s="4" t="s">
        <v>97</v>
      </c>
      <c r="Q304" s="4" t="s">
        <v>97</v>
      </c>
      <c r="R304" s="14" t="s">
        <v>100</v>
      </c>
      <c r="S304" s="14" t="s">
        <v>100</v>
      </c>
      <c r="T304" s="14" t="s">
        <v>100</v>
      </c>
      <c r="U304" s="8"/>
      <c r="V304" s="14"/>
      <c r="W304" s="14"/>
      <c r="X304" s="14"/>
      <c r="Y304" s="5">
        <v>45936</v>
      </c>
      <c r="Z304" s="5">
        <v>45943</v>
      </c>
      <c r="AA304" s="4" t="s">
        <v>103</v>
      </c>
      <c r="AB304" s="4" t="s">
        <v>276</v>
      </c>
      <c r="AC304" s="4" t="s">
        <v>97</v>
      </c>
      <c r="AD304" s="4" t="s">
        <v>97</v>
      </c>
      <c r="AE304" s="4" t="s">
        <v>97</v>
      </c>
      <c r="AF304" s="4" t="s">
        <v>97</v>
      </c>
      <c r="AG304" s="4" t="s">
        <v>97</v>
      </c>
      <c r="AH304" s="5" t="s">
        <v>103</v>
      </c>
      <c r="AI304" s="5">
        <v>45936</v>
      </c>
      <c r="AJ304" s="4" t="s">
        <v>103</v>
      </c>
      <c r="AK304" s="4" t="s">
        <v>97</v>
      </c>
      <c r="AL304" s="4" t="s">
        <v>103</v>
      </c>
      <c r="AM304" s="4" t="s">
        <v>103</v>
      </c>
      <c r="AN304" s="4" t="s">
        <v>103</v>
      </c>
      <c r="AO304" s="4" t="s">
        <v>97</v>
      </c>
      <c r="AP304" s="4" t="s">
        <v>97</v>
      </c>
      <c r="AQ304" s="4" t="s">
        <v>97</v>
      </c>
      <c r="AR304" s="4" t="s">
        <v>97</v>
      </c>
      <c r="AS304" s="4" t="s">
        <v>103</v>
      </c>
      <c r="AT304" s="4"/>
      <c r="AU304" s="4"/>
      <c r="AV304" s="4" t="s">
        <v>97</v>
      </c>
      <c r="AW304" s="4" t="s">
        <v>97</v>
      </c>
      <c r="AX304" s="4" t="s">
        <v>97</v>
      </c>
      <c r="AY304" s="4" t="s">
        <v>97</v>
      </c>
      <c r="AZ304" s="4" t="s">
        <v>103</v>
      </c>
      <c r="BA304" s="4" t="s">
        <v>97</v>
      </c>
      <c r="BB304" s="5">
        <v>45944</v>
      </c>
      <c r="BC304" s="5">
        <v>45945</v>
      </c>
      <c r="BD304" s="5">
        <v>45945</v>
      </c>
      <c r="BE304" s="5">
        <v>45945</v>
      </c>
      <c r="BF304" s="4" t="s">
        <v>98</v>
      </c>
      <c r="BG304" s="4" t="s">
        <v>97</v>
      </c>
      <c r="BH304" s="4" t="s">
        <v>103</v>
      </c>
      <c r="BI304" s="4" t="s">
        <v>833</v>
      </c>
    </row>
    <row r="305" spans="1:61" x14ac:dyDescent="0.35">
      <c r="A305" s="8" t="str">
        <f t="shared" si="27"/>
        <v>Semaine 42-2025</v>
      </c>
      <c r="B305" s="8" t="str">
        <f t="shared" si="23"/>
        <v>2025</v>
      </c>
      <c r="C305" s="2" t="s">
        <v>18</v>
      </c>
      <c r="D305" s="6" t="str">
        <f t="shared" si="24"/>
        <v>Dakar</v>
      </c>
      <c r="E305" s="6">
        <f t="shared" si="25"/>
        <v>419489</v>
      </c>
      <c r="F305" s="6">
        <f t="shared" si="26"/>
        <v>4042240</v>
      </c>
      <c r="G305" s="4" t="s">
        <v>868</v>
      </c>
      <c r="H305" s="4" t="s">
        <v>876</v>
      </c>
      <c r="I305" s="4">
        <v>18</v>
      </c>
      <c r="J305" s="4" t="s">
        <v>114</v>
      </c>
      <c r="K305" s="4"/>
      <c r="L305" s="4"/>
      <c r="M305" s="4"/>
      <c r="N305" s="4"/>
      <c r="O305" s="4" t="s">
        <v>238</v>
      </c>
      <c r="P305" s="4" t="s">
        <v>97</v>
      </c>
      <c r="Q305" s="4" t="s">
        <v>97</v>
      </c>
      <c r="R305" s="14" t="s">
        <v>100</v>
      </c>
      <c r="S305" s="14" t="s">
        <v>100</v>
      </c>
      <c r="T305" s="14" t="s">
        <v>100</v>
      </c>
      <c r="U305" s="8"/>
      <c r="V305" s="14"/>
      <c r="W305" s="14"/>
      <c r="X305" s="14"/>
      <c r="Y305" s="5">
        <v>45944</v>
      </c>
      <c r="Z305" s="5">
        <v>45944</v>
      </c>
      <c r="AA305" s="4" t="s">
        <v>97</v>
      </c>
      <c r="AB305" s="4" t="s">
        <v>537</v>
      </c>
      <c r="AC305" s="4" t="s">
        <v>103</v>
      </c>
      <c r="AD305" s="4" t="s">
        <v>97</v>
      </c>
      <c r="AE305" s="4" t="s">
        <v>97</v>
      </c>
      <c r="AF305" s="4" t="s">
        <v>103</v>
      </c>
      <c r="AG305" s="4" t="s">
        <v>103</v>
      </c>
      <c r="AH305" s="5" t="s">
        <v>103</v>
      </c>
      <c r="AI305" s="5">
        <v>45944</v>
      </c>
      <c r="AJ305" s="4"/>
      <c r="AK305" s="4"/>
      <c r="AL305" s="4"/>
      <c r="AM305" s="4"/>
      <c r="AN305" s="4"/>
      <c r="AO305" s="4"/>
      <c r="AP305" s="4"/>
      <c r="AQ305" s="4"/>
      <c r="AR305" s="4"/>
      <c r="AS305" s="4"/>
      <c r="AT305" s="4"/>
      <c r="AU305" s="4"/>
      <c r="AV305" s="4" t="s">
        <v>97</v>
      </c>
      <c r="AW305" s="4" t="s">
        <v>97</v>
      </c>
      <c r="AX305" s="4" t="s">
        <v>103</v>
      </c>
      <c r="AY305" s="4" t="s">
        <v>97</v>
      </c>
      <c r="AZ305" s="4" t="s">
        <v>97</v>
      </c>
      <c r="BA305" s="4" t="s">
        <v>103</v>
      </c>
      <c r="BB305" s="5">
        <v>45944</v>
      </c>
      <c r="BC305" s="5">
        <v>45945</v>
      </c>
      <c r="BD305" s="5">
        <v>45945</v>
      </c>
      <c r="BE305" s="5">
        <v>45945</v>
      </c>
      <c r="BF305" s="4" t="s">
        <v>433</v>
      </c>
      <c r="BG305" s="4" t="s">
        <v>97</v>
      </c>
      <c r="BH305" s="4" t="s">
        <v>97</v>
      </c>
      <c r="BI305" s="4" t="s">
        <v>834</v>
      </c>
    </row>
    <row r="306" spans="1:61" x14ac:dyDescent="0.35">
      <c r="A306" s="8" t="str">
        <f t="shared" si="27"/>
        <v>Semaine 38-2025</v>
      </c>
      <c r="B306" s="8" t="str">
        <f t="shared" si="23"/>
        <v>2025</v>
      </c>
      <c r="C306" s="2" t="s">
        <v>78</v>
      </c>
      <c r="D306" s="6" t="str">
        <f t="shared" si="24"/>
        <v>Ziguinchor</v>
      </c>
      <c r="E306" s="6">
        <f t="shared" si="25"/>
        <v>330001</v>
      </c>
      <c r="F306" s="6">
        <f t="shared" si="26"/>
        <v>729952</v>
      </c>
      <c r="G306" s="4" t="s">
        <v>869</v>
      </c>
      <c r="H306" s="4" t="s">
        <v>877</v>
      </c>
      <c r="I306" s="4">
        <v>9</v>
      </c>
      <c r="J306" s="4" t="s">
        <v>96</v>
      </c>
      <c r="K306" s="4"/>
      <c r="L306" s="4"/>
      <c r="M306" s="4"/>
      <c r="N306" s="4"/>
      <c r="O306" s="4" t="s">
        <v>238</v>
      </c>
      <c r="P306" s="4" t="s">
        <v>97</v>
      </c>
      <c r="Q306" s="4" t="s">
        <v>97</v>
      </c>
      <c r="R306" s="14" t="s">
        <v>100</v>
      </c>
      <c r="S306" s="14" t="s">
        <v>100</v>
      </c>
      <c r="T306" s="14" t="s">
        <v>100</v>
      </c>
      <c r="U306" s="8"/>
      <c r="V306" s="14"/>
      <c r="W306" s="14"/>
      <c r="X306" s="14"/>
      <c r="Y306" s="5">
        <v>45915</v>
      </c>
      <c r="Z306" s="5">
        <v>45943</v>
      </c>
      <c r="AA306" s="4" t="s">
        <v>97</v>
      </c>
      <c r="AB306" s="4"/>
      <c r="AC306" s="4" t="s">
        <v>97</v>
      </c>
      <c r="AD306" s="4" t="s">
        <v>97</v>
      </c>
      <c r="AE306" s="4" t="s">
        <v>97</v>
      </c>
      <c r="AF306" s="4" t="s">
        <v>97</v>
      </c>
      <c r="AG306" s="4" t="s">
        <v>97</v>
      </c>
      <c r="AH306" s="5" t="s">
        <v>103</v>
      </c>
      <c r="AI306" s="5">
        <v>45931</v>
      </c>
      <c r="AJ306" s="4" t="s">
        <v>97</v>
      </c>
      <c r="AK306" s="4" t="s">
        <v>97</v>
      </c>
      <c r="AL306" s="4" t="s">
        <v>97</v>
      </c>
      <c r="AM306" s="4" t="s">
        <v>97</v>
      </c>
      <c r="AN306" s="4" t="s">
        <v>97</v>
      </c>
      <c r="AO306" s="4" t="s">
        <v>103</v>
      </c>
      <c r="AP306" s="4" t="s">
        <v>103</v>
      </c>
      <c r="AQ306" s="4" t="s">
        <v>97</v>
      </c>
      <c r="AR306" s="4" t="s">
        <v>97</v>
      </c>
      <c r="AS306" s="4" t="s">
        <v>97</v>
      </c>
      <c r="AT306" s="4"/>
      <c r="AU306" s="4"/>
      <c r="AV306" s="4" t="s">
        <v>97</v>
      </c>
      <c r="AW306" s="4" t="s">
        <v>97</v>
      </c>
      <c r="AX306" s="4" t="s">
        <v>97</v>
      </c>
      <c r="AY306" s="4" t="s">
        <v>97</v>
      </c>
      <c r="AZ306" s="4" t="s">
        <v>103</v>
      </c>
      <c r="BA306" s="4" t="s">
        <v>97</v>
      </c>
      <c r="BB306" s="5">
        <v>45943</v>
      </c>
      <c r="BC306" s="5">
        <v>45945</v>
      </c>
      <c r="BD306" s="5">
        <v>45945</v>
      </c>
      <c r="BE306" s="5">
        <v>45945</v>
      </c>
      <c r="BF306" s="4" t="s">
        <v>98</v>
      </c>
      <c r="BG306" s="4" t="s">
        <v>97</v>
      </c>
      <c r="BH306" s="4" t="s">
        <v>103</v>
      </c>
      <c r="BI306" s="4" t="s">
        <v>833</v>
      </c>
    </row>
    <row r="307" spans="1:61" x14ac:dyDescent="0.35">
      <c r="A307" s="8" t="str">
        <f t="shared" si="27"/>
        <v>Semaine 41-2025</v>
      </c>
      <c r="B307" s="8" t="str">
        <f t="shared" si="23"/>
        <v>2025</v>
      </c>
      <c r="C307" s="2" t="s">
        <v>65</v>
      </c>
      <c r="D307" s="6" t="str">
        <f t="shared" si="24"/>
        <v>Saint-Louis</v>
      </c>
      <c r="E307" s="6">
        <f t="shared" si="25"/>
        <v>375150</v>
      </c>
      <c r="F307" s="6">
        <f t="shared" si="26"/>
        <v>1150065</v>
      </c>
      <c r="G307" s="4" t="s">
        <v>870</v>
      </c>
      <c r="H307" s="4" t="s">
        <v>878</v>
      </c>
      <c r="I307" s="4">
        <v>16</v>
      </c>
      <c r="J307" s="4" t="s">
        <v>114</v>
      </c>
      <c r="K307" s="4"/>
      <c r="L307" s="4"/>
      <c r="M307" s="4"/>
      <c r="N307" s="4"/>
      <c r="O307" s="4" t="s">
        <v>238</v>
      </c>
      <c r="P307" s="4" t="s">
        <v>97</v>
      </c>
      <c r="Q307" s="4" t="s">
        <v>97</v>
      </c>
      <c r="R307" s="14" t="s">
        <v>100</v>
      </c>
      <c r="S307" s="14" t="s">
        <v>100</v>
      </c>
      <c r="T307" s="14" t="s">
        <v>100</v>
      </c>
      <c r="U307" s="8"/>
      <c r="V307" s="14"/>
      <c r="W307" s="14"/>
      <c r="X307" s="14"/>
      <c r="Y307" s="5">
        <v>45940</v>
      </c>
      <c r="Z307" s="5">
        <v>45942</v>
      </c>
      <c r="AA307" s="4" t="s">
        <v>103</v>
      </c>
      <c r="AB307" s="4"/>
      <c r="AC307" s="4" t="s">
        <v>103</v>
      </c>
      <c r="AD307" s="4" t="s">
        <v>103</v>
      </c>
      <c r="AE307" s="4" t="s">
        <v>97</v>
      </c>
      <c r="AF307" s="4" t="s">
        <v>103</v>
      </c>
      <c r="AG307" s="4" t="s">
        <v>103</v>
      </c>
      <c r="AH307" s="5" t="s">
        <v>103</v>
      </c>
      <c r="AI307" s="5">
        <v>45939</v>
      </c>
      <c r="AJ307" s="4" t="s">
        <v>103</v>
      </c>
      <c r="AK307" s="4" t="s">
        <v>103</v>
      </c>
      <c r="AL307" s="4" t="s">
        <v>97</v>
      </c>
      <c r="AM307" s="4" t="s">
        <v>103</v>
      </c>
      <c r="AN307" s="4" t="s">
        <v>97</v>
      </c>
      <c r="AO307" s="4" t="s">
        <v>97</v>
      </c>
      <c r="AP307" s="4" t="s">
        <v>97</v>
      </c>
      <c r="AQ307" s="4" t="s">
        <v>97</v>
      </c>
      <c r="AR307" s="4" t="s">
        <v>97</v>
      </c>
      <c r="AS307" s="4" t="s">
        <v>97</v>
      </c>
      <c r="AT307" s="4"/>
      <c r="AU307" s="4"/>
      <c r="AV307" s="4" t="s">
        <v>97</v>
      </c>
      <c r="AW307" s="4" t="s">
        <v>97</v>
      </c>
      <c r="AX307" s="4" t="s">
        <v>97</v>
      </c>
      <c r="AY307" s="4" t="s">
        <v>97</v>
      </c>
      <c r="AZ307" s="4" t="s">
        <v>103</v>
      </c>
      <c r="BA307" s="4" t="s">
        <v>97</v>
      </c>
      <c r="BB307" s="5">
        <v>45942</v>
      </c>
      <c r="BC307" s="5">
        <v>45945</v>
      </c>
      <c r="BD307" s="5">
        <v>45945</v>
      </c>
      <c r="BE307" s="5">
        <v>45945</v>
      </c>
      <c r="BF307" s="4" t="s">
        <v>98</v>
      </c>
      <c r="BG307" s="4" t="s">
        <v>97</v>
      </c>
      <c r="BH307" s="4" t="s">
        <v>103</v>
      </c>
      <c r="BI307" s="4" t="s">
        <v>833</v>
      </c>
    </row>
    <row r="308" spans="1:61" x14ac:dyDescent="0.35">
      <c r="A308" s="8" t="str">
        <f t="shared" si="27"/>
        <v>Semaine 41-2025</v>
      </c>
      <c r="B308" s="8" t="str">
        <f t="shared" si="23"/>
        <v>2025</v>
      </c>
      <c r="C308" s="2" t="s">
        <v>65</v>
      </c>
      <c r="D308" s="6" t="str">
        <f t="shared" si="24"/>
        <v>Saint-Louis</v>
      </c>
      <c r="E308" s="6">
        <f t="shared" si="25"/>
        <v>375150</v>
      </c>
      <c r="F308" s="6">
        <f t="shared" si="26"/>
        <v>1150065</v>
      </c>
      <c r="G308" s="4" t="s">
        <v>871</v>
      </c>
      <c r="H308" s="4" t="s">
        <v>879</v>
      </c>
      <c r="I308" s="4">
        <v>47</v>
      </c>
      <c r="J308" s="4" t="s">
        <v>114</v>
      </c>
      <c r="K308" s="4"/>
      <c r="L308" s="4"/>
      <c r="M308" s="4"/>
      <c r="N308" s="4"/>
      <c r="O308" s="4" t="s">
        <v>238</v>
      </c>
      <c r="P308" s="4" t="s">
        <v>97</v>
      </c>
      <c r="Q308" s="4" t="s">
        <v>97</v>
      </c>
      <c r="R308" s="14" t="s">
        <v>100</v>
      </c>
      <c r="S308" s="14" t="s">
        <v>100</v>
      </c>
      <c r="T308" s="14" t="s">
        <v>100</v>
      </c>
      <c r="U308" s="8"/>
      <c r="V308" s="14"/>
      <c r="W308" s="14"/>
      <c r="X308" s="14"/>
      <c r="Y308" s="5">
        <v>45940</v>
      </c>
      <c r="Z308" s="5">
        <v>45942</v>
      </c>
      <c r="AA308" s="4" t="s">
        <v>103</v>
      </c>
      <c r="AB308" s="4" t="s">
        <v>365</v>
      </c>
      <c r="AC308" s="4" t="s">
        <v>103</v>
      </c>
      <c r="AD308" s="4" t="s">
        <v>103</v>
      </c>
      <c r="AE308" s="4" t="s">
        <v>97</v>
      </c>
      <c r="AF308" s="4" t="s">
        <v>103</v>
      </c>
      <c r="AG308" s="4" t="s">
        <v>103</v>
      </c>
      <c r="AH308" s="5" t="s">
        <v>97</v>
      </c>
      <c r="AI308" s="4"/>
      <c r="AJ308" s="4"/>
      <c r="AK308" s="4"/>
      <c r="AL308" s="4"/>
      <c r="AM308" s="4"/>
      <c r="AN308" s="4"/>
      <c r="AO308" s="4"/>
      <c r="AP308" s="4"/>
      <c r="AQ308" s="4"/>
      <c r="AR308" s="4"/>
      <c r="AS308" s="4"/>
      <c r="AT308" s="4"/>
      <c r="AU308" s="4"/>
      <c r="AV308" s="4" t="s">
        <v>97</v>
      </c>
      <c r="AW308" s="4" t="s">
        <v>97</v>
      </c>
      <c r="AX308" s="4" t="s">
        <v>97</v>
      </c>
      <c r="AY308" s="4" t="s">
        <v>97</v>
      </c>
      <c r="AZ308" s="4" t="s">
        <v>103</v>
      </c>
      <c r="BA308" s="4" t="s">
        <v>97</v>
      </c>
      <c r="BB308" s="5">
        <v>45942</v>
      </c>
      <c r="BC308" s="5">
        <v>45945</v>
      </c>
      <c r="BD308" s="5">
        <v>45945</v>
      </c>
      <c r="BE308" s="5">
        <v>45945</v>
      </c>
      <c r="BF308" s="4" t="s">
        <v>98</v>
      </c>
      <c r="BG308" s="4" t="s">
        <v>97</v>
      </c>
      <c r="BH308" s="4" t="s">
        <v>103</v>
      </c>
      <c r="BI308" s="4" t="s">
        <v>833</v>
      </c>
    </row>
    <row r="309" spans="1:61" x14ac:dyDescent="0.35">
      <c r="A309" s="8" t="str">
        <f t="shared" si="27"/>
        <v>Semaine 41-2025</v>
      </c>
      <c r="B309" s="8" t="str">
        <f t="shared" si="23"/>
        <v>2025</v>
      </c>
      <c r="C309" s="2" t="s">
        <v>59</v>
      </c>
      <c r="D309" s="6" t="str">
        <f t="shared" si="24"/>
        <v>Saint-Louis</v>
      </c>
      <c r="E309" s="6">
        <f t="shared" si="25"/>
        <v>261136</v>
      </c>
      <c r="F309" s="6">
        <f t="shared" si="26"/>
        <v>1150065</v>
      </c>
      <c r="G309" s="4" t="s">
        <v>872</v>
      </c>
      <c r="H309" s="4" t="s">
        <v>892</v>
      </c>
      <c r="I309" s="4">
        <v>40</v>
      </c>
      <c r="J309" s="4" t="s">
        <v>114</v>
      </c>
      <c r="K309" s="4"/>
      <c r="L309" s="4"/>
      <c r="M309" s="4"/>
      <c r="N309" s="4"/>
      <c r="O309" s="4" t="s">
        <v>238</v>
      </c>
      <c r="P309" s="4" t="s">
        <v>97</v>
      </c>
      <c r="Q309" s="4" t="s">
        <v>97</v>
      </c>
      <c r="R309" s="14" t="s">
        <v>100</v>
      </c>
      <c r="S309" s="14" t="s">
        <v>100</v>
      </c>
      <c r="T309" s="14" t="s">
        <v>100</v>
      </c>
      <c r="U309" s="8"/>
      <c r="V309" s="14"/>
      <c r="W309" s="14"/>
      <c r="X309" s="14"/>
      <c r="Y309" s="5">
        <v>45940</v>
      </c>
      <c r="Z309" s="5">
        <v>45942</v>
      </c>
      <c r="AA309" s="4" t="s">
        <v>103</v>
      </c>
      <c r="AB309" s="4"/>
      <c r="AC309" s="4" t="s">
        <v>103</v>
      </c>
      <c r="AD309" s="4" t="s">
        <v>103</v>
      </c>
      <c r="AE309" s="4" t="s">
        <v>97</v>
      </c>
      <c r="AF309" s="4" t="s">
        <v>103</v>
      </c>
      <c r="AG309" s="4" t="s">
        <v>103</v>
      </c>
      <c r="AH309" s="5" t="s">
        <v>103</v>
      </c>
      <c r="AI309" s="5">
        <v>45940</v>
      </c>
      <c r="AJ309" s="4" t="s">
        <v>97</v>
      </c>
      <c r="AK309" s="4" t="s">
        <v>97</v>
      </c>
      <c r="AL309" s="4" t="s">
        <v>97</v>
      </c>
      <c r="AM309" s="4" t="s">
        <v>103</v>
      </c>
      <c r="AN309" s="4" t="s">
        <v>103</v>
      </c>
      <c r="AO309" s="4" t="s">
        <v>97</v>
      </c>
      <c r="AP309" s="4" t="s">
        <v>97</v>
      </c>
      <c r="AQ309" s="4" t="s">
        <v>97</v>
      </c>
      <c r="AR309" s="4" t="s">
        <v>97</v>
      </c>
      <c r="AS309" s="4" t="s">
        <v>97</v>
      </c>
      <c r="AT309" s="4"/>
      <c r="AU309" s="4"/>
      <c r="AV309" s="4" t="s">
        <v>103</v>
      </c>
      <c r="AW309" s="4" t="s">
        <v>97</v>
      </c>
      <c r="AX309" s="4" t="s">
        <v>97</v>
      </c>
      <c r="AY309" s="4" t="s">
        <v>97</v>
      </c>
      <c r="AZ309" s="4" t="s">
        <v>97</v>
      </c>
      <c r="BA309" s="4" t="s">
        <v>97</v>
      </c>
      <c r="BB309" s="5">
        <v>45942</v>
      </c>
      <c r="BC309" s="5">
        <v>45945</v>
      </c>
      <c r="BD309" s="5">
        <v>45945</v>
      </c>
      <c r="BE309" s="5">
        <v>45945</v>
      </c>
      <c r="BF309" s="4" t="s">
        <v>98</v>
      </c>
      <c r="BG309" s="4" t="s">
        <v>97</v>
      </c>
      <c r="BH309" s="4" t="s">
        <v>103</v>
      </c>
      <c r="BI309" s="4" t="s">
        <v>834</v>
      </c>
    </row>
    <row r="310" spans="1:61" x14ac:dyDescent="0.35">
      <c r="A310" s="8" t="str">
        <f t="shared" si="27"/>
        <v>Semaine 41-2025</v>
      </c>
      <c r="B310" s="8" t="str">
        <f t="shared" si="23"/>
        <v>2025</v>
      </c>
      <c r="C310" s="2" t="s">
        <v>18</v>
      </c>
      <c r="D310" s="6" t="str">
        <f t="shared" si="24"/>
        <v>Dakar</v>
      </c>
      <c r="E310" s="6">
        <f t="shared" si="25"/>
        <v>419489</v>
      </c>
      <c r="F310" s="6">
        <f t="shared" si="26"/>
        <v>4042240</v>
      </c>
      <c r="G310" s="4" t="s">
        <v>880</v>
      </c>
      <c r="H310" s="4" t="s">
        <v>893</v>
      </c>
      <c r="I310" s="4">
        <v>16</v>
      </c>
      <c r="J310" s="4" t="s">
        <v>114</v>
      </c>
      <c r="K310" s="4"/>
      <c r="L310" s="4"/>
      <c r="M310" s="4"/>
      <c r="N310" s="4"/>
      <c r="O310" s="4" t="s">
        <v>238</v>
      </c>
      <c r="P310" s="4" t="s">
        <v>97</v>
      </c>
      <c r="Q310" s="4" t="s">
        <v>97</v>
      </c>
      <c r="R310" s="14" t="s">
        <v>100</v>
      </c>
      <c r="S310" s="14" t="s">
        <v>100</v>
      </c>
      <c r="T310" s="14" t="s">
        <v>100</v>
      </c>
      <c r="U310" s="8"/>
      <c r="V310" s="14"/>
      <c r="W310" s="14"/>
      <c r="X310" s="14"/>
      <c r="Y310" s="5">
        <v>45940</v>
      </c>
      <c r="Z310" s="5">
        <v>45942</v>
      </c>
      <c r="AA310" s="4" t="s">
        <v>103</v>
      </c>
      <c r="AB310" s="4" t="s">
        <v>365</v>
      </c>
      <c r="AC310" s="4" t="s">
        <v>103</v>
      </c>
      <c r="AD310" s="4" t="s">
        <v>103</v>
      </c>
      <c r="AE310" s="4" t="s">
        <v>97</v>
      </c>
      <c r="AF310" s="4" t="s">
        <v>103</v>
      </c>
      <c r="AG310" s="4" t="s">
        <v>103</v>
      </c>
      <c r="AH310" s="5" t="s">
        <v>97</v>
      </c>
      <c r="AI310" s="4"/>
      <c r="AJ310" s="4"/>
      <c r="AK310" s="4"/>
      <c r="AL310" s="4"/>
      <c r="AM310" s="4"/>
      <c r="AN310" s="4"/>
      <c r="AO310" s="4"/>
      <c r="AP310" s="4"/>
      <c r="AQ310" s="4"/>
      <c r="AR310" s="4"/>
      <c r="AS310" s="4"/>
      <c r="AT310" s="4"/>
      <c r="AU310" s="4"/>
      <c r="AV310" s="4" t="s">
        <v>97</v>
      </c>
      <c r="AW310" s="4" t="s">
        <v>97</v>
      </c>
      <c r="AX310" s="4" t="s">
        <v>97</v>
      </c>
      <c r="AY310" s="4" t="s">
        <v>97</v>
      </c>
      <c r="AZ310" s="4" t="s">
        <v>103</v>
      </c>
      <c r="BA310" s="4" t="s">
        <v>97</v>
      </c>
      <c r="BB310" s="5">
        <v>45945</v>
      </c>
      <c r="BC310" s="5">
        <v>45946</v>
      </c>
      <c r="BD310" s="5">
        <v>45946</v>
      </c>
      <c r="BE310" s="5">
        <v>45946</v>
      </c>
      <c r="BF310" s="4" t="s">
        <v>98</v>
      </c>
      <c r="BG310" s="4" t="s">
        <v>97</v>
      </c>
      <c r="BH310" s="4" t="s">
        <v>103</v>
      </c>
      <c r="BI310" s="4" t="s">
        <v>833</v>
      </c>
    </row>
    <row r="311" spans="1:61" x14ac:dyDescent="0.35">
      <c r="A311" s="8" t="str">
        <f t="shared" si="27"/>
        <v>Semaine 42-2025</v>
      </c>
      <c r="B311" s="8" t="str">
        <f t="shared" si="23"/>
        <v>2025</v>
      </c>
      <c r="C311" s="2" t="s">
        <v>49</v>
      </c>
      <c r="D311" s="6" t="str">
        <f t="shared" si="24"/>
        <v>Dakar</v>
      </c>
      <c r="E311" s="6">
        <f t="shared" si="25"/>
        <v>441950</v>
      </c>
      <c r="F311" s="6">
        <f t="shared" si="26"/>
        <v>4042240</v>
      </c>
      <c r="G311" s="4" t="s">
        <v>881</v>
      </c>
      <c r="H311" s="4" t="s">
        <v>894</v>
      </c>
      <c r="I311" s="4">
        <v>1</v>
      </c>
      <c r="J311" s="4" t="s">
        <v>114</v>
      </c>
      <c r="K311" s="4"/>
      <c r="L311" s="4"/>
      <c r="M311" s="4"/>
      <c r="N311" s="4"/>
      <c r="O311" s="4" t="s">
        <v>238</v>
      </c>
      <c r="P311" s="4" t="s">
        <v>97</v>
      </c>
      <c r="Q311" s="4" t="s">
        <v>97</v>
      </c>
      <c r="R311" s="14" t="s">
        <v>100</v>
      </c>
      <c r="S311" s="14" t="s">
        <v>100</v>
      </c>
      <c r="T311" s="14" t="s">
        <v>100</v>
      </c>
      <c r="U311" s="8"/>
      <c r="V311" s="14"/>
      <c r="W311" s="14"/>
      <c r="X311" s="14"/>
      <c r="Y311" s="5">
        <v>45943</v>
      </c>
      <c r="Z311" s="5">
        <v>45945</v>
      </c>
      <c r="AA311" s="4">
        <v>0</v>
      </c>
      <c r="AB311" s="4" t="s">
        <v>272</v>
      </c>
      <c r="AC311" s="4" t="s">
        <v>97</v>
      </c>
      <c r="AD311" s="4" t="s">
        <v>97</v>
      </c>
      <c r="AE311" s="4" t="s">
        <v>97</v>
      </c>
      <c r="AF311" s="4" t="s">
        <v>97</v>
      </c>
      <c r="AG311" s="4" t="s">
        <v>97</v>
      </c>
      <c r="AH311" s="5" t="s">
        <v>103</v>
      </c>
      <c r="AI311" s="5">
        <v>45943</v>
      </c>
      <c r="AJ311" s="4" t="s">
        <v>103</v>
      </c>
      <c r="AK311" s="4" t="s">
        <v>97</v>
      </c>
      <c r="AL311" s="4" t="s">
        <v>97</v>
      </c>
      <c r="AM311" s="4" t="s">
        <v>103</v>
      </c>
      <c r="AN311" s="4" t="s">
        <v>103</v>
      </c>
      <c r="AO311" s="4" t="s">
        <v>103</v>
      </c>
      <c r="AP311" s="4" t="s">
        <v>103</v>
      </c>
      <c r="AQ311" s="4" t="s">
        <v>97</v>
      </c>
      <c r="AR311" s="4" t="s">
        <v>97</v>
      </c>
      <c r="AS311" s="4" t="s">
        <v>103</v>
      </c>
      <c r="AT311" s="4"/>
      <c r="AU311" s="4"/>
      <c r="AV311" s="4" t="s">
        <v>103</v>
      </c>
      <c r="AW311" s="4" t="s">
        <v>97</v>
      </c>
      <c r="AX311" s="4" t="s">
        <v>103</v>
      </c>
      <c r="AY311" s="4" t="s">
        <v>97</v>
      </c>
      <c r="AZ311" s="4" t="s">
        <v>103</v>
      </c>
      <c r="BA311" s="4" t="s">
        <v>97</v>
      </c>
      <c r="BB311" s="5">
        <v>45945</v>
      </c>
      <c r="BC311" s="5">
        <v>45946</v>
      </c>
      <c r="BD311" s="5">
        <v>45946</v>
      </c>
      <c r="BE311" s="5">
        <v>45946</v>
      </c>
      <c r="BF311" s="4" t="s">
        <v>98</v>
      </c>
      <c r="BG311" s="4" t="s">
        <v>97</v>
      </c>
      <c r="BH311" s="4" t="s">
        <v>103</v>
      </c>
      <c r="BI311" s="4" t="s">
        <v>834</v>
      </c>
    </row>
    <row r="312" spans="1:61" x14ac:dyDescent="0.35">
      <c r="A312" s="8" t="str">
        <f t="shared" si="27"/>
        <v>Semaine 41-2025</v>
      </c>
      <c r="B312" s="8" t="str">
        <f t="shared" si="23"/>
        <v>2025</v>
      </c>
      <c r="C312" s="2" t="s">
        <v>76</v>
      </c>
      <c r="D312" s="6" t="str">
        <f t="shared" si="24"/>
        <v>Kolda</v>
      </c>
      <c r="E312" s="6">
        <f t="shared" si="25"/>
        <v>367976</v>
      </c>
      <c r="F312" s="6">
        <f t="shared" si="26"/>
        <v>875661</v>
      </c>
      <c r="G312" s="4" t="s">
        <v>882</v>
      </c>
      <c r="H312" s="4" t="s">
        <v>895</v>
      </c>
      <c r="I312" s="4">
        <v>54</v>
      </c>
      <c r="J312" s="4" t="s">
        <v>96</v>
      </c>
      <c r="K312" s="4"/>
      <c r="L312" s="4"/>
      <c r="M312" s="4"/>
      <c r="N312" s="4"/>
      <c r="O312" s="4" t="s">
        <v>238</v>
      </c>
      <c r="P312" s="4" t="s">
        <v>97</v>
      </c>
      <c r="Q312" s="4" t="s">
        <v>97</v>
      </c>
      <c r="R312" s="14" t="s">
        <v>100</v>
      </c>
      <c r="S312" s="14" t="s">
        <v>100</v>
      </c>
      <c r="T312" s="14" t="s">
        <v>100</v>
      </c>
      <c r="U312" s="8"/>
      <c r="V312" s="14"/>
      <c r="W312" s="14"/>
      <c r="X312" s="14"/>
      <c r="Y312" s="5">
        <v>45938</v>
      </c>
      <c r="Z312" s="5">
        <v>45943</v>
      </c>
      <c r="AA312" s="4" t="s">
        <v>103</v>
      </c>
      <c r="AB312" s="4" t="s">
        <v>550</v>
      </c>
      <c r="AC312" s="4" t="s">
        <v>97</v>
      </c>
      <c r="AD312" s="4" t="s">
        <v>97</v>
      </c>
      <c r="AE312" s="4" t="s">
        <v>97</v>
      </c>
      <c r="AF312" s="4" t="s">
        <v>97</v>
      </c>
      <c r="AG312" s="4" t="s">
        <v>103</v>
      </c>
      <c r="AH312" s="5" t="s">
        <v>103</v>
      </c>
      <c r="AI312" s="5">
        <v>45938</v>
      </c>
      <c r="AJ312" s="4" t="s">
        <v>103</v>
      </c>
      <c r="AK312" s="4" t="s">
        <v>103</v>
      </c>
      <c r="AL312" s="4" t="s">
        <v>97</v>
      </c>
      <c r="AM312" s="4" t="s">
        <v>97</v>
      </c>
      <c r="AN312" s="4" t="s">
        <v>103</v>
      </c>
      <c r="AO312" s="4" t="s">
        <v>97</v>
      </c>
      <c r="AP312" s="4" t="s">
        <v>97</v>
      </c>
      <c r="AQ312" s="4" t="s">
        <v>97</v>
      </c>
      <c r="AR312" s="4" t="s">
        <v>97</v>
      </c>
      <c r="AS312" s="4" t="s">
        <v>97</v>
      </c>
      <c r="AT312" s="4"/>
      <c r="AU312" s="4"/>
      <c r="AV312" s="4" t="s">
        <v>103</v>
      </c>
      <c r="AW312" s="4" t="s">
        <v>103</v>
      </c>
      <c r="AX312" s="4" t="s">
        <v>97</v>
      </c>
      <c r="AY312" s="4" t="s">
        <v>97</v>
      </c>
      <c r="AZ312" s="4" t="s">
        <v>97</v>
      </c>
      <c r="BA312" s="4" t="s">
        <v>97</v>
      </c>
      <c r="BB312" s="5">
        <v>45943</v>
      </c>
      <c r="BC312" s="5">
        <v>45945</v>
      </c>
      <c r="BD312" s="5">
        <v>45946</v>
      </c>
      <c r="BE312" s="5">
        <v>45946</v>
      </c>
      <c r="BF312" s="4" t="s">
        <v>98</v>
      </c>
      <c r="BG312" s="4" t="s">
        <v>97</v>
      </c>
      <c r="BH312" s="4" t="s">
        <v>103</v>
      </c>
      <c r="BI312" s="4" t="s">
        <v>834</v>
      </c>
    </row>
    <row r="313" spans="1:61" x14ac:dyDescent="0.35">
      <c r="A313" s="8" t="str">
        <f t="shared" si="27"/>
        <v>Semaine 41-2025</v>
      </c>
      <c r="B313" s="8" t="str">
        <f t="shared" si="23"/>
        <v>2025</v>
      </c>
      <c r="C313" s="2" t="s">
        <v>65</v>
      </c>
      <c r="D313" s="6" t="str">
        <f t="shared" si="24"/>
        <v>Saint-Louis</v>
      </c>
      <c r="E313" s="6">
        <f t="shared" si="25"/>
        <v>375150</v>
      </c>
      <c r="F313" s="6">
        <f t="shared" si="26"/>
        <v>1150065</v>
      </c>
      <c r="G313" s="4" t="s">
        <v>883</v>
      </c>
      <c r="H313" s="4" t="s">
        <v>896</v>
      </c>
      <c r="I313" s="4">
        <v>58</v>
      </c>
      <c r="J313" s="4" t="s">
        <v>114</v>
      </c>
      <c r="K313" s="4"/>
      <c r="L313" s="4"/>
      <c r="M313" s="4"/>
      <c r="N313" s="4"/>
      <c r="O313" s="4" t="s">
        <v>238</v>
      </c>
      <c r="P313" s="4" t="s">
        <v>97</v>
      </c>
      <c r="Q313" s="4" t="s">
        <v>97</v>
      </c>
      <c r="R313" s="14" t="s">
        <v>100</v>
      </c>
      <c r="S313" s="14" t="s">
        <v>100</v>
      </c>
      <c r="T313" s="14" t="s">
        <v>100</v>
      </c>
      <c r="U313" s="8"/>
      <c r="V313" s="14"/>
      <c r="W313" s="14"/>
      <c r="X313" s="14"/>
      <c r="Y313" s="5">
        <v>45937</v>
      </c>
      <c r="Z313" s="5">
        <v>45944</v>
      </c>
      <c r="AA313" s="4" t="s">
        <v>103</v>
      </c>
      <c r="AB313" s="4" t="s">
        <v>653</v>
      </c>
      <c r="AC313" s="4" t="s">
        <v>97</v>
      </c>
      <c r="AD313" s="4" t="s">
        <v>97</v>
      </c>
      <c r="AE313" s="4" t="s">
        <v>97</v>
      </c>
      <c r="AF313" s="4" t="s">
        <v>97</v>
      </c>
      <c r="AG313" s="4" t="s">
        <v>97</v>
      </c>
      <c r="AH313" s="5" t="s">
        <v>103</v>
      </c>
      <c r="AI313" s="5">
        <v>45938</v>
      </c>
      <c r="AJ313" s="4" t="s">
        <v>103</v>
      </c>
      <c r="AK313" s="4" t="s">
        <v>103</v>
      </c>
      <c r="AL313" s="4" t="s">
        <v>103</v>
      </c>
      <c r="AM313" s="4" t="s">
        <v>103</v>
      </c>
      <c r="AN313" s="4" t="s">
        <v>103</v>
      </c>
      <c r="AO313" s="4" t="s">
        <v>103</v>
      </c>
      <c r="AP313" s="4" t="s">
        <v>103</v>
      </c>
      <c r="AQ313" s="4" t="s">
        <v>97</v>
      </c>
      <c r="AR313" s="4" t="s">
        <v>97</v>
      </c>
      <c r="AS313" s="4" t="s">
        <v>97</v>
      </c>
      <c r="AT313" s="4"/>
      <c r="AU313" s="4"/>
      <c r="AV313" s="4" t="s">
        <v>103</v>
      </c>
      <c r="AW313" s="4" t="s">
        <v>97</v>
      </c>
      <c r="AX313" s="4" t="s">
        <v>97</v>
      </c>
      <c r="AY313" s="4" t="s">
        <v>97</v>
      </c>
      <c r="AZ313" s="4" t="s">
        <v>97</v>
      </c>
      <c r="BA313" s="4" t="s">
        <v>97</v>
      </c>
      <c r="BB313" s="5">
        <v>45944</v>
      </c>
      <c r="BC313" s="5">
        <v>45946</v>
      </c>
      <c r="BD313" s="5">
        <v>45946</v>
      </c>
      <c r="BE313" s="5">
        <v>45946</v>
      </c>
      <c r="BF313" s="4" t="s">
        <v>98</v>
      </c>
      <c r="BG313" s="4" t="s">
        <v>103</v>
      </c>
      <c r="BH313" s="4" t="s">
        <v>103</v>
      </c>
      <c r="BI313" s="4" t="s">
        <v>834</v>
      </c>
    </row>
    <row r="314" spans="1:61" x14ac:dyDescent="0.35">
      <c r="A314" s="8" t="str">
        <f t="shared" si="27"/>
        <v>Semaine 41-2025</v>
      </c>
      <c r="B314" s="8" t="str">
        <f t="shared" si="23"/>
        <v>2025</v>
      </c>
      <c r="C314" s="2" t="s">
        <v>75</v>
      </c>
      <c r="D314" s="6" t="str">
        <f t="shared" si="24"/>
        <v>Diourbel</v>
      </c>
      <c r="E314" s="6">
        <f t="shared" si="25"/>
        <v>996481</v>
      </c>
      <c r="F314" s="6">
        <f t="shared" si="26"/>
        <v>1980827</v>
      </c>
      <c r="G314" s="4" t="s">
        <v>884</v>
      </c>
      <c r="H314" s="4" t="s">
        <v>897</v>
      </c>
      <c r="I314" s="4">
        <v>12</v>
      </c>
      <c r="J314" s="4" t="s">
        <v>96</v>
      </c>
      <c r="K314" s="4"/>
      <c r="L314" s="4"/>
      <c r="M314" s="4"/>
      <c r="N314" s="4"/>
      <c r="O314" s="4" t="s">
        <v>238</v>
      </c>
      <c r="P314" s="4" t="s">
        <v>97</v>
      </c>
      <c r="Q314" s="4" t="s">
        <v>97</v>
      </c>
      <c r="R314" s="14" t="s">
        <v>100</v>
      </c>
      <c r="S314" s="14" t="s">
        <v>100</v>
      </c>
      <c r="T314" s="14" t="s">
        <v>100</v>
      </c>
      <c r="U314" s="8"/>
      <c r="V314" s="14"/>
      <c r="W314" s="14"/>
      <c r="X314" s="14"/>
      <c r="Y314" s="5">
        <v>45942</v>
      </c>
      <c r="Z314" s="5">
        <v>45944</v>
      </c>
      <c r="AA314" s="4" t="s">
        <v>103</v>
      </c>
      <c r="AB314" s="4"/>
      <c r="AC314" s="4" t="s">
        <v>103</v>
      </c>
      <c r="AD314" s="4" t="s">
        <v>103</v>
      </c>
      <c r="AE314" s="4" t="s">
        <v>97</v>
      </c>
      <c r="AF314" s="4" t="s">
        <v>103</v>
      </c>
      <c r="AG314" s="4" t="s">
        <v>103</v>
      </c>
      <c r="AH314" s="5" t="s">
        <v>103</v>
      </c>
      <c r="AI314" s="5">
        <v>45942</v>
      </c>
      <c r="AJ314" s="4" t="s">
        <v>97</v>
      </c>
      <c r="AK314" s="4" t="s">
        <v>97</v>
      </c>
      <c r="AL314" s="4" t="s">
        <v>97</v>
      </c>
      <c r="AM314" s="4" t="s">
        <v>103</v>
      </c>
      <c r="AN314" s="4" t="s">
        <v>103</v>
      </c>
      <c r="AO314" s="4" t="s">
        <v>97</v>
      </c>
      <c r="AP314" s="4" t="s">
        <v>103</v>
      </c>
      <c r="AQ314" s="4" t="s">
        <v>97</v>
      </c>
      <c r="AR314" s="4" t="s">
        <v>97</v>
      </c>
      <c r="AS314" s="4" t="s">
        <v>97</v>
      </c>
      <c r="AT314" s="4"/>
      <c r="AU314" s="4"/>
      <c r="AV314" s="4" t="s">
        <v>97</v>
      </c>
      <c r="AW314" s="4" t="s">
        <v>97</v>
      </c>
      <c r="AX314" s="4" t="s">
        <v>97</v>
      </c>
      <c r="AY314" s="4" t="s">
        <v>97</v>
      </c>
      <c r="AZ314" s="4" t="s">
        <v>103</v>
      </c>
      <c r="BA314" s="4" t="s">
        <v>97</v>
      </c>
      <c r="BB314" s="5">
        <v>45944</v>
      </c>
      <c r="BC314" s="5">
        <v>45946</v>
      </c>
      <c r="BD314" s="5">
        <v>45946</v>
      </c>
      <c r="BE314" s="5">
        <v>45946</v>
      </c>
      <c r="BF314" s="4" t="s">
        <v>98</v>
      </c>
      <c r="BG314" s="4" t="s">
        <v>97</v>
      </c>
      <c r="BH314" s="4" t="s">
        <v>103</v>
      </c>
      <c r="BI314" s="4" t="s">
        <v>833</v>
      </c>
    </row>
    <row r="315" spans="1:61" x14ac:dyDescent="0.35">
      <c r="A315" s="8" t="str">
        <f t="shared" si="27"/>
        <v>Semaine 41-2025</v>
      </c>
      <c r="B315" s="8" t="str">
        <f t="shared" si="23"/>
        <v>2025</v>
      </c>
      <c r="C315" s="2" t="s">
        <v>75</v>
      </c>
      <c r="D315" s="6" t="str">
        <f t="shared" si="24"/>
        <v>Diourbel</v>
      </c>
      <c r="E315" s="6">
        <f t="shared" si="25"/>
        <v>996481</v>
      </c>
      <c r="F315" s="6">
        <f t="shared" si="26"/>
        <v>1980827</v>
      </c>
      <c r="G315" s="4" t="s">
        <v>885</v>
      </c>
      <c r="H315" s="4" t="s">
        <v>898</v>
      </c>
      <c r="I315" s="4">
        <v>60</v>
      </c>
      <c r="J315" s="4" t="s">
        <v>96</v>
      </c>
      <c r="K315" s="4"/>
      <c r="L315" s="4"/>
      <c r="M315" s="4"/>
      <c r="N315" s="4"/>
      <c r="O315" s="4" t="s">
        <v>238</v>
      </c>
      <c r="P315" s="4" t="s">
        <v>97</v>
      </c>
      <c r="Q315" s="4" t="s">
        <v>97</v>
      </c>
      <c r="R315" s="14" t="s">
        <v>100</v>
      </c>
      <c r="S315" s="14" t="s">
        <v>100</v>
      </c>
      <c r="T315" s="14" t="s">
        <v>100</v>
      </c>
      <c r="U315" s="8"/>
      <c r="V315" s="14"/>
      <c r="W315" s="14"/>
      <c r="X315" s="14"/>
      <c r="Y315" s="5">
        <v>45938</v>
      </c>
      <c r="Z315" s="5">
        <v>45945</v>
      </c>
      <c r="AA315" s="4" t="s">
        <v>97</v>
      </c>
      <c r="AB315" s="4"/>
      <c r="AC315" s="4" t="s">
        <v>97</v>
      </c>
      <c r="AD315" s="4" t="s">
        <v>97</v>
      </c>
      <c r="AE315" s="4" t="s">
        <v>97</v>
      </c>
      <c r="AF315" s="4" t="s">
        <v>103</v>
      </c>
      <c r="AG315" s="4" t="s">
        <v>97</v>
      </c>
      <c r="AH315" s="5" t="s">
        <v>103</v>
      </c>
      <c r="AI315" s="5">
        <v>45938</v>
      </c>
      <c r="AJ315" s="4" t="s">
        <v>103</v>
      </c>
      <c r="AK315" s="4" t="s">
        <v>103</v>
      </c>
      <c r="AL315" s="4" t="s">
        <v>97</v>
      </c>
      <c r="AM315" s="4" t="s">
        <v>103</v>
      </c>
      <c r="AN315" s="4" t="s">
        <v>103</v>
      </c>
      <c r="AO315" s="4" t="s">
        <v>97</v>
      </c>
      <c r="AP315" s="4" t="s">
        <v>97</v>
      </c>
      <c r="AQ315" s="4" t="s">
        <v>97</v>
      </c>
      <c r="AR315" s="4" t="s">
        <v>97</v>
      </c>
      <c r="AS315" s="4" t="s">
        <v>97</v>
      </c>
      <c r="AT315" s="4"/>
      <c r="AU315" s="4"/>
      <c r="AV315" s="4" t="s">
        <v>103</v>
      </c>
      <c r="AW315" s="4" t="s">
        <v>97</v>
      </c>
      <c r="AX315" s="4" t="s">
        <v>97</v>
      </c>
      <c r="AY315" s="4" t="s">
        <v>97</v>
      </c>
      <c r="AZ315" s="4" t="s">
        <v>97</v>
      </c>
      <c r="BA315" s="4" t="s">
        <v>97</v>
      </c>
      <c r="BB315" s="5">
        <v>45945</v>
      </c>
      <c r="BC315" s="5">
        <v>45946</v>
      </c>
      <c r="BD315" s="5">
        <v>45946</v>
      </c>
      <c r="BE315" s="5">
        <v>45946</v>
      </c>
      <c r="BF315" s="4" t="s">
        <v>98</v>
      </c>
      <c r="BG315" s="4" t="s">
        <v>97</v>
      </c>
      <c r="BH315" s="4" t="s">
        <v>103</v>
      </c>
      <c r="BI315" s="4" t="s">
        <v>834</v>
      </c>
    </row>
    <row r="316" spans="1:61" x14ac:dyDescent="0.35">
      <c r="A316" s="8" t="str">
        <f t="shared" si="27"/>
        <v>Semaine 41-2025</v>
      </c>
      <c r="B316" s="8" t="str">
        <f t="shared" si="23"/>
        <v>2025</v>
      </c>
      <c r="C316" s="2" t="s">
        <v>31</v>
      </c>
      <c r="D316" s="6" t="str">
        <f t="shared" si="24"/>
        <v>Dakar</v>
      </c>
      <c r="E316" s="6">
        <f t="shared" si="25"/>
        <v>424760</v>
      </c>
      <c r="F316" s="6">
        <f t="shared" si="26"/>
        <v>4042240</v>
      </c>
      <c r="G316" s="4" t="s">
        <v>886</v>
      </c>
      <c r="H316" s="4" t="s">
        <v>899</v>
      </c>
      <c r="I316" s="4">
        <v>7</v>
      </c>
      <c r="J316" s="4" t="s">
        <v>114</v>
      </c>
      <c r="K316" s="4"/>
      <c r="L316" s="4"/>
      <c r="M316" s="4"/>
      <c r="N316" s="4"/>
      <c r="O316" s="4" t="s">
        <v>238</v>
      </c>
      <c r="P316" s="4" t="s">
        <v>97</v>
      </c>
      <c r="Q316" s="4" t="s">
        <v>97</v>
      </c>
      <c r="R316" s="14" t="s">
        <v>100</v>
      </c>
      <c r="S316" s="14" t="s">
        <v>100</v>
      </c>
      <c r="T316" s="14" t="s">
        <v>100</v>
      </c>
      <c r="U316" s="8"/>
      <c r="V316" s="14"/>
      <c r="W316" s="14"/>
      <c r="X316" s="14"/>
      <c r="Y316" s="5">
        <v>45936</v>
      </c>
      <c r="Z316" s="5">
        <v>45944</v>
      </c>
      <c r="AA316" s="4" t="s">
        <v>103</v>
      </c>
      <c r="AB316" s="4" t="s">
        <v>276</v>
      </c>
      <c r="AC316" s="4" t="s">
        <v>97</v>
      </c>
      <c r="AD316" s="4" t="s">
        <v>97</v>
      </c>
      <c r="AE316" s="4" t="s">
        <v>97</v>
      </c>
      <c r="AF316" s="4" t="s">
        <v>97</v>
      </c>
      <c r="AG316" s="4" t="s">
        <v>97</v>
      </c>
      <c r="AH316" s="5" t="s">
        <v>103</v>
      </c>
      <c r="AI316" s="5">
        <v>45936</v>
      </c>
      <c r="AJ316" s="4" t="s">
        <v>103</v>
      </c>
      <c r="AK316" s="4" t="s">
        <v>97</v>
      </c>
      <c r="AL316" s="4" t="s">
        <v>97</v>
      </c>
      <c r="AM316" s="4" t="s">
        <v>103</v>
      </c>
      <c r="AN316" s="4" t="s">
        <v>97</v>
      </c>
      <c r="AO316" s="4" t="s">
        <v>97</v>
      </c>
      <c r="AP316" s="4" t="s">
        <v>97</v>
      </c>
      <c r="AQ316" s="4" t="s">
        <v>97</v>
      </c>
      <c r="AR316" s="4" t="s">
        <v>97</v>
      </c>
      <c r="AS316" s="4" t="s">
        <v>97</v>
      </c>
      <c r="AT316" s="4"/>
      <c r="AU316" s="4"/>
      <c r="AV316" s="4" t="s">
        <v>97</v>
      </c>
      <c r="AW316" s="4" t="s">
        <v>97</v>
      </c>
      <c r="AX316" s="4" t="s">
        <v>97</v>
      </c>
      <c r="AY316" s="4" t="s">
        <v>97</v>
      </c>
      <c r="AZ316" s="4" t="s">
        <v>103</v>
      </c>
      <c r="BA316" s="4" t="s">
        <v>97</v>
      </c>
      <c r="BB316" s="5">
        <v>45944</v>
      </c>
      <c r="BC316" s="5">
        <v>45946</v>
      </c>
      <c r="BD316" s="5">
        <v>45946</v>
      </c>
      <c r="BE316" s="5">
        <v>45946</v>
      </c>
      <c r="BF316" s="4" t="s">
        <v>98</v>
      </c>
      <c r="BG316" s="4" t="s">
        <v>97</v>
      </c>
      <c r="BH316" s="4" t="s">
        <v>103</v>
      </c>
      <c r="BI316" s="4" t="s">
        <v>833</v>
      </c>
    </row>
    <row r="317" spans="1:61" x14ac:dyDescent="0.35">
      <c r="A317" s="8" t="str">
        <f t="shared" si="27"/>
        <v>Semaine 41-2025</v>
      </c>
      <c r="B317" s="8" t="str">
        <f t="shared" si="23"/>
        <v>2025</v>
      </c>
      <c r="C317" s="2" t="s">
        <v>31</v>
      </c>
      <c r="D317" s="6" t="str">
        <f t="shared" si="24"/>
        <v>Dakar</v>
      </c>
      <c r="E317" s="6">
        <f t="shared" si="25"/>
        <v>424760</v>
      </c>
      <c r="F317" s="6">
        <f t="shared" si="26"/>
        <v>4042240</v>
      </c>
      <c r="G317" s="4" t="s">
        <v>887</v>
      </c>
      <c r="H317" s="4" t="s">
        <v>807</v>
      </c>
      <c r="I317" s="4">
        <v>6</v>
      </c>
      <c r="J317" s="4" t="s">
        <v>114</v>
      </c>
      <c r="K317" s="4"/>
      <c r="L317" s="4"/>
      <c r="M317" s="4"/>
      <c r="N317" s="4"/>
      <c r="O317" s="4" t="s">
        <v>238</v>
      </c>
      <c r="P317" s="4" t="s">
        <v>97</v>
      </c>
      <c r="Q317" s="4" t="s">
        <v>97</v>
      </c>
      <c r="R317" s="14" t="s">
        <v>100</v>
      </c>
      <c r="S317" s="14" t="s">
        <v>100</v>
      </c>
      <c r="T317" s="14" t="s">
        <v>100</v>
      </c>
      <c r="U317" s="8"/>
      <c r="V317" s="14"/>
      <c r="W317" s="14"/>
      <c r="X317" s="14"/>
      <c r="Y317" s="5">
        <v>45940</v>
      </c>
      <c r="Z317" s="5">
        <v>45943</v>
      </c>
      <c r="AA317" s="4" t="s">
        <v>97</v>
      </c>
      <c r="AB317" s="4" t="s">
        <v>900</v>
      </c>
      <c r="AC317" s="4" t="s">
        <v>97</v>
      </c>
      <c r="AD317" s="4" t="s">
        <v>103</v>
      </c>
      <c r="AE317" s="4" t="s">
        <v>97</v>
      </c>
      <c r="AF317" s="4" t="s">
        <v>97</v>
      </c>
      <c r="AG317" s="4" t="s">
        <v>97</v>
      </c>
      <c r="AH317" s="5" t="s">
        <v>103</v>
      </c>
      <c r="AI317" s="5">
        <v>45941</v>
      </c>
      <c r="AJ317" s="4" t="s">
        <v>97</v>
      </c>
      <c r="AK317" s="4" t="s">
        <v>103</v>
      </c>
      <c r="AL317" s="4" t="s">
        <v>97</v>
      </c>
      <c r="AM317" s="4" t="s">
        <v>97</v>
      </c>
      <c r="AN317" s="4" t="s">
        <v>97</v>
      </c>
      <c r="AO317" s="4" t="s">
        <v>97</v>
      </c>
      <c r="AP317" s="4" t="s">
        <v>103</v>
      </c>
      <c r="AQ317" s="4" t="s">
        <v>97</v>
      </c>
      <c r="AR317" s="4" t="s">
        <v>97</v>
      </c>
      <c r="AS317" s="4" t="s">
        <v>97</v>
      </c>
      <c r="AT317" s="4"/>
      <c r="AU317" s="4"/>
      <c r="AV317" s="4" t="s">
        <v>97</v>
      </c>
      <c r="AW317" s="4" t="s">
        <v>97</v>
      </c>
      <c r="AX317" s="4" t="s">
        <v>97</v>
      </c>
      <c r="AY317" s="4" t="s">
        <v>97</v>
      </c>
      <c r="AZ317" s="4" t="s">
        <v>103</v>
      </c>
      <c r="BA317" s="4" t="s">
        <v>97</v>
      </c>
      <c r="BB317" s="5">
        <v>45944</v>
      </c>
      <c r="BC317" s="5">
        <v>45946</v>
      </c>
      <c r="BD317" s="5">
        <v>45946</v>
      </c>
      <c r="BE317" s="5">
        <v>45946</v>
      </c>
      <c r="BF317" s="4" t="s">
        <v>98</v>
      </c>
      <c r="BG317" s="4" t="s">
        <v>97</v>
      </c>
      <c r="BH317" s="4" t="s">
        <v>103</v>
      </c>
      <c r="BI317" s="4" t="s">
        <v>833</v>
      </c>
    </row>
    <row r="318" spans="1:61" x14ac:dyDescent="0.35">
      <c r="A318" s="8" t="str">
        <f t="shared" si="27"/>
        <v>Semaine 41-2025</v>
      </c>
      <c r="B318" s="8" t="str">
        <f t="shared" si="23"/>
        <v>2025</v>
      </c>
      <c r="C318" s="2" t="s">
        <v>18</v>
      </c>
      <c r="D318" s="6" t="str">
        <f t="shared" si="24"/>
        <v>Dakar</v>
      </c>
      <c r="E318" s="6">
        <f t="shared" si="25"/>
        <v>419489</v>
      </c>
      <c r="F318" s="6">
        <f t="shared" si="26"/>
        <v>4042240</v>
      </c>
      <c r="G318" s="4" t="s">
        <v>888</v>
      </c>
      <c r="H318" s="4" t="s">
        <v>901</v>
      </c>
      <c r="I318" s="4">
        <v>43</v>
      </c>
      <c r="J318" s="4" t="s">
        <v>114</v>
      </c>
      <c r="K318" s="4"/>
      <c r="L318" s="4"/>
      <c r="M318" s="4"/>
      <c r="N318" s="4"/>
      <c r="O318" s="4" t="s">
        <v>238</v>
      </c>
      <c r="P318" s="4" t="s">
        <v>97</v>
      </c>
      <c r="Q318" s="4" t="s">
        <v>97</v>
      </c>
      <c r="R318" s="14" t="s">
        <v>100</v>
      </c>
      <c r="S318" s="14" t="s">
        <v>100</v>
      </c>
      <c r="T318" s="14" t="s">
        <v>100</v>
      </c>
      <c r="U318" s="8"/>
      <c r="V318" s="14"/>
      <c r="W318" s="14"/>
      <c r="X318" s="14"/>
      <c r="Y318" s="5">
        <v>45942</v>
      </c>
      <c r="Z318" s="5">
        <v>45944</v>
      </c>
      <c r="AA318" s="4" t="s">
        <v>97</v>
      </c>
      <c r="AB318" s="4"/>
      <c r="AC318" s="4" t="s">
        <v>97</v>
      </c>
      <c r="AD318" s="4" t="s">
        <v>97</v>
      </c>
      <c r="AE318" s="4" t="s">
        <v>97</v>
      </c>
      <c r="AF318" s="4" t="s">
        <v>103</v>
      </c>
      <c r="AG318" s="4" t="s">
        <v>103</v>
      </c>
      <c r="AH318" s="5" t="s">
        <v>103</v>
      </c>
      <c r="AI318" s="5">
        <v>45941</v>
      </c>
      <c r="AJ318" s="4" t="s">
        <v>103</v>
      </c>
      <c r="AK318" s="4" t="s">
        <v>103</v>
      </c>
      <c r="AL318" s="4" t="s">
        <v>97</v>
      </c>
      <c r="AM318" s="4" t="s">
        <v>103</v>
      </c>
      <c r="AN318" s="4" t="s">
        <v>103</v>
      </c>
      <c r="AO318" s="4" t="s">
        <v>97</v>
      </c>
      <c r="AP318" s="4" t="s">
        <v>103</v>
      </c>
      <c r="AQ318" s="4" t="s">
        <v>97</v>
      </c>
      <c r="AR318" s="4" t="s">
        <v>97</v>
      </c>
      <c r="AS318" s="4" t="s">
        <v>97</v>
      </c>
      <c r="AT318" s="4" t="s">
        <v>902</v>
      </c>
      <c r="AU318" s="4"/>
      <c r="AV318" s="4" t="s">
        <v>103</v>
      </c>
      <c r="AW318" s="4" t="s">
        <v>97</v>
      </c>
      <c r="AX318" s="4" t="s">
        <v>97</v>
      </c>
      <c r="AY318" s="4" t="s">
        <v>97</v>
      </c>
      <c r="AZ318" s="4" t="s">
        <v>103</v>
      </c>
      <c r="BA318" s="4" t="s">
        <v>97</v>
      </c>
      <c r="BB318" s="5">
        <v>45946</v>
      </c>
      <c r="BC318" s="5">
        <v>45946</v>
      </c>
      <c r="BD318" s="5">
        <v>45946</v>
      </c>
      <c r="BE318" s="5">
        <v>45946</v>
      </c>
      <c r="BF318" s="4" t="s">
        <v>98</v>
      </c>
      <c r="BG318" s="4" t="s">
        <v>97</v>
      </c>
      <c r="BH318" s="4" t="s">
        <v>103</v>
      </c>
      <c r="BI318" s="4" t="s">
        <v>834</v>
      </c>
    </row>
    <row r="319" spans="1:61" x14ac:dyDescent="0.35">
      <c r="A319" s="8" t="str">
        <f t="shared" si="27"/>
        <v>Semaine 41-2025</v>
      </c>
      <c r="B319" s="8" t="str">
        <f t="shared" si="23"/>
        <v>2025</v>
      </c>
      <c r="C319" s="2" t="s">
        <v>64</v>
      </c>
      <c r="D319" s="6" t="str">
        <f t="shared" si="24"/>
        <v>Dakar</v>
      </c>
      <c r="E319" s="6">
        <f t="shared" si="25"/>
        <v>284840</v>
      </c>
      <c r="F319" s="6">
        <f t="shared" si="26"/>
        <v>4042240</v>
      </c>
      <c r="G319" s="4" t="s">
        <v>889</v>
      </c>
      <c r="H319" s="4" t="s">
        <v>903</v>
      </c>
      <c r="I319" s="4">
        <v>23</v>
      </c>
      <c r="J319" s="4" t="s">
        <v>114</v>
      </c>
      <c r="K319" s="4"/>
      <c r="L319" s="4"/>
      <c r="M319" s="4"/>
      <c r="N319" s="4"/>
      <c r="O319" s="4" t="s">
        <v>238</v>
      </c>
      <c r="P319" s="4" t="s">
        <v>97</v>
      </c>
      <c r="Q319" s="4" t="s">
        <v>97</v>
      </c>
      <c r="R319" s="14" t="s">
        <v>100</v>
      </c>
      <c r="S319" s="14" t="s">
        <v>100</v>
      </c>
      <c r="T319" s="14" t="s">
        <v>100</v>
      </c>
      <c r="U319" s="8"/>
      <c r="V319" s="14"/>
      <c r="W319" s="14"/>
      <c r="X319" s="14"/>
      <c r="Y319" s="5">
        <v>45941</v>
      </c>
      <c r="Z319" s="5">
        <v>45947</v>
      </c>
      <c r="AA319" s="4" t="s">
        <v>97</v>
      </c>
      <c r="AB319" s="4"/>
      <c r="AC319" s="4" t="s">
        <v>97</v>
      </c>
      <c r="AD319" s="4" t="s">
        <v>97</v>
      </c>
      <c r="AE319" s="4" t="s">
        <v>97</v>
      </c>
      <c r="AF319" s="4" t="s">
        <v>97</v>
      </c>
      <c r="AG319" s="4" t="s">
        <v>103</v>
      </c>
      <c r="AH319" s="5" t="s">
        <v>103</v>
      </c>
      <c r="AI319" s="5">
        <v>45944</v>
      </c>
      <c r="AJ319" s="4" t="s">
        <v>103</v>
      </c>
      <c r="AK319" s="4" t="s">
        <v>103</v>
      </c>
      <c r="AL319" s="4" t="s">
        <v>97</v>
      </c>
      <c r="AM319" s="4" t="s">
        <v>103</v>
      </c>
      <c r="AN319" s="4" t="s">
        <v>103</v>
      </c>
      <c r="AO319" s="4" t="s">
        <v>103</v>
      </c>
      <c r="AP319" s="4" t="s">
        <v>103</v>
      </c>
      <c r="AQ319" s="4" t="s">
        <v>103</v>
      </c>
      <c r="AR319" s="4" t="s">
        <v>97</v>
      </c>
      <c r="AS319" s="4" t="s">
        <v>103</v>
      </c>
      <c r="AT319" s="4"/>
      <c r="AU319" s="4"/>
      <c r="AV319" s="4" t="s">
        <v>103</v>
      </c>
      <c r="AW319" s="4" t="s">
        <v>97</v>
      </c>
      <c r="AX319" s="4" t="s">
        <v>97</v>
      </c>
      <c r="AY319" s="4" t="s">
        <v>97</v>
      </c>
      <c r="AZ319" s="4" t="s">
        <v>103</v>
      </c>
      <c r="BA319" s="4" t="s">
        <v>97</v>
      </c>
      <c r="BB319" s="5">
        <v>45947</v>
      </c>
      <c r="BC319" s="5">
        <v>45947</v>
      </c>
      <c r="BD319" s="5">
        <v>45947</v>
      </c>
      <c r="BE319" s="5">
        <v>45948</v>
      </c>
      <c r="BF319" s="4" t="s">
        <v>98</v>
      </c>
      <c r="BG319" s="4" t="s">
        <v>97</v>
      </c>
      <c r="BH319" s="4" t="s">
        <v>103</v>
      </c>
      <c r="BI319" s="4" t="s">
        <v>834</v>
      </c>
    </row>
    <row r="320" spans="1:61" x14ac:dyDescent="0.35">
      <c r="A320" s="8" t="str">
        <f t="shared" si="27"/>
        <v>Semaine 42-2025</v>
      </c>
      <c r="B320" s="8" t="str">
        <f t="shared" si="23"/>
        <v>2025</v>
      </c>
      <c r="C320" s="2" t="s">
        <v>19</v>
      </c>
      <c r="D320" s="6" t="str">
        <f t="shared" si="24"/>
        <v>Dakar</v>
      </c>
      <c r="E320" s="6">
        <f t="shared" si="25"/>
        <v>565040</v>
      </c>
      <c r="F320" s="6">
        <f t="shared" si="26"/>
        <v>4042240</v>
      </c>
      <c r="G320" s="4" t="s">
        <v>890</v>
      </c>
      <c r="H320" s="4" t="s">
        <v>904</v>
      </c>
      <c r="I320" s="4">
        <v>8</v>
      </c>
      <c r="J320" s="4" t="s">
        <v>114</v>
      </c>
      <c r="K320" s="4"/>
      <c r="L320" s="4"/>
      <c r="M320" s="4"/>
      <c r="N320" s="4"/>
      <c r="O320" s="4" t="s">
        <v>238</v>
      </c>
      <c r="P320" s="4" t="s">
        <v>97</v>
      </c>
      <c r="Q320" s="4" t="s">
        <v>97</v>
      </c>
      <c r="R320" s="14" t="s">
        <v>100</v>
      </c>
      <c r="S320" s="14" t="s">
        <v>100</v>
      </c>
      <c r="T320" s="14" t="s">
        <v>100</v>
      </c>
      <c r="U320" s="8"/>
      <c r="V320" s="14"/>
      <c r="W320" s="14"/>
      <c r="X320" s="14"/>
      <c r="Y320" s="5">
        <v>45945</v>
      </c>
      <c r="Z320" s="5">
        <v>45947</v>
      </c>
      <c r="AA320" s="4" t="s">
        <v>103</v>
      </c>
      <c r="AB320" s="4" t="s">
        <v>272</v>
      </c>
      <c r="AC320" s="4" t="s">
        <v>97</v>
      </c>
      <c r="AD320" s="4" t="s">
        <v>97</v>
      </c>
      <c r="AE320" s="4" t="s">
        <v>97</v>
      </c>
      <c r="AF320" s="4" t="s">
        <v>97</v>
      </c>
      <c r="AG320" s="4" t="s">
        <v>97</v>
      </c>
      <c r="AH320" s="5" t="s">
        <v>103</v>
      </c>
      <c r="AI320" s="5">
        <v>45945</v>
      </c>
      <c r="AJ320" s="4" t="s">
        <v>97</v>
      </c>
      <c r="AK320" s="4" t="s">
        <v>97</v>
      </c>
      <c r="AL320" s="4" t="s">
        <v>97</v>
      </c>
      <c r="AM320" s="4" t="s">
        <v>103</v>
      </c>
      <c r="AN320" s="4" t="s">
        <v>103</v>
      </c>
      <c r="AO320" s="4" t="s">
        <v>103</v>
      </c>
      <c r="AP320" s="4" t="s">
        <v>103</v>
      </c>
      <c r="AQ320" s="4" t="s">
        <v>97</v>
      </c>
      <c r="AR320" s="4" t="s">
        <v>97</v>
      </c>
      <c r="AS320" s="4" t="s">
        <v>97</v>
      </c>
      <c r="AT320" s="4"/>
      <c r="AU320" s="4"/>
      <c r="AV320" s="4" t="s">
        <v>103</v>
      </c>
      <c r="AW320" s="4" t="s">
        <v>97</v>
      </c>
      <c r="AX320" s="4" t="s">
        <v>97</v>
      </c>
      <c r="AY320" s="4" t="s">
        <v>97</v>
      </c>
      <c r="AZ320" s="4" t="s">
        <v>97</v>
      </c>
      <c r="BA320" s="4" t="s">
        <v>97</v>
      </c>
      <c r="BB320" s="5">
        <v>45947</v>
      </c>
      <c r="BC320" s="5">
        <v>45947</v>
      </c>
      <c r="BD320" s="5">
        <v>45947</v>
      </c>
      <c r="BE320" s="5">
        <v>45948</v>
      </c>
      <c r="BF320" s="4" t="s">
        <v>98</v>
      </c>
      <c r="BG320" s="4" t="s">
        <v>97</v>
      </c>
      <c r="BH320" s="4" t="s">
        <v>103</v>
      </c>
      <c r="BI320" s="4" t="s">
        <v>834</v>
      </c>
    </row>
    <row r="321" spans="1:61" x14ac:dyDescent="0.35">
      <c r="A321" s="8" t="str">
        <f t="shared" si="27"/>
        <v>Semaine 41-2025</v>
      </c>
      <c r="B321" s="8" t="str">
        <f t="shared" si="23"/>
        <v>2025</v>
      </c>
      <c r="C321" s="2" t="s">
        <v>18</v>
      </c>
      <c r="D321" s="6" t="str">
        <f t="shared" si="24"/>
        <v>Dakar</v>
      </c>
      <c r="E321" s="6">
        <f t="shared" si="25"/>
        <v>419489</v>
      </c>
      <c r="F321" s="6">
        <f t="shared" si="26"/>
        <v>4042240</v>
      </c>
      <c r="G321" s="4" t="s">
        <v>891</v>
      </c>
      <c r="H321" s="4" t="s">
        <v>864</v>
      </c>
      <c r="I321" s="4">
        <v>22</v>
      </c>
      <c r="J321" s="4" t="s">
        <v>114</v>
      </c>
      <c r="K321" s="4"/>
      <c r="L321" s="4"/>
      <c r="M321" s="4"/>
      <c r="N321" s="4"/>
      <c r="O321" s="4" t="s">
        <v>238</v>
      </c>
      <c r="P321" s="4" t="s">
        <v>97</v>
      </c>
      <c r="Q321" s="4" t="s">
        <v>97</v>
      </c>
      <c r="R321" s="14" t="s">
        <v>100</v>
      </c>
      <c r="S321" s="14" t="s">
        <v>100</v>
      </c>
      <c r="T321" s="14" t="s">
        <v>100</v>
      </c>
      <c r="U321" s="8"/>
      <c r="V321" s="14"/>
      <c r="W321" s="14"/>
      <c r="X321" s="14"/>
      <c r="Y321" s="5">
        <v>45940</v>
      </c>
      <c r="Z321" s="5">
        <v>45947</v>
      </c>
      <c r="AA321" s="4" t="s">
        <v>97</v>
      </c>
      <c r="AB321" s="4"/>
      <c r="AC321" s="4" t="s">
        <v>97</v>
      </c>
      <c r="AD321" s="4" t="s">
        <v>97</v>
      </c>
      <c r="AE321" s="4" t="s">
        <v>97</v>
      </c>
      <c r="AF321" s="4" t="s">
        <v>97</v>
      </c>
      <c r="AG321" s="4" t="s">
        <v>97</v>
      </c>
      <c r="AH321" s="4" t="s">
        <v>103</v>
      </c>
      <c r="AI321" s="5">
        <v>45940</v>
      </c>
      <c r="AJ321" s="4" t="s">
        <v>97</v>
      </c>
      <c r="AK321" s="4" t="s">
        <v>103</v>
      </c>
      <c r="AL321" s="4" t="s">
        <v>97</v>
      </c>
      <c r="AM321" s="4" t="s">
        <v>97</v>
      </c>
      <c r="AN321" s="4" t="s">
        <v>103</v>
      </c>
      <c r="AO321" s="4" t="s">
        <v>97</v>
      </c>
      <c r="AP321" s="4" t="s">
        <v>97</v>
      </c>
      <c r="AQ321" s="4" t="s">
        <v>97</v>
      </c>
      <c r="AR321" s="4" t="s">
        <v>97</v>
      </c>
      <c r="AS321" s="4" t="s">
        <v>97</v>
      </c>
      <c r="AT321" s="4"/>
      <c r="AU321" s="4"/>
      <c r="AV321" s="4" t="s">
        <v>103</v>
      </c>
      <c r="AW321" s="4" t="s">
        <v>97</v>
      </c>
      <c r="AX321" s="4" t="s">
        <v>97</v>
      </c>
      <c r="AY321" s="4" t="s">
        <v>97</v>
      </c>
      <c r="AZ321" s="4" t="s">
        <v>103</v>
      </c>
      <c r="BA321" s="4" t="s">
        <v>97</v>
      </c>
      <c r="BB321" s="5">
        <v>45947</v>
      </c>
      <c r="BC321" s="5">
        <v>45947</v>
      </c>
      <c r="BD321" s="5">
        <v>45947</v>
      </c>
      <c r="BE321" s="5">
        <v>45948</v>
      </c>
      <c r="BF321" s="4" t="s">
        <v>98</v>
      </c>
      <c r="BG321" s="4" t="s">
        <v>97</v>
      </c>
      <c r="BH321" s="4" t="s">
        <v>103</v>
      </c>
      <c r="BI321" s="4" t="s">
        <v>834</v>
      </c>
    </row>
    <row r="322" spans="1:61" x14ac:dyDescent="0.35">
      <c r="A322" s="4" t="s">
        <v>905</v>
      </c>
      <c r="B322" s="23">
        <v>2025</v>
      </c>
      <c r="C322" s="2" t="s">
        <v>78</v>
      </c>
      <c r="D322" s="6" t="str">
        <f t="shared" si="24"/>
        <v>Ziguinchor</v>
      </c>
      <c r="E322" s="6">
        <f t="shared" si="25"/>
        <v>330001</v>
      </c>
      <c r="F322" s="6">
        <f t="shared" si="26"/>
        <v>729952</v>
      </c>
      <c r="G322" s="4" t="s">
        <v>917</v>
      </c>
      <c r="H322" s="4" t="s">
        <v>906</v>
      </c>
      <c r="I322" s="4">
        <v>49</v>
      </c>
      <c r="J322" s="4" t="s">
        <v>114</v>
      </c>
      <c r="K322" s="4" t="s">
        <v>79</v>
      </c>
      <c r="L322" s="5">
        <v>45935</v>
      </c>
      <c r="M322" s="4"/>
      <c r="N322" s="4"/>
      <c r="O322" s="4" t="s">
        <v>238</v>
      </c>
      <c r="P322" s="4" t="s">
        <v>97</v>
      </c>
      <c r="Q322" s="4" t="s">
        <v>97</v>
      </c>
      <c r="R322" s="14" t="s">
        <v>100</v>
      </c>
      <c r="S322" s="14" t="s">
        <v>100</v>
      </c>
      <c r="T322" s="14" t="s">
        <v>100</v>
      </c>
      <c r="U322" s="8"/>
      <c r="V322" s="14"/>
      <c r="W322" s="14"/>
      <c r="X322" s="14"/>
      <c r="Y322" s="5">
        <v>45946</v>
      </c>
      <c r="Z322" s="5">
        <v>45946</v>
      </c>
      <c r="AA322" s="4" t="s">
        <v>97</v>
      </c>
      <c r="AB322" s="4"/>
      <c r="AC322" s="4" t="s">
        <v>97</v>
      </c>
      <c r="AD322" s="4" t="s">
        <v>97</v>
      </c>
      <c r="AE322" s="4" t="s">
        <v>97</v>
      </c>
      <c r="AF322" s="4" t="s">
        <v>97</v>
      </c>
      <c r="AG322" s="4" t="s">
        <v>97</v>
      </c>
      <c r="AH322" s="4" t="s">
        <v>103</v>
      </c>
      <c r="AI322" s="24">
        <v>45946</v>
      </c>
      <c r="AJ322" s="4" t="s">
        <v>103</v>
      </c>
      <c r="AK322" s="4" t="s">
        <v>97</v>
      </c>
      <c r="AL322" s="4" t="s">
        <v>97</v>
      </c>
      <c r="AM322" s="4" t="s">
        <v>97</v>
      </c>
      <c r="AN322" s="4" t="s">
        <v>97</v>
      </c>
      <c r="AO322" s="4" t="s">
        <v>103</v>
      </c>
      <c r="AP322" s="4" t="s">
        <v>103</v>
      </c>
      <c r="AQ322" s="4" t="s">
        <v>97</v>
      </c>
      <c r="AR322" s="4" t="s">
        <v>97</v>
      </c>
      <c r="AS322" s="4" t="s">
        <v>97</v>
      </c>
      <c r="AT322" s="4"/>
      <c r="AU322" s="4"/>
      <c r="AV322" s="4" t="s">
        <v>97</v>
      </c>
      <c r="AW322" s="4" t="s">
        <v>97</v>
      </c>
      <c r="AX322" s="4" t="s">
        <v>97</v>
      </c>
      <c r="AY322" s="4" t="s">
        <v>97</v>
      </c>
      <c r="AZ322" s="4" t="s">
        <v>103</v>
      </c>
      <c r="BA322" s="4" t="s">
        <v>97</v>
      </c>
      <c r="BB322" s="5">
        <v>45948</v>
      </c>
      <c r="BC322" s="5">
        <v>45948</v>
      </c>
      <c r="BD322" s="5">
        <v>45948</v>
      </c>
      <c r="BE322" s="5">
        <v>45950</v>
      </c>
      <c r="BF322" s="4" t="s">
        <v>98</v>
      </c>
      <c r="BG322" s="4" t="s">
        <v>97</v>
      </c>
      <c r="BH322" s="4" t="s">
        <v>103</v>
      </c>
      <c r="BI322" s="4" t="s">
        <v>834</v>
      </c>
    </row>
    <row r="323" spans="1:61" x14ac:dyDescent="0.35">
      <c r="A323" s="4" t="s">
        <v>905</v>
      </c>
      <c r="B323" s="8" t="str">
        <f t="shared" si="23"/>
        <v>2025</v>
      </c>
      <c r="C323" s="2" t="s">
        <v>19</v>
      </c>
      <c r="D323" s="6" t="str">
        <f t="shared" si="24"/>
        <v>Dakar</v>
      </c>
      <c r="E323" s="6">
        <f t="shared" si="25"/>
        <v>565040</v>
      </c>
      <c r="F323" s="6">
        <f t="shared" si="26"/>
        <v>4042240</v>
      </c>
      <c r="G323" s="4" t="s">
        <v>918</v>
      </c>
      <c r="H323" s="4" t="s">
        <v>907</v>
      </c>
      <c r="I323" s="4">
        <v>26</v>
      </c>
      <c r="J323" s="4" t="s">
        <v>96</v>
      </c>
      <c r="K323" s="4"/>
      <c r="L323" s="4"/>
      <c r="M323" s="4"/>
      <c r="N323" s="4"/>
      <c r="O323" s="4" t="s">
        <v>238</v>
      </c>
      <c r="P323" s="4" t="s">
        <v>97</v>
      </c>
      <c r="Q323" s="4" t="s">
        <v>97</v>
      </c>
      <c r="R323" s="14" t="s">
        <v>100</v>
      </c>
      <c r="S323" s="14" t="s">
        <v>100</v>
      </c>
      <c r="T323" s="14" t="s">
        <v>100</v>
      </c>
      <c r="U323" s="8"/>
      <c r="V323" s="14"/>
      <c r="W323" s="14"/>
      <c r="X323" s="14"/>
      <c r="Y323" s="5">
        <v>45944</v>
      </c>
      <c r="Z323" s="5">
        <v>45947</v>
      </c>
      <c r="AA323" s="4" t="s">
        <v>97</v>
      </c>
      <c r="AB323" s="4"/>
      <c r="AC323" s="4" t="s">
        <v>103</v>
      </c>
      <c r="AD323" s="4" t="s">
        <v>97</v>
      </c>
      <c r="AE323" s="4" t="s">
        <v>97</v>
      </c>
      <c r="AF323" s="4" t="s">
        <v>97</v>
      </c>
      <c r="AG323" s="4" t="s">
        <v>103</v>
      </c>
      <c r="AH323" s="4" t="s">
        <v>103</v>
      </c>
      <c r="AI323" s="5">
        <v>45944</v>
      </c>
      <c r="AJ323" s="4" t="s">
        <v>97</v>
      </c>
      <c r="AK323" s="4" t="s">
        <v>97</v>
      </c>
      <c r="AL323" s="4" t="s">
        <v>97</v>
      </c>
      <c r="AM323" s="4" t="s">
        <v>103</v>
      </c>
      <c r="AN323" s="4" t="s">
        <v>103</v>
      </c>
      <c r="AO323" s="4" t="s">
        <v>103</v>
      </c>
      <c r="AP323" s="4" t="s">
        <v>103</v>
      </c>
      <c r="AQ323" s="4" t="s">
        <v>97</v>
      </c>
      <c r="AR323" s="4" t="s">
        <v>97</v>
      </c>
      <c r="AS323" s="4" t="s">
        <v>97</v>
      </c>
      <c r="AT323" s="4"/>
      <c r="AU323" s="4"/>
      <c r="AV323" s="4" t="s">
        <v>97</v>
      </c>
      <c r="AW323" s="4" t="s">
        <v>97</v>
      </c>
      <c r="AX323" s="4" t="s">
        <v>97</v>
      </c>
      <c r="AY323" s="4" t="s">
        <v>97</v>
      </c>
      <c r="AZ323" s="4" t="s">
        <v>103</v>
      </c>
      <c r="BA323" s="4" t="s">
        <v>97</v>
      </c>
      <c r="BB323" s="5">
        <v>45947</v>
      </c>
      <c r="BC323" s="5">
        <v>45948</v>
      </c>
      <c r="BD323" s="5">
        <v>45948</v>
      </c>
      <c r="BE323" s="5">
        <v>45950</v>
      </c>
      <c r="BF323" s="4" t="s">
        <v>98</v>
      </c>
      <c r="BG323" s="4" t="s">
        <v>97</v>
      </c>
      <c r="BH323" s="4" t="s">
        <v>103</v>
      </c>
      <c r="BI323" s="4" t="s">
        <v>834</v>
      </c>
    </row>
    <row r="324" spans="1:61" x14ac:dyDescent="0.35">
      <c r="A324" s="4" t="s">
        <v>905</v>
      </c>
      <c r="B324" s="8" t="str">
        <f>RIGHT(A324,4)</f>
        <v>2025</v>
      </c>
      <c r="C324" s="2" t="s">
        <v>3</v>
      </c>
      <c r="D324" s="6" t="str">
        <f>IF(C324="","",VLOOKUP(C324,district_region,2,FALSE))</f>
        <v>Kaolack</v>
      </c>
      <c r="E324" s="6">
        <f>IF(C324="","",VLOOKUP(C324,liste_pop,3,FALSE))</f>
        <v>412872</v>
      </c>
      <c r="F324" s="6">
        <f>IF(D324="","",IF(D324="Dakar",4042240,VLOOKUP(D324,liste_pop,4,FALSE)))</f>
        <v>1267013</v>
      </c>
      <c r="G324" s="4" t="s">
        <v>919</v>
      </c>
      <c r="H324" s="4" t="s">
        <v>910</v>
      </c>
      <c r="I324" s="4">
        <v>5</v>
      </c>
      <c r="J324" s="4" t="s">
        <v>114</v>
      </c>
      <c r="K324" s="4"/>
      <c r="L324" s="4"/>
      <c r="M324" s="4"/>
      <c r="N324" s="4"/>
      <c r="O324" s="4" t="s">
        <v>238</v>
      </c>
      <c r="P324" s="4" t="s">
        <v>97</v>
      </c>
      <c r="Q324" s="4" t="s">
        <v>97</v>
      </c>
      <c r="R324" s="14" t="s">
        <v>100</v>
      </c>
      <c r="S324" s="14" t="s">
        <v>100</v>
      </c>
      <c r="T324" s="14" t="s">
        <v>100</v>
      </c>
      <c r="U324" s="8"/>
      <c r="V324" s="14"/>
      <c r="W324" s="14"/>
      <c r="X324" s="14"/>
      <c r="Y324" s="5">
        <v>45945</v>
      </c>
      <c r="Z324" s="5">
        <v>45947</v>
      </c>
      <c r="AA324" s="4" t="s">
        <v>103</v>
      </c>
      <c r="AB324" s="4" t="s">
        <v>272</v>
      </c>
      <c r="AC324" s="4" t="s">
        <v>103</v>
      </c>
      <c r="AD324" s="4" t="s">
        <v>97</v>
      </c>
      <c r="AE324" s="4" t="s">
        <v>97</v>
      </c>
      <c r="AF324" s="4" t="s">
        <v>97</v>
      </c>
      <c r="AG324" s="4" t="s">
        <v>103</v>
      </c>
      <c r="AH324" s="4" t="s">
        <v>103</v>
      </c>
      <c r="AI324" s="5">
        <v>45945</v>
      </c>
      <c r="AJ324" s="4" t="s">
        <v>97</v>
      </c>
      <c r="AK324" s="4" t="s">
        <v>97</v>
      </c>
      <c r="AL324" s="4" t="s">
        <v>97</v>
      </c>
      <c r="AM324" s="4" t="s">
        <v>103</v>
      </c>
      <c r="AN324" s="4" t="s">
        <v>103</v>
      </c>
      <c r="AO324" s="4" t="s">
        <v>103</v>
      </c>
      <c r="AP324" s="4" t="s">
        <v>103</v>
      </c>
      <c r="AQ324" s="4" t="s">
        <v>97</v>
      </c>
      <c r="AR324" s="4" t="s">
        <v>97</v>
      </c>
      <c r="AS324" s="4" t="s">
        <v>97</v>
      </c>
      <c r="AT324" s="4" t="s">
        <v>911</v>
      </c>
      <c r="AU324" s="4"/>
      <c r="AV324" s="4" t="s">
        <v>103</v>
      </c>
      <c r="AW324" s="4" t="s">
        <v>97</v>
      </c>
      <c r="AX324" s="4" t="s">
        <v>97</v>
      </c>
      <c r="AY324" s="4" t="s">
        <v>97</v>
      </c>
      <c r="AZ324" s="4" t="s">
        <v>103</v>
      </c>
      <c r="BA324" s="4" t="s">
        <v>103</v>
      </c>
      <c r="BB324" s="5">
        <v>45947</v>
      </c>
      <c r="BC324" s="5">
        <v>45948</v>
      </c>
      <c r="BD324" s="5">
        <v>45949</v>
      </c>
      <c r="BE324" s="5">
        <v>45950</v>
      </c>
      <c r="BF324" s="4" t="s">
        <v>98</v>
      </c>
      <c r="BG324" s="4" t="s">
        <v>103</v>
      </c>
      <c r="BH324" s="4" t="s">
        <v>103</v>
      </c>
      <c r="BI324" s="4" t="s">
        <v>834</v>
      </c>
    </row>
    <row r="325" spans="1:61" x14ac:dyDescent="0.35">
      <c r="A325" s="4" t="s">
        <v>905</v>
      </c>
      <c r="B325" s="8" t="s">
        <v>909</v>
      </c>
      <c r="C325" s="2" t="s">
        <v>67</v>
      </c>
      <c r="D325" s="6" t="s">
        <v>36</v>
      </c>
      <c r="E325" s="6">
        <v>29759</v>
      </c>
      <c r="F325" s="6">
        <v>203720</v>
      </c>
      <c r="G325" s="4" t="s">
        <v>920</v>
      </c>
      <c r="H325" s="4" t="s">
        <v>908</v>
      </c>
      <c r="I325" s="4">
        <v>2</v>
      </c>
      <c r="J325" s="4" t="s">
        <v>96</v>
      </c>
      <c r="K325" s="4"/>
      <c r="L325" s="4"/>
      <c r="M325" s="4"/>
      <c r="N325" s="4"/>
      <c r="O325" s="4" t="s">
        <v>238</v>
      </c>
      <c r="P325" s="4" t="s">
        <v>97</v>
      </c>
      <c r="Q325" s="4" t="s">
        <v>97</v>
      </c>
      <c r="R325" s="14" t="s">
        <v>100</v>
      </c>
      <c r="S325" s="14" t="s">
        <v>100</v>
      </c>
      <c r="T325" s="14" t="s">
        <v>100</v>
      </c>
      <c r="U325" s="8"/>
      <c r="V325" s="14"/>
      <c r="W325" s="14"/>
      <c r="X325" s="14"/>
      <c r="Y325" s="5">
        <v>45944</v>
      </c>
      <c r="Z325" s="5">
        <v>45946</v>
      </c>
      <c r="AA325" s="4" t="s">
        <v>103</v>
      </c>
      <c r="AB325" s="4" t="s">
        <v>272</v>
      </c>
      <c r="AC325" s="4" t="s">
        <v>97</v>
      </c>
      <c r="AD325" s="4" t="s">
        <v>97</v>
      </c>
      <c r="AE325" s="4" t="s">
        <v>97</v>
      </c>
      <c r="AF325" s="4" t="s">
        <v>97</v>
      </c>
      <c r="AG325" s="4" t="s">
        <v>97</v>
      </c>
      <c r="AH325" s="4" t="s">
        <v>103</v>
      </c>
      <c r="AI325" s="5">
        <v>45944</v>
      </c>
      <c r="AJ325" s="4" t="s">
        <v>97</v>
      </c>
      <c r="AK325" s="4" t="s">
        <v>97</v>
      </c>
      <c r="AL325" s="4" t="s">
        <v>103</v>
      </c>
      <c r="AM325" s="4" t="s">
        <v>103</v>
      </c>
      <c r="AN325" s="4" t="s">
        <v>97</v>
      </c>
      <c r="AO325" s="4" t="s">
        <v>97</v>
      </c>
      <c r="AP325" s="4" t="s">
        <v>97</v>
      </c>
      <c r="AQ325" s="4" t="s">
        <v>97</v>
      </c>
      <c r="AR325" s="4" t="s">
        <v>97</v>
      </c>
      <c r="AS325" s="4" t="s">
        <v>97</v>
      </c>
      <c r="AT325" s="4"/>
      <c r="AU325" s="4"/>
      <c r="AV325" s="4" t="s">
        <v>97</v>
      </c>
      <c r="AW325" s="4" t="s">
        <v>97</v>
      </c>
      <c r="AX325" s="4" t="s">
        <v>97</v>
      </c>
      <c r="AY325" s="4" t="s">
        <v>97</v>
      </c>
      <c r="AZ325" s="4" t="s">
        <v>103</v>
      </c>
      <c r="BA325" s="4" t="s">
        <v>97</v>
      </c>
      <c r="BB325" s="5">
        <v>45946</v>
      </c>
      <c r="BC325" s="5">
        <v>45947</v>
      </c>
      <c r="BD325" s="5">
        <v>45948</v>
      </c>
      <c r="BE325" s="5">
        <v>45950</v>
      </c>
      <c r="BF325" s="4" t="s">
        <v>98</v>
      </c>
      <c r="BG325" s="4" t="s">
        <v>97</v>
      </c>
      <c r="BH325" s="4" t="s">
        <v>103</v>
      </c>
      <c r="BI325" s="4" t="s">
        <v>834</v>
      </c>
    </row>
    <row r="326" spans="1:61" x14ac:dyDescent="0.35">
      <c r="A326" s="4" t="s">
        <v>905</v>
      </c>
      <c r="B326" s="8" t="str">
        <f t="shared" ref="B326:B389" si="28">RIGHT(A326,4)</f>
        <v>2025</v>
      </c>
      <c r="C326" s="2" t="s">
        <v>67</v>
      </c>
      <c r="D326" s="6" t="str">
        <f t="shared" ref="D326:D389" si="29">IF(C326="","",VLOOKUP(C326,district_region,2,FALSE))</f>
        <v>Kedougou</v>
      </c>
      <c r="E326" s="6">
        <f t="shared" ref="E326:E389" si="30">IF(C326="","",VLOOKUP(C326,liste_pop,3,FALSE))</f>
        <v>29759</v>
      </c>
      <c r="F326" s="6">
        <f t="shared" ref="F326:F389" si="31">IF(D326="","",IF(D326="Dakar",4042240,VLOOKUP(D326,liste_pop,4,FALSE)))</f>
        <v>203720</v>
      </c>
      <c r="G326" s="4" t="s">
        <v>921</v>
      </c>
      <c r="H326" s="4" t="s">
        <v>912</v>
      </c>
      <c r="I326" s="4">
        <v>4</v>
      </c>
      <c r="J326" s="4" t="s">
        <v>96</v>
      </c>
      <c r="K326" s="4"/>
      <c r="L326" s="4"/>
      <c r="M326" s="4"/>
      <c r="N326" s="4"/>
      <c r="O326" s="4" t="s">
        <v>238</v>
      </c>
      <c r="P326" s="4" t="s">
        <v>97</v>
      </c>
      <c r="Q326" s="4" t="s">
        <v>97</v>
      </c>
      <c r="R326" s="14" t="s">
        <v>100</v>
      </c>
      <c r="S326" s="14" t="s">
        <v>100</v>
      </c>
      <c r="T326" s="14" t="s">
        <v>100</v>
      </c>
      <c r="U326" s="8"/>
      <c r="V326" s="14"/>
      <c r="W326" s="14"/>
      <c r="X326" s="14"/>
      <c r="Y326" s="5">
        <v>45943</v>
      </c>
      <c r="Z326" s="5">
        <v>45946</v>
      </c>
      <c r="AA326" s="4" t="s">
        <v>103</v>
      </c>
      <c r="AB326" s="4" t="s">
        <v>477</v>
      </c>
      <c r="AC326" s="4" t="s">
        <v>97</v>
      </c>
      <c r="AD326" s="4" t="s">
        <v>97</v>
      </c>
      <c r="AE326" s="4" t="s">
        <v>97</v>
      </c>
      <c r="AF326" s="4" t="s">
        <v>97</v>
      </c>
      <c r="AG326" s="4" t="s">
        <v>97</v>
      </c>
      <c r="AH326" s="4" t="s">
        <v>103</v>
      </c>
      <c r="AI326" s="5">
        <v>45943</v>
      </c>
      <c r="AJ326" s="4" t="s">
        <v>97</v>
      </c>
      <c r="AK326" s="4" t="s">
        <v>97</v>
      </c>
      <c r="AL326" s="4" t="s">
        <v>103</v>
      </c>
      <c r="AM326" s="4" t="s">
        <v>103</v>
      </c>
      <c r="AN326" s="4" t="s">
        <v>97</v>
      </c>
      <c r="AO326" s="4" t="s">
        <v>97</v>
      </c>
      <c r="AP326" s="4" t="s">
        <v>97</v>
      </c>
      <c r="AQ326" s="4" t="s">
        <v>97</v>
      </c>
      <c r="AR326" s="4" t="s">
        <v>97</v>
      </c>
      <c r="AS326" s="4" t="s">
        <v>97</v>
      </c>
      <c r="AT326" s="4"/>
      <c r="AU326" s="4"/>
      <c r="AV326" s="4" t="s">
        <v>103</v>
      </c>
      <c r="AW326" s="4" t="s">
        <v>103</v>
      </c>
      <c r="AX326" s="4" t="s">
        <v>97</v>
      </c>
      <c r="AY326" s="4" t="s">
        <v>97</v>
      </c>
      <c r="AZ326" s="4" t="s">
        <v>97</v>
      </c>
      <c r="BA326" s="4" t="s">
        <v>97</v>
      </c>
      <c r="BB326" s="5">
        <v>45946</v>
      </c>
      <c r="BC326" s="5">
        <v>45946</v>
      </c>
      <c r="BD326" s="5">
        <v>45949</v>
      </c>
      <c r="BE326" s="5">
        <v>45950</v>
      </c>
      <c r="BF326" s="4" t="s">
        <v>98</v>
      </c>
      <c r="BG326" s="4" t="s">
        <v>97</v>
      </c>
      <c r="BH326" s="4" t="s">
        <v>103</v>
      </c>
      <c r="BI326" s="4" t="s">
        <v>834</v>
      </c>
    </row>
    <row r="327" spans="1:61" x14ac:dyDescent="0.35">
      <c r="A327" s="4" t="s">
        <v>905</v>
      </c>
      <c r="B327" s="8" t="str">
        <f t="shared" si="28"/>
        <v>2025</v>
      </c>
      <c r="C327" s="2" t="s">
        <v>18</v>
      </c>
      <c r="D327" s="6" t="str">
        <f t="shared" si="29"/>
        <v>Dakar</v>
      </c>
      <c r="E327" s="6">
        <f t="shared" si="30"/>
        <v>419489</v>
      </c>
      <c r="F327" s="6">
        <f t="shared" si="31"/>
        <v>4042240</v>
      </c>
      <c r="G327" s="4" t="s">
        <v>922</v>
      </c>
      <c r="H327" s="4" t="s">
        <v>913</v>
      </c>
      <c r="I327" s="4">
        <v>38</v>
      </c>
      <c r="J327" s="4" t="s">
        <v>114</v>
      </c>
      <c r="K327" s="4" t="s">
        <v>914</v>
      </c>
      <c r="L327" s="5">
        <v>45947</v>
      </c>
      <c r="M327" s="4"/>
      <c r="N327" s="4"/>
      <c r="O327" s="4" t="s">
        <v>238</v>
      </c>
      <c r="P327" s="4" t="s">
        <v>97</v>
      </c>
      <c r="Q327" s="4" t="s">
        <v>97</v>
      </c>
      <c r="R327" s="14" t="s">
        <v>481</v>
      </c>
      <c r="S327" s="14" t="s">
        <v>100</v>
      </c>
      <c r="T327" s="14" t="s">
        <v>100</v>
      </c>
      <c r="U327" s="8"/>
      <c r="V327" s="14"/>
      <c r="W327" s="14"/>
      <c r="X327" t="s">
        <v>1136</v>
      </c>
      <c r="Y327" s="5">
        <v>45948</v>
      </c>
      <c r="Z327" s="5">
        <v>45950</v>
      </c>
      <c r="AA327" s="4" t="s">
        <v>97</v>
      </c>
      <c r="AB327" s="4"/>
      <c r="AC327" s="4" t="s">
        <v>97</v>
      </c>
      <c r="AD327" s="4" t="s">
        <v>103</v>
      </c>
      <c r="AE327" s="4" t="s">
        <v>97</v>
      </c>
      <c r="AF327" s="4" t="s">
        <v>103</v>
      </c>
      <c r="AG327" s="4" t="s">
        <v>103</v>
      </c>
      <c r="AH327" s="4" t="s">
        <v>103</v>
      </c>
      <c r="AI327" s="5">
        <v>45948</v>
      </c>
      <c r="AJ327" s="4" t="s">
        <v>103</v>
      </c>
      <c r="AK327" s="4" t="s">
        <v>103</v>
      </c>
      <c r="AL327" s="4" t="s">
        <v>103</v>
      </c>
      <c r="AM327" s="4" t="s">
        <v>103</v>
      </c>
      <c r="AN327" s="4" t="s">
        <v>103</v>
      </c>
      <c r="AO327" s="4" t="s">
        <v>97</v>
      </c>
      <c r="AP327" s="4" t="s">
        <v>97</v>
      </c>
      <c r="AQ327" s="4" t="s">
        <v>97</v>
      </c>
      <c r="AR327" s="4" t="s">
        <v>97</v>
      </c>
      <c r="AS327" s="4" t="s">
        <v>103</v>
      </c>
      <c r="AT327" s="4"/>
      <c r="AU327" s="4"/>
      <c r="AV327" s="4" t="s">
        <v>103</v>
      </c>
      <c r="AW327" s="4" t="s">
        <v>97</v>
      </c>
      <c r="AX327" s="4" t="s">
        <v>103</v>
      </c>
      <c r="AY327" s="4" t="s">
        <v>97</v>
      </c>
      <c r="AZ327" s="4" t="s">
        <v>103</v>
      </c>
      <c r="BA327" s="4" t="s">
        <v>97</v>
      </c>
      <c r="BB327" s="5">
        <v>45950</v>
      </c>
      <c r="BC327" s="5">
        <v>45950</v>
      </c>
      <c r="BD327" s="5">
        <v>45950</v>
      </c>
      <c r="BE327" s="5">
        <v>45950</v>
      </c>
      <c r="BF327" s="4" t="s">
        <v>98</v>
      </c>
      <c r="BG327" s="4" t="s">
        <v>97</v>
      </c>
      <c r="BH327" s="4" t="s">
        <v>103</v>
      </c>
      <c r="BI327" s="4" t="s">
        <v>482</v>
      </c>
    </row>
    <row r="328" spans="1:61" x14ac:dyDescent="0.35">
      <c r="A328" s="4" t="s">
        <v>905</v>
      </c>
      <c r="B328" s="8" t="str">
        <f t="shared" si="28"/>
        <v>2025</v>
      </c>
      <c r="C328" s="2" t="s">
        <v>23</v>
      </c>
      <c r="D328" s="6" t="str">
        <f t="shared" si="29"/>
        <v>Dakar</v>
      </c>
      <c r="E328" s="6">
        <f t="shared" si="30"/>
        <v>167577</v>
      </c>
      <c r="F328" s="6">
        <f t="shared" si="31"/>
        <v>4042240</v>
      </c>
      <c r="G328" s="4" t="s">
        <v>923</v>
      </c>
      <c r="H328" s="4" t="s">
        <v>915</v>
      </c>
      <c r="I328" s="4">
        <v>17</v>
      </c>
      <c r="J328" s="4" t="s">
        <v>96</v>
      </c>
      <c r="K328" s="4"/>
      <c r="L328" s="4"/>
      <c r="M328" s="4"/>
      <c r="N328" s="4"/>
      <c r="O328" s="4" t="s">
        <v>238</v>
      </c>
      <c r="P328" s="4" t="s">
        <v>97</v>
      </c>
      <c r="Q328" s="4" t="s">
        <v>97</v>
      </c>
      <c r="R328" s="14" t="s">
        <v>100</v>
      </c>
      <c r="S328" s="14" t="s">
        <v>100</v>
      </c>
      <c r="T328" s="14" t="s">
        <v>100</v>
      </c>
      <c r="U328" s="8"/>
      <c r="V328" s="14"/>
      <c r="W328" s="14"/>
      <c r="X328" s="14"/>
      <c r="Y328" s="5">
        <v>45945</v>
      </c>
      <c r="Z328" s="5">
        <v>45950</v>
      </c>
      <c r="AA328" s="4" t="s">
        <v>97</v>
      </c>
      <c r="AB328" s="4"/>
      <c r="AC328" s="4" t="s">
        <v>97</v>
      </c>
      <c r="AD328" s="4" t="s">
        <v>97</v>
      </c>
      <c r="AE328" s="4" t="s">
        <v>97</v>
      </c>
      <c r="AF328" s="4" t="s">
        <v>97</v>
      </c>
      <c r="AG328" s="4" t="s">
        <v>97</v>
      </c>
      <c r="AH328" s="4" t="s">
        <v>103</v>
      </c>
      <c r="AI328" s="5">
        <v>45945</v>
      </c>
      <c r="AJ328" s="4" t="s">
        <v>97</v>
      </c>
      <c r="AK328" s="4" t="s">
        <v>103</v>
      </c>
      <c r="AL328" s="4" t="s">
        <v>97</v>
      </c>
      <c r="AM328" s="4" t="s">
        <v>103</v>
      </c>
      <c r="AN328" s="4" t="s">
        <v>97</v>
      </c>
      <c r="AO328" s="4" t="s">
        <v>97</v>
      </c>
      <c r="AP328" s="4" t="s">
        <v>97</v>
      </c>
      <c r="AQ328" s="4" t="s">
        <v>97</v>
      </c>
      <c r="AR328" s="4" t="s">
        <v>97</v>
      </c>
      <c r="AS328" s="4" t="s">
        <v>97</v>
      </c>
      <c r="AT328" s="4" t="s">
        <v>600</v>
      </c>
      <c r="AU328" s="4"/>
      <c r="AV328" s="4" t="s">
        <v>97</v>
      </c>
      <c r="AW328" s="4" t="s">
        <v>97</v>
      </c>
      <c r="AX328" s="4" t="s">
        <v>97</v>
      </c>
      <c r="AY328" s="4" t="s">
        <v>97</v>
      </c>
      <c r="AZ328" s="4" t="s">
        <v>103</v>
      </c>
      <c r="BA328" s="4" t="s">
        <v>97</v>
      </c>
      <c r="BB328" s="5">
        <v>45950</v>
      </c>
      <c r="BC328" s="5">
        <v>45951</v>
      </c>
      <c r="BD328" s="5">
        <v>45951</v>
      </c>
      <c r="BE328" s="5">
        <v>45951</v>
      </c>
      <c r="BF328" s="4" t="s">
        <v>98</v>
      </c>
      <c r="BG328" s="4" t="s">
        <v>97</v>
      </c>
      <c r="BH328" s="4" t="s">
        <v>103</v>
      </c>
      <c r="BI328" s="4" t="s">
        <v>834</v>
      </c>
    </row>
    <row r="329" spans="1:61" x14ac:dyDescent="0.35">
      <c r="A329" s="4" t="s">
        <v>905</v>
      </c>
      <c r="B329" s="8" t="str">
        <f t="shared" si="28"/>
        <v>2025</v>
      </c>
      <c r="C329" s="2" t="s">
        <v>19</v>
      </c>
      <c r="D329" s="6" t="str">
        <f t="shared" si="29"/>
        <v>Dakar</v>
      </c>
      <c r="E329" s="6">
        <f t="shared" si="30"/>
        <v>565040</v>
      </c>
      <c r="F329" s="6">
        <f t="shared" si="31"/>
        <v>4042240</v>
      </c>
      <c r="G329" s="4" t="s">
        <v>924</v>
      </c>
      <c r="H329" s="4" t="s">
        <v>916</v>
      </c>
      <c r="I329" s="4">
        <v>6</v>
      </c>
      <c r="J329" s="4" t="s">
        <v>96</v>
      </c>
      <c r="K329" s="4"/>
      <c r="L329" s="4"/>
      <c r="M329" s="4"/>
      <c r="N329" s="4"/>
      <c r="O329" s="4" t="s">
        <v>238</v>
      </c>
      <c r="P329" s="4" t="s">
        <v>97</v>
      </c>
      <c r="Q329" s="4" t="s">
        <v>97</v>
      </c>
      <c r="R329" s="14" t="s">
        <v>100</v>
      </c>
      <c r="S329" s="14" t="s">
        <v>100</v>
      </c>
      <c r="T329" s="14" t="s">
        <v>100</v>
      </c>
      <c r="U329" s="8"/>
      <c r="V329" s="14"/>
      <c r="W329" s="14"/>
      <c r="X329" s="14"/>
      <c r="Y329" s="5">
        <v>45934</v>
      </c>
      <c r="Z329" s="5">
        <v>45936</v>
      </c>
      <c r="AA329" s="4" t="s">
        <v>103</v>
      </c>
      <c r="AB329" s="25">
        <v>38</v>
      </c>
      <c r="AC329" s="4" t="s">
        <v>103</v>
      </c>
      <c r="AD329" s="4" t="s">
        <v>103</v>
      </c>
      <c r="AE329" s="4" t="s">
        <v>97</v>
      </c>
      <c r="AF329" s="4" t="s">
        <v>97</v>
      </c>
      <c r="AG329" s="4" t="s">
        <v>97</v>
      </c>
      <c r="AH329" s="4" t="s">
        <v>103</v>
      </c>
      <c r="AI329" s="5">
        <v>45934</v>
      </c>
      <c r="AJ329" s="4" t="s">
        <v>97</v>
      </c>
      <c r="AK329" s="4" t="s">
        <v>97</v>
      </c>
      <c r="AL329" s="4" t="s">
        <v>97</v>
      </c>
      <c r="AM329" s="4" t="s">
        <v>103</v>
      </c>
      <c r="AN329" s="4" t="s">
        <v>103</v>
      </c>
      <c r="AO329" s="4" t="s">
        <v>103</v>
      </c>
      <c r="AP329" s="4" t="s">
        <v>103</v>
      </c>
      <c r="AQ329" s="4" t="s">
        <v>97</v>
      </c>
      <c r="AR329" s="4" t="s">
        <v>97</v>
      </c>
      <c r="AS329" s="4" t="s">
        <v>97</v>
      </c>
      <c r="AT329" s="4"/>
      <c r="AU329" s="4"/>
      <c r="AV329" s="4" t="s">
        <v>97</v>
      </c>
      <c r="AW329" s="4" t="s">
        <v>103</v>
      </c>
      <c r="AX329" s="4" t="s">
        <v>97</v>
      </c>
      <c r="AY329" s="4" t="s">
        <v>97</v>
      </c>
      <c r="AZ329" s="4" t="s">
        <v>97</v>
      </c>
      <c r="BA329" s="4" t="s">
        <v>103</v>
      </c>
      <c r="BB329" s="5">
        <v>45936</v>
      </c>
      <c r="BC329" s="5">
        <v>45951</v>
      </c>
      <c r="BD329" s="5">
        <v>45951</v>
      </c>
      <c r="BE329" s="5">
        <v>45951</v>
      </c>
      <c r="BF329" s="4" t="s">
        <v>98</v>
      </c>
      <c r="BG329" s="4" t="s">
        <v>97</v>
      </c>
      <c r="BH329" s="4" t="s">
        <v>103</v>
      </c>
      <c r="BI329" s="4" t="s">
        <v>834</v>
      </c>
    </row>
    <row r="330" spans="1:61" x14ac:dyDescent="0.35">
      <c r="A330" s="4" t="s">
        <v>905</v>
      </c>
      <c r="B330" s="8" t="str">
        <f t="shared" si="28"/>
        <v>2025</v>
      </c>
      <c r="C330" s="2" t="s">
        <v>15</v>
      </c>
      <c r="D330" s="6" t="str">
        <f t="shared" si="29"/>
        <v>Louga</v>
      </c>
      <c r="E330" s="6">
        <f t="shared" si="30"/>
        <v>81402</v>
      </c>
      <c r="F330" s="6">
        <f t="shared" si="31"/>
        <v>1121619</v>
      </c>
      <c r="G330" s="4" t="s">
        <v>925</v>
      </c>
      <c r="H330" s="4" t="s">
        <v>128</v>
      </c>
      <c r="I330" s="4">
        <v>20</v>
      </c>
      <c r="J330" s="4" t="s">
        <v>114</v>
      </c>
      <c r="K330" s="4"/>
      <c r="L330" s="4"/>
      <c r="M330" s="4"/>
      <c r="N330" s="4"/>
      <c r="O330" s="4" t="s">
        <v>238</v>
      </c>
      <c r="P330" s="4" t="s">
        <v>97</v>
      </c>
      <c r="Q330" s="4" t="s">
        <v>97</v>
      </c>
      <c r="R330" s="14" t="s">
        <v>100</v>
      </c>
      <c r="S330" s="14" t="s">
        <v>100</v>
      </c>
      <c r="T330" s="14" t="s">
        <v>100</v>
      </c>
      <c r="U330" s="8"/>
      <c r="V330" s="14"/>
      <c r="W330" s="14"/>
      <c r="X330" s="14"/>
      <c r="Y330" s="5">
        <v>45946</v>
      </c>
      <c r="Z330" s="5">
        <v>45950</v>
      </c>
      <c r="AA330" s="4" t="s">
        <v>103</v>
      </c>
      <c r="AB330" s="25">
        <v>38</v>
      </c>
      <c r="AC330" s="4" t="s">
        <v>103</v>
      </c>
      <c r="AD330" s="4" t="s">
        <v>97</v>
      </c>
      <c r="AE330" s="4" t="s">
        <v>97</v>
      </c>
      <c r="AF330" s="4" t="s">
        <v>103</v>
      </c>
      <c r="AG330" s="4" t="s">
        <v>97</v>
      </c>
      <c r="AH330" s="4" t="s">
        <v>103</v>
      </c>
      <c r="AI330" s="5">
        <v>45946</v>
      </c>
      <c r="AJ330" s="4" t="s">
        <v>103</v>
      </c>
      <c r="AK330" s="4" t="s">
        <v>97</v>
      </c>
      <c r="AL330" s="4" t="s">
        <v>97</v>
      </c>
      <c r="AM330" s="4" t="s">
        <v>97</v>
      </c>
      <c r="AN330" s="4" t="s">
        <v>97</v>
      </c>
      <c r="AO330" s="4" t="s">
        <v>97</v>
      </c>
      <c r="AP330" s="4" t="s">
        <v>103</v>
      </c>
      <c r="AQ330" s="4" t="s">
        <v>97</v>
      </c>
      <c r="AR330" s="4" t="s">
        <v>97</v>
      </c>
      <c r="AS330" s="4" t="s">
        <v>97</v>
      </c>
      <c r="AT330" s="4"/>
      <c r="AU330" s="4"/>
      <c r="AV330" s="4" t="s">
        <v>103</v>
      </c>
      <c r="AW330" s="4" t="s">
        <v>97</v>
      </c>
      <c r="AX330" s="4" t="s">
        <v>97</v>
      </c>
      <c r="AY330" s="4" t="s">
        <v>97</v>
      </c>
      <c r="AZ330" s="4" t="s">
        <v>97</v>
      </c>
      <c r="BA330" s="4" t="s">
        <v>97</v>
      </c>
      <c r="BB330" s="5">
        <v>45950</v>
      </c>
      <c r="BC330" s="5">
        <v>45950</v>
      </c>
      <c r="BD330" s="5">
        <v>45951</v>
      </c>
      <c r="BE330" s="5">
        <v>45951</v>
      </c>
      <c r="BF330" s="4" t="s">
        <v>98</v>
      </c>
      <c r="BG330" s="4" t="s">
        <v>97</v>
      </c>
      <c r="BH330" s="4" t="s">
        <v>103</v>
      </c>
      <c r="BI330" s="4" t="s">
        <v>834</v>
      </c>
    </row>
    <row r="331" spans="1:61" x14ac:dyDescent="0.35">
      <c r="A331" s="4" t="s">
        <v>905</v>
      </c>
      <c r="B331" s="8" t="str">
        <f t="shared" si="28"/>
        <v>2025</v>
      </c>
      <c r="C331" s="2" t="s">
        <v>20</v>
      </c>
      <c r="D331" s="6" t="str">
        <f t="shared" si="29"/>
        <v>Dakar</v>
      </c>
      <c r="E331" s="6">
        <f t="shared" si="30"/>
        <v>272276</v>
      </c>
      <c r="F331" s="6">
        <f t="shared" si="31"/>
        <v>4042240</v>
      </c>
      <c r="G331" s="4" t="s">
        <v>926</v>
      </c>
      <c r="H331" s="4" t="s">
        <v>927</v>
      </c>
      <c r="I331" s="4">
        <v>29</v>
      </c>
      <c r="J331" s="4" t="s">
        <v>114</v>
      </c>
      <c r="K331" s="4"/>
      <c r="L331" s="4"/>
      <c r="M331" s="4"/>
      <c r="N331" s="4"/>
      <c r="O331" s="4" t="s">
        <v>238</v>
      </c>
      <c r="P331" s="4" t="s">
        <v>97</v>
      </c>
      <c r="Q331" s="4" t="s">
        <v>97</v>
      </c>
      <c r="R331" s="14" t="s">
        <v>100</v>
      </c>
      <c r="S331" s="14" t="s">
        <v>100</v>
      </c>
      <c r="T331" s="14" t="s">
        <v>100</v>
      </c>
      <c r="U331" s="8"/>
      <c r="V331" s="14"/>
      <c r="W331" s="14"/>
      <c r="X331" s="14"/>
      <c r="Y331" s="5">
        <v>45943</v>
      </c>
      <c r="Z331" s="5">
        <v>45951</v>
      </c>
      <c r="AA331" s="4" t="s">
        <v>103</v>
      </c>
      <c r="AB331" s="25">
        <v>38</v>
      </c>
      <c r="AC331" s="4" t="s">
        <v>103</v>
      </c>
      <c r="AD331" s="4" t="s">
        <v>103</v>
      </c>
      <c r="AE331" s="4" t="s">
        <v>103</v>
      </c>
      <c r="AF331" s="4" t="s">
        <v>103</v>
      </c>
      <c r="AG331" s="4" t="s">
        <v>103</v>
      </c>
      <c r="AH331" s="4" t="s">
        <v>103</v>
      </c>
      <c r="AI331" s="5">
        <v>45943</v>
      </c>
      <c r="AJ331" s="4" t="s">
        <v>103</v>
      </c>
      <c r="AK331" s="4" t="s">
        <v>97</v>
      </c>
      <c r="AL331" s="4" t="s">
        <v>97</v>
      </c>
      <c r="AM331" s="4" t="s">
        <v>97</v>
      </c>
      <c r="AN331" s="4" t="s">
        <v>103</v>
      </c>
      <c r="AO331" s="4" t="s">
        <v>97</v>
      </c>
      <c r="AP331" s="4" t="s">
        <v>97</v>
      </c>
      <c r="AQ331" s="4" t="s">
        <v>97</v>
      </c>
      <c r="AR331" s="4" t="s">
        <v>97</v>
      </c>
      <c r="AS331" s="4" t="s">
        <v>97</v>
      </c>
      <c r="AT331" s="4"/>
      <c r="AU331" s="4"/>
      <c r="AV331" s="4" t="s">
        <v>97</v>
      </c>
      <c r="AW331" s="4" t="s">
        <v>97</v>
      </c>
      <c r="AX331" s="4" t="s">
        <v>103</v>
      </c>
      <c r="AY331" s="4" t="s">
        <v>97</v>
      </c>
      <c r="AZ331" s="4" t="s">
        <v>103</v>
      </c>
      <c r="BA331" s="4" t="s">
        <v>97</v>
      </c>
      <c r="BB331" s="5">
        <v>45951</v>
      </c>
      <c r="BC331" s="5">
        <v>45951</v>
      </c>
      <c r="BD331" s="5">
        <v>45951</v>
      </c>
      <c r="BE331" s="5">
        <v>45951</v>
      </c>
      <c r="BF331" s="4" t="s">
        <v>98</v>
      </c>
      <c r="BG331" s="4" t="s">
        <v>97</v>
      </c>
      <c r="BH331" s="4" t="s">
        <v>103</v>
      </c>
      <c r="BI331" s="4" t="s">
        <v>834</v>
      </c>
    </row>
    <row r="332" spans="1:61" x14ac:dyDescent="0.35">
      <c r="A332" s="4" t="s">
        <v>905</v>
      </c>
      <c r="B332" s="8" t="str">
        <f t="shared" si="28"/>
        <v>2025</v>
      </c>
      <c r="C332" s="2" t="s">
        <v>59</v>
      </c>
      <c r="D332" s="6" t="str">
        <f t="shared" si="29"/>
        <v>Saint-Louis</v>
      </c>
      <c r="E332" s="6">
        <f t="shared" si="30"/>
        <v>261136</v>
      </c>
      <c r="F332" s="6">
        <f t="shared" si="31"/>
        <v>1150065</v>
      </c>
      <c r="G332" s="4" t="s">
        <v>928</v>
      </c>
      <c r="H332" s="4" t="s">
        <v>929</v>
      </c>
      <c r="I332" s="4">
        <v>22</v>
      </c>
      <c r="J332" s="4" t="s">
        <v>96</v>
      </c>
      <c r="K332" s="4"/>
      <c r="L332" s="4"/>
      <c r="M332" s="4"/>
      <c r="N332" s="4"/>
      <c r="O332" s="4" t="s">
        <v>238</v>
      </c>
      <c r="P332" s="4" t="s">
        <v>103</v>
      </c>
      <c r="Q332" s="4" t="s">
        <v>97</v>
      </c>
      <c r="R332" s="14" t="s">
        <v>100</v>
      </c>
      <c r="S332" s="14" t="s">
        <v>100</v>
      </c>
      <c r="T332" s="14" t="s">
        <v>100</v>
      </c>
      <c r="U332" s="8"/>
      <c r="V332" s="14"/>
      <c r="W332" s="14"/>
      <c r="X332" s="14"/>
      <c r="Y332" s="5">
        <v>45885</v>
      </c>
      <c r="Z332" s="5">
        <v>45946</v>
      </c>
      <c r="AA332" s="4" t="s">
        <v>97</v>
      </c>
      <c r="AB332" s="4"/>
      <c r="AC332" s="4" t="s">
        <v>97</v>
      </c>
      <c r="AD332" s="4" t="s">
        <v>103</v>
      </c>
      <c r="AE332" s="4" t="s">
        <v>97</v>
      </c>
      <c r="AF332" s="4" t="s">
        <v>97</v>
      </c>
      <c r="AG332" s="4" t="s">
        <v>97</v>
      </c>
      <c r="AH332" s="4" t="s">
        <v>103</v>
      </c>
      <c r="AI332" s="5">
        <v>45885</v>
      </c>
      <c r="AJ332" s="4" t="s">
        <v>97</v>
      </c>
      <c r="AK332" s="4" t="s">
        <v>97</v>
      </c>
      <c r="AL332" s="4" t="s">
        <v>97</v>
      </c>
      <c r="AM332" s="4" t="s">
        <v>97</v>
      </c>
      <c r="AN332" s="4" t="s">
        <v>97</v>
      </c>
      <c r="AO332" s="4" t="s">
        <v>97</v>
      </c>
      <c r="AP332" s="4" t="s">
        <v>97</v>
      </c>
      <c r="AQ332" s="4" t="s">
        <v>97</v>
      </c>
      <c r="AR332" s="4" t="s">
        <v>97</v>
      </c>
      <c r="AS332" s="4" t="s">
        <v>103</v>
      </c>
      <c r="AT332" s="4"/>
      <c r="AU332" s="4"/>
      <c r="AV332" s="4" t="s">
        <v>97</v>
      </c>
      <c r="AW332" s="4" t="s">
        <v>97</v>
      </c>
      <c r="AX332" s="4" t="s">
        <v>97</v>
      </c>
      <c r="AY332" s="4" t="s">
        <v>97</v>
      </c>
      <c r="AZ332" s="4" t="s">
        <v>103</v>
      </c>
      <c r="BA332" s="4" t="s">
        <v>97</v>
      </c>
      <c r="BB332" s="5">
        <v>45946</v>
      </c>
      <c r="BC332" s="5">
        <v>45950</v>
      </c>
      <c r="BD332" s="5">
        <v>45951</v>
      </c>
      <c r="BE332" s="5">
        <v>45951</v>
      </c>
      <c r="BF332" s="4" t="s">
        <v>433</v>
      </c>
      <c r="BG332" s="4" t="s">
        <v>97</v>
      </c>
      <c r="BH332" s="4" t="s">
        <v>97</v>
      </c>
      <c r="BI332" s="4" t="s">
        <v>834</v>
      </c>
    </row>
    <row r="333" spans="1:61" x14ac:dyDescent="0.35">
      <c r="A333" s="4" t="s">
        <v>905</v>
      </c>
      <c r="B333" s="8" t="str">
        <f t="shared" si="28"/>
        <v>2025</v>
      </c>
      <c r="C333" s="2" t="s">
        <v>20</v>
      </c>
      <c r="D333" s="6" t="str">
        <f t="shared" si="29"/>
        <v>Dakar</v>
      </c>
      <c r="E333" s="6">
        <f t="shared" si="30"/>
        <v>272276</v>
      </c>
      <c r="F333" s="6">
        <f t="shared" si="31"/>
        <v>4042240</v>
      </c>
      <c r="G333" s="4" t="s">
        <v>930</v>
      </c>
      <c r="H333" s="4" t="s">
        <v>931</v>
      </c>
      <c r="I333" s="4">
        <v>22</v>
      </c>
      <c r="J333" s="4" t="s">
        <v>114</v>
      </c>
      <c r="K333" s="4" t="s">
        <v>932</v>
      </c>
      <c r="L333" s="4"/>
      <c r="M333" s="4" t="s">
        <v>933</v>
      </c>
      <c r="N333" s="5">
        <v>45915</v>
      </c>
      <c r="O333" s="4" t="s">
        <v>238</v>
      </c>
      <c r="P333" s="4" t="s">
        <v>97</v>
      </c>
      <c r="Q333" s="4" t="s">
        <v>97</v>
      </c>
      <c r="R333" s="14" t="s">
        <v>100</v>
      </c>
      <c r="S333" s="14" t="s">
        <v>100</v>
      </c>
      <c r="T333" s="14" t="s">
        <v>100</v>
      </c>
      <c r="U333" s="8"/>
      <c r="V333" s="14"/>
      <c r="W333" s="14"/>
      <c r="X333" s="14"/>
      <c r="Y333" s="5">
        <v>45885</v>
      </c>
      <c r="Z333" s="5">
        <v>45952</v>
      </c>
      <c r="AA333" s="4" t="s">
        <v>97</v>
      </c>
      <c r="AB333" s="4"/>
      <c r="AC333" s="4" t="s">
        <v>97</v>
      </c>
      <c r="AD333" s="4" t="s">
        <v>97</v>
      </c>
      <c r="AE333" s="4" t="s">
        <v>97</v>
      </c>
      <c r="AF333" s="4" t="s">
        <v>103</v>
      </c>
      <c r="AG333" s="4" t="s">
        <v>97</v>
      </c>
      <c r="AH333" s="4" t="s">
        <v>103</v>
      </c>
      <c r="AI333" s="5">
        <v>45946</v>
      </c>
      <c r="AJ333" s="4" t="s">
        <v>97</v>
      </c>
      <c r="AK333" s="4" t="s">
        <v>97</v>
      </c>
      <c r="AL333" s="4" t="s">
        <v>97</v>
      </c>
      <c r="AM333" s="4" t="s">
        <v>97</v>
      </c>
      <c r="AN333" s="4" t="s">
        <v>97</v>
      </c>
      <c r="AO333" s="4" t="s">
        <v>103</v>
      </c>
      <c r="AP333" s="4" t="s">
        <v>103</v>
      </c>
      <c r="AQ333" s="4" t="s">
        <v>97</v>
      </c>
      <c r="AR333" s="4" t="s">
        <v>97</v>
      </c>
      <c r="AS333" s="4" t="s">
        <v>97</v>
      </c>
      <c r="AT333" s="4"/>
      <c r="AU333" s="4"/>
      <c r="AV333" s="4" t="s">
        <v>103</v>
      </c>
      <c r="AW333" s="4" t="s">
        <v>97</v>
      </c>
      <c r="AX333" s="4" t="s">
        <v>97</v>
      </c>
      <c r="AY333" s="4" t="s">
        <v>97</v>
      </c>
      <c r="AZ333" s="4" t="s">
        <v>97</v>
      </c>
      <c r="BA333" s="4" t="s">
        <v>97</v>
      </c>
      <c r="BB333" s="5">
        <v>45952</v>
      </c>
      <c r="BC333" s="5">
        <v>45952</v>
      </c>
      <c r="BD333" s="5">
        <v>45952</v>
      </c>
      <c r="BE333" s="5">
        <v>45952</v>
      </c>
      <c r="BF333" s="4" t="s">
        <v>98</v>
      </c>
      <c r="BG333" s="4" t="s">
        <v>97</v>
      </c>
      <c r="BH333" s="4" t="s">
        <v>97</v>
      </c>
      <c r="BI333" s="4" t="s">
        <v>834</v>
      </c>
    </row>
    <row r="334" spans="1:61" x14ac:dyDescent="0.35">
      <c r="A334" s="4" t="s">
        <v>905</v>
      </c>
      <c r="B334" s="8" t="str">
        <f t="shared" si="28"/>
        <v>2025</v>
      </c>
      <c r="C334" s="2" t="s">
        <v>75</v>
      </c>
      <c r="D334" s="6" t="str">
        <f t="shared" si="29"/>
        <v>Diourbel</v>
      </c>
      <c r="E334" s="6">
        <f t="shared" si="30"/>
        <v>996481</v>
      </c>
      <c r="F334" s="6">
        <f t="shared" si="31"/>
        <v>1980827</v>
      </c>
      <c r="G334" s="4" t="s">
        <v>935</v>
      </c>
      <c r="H334" s="4" t="s">
        <v>936</v>
      </c>
      <c r="I334" s="4"/>
      <c r="J334" s="4" t="s">
        <v>114</v>
      </c>
      <c r="K334" s="4"/>
      <c r="L334" s="4"/>
      <c r="M334" s="4"/>
      <c r="N334" s="4"/>
      <c r="O334" s="4" t="s">
        <v>238</v>
      </c>
      <c r="P334" s="4" t="s">
        <v>97</v>
      </c>
      <c r="Q334" s="4" t="s">
        <v>97</v>
      </c>
      <c r="R334" s="14" t="s">
        <v>100</v>
      </c>
      <c r="S334" s="14" t="s">
        <v>100</v>
      </c>
      <c r="T334" s="14" t="s">
        <v>100</v>
      </c>
      <c r="U334" s="8"/>
      <c r="V334" s="14"/>
      <c r="W334" s="14"/>
      <c r="X334" s="14"/>
      <c r="Y334" s="5">
        <v>45948</v>
      </c>
      <c r="Z334" s="5">
        <v>45951</v>
      </c>
      <c r="AA334" s="4" t="s">
        <v>103</v>
      </c>
      <c r="AB334" s="25">
        <v>38</v>
      </c>
      <c r="AC334" s="4" t="s">
        <v>97</v>
      </c>
      <c r="AD334" s="4" t="s">
        <v>97</v>
      </c>
      <c r="AE334" s="4" t="s">
        <v>97</v>
      </c>
      <c r="AF334" s="4" t="s">
        <v>97</v>
      </c>
      <c r="AG334" s="4" t="s">
        <v>97</v>
      </c>
      <c r="AH334" s="4" t="s">
        <v>103</v>
      </c>
      <c r="AI334" s="5">
        <v>45948</v>
      </c>
      <c r="AJ334" s="4" t="s">
        <v>97</v>
      </c>
      <c r="AK334" s="4" t="s">
        <v>97</v>
      </c>
      <c r="AL334" s="4" t="s">
        <v>97</v>
      </c>
      <c r="AM334" s="4" t="s">
        <v>103</v>
      </c>
      <c r="AN334" s="4" t="s">
        <v>103</v>
      </c>
      <c r="AO334" s="4" t="s">
        <v>97</v>
      </c>
      <c r="AP334" s="4" t="s">
        <v>97</v>
      </c>
      <c r="AQ334" s="4" t="s">
        <v>97</v>
      </c>
      <c r="AR334" s="4" t="s">
        <v>97</v>
      </c>
      <c r="AS334" s="4" t="s">
        <v>97</v>
      </c>
      <c r="AT334" s="4"/>
      <c r="AU334" s="4"/>
      <c r="AV334" s="4" t="s">
        <v>103</v>
      </c>
      <c r="AW334" s="4" t="s">
        <v>97</v>
      </c>
      <c r="AX334" s="4" t="s">
        <v>97</v>
      </c>
      <c r="AY334" s="4" t="s">
        <v>97</v>
      </c>
      <c r="AZ334" s="4" t="s">
        <v>97</v>
      </c>
      <c r="BA334" s="4" t="s">
        <v>97</v>
      </c>
      <c r="BB334" s="5">
        <v>45951</v>
      </c>
      <c r="BC334" s="5">
        <v>45953</v>
      </c>
      <c r="BD334" s="5">
        <v>45953</v>
      </c>
      <c r="BE334" s="5">
        <v>45953</v>
      </c>
      <c r="BF334" s="4" t="s">
        <v>98</v>
      </c>
      <c r="BG334" s="4" t="s">
        <v>97</v>
      </c>
      <c r="BH334" s="4" t="s">
        <v>103</v>
      </c>
      <c r="BI334" s="4" t="s">
        <v>834</v>
      </c>
    </row>
    <row r="335" spans="1:61" x14ac:dyDescent="0.35">
      <c r="A335" s="4" t="s">
        <v>905</v>
      </c>
      <c r="B335" s="8" t="str">
        <f t="shared" si="28"/>
        <v>2025</v>
      </c>
      <c r="C335" s="2" t="s">
        <v>75</v>
      </c>
      <c r="D335" s="6" t="str">
        <f t="shared" si="29"/>
        <v>Diourbel</v>
      </c>
      <c r="E335" s="6">
        <f t="shared" si="30"/>
        <v>996481</v>
      </c>
      <c r="F335" s="6">
        <f t="shared" si="31"/>
        <v>1980827</v>
      </c>
      <c r="G335" s="4" t="s">
        <v>937</v>
      </c>
      <c r="H335" s="4" t="s">
        <v>938</v>
      </c>
      <c r="I335" s="4">
        <v>1</v>
      </c>
      <c r="J335" s="4" t="s">
        <v>96</v>
      </c>
      <c r="K335" s="4"/>
      <c r="L335" s="4"/>
      <c r="M335" s="4"/>
      <c r="N335" s="4"/>
      <c r="O335" s="4" t="s">
        <v>238</v>
      </c>
      <c r="P335" s="4" t="s">
        <v>103</v>
      </c>
      <c r="Q335" s="4" t="s">
        <v>103</v>
      </c>
      <c r="R335" s="14" t="s">
        <v>100</v>
      </c>
      <c r="S335" s="14" t="s">
        <v>100</v>
      </c>
      <c r="T335" s="14" t="s">
        <v>100</v>
      </c>
      <c r="U335" s="8"/>
      <c r="V335" s="14"/>
      <c r="W335" s="14"/>
      <c r="X335" s="14"/>
      <c r="Y335" s="5">
        <v>45948</v>
      </c>
      <c r="Z335" s="5">
        <v>45951</v>
      </c>
      <c r="AA335" s="4" t="s">
        <v>103</v>
      </c>
      <c r="AB335" s="25">
        <v>38</v>
      </c>
      <c r="AC335" s="4" t="s">
        <v>97</v>
      </c>
      <c r="AD335" s="4" t="s">
        <v>97</v>
      </c>
      <c r="AE335" s="4" t="s">
        <v>97</v>
      </c>
      <c r="AF335" s="4" t="s">
        <v>97</v>
      </c>
      <c r="AG335" s="4" t="s">
        <v>103</v>
      </c>
      <c r="AH335" s="4" t="s">
        <v>103</v>
      </c>
      <c r="AI335" s="5">
        <v>45948</v>
      </c>
      <c r="AJ335" s="4" t="s">
        <v>97</v>
      </c>
      <c r="AK335" s="4" t="s">
        <v>97</v>
      </c>
      <c r="AL335" s="4" t="s">
        <v>97</v>
      </c>
      <c r="AM335" s="4" t="s">
        <v>97</v>
      </c>
      <c r="AN335" s="4" t="s">
        <v>97</v>
      </c>
      <c r="AO335" s="4" t="s">
        <v>103</v>
      </c>
      <c r="AP335" s="4" t="s">
        <v>103</v>
      </c>
      <c r="AQ335" s="4" t="s">
        <v>97</v>
      </c>
      <c r="AR335" s="4" t="s">
        <v>103</v>
      </c>
      <c r="AS335" s="4" t="s">
        <v>97</v>
      </c>
      <c r="AT335" s="4"/>
      <c r="AU335" s="4"/>
      <c r="AV335" s="4" t="s">
        <v>103</v>
      </c>
      <c r="AW335" s="4" t="s">
        <v>97</v>
      </c>
      <c r="AX335" s="4" t="s">
        <v>97</v>
      </c>
      <c r="AY335" s="4" t="s">
        <v>97</v>
      </c>
      <c r="AZ335" s="4" t="s">
        <v>103</v>
      </c>
      <c r="BA335" s="4" t="s">
        <v>97</v>
      </c>
      <c r="BB335" s="5">
        <v>45951</v>
      </c>
      <c r="BC335" s="5">
        <v>45951</v>
      </c>
      <c r="BD335" s="5">
        <v>45953</v>
      </c>
      <c r="BE335" s="5">
        <v>45953</v>
      </c>
      <c r="BF335" s="4" t="s">
        <v>98</v>
      </c>
      <c r="BG335" s="4" t="s">
        <v>103</v>
      </c>
      <c r="BH335" s="4" t="s">
        <v>103</v>
      </c>
      <c r="BI335" s="4" t="s">
        <v>834</v>
      </c>
    </row>
    <row r="336" spans="1:61" x14ac:dyDescent="0.35">
      <c r="A336" s="4" t="s">
        <v>905</v>
      </c>
      <c r="B336" s="8" t="str">
        <f t="shared" si="28"/>
        <v>2025</v>
      </c>
      <c r="C336" s="2" t="s">
        <v>22</v>
      </c>
      <c r="D336" s="6" t="str">
        <f t="shared" si="29"/>
        <v>Louga</v>
      </c>
      <c r="E336" s="6">
        <f t="shared" si="30"/>
        <v>106333</v>
      </c>
      <c r="F336" s="6">
        <f t="shared" si="31"/>
        <v>1121619</v>
      </c>
      <c r="G336" s="4" t="s">
        <v>939</v>
      </c>
      <c r="H336" s="4" t="s">
        <v>940</v>
      </c>
      <c r="I336" s="4">
        <v>6</v>
      </c>
      <c r="J336" s="4" t="s">
        <v>96</v>
      </c>
      <c r="K336" s="4"/>
      <c r="L336" s="4"/>
      <c r="M336" s="4"/>
      <c r="N336" s="4"/>
      <c r="O336" s="4" t="s">
        <v>238</v>
      </c>
      <c r="P336" s="4" t="s">
        <v>97</v>
      </c>
      <c r="Q336" s="4" t="s">
        <v>97</v>
      </c>
      <c r="R336" s="14" t="s">
        <v>100</v>
      </c>
      <c r="S336" s="14" t="s">
        <v>100</v>
      </c>
      <c r="T336" s="14" t="s">
        <v>100</v>
      </c>
      <c r="U336" s="8"/>
      <c r="V336" s="14"/>
      <c r="W336" s="14"/>
      <c r="X336" s="14"/>
      <c r="Y336" s="5">
        <v>45931</v>
      </c>
      <c r="Z336" s="5">
        <v>45951</v>
      </c>
      <c r="AA336" s="4" t="s">
        <v>103</v>
      </c>
      <c r="AB336" s="25">
        <v>38</v>
      </c>
      <c r="AC336" s="4" t="s">
        <v>97</v>
      </c>
      <c r="AD336" s="4" t="s">
        <v>103</v>
      </c>
      <c r="AE336" s="4" t="s">
        <v>97</v>
      </c>
      <c r="AF336" s="4" t="s">
        <v>97</v>
      </c>
      <c r="AG336" s="4" t="s">
        <v>97</v>
      </c>
      <c r="AH336" s="4" t="s">
        <v>103</v>
      </c>
      <c r="AI336" s="5">
        <v>45931</v>
      </c>
      <c r="AJ336" s="4" t="s">
        <v>97</v>
      </c>
      <c r="AK336" s="4" t="s">
        <v>97</v>
      </c>
      <c r="AL336" s="4" t="s">
        <v>97</v>
      </c>
      <c r="AM336" s="4" t="s">
        <v>97</v>
      </c>
      <c r="AN336" s="4" t="s">
        <v>103</v>
      </c>
      <c r="AO336" s="4" t="s">
        <v>97</v>
      </c>
      <c r="AP336" s="4" t="s">
        <v>97</v>
      </c>
      <c r="AQ336" s="4" t="s">
        <v>97</v>
      </c>
      <c r="AR336" s="4" t="s">
        <v>103</v>
      </c>
      <c r="AS336" s="4" t="s">
        <v>97</v>
      </c>
      <c r="AT336" s="4"/>
      <c r="AU336" s="4"/>
      <c r="AV336" s="4" t="s">
        <v>103</v>
      </c>
      <c r="AW336" s="4" t="s">
        <v>97</v>
      </c>
      <c r="AX336" s="4" t="s">
        <v>97</v>
      </c>
      <c r="AY336" s="4" t="s">
        <v>97</v>
      </c>
      <c r="AZ336" s="4" t="s">
        <v>103</v>
      </c>
      <c r="BA336" s="4" t="s">
        <v>97</v>
      </c>
      <c r="BB336" s="5">
        <v>45952</v>
      </c>
      <c r="BC336" s="5">
        <v>45952</v>
      </c>
      <c r="BD336" s="5">
        <v>45953</v>
      </c>
      <c r="BE336" s="5">
        <v>45953</v>
      </c>
      <c r="BF336" s="4" t="s">
        <v>98</v>
      </c>
      <c r="BG336" s="4" t="s">
        <v>97</v>
      </c>
      <c r="BH336" s="4" t="s">
        <v>103</v>
      </c>
      <c r="BI336" s="4" t="s">
        <v>834</v>
      </c>
    </row>
    <row r="337" spans="1:61" x14ac:dyDescent="0.35">
      <c r="A337" s="4" t="s">
        <v>905</v>
      </c>
      <c r="B337" s="8" t="str">
        <f t="shared" si="28"/>
        <v>2025</v>
      </c>
      <c r="C337" s="2" t="s">
        <v>20</v>
      </c>
      <c r="D337" s="6" t="str">
        <f t="shared" si="29"/>
        <v>Dakar</v>
      </c>
      <c r="E337" s="6">
        <f t="shared" si="30"/>
        <v>272276</v>
      </c>
      <c r="F337" s="6">
        <f t="shared" si="31"/>
        <v>4042240</v>
      </c>
      <c r="G337" s="4" t="s">
        <v>934</v>
      </c>
      <c r="H337" s="4" t="s">
        <v>941</v>
      </c>
      <c r="I337" s="4">
        <v>34</v>
      </c>
      <c r="J337" s="4" t="s">
        <v>96</v>
      </c>
      <c r="K337" s="4"/>
      <c r="L337" s="4"/>
      <c r="M337" s="4"/>
      <c r="N337" s="4"/>
      <c r="O337" s="4" t="s">
        <v>238</v>
      </c>
      <c r="P337" s="4" t="s">
        <v>103</v>
      </c>
      <c r="Q337" s="4" t="s">
        <v>97</v>
      </c>
      <c r="R337" s="14" t="s">
        <v>100</v>
      </c>
      <c r="S337" s="14" t="s">
        <v>100</v>
      </c>
      <c r="T337" s="14" t="s">
        <v>100</v>
      </c>
      <c r="U337" s="8"/>
      <c r="V337" s="14"/>
      <c r="W337" s="14"/>
      <c r="X337" s="14"/>
      <c r="Y337" s="5">
        <v>45940</v>
      </c>
      <c r="Z337" s="5">
        <v>45952</v>
      </c>
      <c r="AA337" s="4" t="s">
        <v>97</v>
      </c>
      <c r="AB337" s="4"/>
      <c r="AC337" s="4" t="s">
        <v>97</v>
      </c>
      <c r="AD337" s="4" t="s">
        <v>97</v>
      </c>
      <c r="AE337" s="4" t="s">
        <v>97</v>
      </c>
      <c r="AF337" s="4" t="s">
        <v>97</v>
      </c>
      <c r="AG337" s="4" t="s">
        <v>97</v>
      </c>
      <c r="AH337" s="4" t="s">
        <v>103</v>
      </c>
      <c r="AI337" s="5">
        <v>45940</v>
      </c>
      <c r="AJ337" s="4" t="s">
        <v>97</v>
      </c>
      <c r="AK337" s="4" t="s">
        <v>97</v>
      </c>
      <c r="AL337" s="4" t="s">
        <v>97</v>
      </c>
      <c r="AM337" s="4" t="s">
        <v>97</v>
      </c>
      <c r="AN337" s="4" t="s">
        <v>97</v>
      </c>
      <c r="AO337" s="4" t="s">
        <v>97</v>
      </c>
      <c r="AP337" s="4" t="s">
        <v>97</v>
      </c>
      <c r="AQ337" s="4" t="s">
        <v>97</v>
      </c>
      <c r="AR337" s="4" t="s">
        <v>97</v>
      </c>
      <c r="AS337" s="4" t="s">
        <v>103</v>
      </c>
      <c r="AT337" s="4"/>
      <c r="AU337" s="4"/>
      <c r="AV337" s="4" t="s">
        <v>103</v>
      </c>
      <c r="AW337" s="4" t="s">
        <v>97</v>
      </c>
      <c r="AX337" s="4" t="s">
        <v>103</v>
      </c>
      <c r="AY337" s="4" t="s">
        <v>97</v>
      </c>
      <c r="AZ337" s="4" t="s">
        <v>103</v>
      </c>
      <c r="BA337" s="4" t="s">
        <v>97</v>
      </c>
      <c r="BB337" s="5">
        <v>45952</v>
      </c>
      <c r="BC337" s="5">
        <v>45953</v>
      </c>
      <c r="BD337" s="5">
        <v>45953</v>
      </c>
      <c r="BE337" s="5">
        <v>45953</v>
      </c>
      <c r="BF337" s="4" t="s">
        <v>98</v>
      </c>
      <c r="BG337" s="4" t="s">
        <v>97</v>
      </c>
      <c r="BH337" s="4" t="s">
        <v>103</v>
      </c>
      <c r="BI337" s="4" t="s">
        <v>834</v>
      </c>
    </row>
    <row r="338" spans="1:61" x14ac:dyDescent="0.35">
      <c r="A338" s="4" t="s">
        <v>905</v>
      </c>
      <c r="B338" s="8" t="str">
        <f t="shared" si="28"/>
        <v>2025</v>
      </c>
      <c r="C338" s="2" t="s">
        <v>20</v>
      </c>
      <c r="D338" s="6" t="str">
        <f t="shared" si="29"/>
        <v>Dakar</v>
      </c>
      <c r="E338" s="6">
        <f t="shared" si="30"/>
        <v>272276</v>
      </c>
      <c r="F338" s="6">
        <f t="shared" si="31"/>
        <v>4042240</v>
      </c>
      <c r="G338" s="4" t="s">
        <v>942</v>
      </c>
      <c r="H338" s="4" t="s">
        <v>943</v>
      </c>
      <c r="I338" s="4">
        <v>3</v>
      </c>
      <c r="J338" s="4" t="s">
        <v>96</v>
      </c>
      <c r="K338" s="4"/>
      <c r="L338" s="4"/>
      <c r="M338" s="4"/>
      <c r="N338" s="4"/>
      <c r="O338" s="4" t="s">
        <v>238</v>
      </c>
      <c r="P338" s="4" t="s">
        <v>97</v>
      </c>
      <c r="Q338" s="4" t="s">
        <v>97</v>
      </c>
      <c r="R338" s="14" t="s">
        <v>100</v>
      </c>
      <c r="S338" s="14" t="s">
        <v>100</v>
      </c>
      <c r="T338" s="14" t="s">
        <v>100</v>
      </c>
      <c r="U338" s="8"/>
      <c r="V338" s="14"/>
      <c r="W338" s="14"/>
      <c r="X338" s="14"/>
      <c r="Y338" s="5">
        <v>45951</v>
      </c>
      <c r="Z338" s="5">
        <v>45952</v>
      </c>
      <c r="AA338" s="4" t="s">
        <v>97</v>
      </c>
      <c r="AB338" s="4"/>
      <c r="AC338" s="4" t="s">
        <v>97</v>
      </c>
      <c r="AD338" s="4" t="s">
        <v>97</v>
      </c>
      <c r="AE338" s="4" t="s">
        <v>97</v>
      </c>
      <c r="AF338" s="4" t="s">
        <v>97</v>
      </c>
      <c r="AG338" s="4" t="s">
        <v>97</v>
      </c>
      <c r="AH338" s="4" t="s">
        <v>103</v>
      </c>
      <c r="AI338" s="4"/>
      <c r="AJ338" s="4" t="s">
        <v>97</v>
      </c>
      <c r="AK338" s="4" t="s">
        <v>97</v>
      </c>
      <c r="AL338" s="4" t="s">
        <v>97</v>
      </c>
      <c r="AM338" s="4" t="s">
        <v>97</v>
      </c>
      <c r="AN338" s="4" t="s">
        <v>103</v>
      </c>
      <c r="AO338" s="4" t="s">
        <v>97</v>
      </c>
      <c r="AP338" s="4" t="s">
        <v>97</v>
      </c>
      <c r="AQ338" s="4" t="s">
        <v>97</v>
      </c>
      <c r="AR338" s="4" t="s">
        <v>97</v>
      </c>
      <c r="AS338" s="4" t="s">
        <v>97</v>
      </c>
      <c r="AT338" s="4"/>
      <c r="AU338" s="4"/>
      <c r="AV338" s="4" t="s">
        <v>103</v>
      </c>
      <c r="AW338" s="4" t="s">
        <v>97</v>
      </c>
      <c r="AX338" s="4" t="s">
        <v>103</v>
      </c>
      <c r="AY338" s="4" t="s">
        <v>97</v>
      </c>
      <c r="AZ338" s="4" t="s">
        <v>103</v>
      </c>
      <c r="BA338" s="4" t="s">
        <v>97</v>
      </c>
      <c r="BB338" s="5">
        <v>45952</v>
      </c>
      <c r="BC338" s="5">
        <v>45952</v>
      </c>
      <c r="BD338" s="5">
        <v>45953</v>
      </c>
      <c r="BE338" s="5">
        <v>45953</v>
      </c>
      <c r="BF338" s="4" t="s">
        <v>98</v>
      </c>
      <c r="BG338" s="4" t="s">
        <v>97</v>
      </c>
      <c r="BH338" s="4" t="s">
        <v>103</v>
      </c>
      <c r="BI338" s="4" t="s">
        <v>834</v>
      </c>
    </row>
    <row r="339" spans="1:61" x14ac:dyDescent="0.35">
      <c r="A339" s="4" t="s">
        <v>905</v>
      </c>
      <c r="B339" s="8" t="str">
        <f t="shared" si="28"/>
        <v>2025</v>
      </c>
      <c r="C339" s="2" t="s">
        <v>63</v>
      </c>
      <c r="D339" s="6" t="str">
        <f t="shared" si="29"/>
        <v>Saint-Louis</v>
      </c>
      <c r="E339" s="6">
        <f t="shared" si="30"/>
        <v>205977</v>
      </c>
      <c r="F339" s="6">
        <f t="shared" si="31"/>
        <v>1150065</v>
      </c>
      <c r="G339" s="4" t="s">
        <v>944</v>
      </c>
      <c r="H339" s="4" t="s">
        <v>945</v>
      </c>
      <c r="I339" s="4">
        <v>65</v>
      </c>
      <c r="J339" s="4" t="s">
        <v>114</v>
      </c>
      <c r="K339" s="4" t="s">
        <v>437</v>
      </c>
      <c r="L339" s="4"/>
      <c r="M339" s="4" t="s">
        <v>946</v>
      </c>
      <c r="N339" s="5">
        <v>45949</v>
      </c>
      <c r="O339" s="4" t="s">
        <v>238</v>
      </c>
      <c r="P339" s="4" t="s">
        <v>97</v>
      </c>
      <c r="Q339" s="4" t="s">
        <v>97</v>
      </c>
      <c r="R339" s="14" t="s">
        <v>100</v>
      </c>
      <c r="S339" s="14" t="s">
        <v>100</v>
      </c>
      <c r="T339" s="14" t="s">
        <v>100</v>
      </c>
      <c r="U339" s="8"/>
      <c r="V339" s="14"/>
      <c r="W339" s="14"/>
      <c r="X339" s="14"/>
      <c r="Y339" s="5">
        <v>45947</v>
      </c>
      <c r="Z339" s="5">
        <v>45949</v>
      </c>
      <c r="AA339" s="4" t="s">
        <v>103</v>
      </c>
      <c r="AB339" s="4" t="s">
        <v>509</v>
      </c>
      <c r="AC339" s="4" t="s">
        <v>97</v>
      </c>
      <c r="AD339" s="4" t="s">
        <v>97</v>
      </c>
      <c r="AE339" s="4" t="s">
        <v>97</v>
      </c>
      <c r="AF339" s="4" t="s">
        <v>97</v>
      </c>
      <c r="AG339" s="4" t="s">
        <v>97</v>
      </c>
      <c r="AH339" s="4" t="s">
        <v>103</v>
      </c>
      <c r="AI339" s="5">
        <v>45947</v>
      </c>
      <c r="AJ339" s="4" t="s">
        <v>97</v>
      </c>
      <c r="AK339" s="4" t="s">
        <v>103</v>
      </c>
      <c r="AL339" s="4" t="s">
        <v>97</v>
      </c>
      <c r="AM339" s="4" t="s">
        <v>103</v>
      </c>
      <c r="AN339" s="4" t="s">
        <v>103</v>
      </c>
      <c r="AO339" s="4" t="s">
        <v>97</v>
      </c>
      <c r="AP339" s="4" t="s">
        <v>97</v>
      </c>
      <c r="AQ339" s="4" t="s">
        <v>97</v>
      </c>
      <c r="AR339" s="4" t="s">
        <v>97</v>
      </c>
      <c r="AS339" s="4" t="s">
        <v>97</v>
      </c>
      <c r="AT339" s="4"/>
      <c r="AU339" s="4"/>
      <c r="AV339" s="4" t="s">
        <v>103</v>
      </c>
      <c r="AW339" s="4" t="s">
        <v>103</v>
      </c>
      <c r="AX339" s="4" t="s">
        <v>97</v>
      </c>
      <c r="AY339" s="4" t="s">
        <v>97</v>
      </c>
      <c r="AZ339" s="4" t="s">
        <v>103</v>
      </c>
      <c r="BA339" s="4" t="s">
        <v>103</v>
      </c>
      <c r="BB339" s="5">
        <v>45949</v>
      </c>
      <c r="BC339" s="5">
        <v>45950</v>
      </c>
      <c r="BD339" s="5">
        <v>45953</v>
      </c>
      <c r="BE339" s="5">
        <v>45953</v>
      </c>
      <c r="BF339" s="4" t="s">
        <v>98</v>
      </c>
      <c r="BG339" s="4" t="s">
        <v>97</v>
      </c>
      <c r="BH339" s="4" t="s">
        <v>103</v>
      </c>
      <c r="BI339" s="4" t="s">
        <v>834</v>
      </c>
    </row>
    <row r="340" spans="1:61" x14ac:dyDescent="0.35">
      <c r="A340" s="4" t="s">
        <v>905</v>
      </c>
      <c r="B340" s="8" t="str">
        <f t="shared" si="28"/>
        <v>2025</v>
      </c>
      <c r="C340" s="2" t="s">
        <v>21</v>
      </c>
      <c r="D340" s="6" t="str">
        <f t="shared" si="29"/>
        <v>Dakar</v>
      </c>
      <c r="E340" s="6">
        <f t="shared" si="30"/>
        <v>219872</v>
      </c>
      <c r="F340" s="6">
        <f t="shared" si="31"/>
        <v>4042240</v>
      </c>
      <c r="G340" s="4" t="s">
        <v>947</v>
      </c>
      <c r="H340" s="4" t="s">
        <v>948</v>
      </c>
      <c r="I340" s="4">
        <v>2</v>
      </c>
      <c r="J340" s="4" t="s">
        <v>114</v>
      </c>
      <c r="K340" s="4"/>
      <c r="L340" s="4"/>
      <c r="M340" s="4"/>
      <c r="N340" s="4"/>
      <c r="O340" s="4" t="s">
        <v>238</v>
      </c>
      <c r="P340" s="4" t="s">
        <v>97</v>
      </c>
      <c r="Q340" s="4" t="s">
        <v>97</v>
      </c>
      <c r="R340" s="14" t="s">
        <v>100</v>
      </c>
      <c r="S340" s="14" t="s">
        <v>100</v>
      </c>
      <c r="T340" s="14" t="s">
        <v>100</v>
      </c>
      <c r="U340" s="8"/>
      <c r="V340" s="14"/>
      <c r="W340" s="14"/>
      <c r="X340" s="14"/>
      <c r="Y340" s="5">
        <v>45951</v>
      </c>
      <c r="Z340" s="5">
        <v>45953</v>
      </c>
      <c r="AA340" s="4" t="s">
        <v>97</v>
      </c>
      <c r="AB340" s="4"/>
      <c r="AC340" s="4" t="s">
        <v>97</v>
      </c>
      <c r="AD340" s="4" t="s">
        <v>97</v>
      </c>
      <c r="AE340" s="4" t="s">
        <v>97</v>
      </c>
      <c r="AF340" s="4" t="s">
        <v>97</v>
      </c>
      <c r="AG340" s="4" t="s">
        <v>97</v>
      </c>
      <c r="AH340" s="4" t="s">
        <v>103</v>
      </c>
      <c r="AI340" s="5">
        <v>45951</v>
      </c>
      <c r="AJ340" s="4" t="s">
        <v>97</v>
      </c>
      <c r="AK340" s="4" t="s">
        <v>97</v>
      </c>
      <c r="AL340" s="4" t="s">
        <v>97</v>
      </c>
      <c r="AM340" s="4" t="s">
        <v>103</v>
      </c>
      <c r="AN340" s="4" t="s">
        <v>103</v>
      </c>
      <c r="AO340" s="4" t="s">
        <v>103</v>
      </c>
      <c r="AP340" s="4" t="s">
        <v>97</v>
      </c>
      <c r="AQ340" s="4" t="s">
        <v>97</v>
      </c>
      <c r="AR340" s="4" t="s">
        <v>97</v>
      </c>
      <c r="AS340" s="4" t="s">
        <v>97</v>
      </c>
      <c r="AT340" s="4"/>
      <c r="AU340" s="4"/>
      <c r="AV340" s="4" t="s">
        <v>103</v>
      </c>
      <c r="AW340" s="4" t="s">
        <v>97</v>
      </c>
      <c r="AX340" s="4" t="s">
        <v>97</v>
      </c>
      <c r="AY340" s="4" t="s">
        <v>97</v>
      </c>
      <c r="AZ340" s="4" t="s">
        <v>97</v>
      </c>
      <c r="BA340" s="4" t="s">
        <v>97</v>
      </c>
      <c r="BB340" s="5">
        <v>45952</v>
      </c>
      <c r="BC340" s="5">
        <v>45953</v>
      </c>
      <c r="BD340" s="5">
        <v>45953</v>
      </c>
      <c r="BE340" s="5">
        <v>45953</v>
      </c>
      <c r="BF340" s="4" t="s">
        <v>98</v>
      </c>
      <c r="BG340" s="4" t="s">
        <v>97</v>
      </c>
      <c r="BH340" s="4" t="s">
        <v>103</v>
      </c>
      <c r="BI340" s="4" t="s">
        <v>834</v>
      </c>
    </row>
    <row r="341" spans="1:61" x14ac:dyDescent="0.35">
      <c r="A341" s="4" t="s">
        <v>905</v>
      </c>
      <c r="B341" s="8" t="str">
        <f t="shared" si="28"/>
        <v>2025</v>
      </c>
      <c r="C341" s="2" t="s">
        <v>75</v>
      </c>
      <c r="D341" s="6" t="str">
        <f t="shared" si="29"/>
        <v>Diourbel</v>
      </c>
      <c r="E341" s="6">
        <f t="shared" si="30"/>
        <v>996481</v>
      </c>
      <c r="F341" s="6">
        <f t="shared" si="31"/>
        <v>1980827</v>
      </c>
      <c r="G341" s="4" t="s">
        <v>949</v>
      </c>
      <c r="H341" s="4" t="s">
        <v>950</v>
      </c>
      <c r="I341" s="4">
        <v>11</v>
      </c>
      <c r="J341" s="4" t="s">
        <v>96</v>
      </c>
      <c r="K341" s="4"/>
      <c r="L341" s="4"/>
      <c r="M341" s="4"/>
      <c r="N341" s="4"/>
      <c r="O341" s="4" t="s">
        <v>238</v>
      </c>
      <c r="P341" s="4" t="s">
        <v>97</v>
      </c>
      <c r="Q341" s="4" t="s">
        <v>97</v>
      </c>
      <c r="R341" s="14" t="s">
        <v>100</v>
      </c>
      <c r="S341" s="14" t="s">
        <v>100</v>
      </c>
      <c r="T341" s="14" t="s">
        <v>100</v>
      </c>
      <c r="U341" s="8"/>
      <c r="V341" s="14"/>
      <c r="W341" s="14"/>
      <c r="X341" s="14"/>
      <c r="Y341" s="5">
        <v>45948</v>
      </c>
      <c r="Z341" s="5">
        <v>45951</v>
      </c>
      <c r="AA341" s="4" t="s">
        <v>103</v>
      </c>
      <c r="AB341" s="4" t="s">
        <v>488</v>
      </c>
      <c r="AC341" s="4" t="s">
        <v>97</v>
      </c>
      <c r="AD341" s="4" t="s">
        <v>97</v>
      </c>
      <c r="AE341" s="4" t="s">
        <v>97</v>
      </c>
      <c r="AF341" s="4" t="s">
        <v>97</v>
      </c>
      <c r="AG341" s="4" t="s">
        <v>97</v>
      </c>
      <c r="AH341" s="4" t="s">
        <v>103</v>
      </c>
      <c r="AI341" s="5">
        <v>45948</v>
      </c>
      <c r="AJ341" s="4" t="s">
        <v>97</v>
      </c>
      <c r="AK341" s="4" t="s">
        <v>97</v>
      </c>
      <c r="AL341" s="4" t="s">
        <v>97</v>
      </c>
      <c r="AM341" s="4" t="s">
        <v>103</v>
      </c>
      <c r="AN341" s="4" t="s">
        <v>103</v>
      </c>
      <c r="AO341" s="4" t="s">
        <v>97</v>
      </c>
      <c r="AP341" s="4" t="s">
        <v>97</v>
      </c>
      <c r="AQ341" s="4" t="s">
        <v>97</v>
      </c>
      <c r="AR341" s="4" t="s">
        <v>97</v>
      </c>
      <c r="AS341" s="4" t="s">
        <v>97</v>
      </c>
      <c r="AT341" s="4"/>
      <c r="AU341" s="4"/>
      <c r="AV341" s="4" t="s">
        <v>103</v>
      </c>
      <c r="AW341" s="4" t="s">
        <v>97</v>
      </c>
      <c r="AX341" s="4" t="s">
        <v>97</v>
      </c>
      <c r="AY341" s="4" t="s">
        <v>97</v>
      </c>
      <c r="AZ341" s="4" t="s">
        <v>97</v>
      </c>
      <c r="BA341" s="4" t="s">
        <v>97</v>
      </c>
      <c r="BB341" s="5">
        <v>45951</v>
      </c>
      <c r="BC341" s="5">
        <v>45952</v>
      </c>
      <c r="BD341" s="5">
        <v>45953</v>
      </c>
      <c r="BE341" s="5">
        <v>45953</v>
      </c>
      <c r="BF341" s="4" t="s">
        <v>98</v>
      </c>
      <c r="BG341" s="4" t="s">
        <v>97</v>
      </c>
      <c r="BH341" s="4" t="s">
        <v>103</v>
      </c>
      <c r="BI341" s="4" t="s">
        <v>834</v>
      </c>
    </row>
    <row r="342" spans="1:61" x14ac:dyDescent="0.35">
      <c r="A342" s="4" t="s">
        <v>905</v>
      </c>
      <c r="B342" s="8" t="str">
        <f t="shared" si="28"/>
        <v>2025</v>
      </c>
      <c r="C342" s="2" t="s">
        <v>75</v>
      </c>
      <c r="D342" s="6" t="str">
        <f t="shared" si="29"/>
        <v>Diourbel</v>
      </c>
      <c r="E342" s="6">
        <f t="shared" si="30"/>
        <v>996481</v>
      </c>
      <c r="F342" s="6">
        <f t="shared" si="31"/>
        <v>1980827</v>
      </c>
      <c r="G342" s="4" t="s">
        <v>951</v>
      </c>
      <c r="H342" s="4" t="s">
        <v>952</v>
      </c>
      <c r="I342" s="4">
        <v>8</v>
      </c>
      <c r="J342" s="4" t="s">
        <v>96</v>
      </c>
      <c r="K342" s="4"/>
      <c r="L342" s="4"/>
      <c r="M342" s="4"/>
      <c r="N342" s="4"/>
      <c r="O342" s="4" t="s">
        <v>238</v>
      </c>
      <c r="P342" s="4" t="s">
        <v>97</v>
      </c>
      <c r="Q342" s="4" t="s">
        <v>97</v>
      </c>
      <c r="R342" s="14" t="s">
        <v>100</v>
      </c>
      <c r="S342" s="14" t="s">
        <v>100</v>
      </c>
      <c r="T342" s="14" t="s">
        <v>100</v>
      </c>
      <c r="U342" s="8"/>
      <c r="V342" s="14"/>
      <c r="W342" s="14"/>
      <c r="X342" s="14"/>
      <c r="Y342" s="5">
        <v>45948</v>
      </c>
      <c r="Z342" s="5">
        <v>45951</v>
      </c>
      <c r="AA342" s="4" t="s">
        <v>103</v>
      </c>
      <c r="AB342" s="25">
        <v>38</v>
      </c>
      <c r="AC342" s="4" t="s">
        <v>97</v>
      </c>
      <c r="AD342" s="4" t="s">
        <v>97</v>
      </c>
      <c r="AE342" s="4" t="s">
        <v>97</v>
      </c>
      <c r="AF342" s="4" t="s">
        <v>97</v>
      </c>
      <c r="AG342" s="4" t="s">
        <v>97</v>
      </c>
      <c r="AH342" s="4" t="s">
        <v>103</v>
      </c>
      <c r="AI342" s="5">
        <v>45948</v>
      </c>
      <c r="AJ342" s="4" t="s">
        <v>97</v>
      </c>
      <c r="AK342" s="4" t="s">
        <v>97</v>
      </c>
      <c r="AL342" s="4" t="s">
        <v>97</v>
      </c>
      <c r="AM342" s="4" t="s">
        <v>103</v>
      </c>
      <c r="AN342" s="4" t="s">
        <v>103</v>
      </c>
      <c r="AO342" s="4" t="s">
        <v>97</v>
      </c>
      <c r="AP342" s="4" t="s">
        <v>97</v>
      </c>
      <c r="AQ342" s="4" t="s">
        <v>97</v>
      </c>
      <c r="AR342" s="4" t="s">
        <v>97</v>
      </c>
      <c r="AS342" s="4" t="s">
        <v>97</v>
      </c>
      <c r="AT342" s="4"/>
      <c r="AU342" s="4"/>
      <c r="AV342" s="4" t="s">
        <v>103</v>
      </c>
      <c r="AW342" s="4" t="s">
        <v>97</v>
      </c>
      <c r="AX342" s="4" t="s">
        <v>97</v>
      </c>
      <c r="AY342" s="4" t="s">
        <v>97</v>
      </c>
      <c r="AZ342" s="4" t="s">
        <v>97</v>
      </c>
      <c r="BA342" s="4" t="s">
        <v>97</v>
      </c>
      <c r="BB342" s="5">
        <v>45951</v>
      </c>
      <c r="BC342" s="5">
        <v>45952</v>
      </c>
      <c r="BD342" s="5">
        <v>45953</v>
      </c>
      <c r="BE342" s="5">
        <v>45953</v>
      </c>
      <c r="BF342" s="4" t="s">
        <v>98</v>
      </c>
      <c r="BG342" s="4" t="s">
        <v>97</v>
      </c>
      <c r="BH342" s="4" t="s">
        <v>103</v>
      </c>
      <c r="BI342" s="4" t="s">
        <v>834</v>
      </c>
    </row>
    <row r="343" spans="1:61" x14ac:dyDescent="0.35">
      <c r="A343" s="4" t="s">
        <v>905</v>
      </c>
      <c r="B343" s="8" t="str">
        <f t="shared" si="28"/>
        <v>2025</v>
      </c>
      <c r="C343" s="2" t="s">
        <v>18</v>
      </c>
      <c r="D343" s="6" t="str">
        <f t="shared" si="29"/>
        <v>Dakar</v>
      </c>
      <c r="E343" s="6">
        <f t="shared" si="30"/>
        <v>419489</v>
      </c>
      <c r="F343" s="6">
        <f t="shared" si="31"/>
        <v>4042240</v>
      </c>
      <c r="G343" s="4" t="s">
        <v>955</v>
      </c>
      <c r="H343" s="4" t="s">
        <v>954</v>
      </c>
      <c r="I343" s="4">
        <v>2</v>
      </c>
      <c r="J343" s="4" t="s">
        <v>96</v>
      </c>
      <c r="K343" s="4"/>
      <c r="L343" s="4"/>
      <c r="M343" s="4"/>
      <c r="N343" s="4"/>
      <c r="O343" s="4" t="s">
        <v>238</v>
      </c>
      <c r="P343" s="4" t="s">
        <v>97</v>
      </c>
      <c r="Q343" s="4" t="s">
        <v>97</v>
      </c>
      <c r="R343" s="14" t="s">
        <v>100</v>
      </c>
      <c r="S343" s="14" t="s">
        <v>100</v>
      </c>
      <c r="T343" s="14" t="s">
        <v>100</v>
      </c>
      <c r="U343" s="8"/>
      <c r="V343" s="14"/>
      <c r="W343" s="14"/>
      <c r="X343" s="14"/>
      <c r="Y343" s="5">
        <v>45952</v>
      </c>
      <c r="Z343" s="5">
        <v>45954</v>
      </c>
      <c r="AA343" s="4" t="s">
        <v>103</v>
      </c>
      <c r="AB343" s="4" t="s">
        <v>488</v>
      </c>
      <c r="AC343" s="4" t="s">
        <v>97</v>
      </c>
      <c r="AD343" s="4" t="s">
        <v>97</v>
      </c>
      <c r="AE343" s="4" t="s">
        <v>97</v>
      </c>
      <c r="AF343" s="4" t="s">
        <v>97</v>
      </c>
      <c r="AG343" s="4" t="s">
        <v>97</v>
      </c>
      <c r="AH343" s="4" t="s">
        <v>103</v>
      </c>
      <c r="AI343" s="5">
        <v>45952</v>
      </c>
      <c r="AJ343" s="4" t="s">
        <v>103</v>
      </c>
      <c r="AK343" s="4" t="s">
        <v>97</v>
      </c>
      <c r="AL343" s="4" t="s">
        <v>103</v>
      </c>
      <c r="AM343" s="4" t="s">
        <v>103</v>
      </c>
      <c r="AN343" s="4" t="s">
        <v>97</v>
      </c>
      <c r="AO343" s="4" t="s">
        <v>97</v>
      </c>
      <c r="AP343" s="4" t="s">
        <v>97</v>
      </c>
      <c r="AQ343" s="4" t="s">
        <v>97</v>
      </c>
      <c r="AR343" s="4" t="s">
        <v>97</v>
      </c>
      <c r="AS343" s="4" t="s">
        <v>97</v>
      </c>
      <c r="AT343" s="4"/>
      <c r="AU343" s="4"/>
      <c r="AV343" s="4" t="s">
        <v>103</v>
      </c>
      <c r="AW343" s="4" t="s">
        <v>97</v>
      </c>
      <c r="AX343" s="4" t="s">
        <v>97</v>
      </c>
      <c r="AY343" s="4" t="s">
        <v>97</v>
      </c>
      <c r="AZ343" s="4" t="s">
        <v>97</v>
      </c>
      <c r="BA343" s="4" t="s">
        <v>97</v>
      </c>
      <c r="BB343" s="5">
        <v>45954</v>
      </c>
      <c r="BC343" s="5">
        <v>45954</v>
      </c>
      <c r="BD343" s="5">
        <v>45954</v>
      </c>
      <c r="BE343" s="5">
        <v>45954</v>
      </c>
      <c r="BF343" s="4" t="s">
        <v>98</v>
      </c>
      <c r="BG343" s="4" t="s">
        <v>97</v>
      </c>
      <c r="BH343" s="4" t="s">
        <v>103</v>
      </c>
      <c r="BI343" s="4" t="s">
        <v>834</v>
      </c>
    </row>
    <row r="344" spans="1:61" x14ac:dyDescent="0.35">
      <c r="A344" s="4" t="s">
        <v>905</v>
      </c>
      <c r="B344" s="8" t="str">
        <f t="shared" si="28"/>
        <v>2025</v>
      </c>
      <c r="C344" s="2" t="s">
        <v>19</v>
      </c>
      <c r="D344" s="6" t="str">
        <f t="shared" si="29"/>
        <v>Dakar</v>
      </c>
      <c r="E344" s="6">
        <f t="shared" si="30"/>
        <v>565040</v>
      </c>
      <c r="F344" s="6">
        <f t="shared" si="31"/>
        <v>4042240</v>
      </c>
      <c r="G344" s="4" t="s">
        <v>953</v>
      </c>
      <c r="H344" s="4" t="s">
        <v>956</v>
      </c>
      <c r="I344" s="4">
        <v>11</v>
      </c>
      <c r="J344" s="4" t="s">
        <v>114</v>
      </c>
      <c r="K344" s="4"/>
      <c r="L344" s="4"/>
      <c r="M344" s="4"/>
      <c r="N344" s="4"/>
      <c r="O344" s="4" t="s">
        <v>238</v>
      </c>
      <c r="P344" s="4" t="s">
        <v>97</v>
      </c>
      <c r="Q344" s="4" t="s">
        <v>97</v>
      </c>
      <c r="R344" s="14" t="s">
        <v>100</v>
      </c>
      <c r="S344" s="14" t="s">
        <v>100</v>
      </c>
      <c r="T344" s="14" t="s">
        <v>100</v>
      </c>
      <c r="U344" s="8"/>
      <c r="V344" s="14"/>
      <c r="W344" s="14"/>
      <c r="X344" s="14"/>
      <c r="Y344" s="5">
        <v>45952</v>
      </c>
      <c r="Z344" s="5">
        <v>45953</v>
      </c>
      <c r="AA344" s="4" t="s">
        <v>103</v>
      </c>
      <c r="AB344" s="4" t="s">
        <v>509</v>
      </c>
      <c r="AC344" s="4" t="s">
        <v>97</v>
      </c>
      <c r="AD344" s="4" t="s">
        <v>103</v>
      </c>
      <c r="AE344" s="4" t="s">
        <v>97</v>
      </c>
      <c r="AF344" s="4" t="s">
        <v>103</v>
      </c>
      <c r="AG344" s="4" t="s">
        <v>103</v>
      </c>
      <c r="AH344" s="4" t="s">
        <v>103</v>
      </c>
      <c r="AI344" s="5">
        <v>45952</v>
      </c>
      <c r="AJ344" s="4" t="s">
        <v>103</v>
      </c>
      <c r="AK344" s="4" t="s">
        <v>97</v>
      </c>
      <c r="AL344" s="4" t="s">
        <v>97</v>
      </c>
      <c r="AM344" s="4" t="s">
        <v>97</v>
      </c>
      <c r="AN344" s="4" t="s">
        <v>103</v>
      </c>
      <c r="AO344" s="4" t="s">
        <v>97</v>
      </c>
      <c r="AP344" s="4" t="s">
        <v>97</v>
      </c>
      <c r="AQ344" s="4" t="s">
        <v>97</v>
      </c>
      <c r="AR344" s="4" t="s">
        <v>97</v>
      </c>
      <c r="AS344" s="4" t="s">
        <v>97</v>
      </c>
      <c r="AT344" s="4"/>
      <c r="AU344" s="4"/>
      <c r="AV344" s="4" t="s">
        <v>97</v>
      </c>
      <c r="AW344" s="4" t="s">
        <v>97</v>
      </c>
      <c r="AX344" s="4" t="s">
        <v>103</v>
      </c>
      <c r="AY344" s="4" t="s">
        <v>97</v>
      </c>
      <c r="AZ344" s="4" t="s">
        <v>103</v>
      </c>
      <c r="BA344" s="4" t="s">
        <v>97</v>
      </c>
      <c r="BB344" s="5">
        <v>45953</v>
      </c>
      <c r="BC344" s="5">
        <v>45954</v>
      </c>
      <c r="BD344" s="5">
        <v>45954</v>
      </c>
      <c r="BE344" s="5">
        <v>45954</v>
      </c>
      <c r="BF344" s="4" t="s">
        <v>98</v>
      </c>
      <c r="BG344" s="4" t="s">
        <v>97</v>
      </c>
      <c r="BH344" s="4" t="s">
        <v>103</v>
      </c>
      <c r="BI344" s="4" t="s">
        <v>834</v>
      </c>
    </row>
    <row r="345" spans="1:61" x14ac:dyDescent="0.35">
      <c r="A345" s="4" t="s">
        <v>957</v>
      </c>
      <c r="B345" s="8" t="str">
        <f t="shared" si="28"/>
        <v>2025</v>
      </c>
      <c r="C345" s="2" t="s">
        <v>57</v>
      </c>
      <c r="D345" s="6" t="str">
        <f t="shared" si="29"/>
        <v>Saint-Louis</v>
      </c>
      <c r="E345" s="6">
        <f t="shared" si="30"/>
        <v>207969</v>
      </c>
      <c r="F345" s="6">
        <f t="shared" si="31"/>
        <v>1150065</v>
      </c>
      <c r="G345" s="4" t="s">
        <v>958</v>
      </c>
      <c r="H345" s="4" t="s">
        <v>959</v>
      </c>
      <c r="I345" s="4">
        <v>7</v>
      </c>
      <c r="J345" s="4" t="s">
        <v>114</v>
      </c>
      <c r="K345" s="4"/>
      <c r="L345" s="4"/>
      <c r="M345" s="4"/>
      <c r="N345" s="4"/>
      <c r="O345" s="4" t="s">
        <v>238</v>
      </c>
      <c r="P345" s="4" t="s">
        <v>97</v>
      </c>
      <c r="Q345" s="4" t="s">
        <v>97</v>
      </c>
      <c r="R345" s="14" t="s">
        <v>100</v>
      </c>
      <c r="S345" s="14" t="s">
        <v>100</v>
      </c>
      <c r="T345" s="14" t="s">
        <v>100</v>
      </c>
      <c r="U345" s="8"/>
      <c r="V345" s="14"/>
      <c r="W345" s="14"/>
      <c r="X345" s="14"/>
      <c r="Y345" s="5">
        <v>45938</v>
      </c>
      <c r="Z345" s="5">
        <v>45945</v>
      </c>
      <c r="AA345" s="4" t="s">
        <v>97</v>
      </c>
      <c r="AB345" s="4"/>
      <c r="AC345" s="4" t="s">
        <v>103</v>
      </c>
      <c r="AD345" s="4" t="s">
        <v>103</v>
      </c>
      <c r="AE345" s="4" t="s">
        <v>97</v>
      </c>
      <c r="AF345" s="4" t="s">
        <v>103</v>
      </c>
      <c r="AG345" s="4" t="s">
        <v>103</v>
      </c>
      <c r="AH345" s="4" t="s">
        <v>103</v>
      </c>
      <c r="AI345" s="5">
        <v>45938</v>
      </c>
      <c r="AJ345" s="4" t="s">
        <v>97</v>
      </c>
      <c r="AK345" s="4" t="s">
        <v>97</v>
      </c>
      <c r="AL345" s="4" t="s">
        <v>103</v>
      </c>
      <c r="AM345" s="4" t="s">
        <v>97</v>
      </c>
      <c r="AN345" s="4" t="s">
        <v>103</v>
      </c>
      <c r="AO345" s="4" t="s">
        <v>103</v>
      </c>
      <c r="AP345" s="4" t="s">
        <v>103</v>
      </c>
      <c r="AQ345" s="4" t="s">
        <v>97</v>
      </c>
      <c r="AR345" s="4" t="s">
        <v>97</v>
      </c>
      <c r="AS345" s="4" t="s">
        <v>97</v>
      </c>
      <c r="AT345" s="4"/>
      <c r="AU345" s="4"/>
      <c r="AV345" s="4" t="s">
        <v>103</v>
      </c>
      <c r="AW345" s="4" t="s">
        <v>97</v>
      </c>
      <c r="AX345" s="4" t="s">
        <v>97</v>
      </c>
      <c r="AY345" s="4" t="s">
        <v>97</v>
      </c>
      <c r="AZ345" s="4" t="s">
        <v>97</v>
      </c>
      <c r="BA345" s="4" t="s">
        <v>97</v>
      </c>
      <c r="BB345" s="5">
        <v>45946</v>
      </c>
      <c r="BC345" s="5">
        <v>45954</v>
      </c>
      <c r="BD345" s="5">
        <v>45955</v>
      </c>
      <c r="BE345" s="5">
        <v>45955</v>
      </c>
      <c r="BF345" s="4" t="s">
        <v>98</v>
      </c>
      <c r="BG345" s="4" t="s">
        <v>97</v>
      </c>
      <c r="BH345" s="4" t="s">
        <v>103</v>
      </c>
      <c r="BI345" s="4" t="s">
        <v>834</v>
      </c>
    </row>
    <row r="346" spans="1:61" x14ac:dyDescent="0.35">
      <c r="A346" s="4" t="s">
        <v>957</v>
      </c>
      <c r="B346" s="8" t="str">
        <f t="shared" si="28"/>
        <v>2025</v>
      </c>
      <c r="C346" s="2" t="s">
        <v>18</v>
      </c>
      <c r="D346" s="6" t="str">
        <f t="shared" si="29"/>
        <v>Dakar</v>
      </c>
      <c r="E346" s="6">
        <f t="shared" si="30"/>
        <v>419489</v>
      </c>
      <c r="F346" s="6">
        <f t="shared" si="31"/>
        <v>4042240</v>
      </c>
      <c r="G346" s="4" t="s">
        <v>960</v>
      </c>
      <c r="H346" s="4" t="s">
        <v>961</v>
      </c>
      <c r="I346" s="4">
        <v>54</v>
      </c>
      <c r="J346" s="4" t="s">
        <v>96</v>
      </c>
      <c r="K346" s="4"/>
      <c r="L346" s="4"/>
      <c r="M346" s="4"/>
      <c r="N346" s="4"/>
      <c r="O346" s="4" t="s">
        <v>238</v>
      </c>
      <c r="P346" s="4" t="s">
        <v>97</v>
      </c>
      <c r="Q346" s="4" t="s">
        <v>97</v>
      </c>
      <c r="R346" s="14" t="s">
        <v>100</v>
      </c>
      <c r="S346" s="14" t="s">
        <v>100</v>
      </c>
      <c r="T346" s="14" t="s">
        <v>100</v>
      </c>
      <c r="U346" s="8"/>
      <c r="V346" s="14"/>
      <c r="W346" s="14"/>
      <c r="X346" s="14"/>
      <c r="Y346" s="5">
        <v>45950</v>
      </c>
      <c r="Z346" s="5">
        <v>45956</v>
      </c>
      <c r="AA346" s="4" t="s">
        <v>103</v>
      </c>
      <c r="AB346" s="4" t="s">
        <v>488</v>
      </c>
      <c r="AC346" s="4" t="s">
        <v>103</v>
      </c>
      <c r="AD346" s="4" t="s">
        <v>97</v>
      </c>
      <c r="AE346" s="4" t="s">
        <v>97</v>
      </c>
      <c r="AF346" s="4" t="s">
        <v>103</v>
      </c>
      <c r="AG346" s="4" t="s">
        <v>103</v>
      </c>
      <c r="AH346" s="4" t="s">
        <v>103</v>
      </c>
      <c r="AI346" s="5">
        <v>45953</v>
      </c>
      <c r="AJ346" s="4" t="s">
        <v>97</v>
      </c>
      <c r="AK346" s="4" t="s">
        <v>103</v>
      </c>
      <c r="AL346" s="4" t="s">
        <v>97</v>
      </c>
      <c r="AM346" s="4" t="s">
        <v>103</v>
      </c>
      <c r="AN346" s="4" t="s">
        <v>97</v>
      </c>
      <c r="AO346" s="4" t="s">
        <v>97</v>
      </c>
      <c r="AP346" s="4" t="s">
        <v>97</v>
      </c>
      <c r="AQ346" s="4" t="s">
        <v>103</v>
      </c>
      <c r="AR346" s="4" t="s">
        <v>97</v>
      </c>
      <c r="AS346" s="4" t="s">
        <v>97</v>
      </c>
      <c r="AT346" s="4"/>
      <c r="AU346" s="4"/>
      <c r="AV346" s="4" t="s">
        <v>103</v>
      </c>
      <c r="AW346" s="4" t="s">
        <v>97</v>
      </c>
      <c r="AX346" s="4" t="s">
        <v>97</v>
      </c>
      <c r="AY346" s="4" t="s">
        <v>97</v>
      </c>
      <c r="AZ346" s="4" t="s">
        <v>97</v>
      </c>
      <c r="BA346" s="4" t="s">
        <v>97</v>
      </c>
      <c r="BB346" s="5">
        <v>45957</v>
      </c>
      <c r="BC346" s="5">
        <v>45957</v>
      </c>
      <c r="BD346" s="5">
        <v>45957</v>
      </c>
      <c r="BE346" s="5">
        <v>45957</v>
      </c>
      <c r="BF346" s="4" t="s">
        <v>98</v>
      </c>
      <c r="BG346" s="4" t="s">
        <v>103</v>
      </c>
      <c r="BH346" s="4" t="s">
        <v>103</v>
      </c>
      <c r="BI346" s="4" t="s">
        <v>834</v>
      </c>
    </row>
    <row r="347" spans="1:61" x14ac:dyDescent="0.35">
      <c r="A347" s="4" t="s">
        <v>957</v>
      </c>
      <c r="B347" s="8" t="str">
        <f t="shared" si="28"/>
        <v>2025</v>
      </c>
      <c r="C347" s="2" t="s">
        <v>74</v>
      </c>
      <c r="D347" s="6" t="str">
        <f t="shared" si="29"/>
        <v>Thies</v>
      </c>
      <c r="E347" s="6">
        <f t="shared" si="30"/>
        <v>374824</v>
      </c>
      <c r="F347" s="6">
        <f t="shared" si="31"/>
        <v>2280463</v>
      </c>
      <c r="G347" s="4" t="s">
        <v>962</v>
      </c>
      <c r="H347" s="4" t="s">
        <v>963</v>
      </c>
      <c r="I347" s="4">
        <v>66</v>
      </c>
      <c r="J347" s="4" t="s">
        <v>114</v>
      </c>
      <c r="K347" s="4"/>
      <c r="L347" s="4"/>
      <c r="M347" s="4"/>
      <c r="N347" s="4"/>
      <c r="O347" s="4" t="s">
        <v>238</v>
      </c>
      <c r="P347" s="4" t="s">
        <v>97</v>
      </c>
      <c r="Q347" s="4" t="s">
        <v>97</v>
      </c>
      <c r="R347" s="14" t="s">
        <v>100</v>
      </c>
      <c r="S347" s="14" t="s">
        <v>100</v>
      </c>
      <c r="T347" s="14" t="s">
        <v>100</v>
      </c>
      <c r="U347" s="8"/>
      <c r="V347" s="14"/>
      <c r="W347" s="14"/>
      <c r="X347" s="14"/>
      <c r="Y347" s="5">
        <v>45954</v>
      </c>
      <c r="Z347" s="5">
        <v>45958</v>
      </c>
      <c r="AA347" s="4" t="s">
        <v>97</v>
      </c>
      <c r="AB347" s="4"/>
      <c r="AC347" s="4" t="s">
        <v>97</v>
      </c>
      <c r="AD347" s="4" t="s">
        <v>97</v>
      </c>
      <c r="AE347" s="4" t="s">
        <v>97</v>
      </c>
      <c r="AF347" s="4" t="s">
        <v>103</v>
      </c>
      <c r="AG347" s="4" t="s">
        <v>97</v>
      </c>
      <c r="AH347" s="4" t="s">
        <v>103</v>
      </c>
      <c r="AI347" s="5">
        <v>45954</v>
      </c>
      <c r="AJ347" s="4" t="s">
        <v>103</v>
      </c>
      <c r="AK347" s="4" t="s">
        <v>103</v>
      </c>
      <c r="AL347" s="4" t="s">
        <v>97</v>
      </c>
      <c r="AM347" s="4" t="s">
        <v>97</v>
      </c>
      <c r="AN347" s="4" t="s">
        <v>103</v>
      </c>
      <c r="AO347" s="4" t="s">
        <v>97</v>
      </c>
      <c r="AP347" s="4" t="s">
        <v>97</v>
      </c>
      <c r="AQ347" s="4" t="s">
        <v>97</v>
      </c>
      <c r="AR347" s="4" t="s">
        <v>97</v>
      </c>
      <c r="AS347" s="4" t="s">
        <v>97</v>
      </c>
      <c r="AT347" s="4"/>
      <c r="AU347" s="4"/>
      <c r="AV347" s="4" t="s">
        <v>103</v>
      </c>
      <c r="AW347" s="4" t="s">
        <v>97</v>
      </c>
      <c r="AX347" s="4" t="s">
        <v>97</v>
      </c>
      <c r="AY347" s="4" t="s">
        <v>97</v>
      </c>
      <c r="AZ347" s="4" t="s">
        <v>103</v>
      </c>
      <c r="BA347" s="4" t="s">
        <v>97</v>
      </c>
      <c r="BB347" s="5">
        <v>45958</v>
      </c>
      <c r="BC347" s="5">
        <v>45958</v>
      </c>
      <c r="BD347" s="5">
        <v>45958</v>
      </c>
      <c r="BE347" s="5">
        <v>45958</v>
      </c>
      <c r="BF347" s="4" t="s">
        <v>98</v>
      </c>
      <c r="BG347" s="4" t="s">
        <v>97</v>
      </c>
      <c r="BH347" s="4" t="s">
        <v>103</v>
      </c>
      <c r="BI347" s="4" t="s">
        <v>834</v>
      </c>
    </row>
    <row r="348" spans="1:61" x14ac:dyDescent="0.35">
      <c r="A348" s="4" t="s">
        <v>957</v>
      </c>
      <c r="B348" s="8" t="s">
        <v>909</v>
      </c>
      <c r="C348" s="2" t="s">
        <v>75</v>
      </c>
      <c r="D348" s="6" t="str">
        <f t="shared" si="29"/>
        <v>Diourbel</v>
      </c>
      <c r="E348" s="6">
        <f t="shared" si="30"/>
        <v>996481</v>
      </c>
      <c r="F348" s="6">
        <f t="shared" si="31"/>
        <v>1980827</v>
      </c>
      <c r="G348" s="4" t="s">
        <v>964</v>
      </c>
      <c r="H348" s="4" t="s">
        <v>965</v>
      </c>
      <c r="I348" s="4">
        <v>30</v>
      </c>
      <c r="J348" s="4" t="s">
        <v>96</v>
      </c>
      <c r="K348" s="4"/>
      <c r="L348" s="4"/>
      <c r="M348" s="4"/>
      <c r="N348" s="4"/>
      <c r="O348" s="4" t="s">
        <v>238</v>
      </c>
      <c r="P348" s="4" t="s">
        <v>97</v>
      </c>
      <c r="Q348" s="4" t="s">
        <v>97</v>
      </c>
      <c r="R348" s="14" t="s">
        <v>100</v>
      </c>
      <c r="S348" s="14" t="s">
        <v>100</v>
      </c>
      <c r="T348" s="14" t="s">
        <v>100</v>
      </c>
      <c r="U348" s="8"/>
      <c r="V348" s="14"/>
      <c r="W348" s="14"/>
      <c r="X348" s="14"/>
      <c r="Y348" s="5">
        <v>45950</v>
      </c>
      <c r="Z348" s="5">
        <v>45958</v>
      </c>
      <c r="AA348" s="4" t="s">
        <v>103</v>
      </c>
      <c r="AB348" s="4" t="s">
        <v>488</v>
      </c>
      <c r="AC348" s="4" t="s">
        <v>97</v>
      </c>
      <c r="AD348" s="4" t="s">
        <v>97</v>
      </c>
      <c r="AE348" s="4" t="s">
        <v>97</v>
      </c>
      <c r="AF348" s="4" t="s">
        <v>97</v>
      </c>
      <c r="AG348" s="4" t="s">
        <v>103</v>
      </c>
      <c r="AH348" s="4" t="s">
        <v>103</v>
      </c>
      <c r="AI348" s="5">
        <v>45950</v>
      </c>
      <c r="AJ348" s="4" t="s">
        <v>97</v>
      </c>
      <c r="AK348" s="4" t="s">
        <v>97</v>
      </c>
      <c r="AL348" s="4" t="s">
        <v>97</v>
      </c>
      <c r="AM348" s="4" t="s">
        <v>103</v>
      </c>
      <c r="AN348" s="4" t="s">
        <v>103</v>
      </c>
      <c r="AO348" s="4" t="s">
        <v>97</v>
      </c>
      <c r="AP348" s="4" t="s">
        <v>97</v>
      </c>
      <c r="AQ348" s="4" t="s">
        <v>97</v>
      </c>
      <c r="AR348" s="4" t="s">
        <v>97</v>
      </c>
      <c r="AS348" s="4" t="s">
        <v>97</v>
      </c>
      <c r="AT348" s="4"/>
      <c r="AU348" s="4"/>
      <c r="AV348" s="4" t="s">
        <v>97</v>
      </c>
      <c r="AW348" s="4" t="s">
        <v>97</v>
      </c>
      <c r="AX348" s="4" t="s">
        <v>97</v>
      </c>
      <c r="AY348" s="4" t="s">
        <v>97</v>
      </c>
      <c r="AZ348" s="4" t="s">
        <v>103</v>
      </c>
      <c r="BA348" s="4" t="s">
        <v>97</v>
      </c>
      <c r="BB348" s="5">
        <v>45958</v>
      </c>
      <c r="BC348" s="5">
        <v>45958</v>
      </c>
      <c r="BD348" s="5">
        <v>45958</v>
      </c>
      <c r="BE348" s="5">
        <v>45958</v>
      </c>
      <c r="BF348" s="4" t="s">
        <v>98</v>
      </c>
      <c r="BG348" s="4" t="s">
        <v>97</v>
      </c>
      <c r="BH348" s="4" t="s">
        <v>103</v>
      </c>
      <c r="BI348" s="4" t="s">
        <v>834</v>
      </c>
    </row>
    <row r="349" spans="1:61" x14ac:dyDescent="0.35">
      <c r="A349" s="4" t="s">
        <v>957</v>
      </c>
      <c r="B349" s="8" t="s">
        <v>909</v>
      </c>
      <c r="C349" s="2" t="s">
        <v>75</v>
      </c>
      <c r="D349" s="6" t="str">
        <f t="shared" si="29"/>
        <v>Diourbel</v>
      </c>
      <c r="E349" s="6">
        <f t="shared" si="30"/>
        <v>996481</v>
      </c>
      <c r="F349" s="6">
        <f t="shared" si="31"/>
        <v>1980827</v>
      </c>
      <c r="G349" s="4" t="s">
        <v>966</v>
      </c>
      <c r="H349" s="4" t="s">
        <v>967</v>
      </c>
      <c r="I349" s="4">
        <v>1</v>
      </c>
      <c r="J349" s="4" t="s">
        <v>114</v>
      </c>
      <c r="K349" s="4"/>
      <c r="L349" s="4"/>
      <c r="M349" s="4"/>
      <c r="N349" s="4"/>
      <c r="O349" s="4" t="s">
        <v>238</v>
      </c>
      <c r="P349" s="4" t="s">
        <v>97</v>
      </c>
      <c r="Q349" s="4" t="s">
        <v>97</v>
      </c>
      <c r="R349" s="14" t="s">
        <v>100</v>
      </c>
      <c r="S349" s="14" t="s">
        <v>100</v>
      </c>
      <c r="T349" s="14" t="s">
        <v>100</v>
      </c>
      <c r="U349" s="8"/>
      <c r="V349" s="14"/>
      <c r="W349" s="14"/>
      <c r="X349" s="14"/>
      <c r="Y349" s="5">
        <v>45956</v>
      </c>
      <c r="Z349" s="5">
        <v>45957</v>
      </c>
      <c r="AA349" s="4" t="s">
        <v>103</v>
      </c>
      <c r="AB349" s="4" t="s">
        <v>488</v>
      </c>
      <c r="AC349" s="4" t="s">
        <v>97</v>
      </c>
      <c r="AD349" s="4" t="s">
        <v>97</v>
      </c>
      <c r="AE349" s="4" t="s">
        <v>97</v>
      </c>
      <c r="AF349" s="4" t="s">
        <v>97</v>
      </c>
      <c r="AG349" s="4" t="s">
        <v>97</v>
      </c>
      <c r="AH349" s="4" t="s">
        <v>103</v>
      </c>
      <c r="AI349" s="5">
        <v>45956</v>
      </c>
      <c r="AJ349" s="4" t="s">
        <v>97</v>
      </c>
      <c r="AK349" s="4" t="s">
        <v>97</v>
      </c>
      <c r="AL349" s="4" t="s">
        <v>97</v>
      </c>
      <c r="AM349" s="4" t="s">
        <v>103</v>
      </c>
      <c r="AN349" s="4" t="s">
        <v>103</v>
      </c>
      <c r="AO349" s="4" t="s">
        <v>97</v>
      </c>
      <c r="AP349" s="4" t="s">
        <v>97</v>
      </c>
      <c r="AQ349" s="4" t="s">
        <v>97</v>
      </c>
      <c r="AR349" s="4" t="s">
        <v>97</v>
      </c>
      <c r="AS349" s="4" t="s">
        <v>97</v>
      </c>
      <c r="AT349" s="4"/>
      <c r="AU349" s="4"/>
      <c r="AV349" s="4" t="s">
        <v>97</v>
      </c>
      <c r="AW349" s="4" t="s">
        <v>97</v>
      </c>
      <c r="AX349" s="4" t="s">
        <v>97</v>
      </c>
      <c r="AY349" s="4" t="s">
        <v>97</v>
      </c>
      <c r="AZ349" s="4" t="s">
        <v>103</v>
      </c>
      <c r="BA349" s="4" t="s">
        <v>97</v>
      </c>
      <c r="BB349" s="5">
        <v>45958</v>
      </c>
      <c r="BC349" s="5">
        <v>45958</v>
      </c>
      <c r="BD349" s="5">
        <v>45958</v>
      </c>
      <c r="BE349" s="5">
        <v>45958</v>
      </c>
      <c r="BF349" s="4" t="s">
        <v>98</v>
      </c>
      <c r="BG349" s="4" t="s">
        <v>97</v>
      </c>
      <c r="BH349" s="4" t="s">
        <v>103</v>
      </c>
      <c r="BI349" s="4" t="s">
        <v>834</v>
      </c>
    </row>
    <row r="350" spans="1:61" x14ac:dyDescent="0.35">
      <c r="A350" s="4" t="s">
        <v>957</v>
      </c>
      <c r="B350" s="8" t="str">
        <f t="shared" si="28"/>
        <v>2025</v>
      </c>
      <c r="C350" s="2" t="s">
        <v>75</v>
      </c>
      <c r="D350" s="6" t="str">
        <f t="shared" si="29"/>
        <v>Diourbel</v>
      </c>
      <c r="E350" s="6">
        <f t="shared" si="30"/>
        <v>996481</v>
      </c>
      <c r="F350" s="6">
        <f t="shared" si="31"/>
        <v>1980827</v>
      </c>
      <c r="G350" s="4" t="s">
        <v>968</v>
      </c>
      <c r="H350" s="4" t="s">
        <v>969</v>
      </c>
      <c r="I350" s="4">
        <v>1</v>
      </c>
      <c r="J350" s="4" t="s">
        <v>114</v>
      </c>
      <c r="K350" s="4"/>
      <c r="L350" s="4"/>
      <c r="M350" s="4"/>
      <c r="N350" s="4"/>
      <c r="O350" s="4" t="s">
        <v>238</v>
      </c>
      <c r="P350" s="4" t="s">
        <v>97</v>
      </c>
      <c r="Q350" s="4" t="s">
        <v>97</v>
      </c>
      <c r="R350" s="14" t="s">
        <v>100</v>
      </c>
      <c r="S350" s="14" t="s">
        <v>100</v>
      </c>
      <c r="T350" s="14" t="s">
        <v>100</v>
      </c>
      <c r="U350" s="8"/>
      <c r="V350" s="14"/>
      <c r="W350" s="14"/>
      <c r="X350" s="14"/>
      <c r="Y350" s="5">
        <v>45951</v>
      </c>
      <c r="Z350" s="5">
        <v>45952</v>
      </c>
      <c r="AA350" s="4" t="s">
        <v>97</v>
      </c>
      <c r="AB350" s="4"/>
      <c r="AC350" s="4" t="s">
        <v>97</v>
      </c>
      <c r="AD350" s="4" t="s">
        <v>97</v>
      </c>
      <c r="AE350" s="4" t="s">
        <v>97</v>
      </c>
      <c r="AF350" s="4" t="s">
        <v>97</v>
      </c>
      <c r="AG350" s="4" t="s">
        <v>97</v>
      </c>
      <c r="AH350" s="4" t="s">
        <v>103</v>
      </c>
      <c r="AI350" s="5">
        <v>45951</v>
      </c>
      <c r="AJ350" s="4" t="s">
        <v>97</v>
      </c>
      <c r="AK350" s="4" t="s">
        <v>97</v>
      </c>
      <c r="AL350" s="4" t="s">
        <v>97</v>
      </c>
      <c r="AM350" s="4" t="s">
        <v>103</v>
      </c>
      <c r="AN350" s="4" t="s">
        <v>103</v>
      </c>
      <c r="AO350" s="4" t="s">
        <v>97</v>
      </c>
      <c r="AP350" s="4" t="s">
        <v>97</v>
      </c>
      <c r="AQ350" s="4" t="s">
        <v>103</v>
      </c>
      <c r="AR350" s="4" t="s">
        <v>97</v>
      </c>
      <c r="AS350" s="4" t="s">
        <v>97</v>
      </c>
      <c r="AT350" s="4" t="s">
        <v>970</v>
      </c>
      <c r="AU350" s="4"/>
      <c r="AV350" s="4" t="s">
        <v>97</v>
      </c>
      <c r="AW350" s="4" t="s">
        <v>97</v>
      </c>
      <c r="AX350" s="4" t="s">
        <v>97</v>
      </c>
      <c r="AY350" s="4" t="s">
        <v>97</v>
      </c>
      <c r="AZ350" s="4" t="s">
        <v>103</v>
      </c>
      <c r="BA350" s="4" t="s">
        <v>97</v>
      </c>
      <c r="BB350" s="5">
        <v>45958</v>
      </c>
      <c r="BC350" s="5">
        <v>45958</v>
      </c>
      <c r="BD350" s="5">
        <v>45958</v>
      </c>
      <c r="BE350" s="5">
        <v>45958</v>
      </c>
      <c r="BF350" s="4" t="s">
        <v>98</v>
      </c>
      <c r="BG350" s="4" t="s">
        <v>103</v>
      </c>
      <c r="BH350" s="4" t="s">
        <v>103</v>
      </c>
      <c r="BI350" s="4" t="s">
        <v>834</v>
      </c>
    </row>
    <row r="351" spans="1:61" x14ac:dyDescent="0.35">
      <c r="A351" s="4" t="s">
        <v>957</v>
      </c>
      <c r="B351" s="8" t="str">
        <f t="shared" si="28"/>
        <v>2025</v>
      </c>
      <c r="C351" s="2" t="s">
        <v>75</v>
      </c>
      <c r="D351" s="6" t="str">
        <f t="shared" si="29"/>
        <v>Diourbel</v>
      </c>
      <c r="E351" s="6">
        <f t="shared" si="30"/>
        <v>996481</v>
      </c>
      <c r="F351" s="6">
        <f t="shared" si="31"/>
        <v>1980827</v>
      </c>
      <c r="G351" s="4" t="s">
        <v>971</v>
      </c>
      <c r="H351" s="4" t="s">
        <v>972</v>
      </c>
      <c r="I351" s="4">
        <v>13</v>
      </c>
      <c r="J351" s="4" t="s">
        <v>96</v>
      </c>
      <c r="K351" s="4"/>
      <c r="L351" s="4"/>
      <c r="M351" s="4"/>
      <c r="N351" s="4"/>
      <c r="O351" s="4" t="s">
        <v>238</v>
      </c>
      <c r="P351" s="4" t="s">
        <v>97</v>
      </c>
      <c r="Q351" s="4" t="s">
        <v>97</v>
      </c>
      <c r="R351" s="14" t="s">
        <v>100</v>
      </c>
      <c r="S351" s="14" t="s">
        <v>100</v>
      </c>
      <c r="T351" s="14" t="s">
        <v>100</v>
      </c>
      <c r="U351" s="8"/>
      <c r="V351" s="14"/>
      <c r="W351" s="14"/>
      <c r="X351" s="14"/>
      <c r="Y351" s="5">
        <v>45954</v>
      </c>
      <c r="Z351" s="5">
        <v>45957</v>
      </c>
      <c r="AA351" s="4" t="s">
        <v>97</v>
      </c>
      <c r="AB351" s="4"/>
      <c r="AC351" s="4" t="s">
        <v>97</v>
      </c>
      <c r="AD351" s="4" t="s">
        <v>97</v>
      </c>
      <c r="AE351" s="4" t="s">
        <v>97</v>
      </c>
      <c r="AF351" s="4" t="s">
        <v>103</v>
      </c>
      <c r="AG351" s="4" t="s">
        <v>97</v>
      </c>
      <c r="AH351" s="4" t="s">
        <v>103</v>
      </c>
      <c r="AI351" s="5">
        <v>45954</v>
      </c>
      <c r="AJ351" s="4" t="s">
        <v>97</v>
      </c>
      <c r="AK351" s="4" t="s">
        <v>97</v>
      </c>
      <c r="AL351" s="4" t="s">
        <v>97</v>
      </c>
      <c r="AM351" s="4" t="s">
        <v>97</v>
      </c>
      <c r="AN351" s="4" t="s">
        <v>103</v>
      </c>
      <c r="AO351" s="4" t="s">
        <v>97</v>
      </c>
      <c r="AP351" s="4" t="s">
        <v>97</v>
      </c>
      <c r="AQ351" s="4" t="s">
        <v>97</v>
      </c>
      <c r="AR351" s="4" t="s">
        <v>97</v>
      </c>
      <c r="AS351" s="4" t="s">
        <v>97</v>
      </c>
      <c r="AT351" s="4"/>
      <c r="AU351" s="4"/>
      <c r="AV351" s="4" t="s">
        <v>103</v>
      </c>
      <c r="AW351" s="4" t="s">
        <v>97</v>
      </c>
      <c r="AX351" s="4" t="s">
        <v>97</v>
      </c>
      <c r="AY351" s="4" t="s">
        <v>97</v>
      </c>
      <c r="AZ351" s="4" t="s">
        <v>103</v>
      </c>
      <c r="BA351" s="4" t="s">
        <v>97</v>
      </c>
      <c r="BB351" s="5">
        <v>45958</v>
      </c>
      <c r="BC351" s="5">
        <v>45958</v>
      </c>
      <c r="BD351" s="5">
        <v>45958</v>
      </c>
      <c r="BE351" s="5">
        <v>45958</v>
      </c>
      <c r="BF351" s="4" t="s">
        <v>98</v>
      </c>
      <c r="BG351" s="4" t="s">
        <v>97</v>
      </c>
      <c r="BH351" s="4" t="s">
        <v>103</v>
      </c>
      <c r="BI351" s="4" t="s">
        <v>834</v>
      </c>
    </row>
    <row r="352" spans="1:61" x14ac:dyDescent="0.35">
      <c r="A352" s="4" t="s">
        <v>957</v>
      </c>
      <c r="B352" s="8" t="str">
        <f t="shared" si="28"/>
        <v>2025</v>
      </c>
      <c r="C352" s="2" t="s">
        <v>37</v>
      </c>
      <c r="D352" s="6" t="str">
        <f t="shared" si="29"/>
        <v>Dakar</v>
      </c>
      <c r="E352" s="6">
        <f t="shared" si="30"/>
        <v>301226</v>
      </c>
      <c r="F352" s="6">
        <f t="shared" si="31"/>
        <v>4042240</v>
      </c>
      <c r="G352" s="4" t="s">
        <v>973</v>
      </c>
      <c r="H352" s="4" t="s">
        <v>974</v>
      </c>
      <c r="I352" s="4">
        <v>9</v>
      </c>
      <c r="J352" s="4" t="s">
        <v>114</v>
      </c>
      <c r="K352" s="4"/>
      <c r="L352" s="4"/>
      <c r="M352" s="4"/>
      <c r="N352" s="4"/>
      <c r="O352" s="4" t="s">
        <v>238</v>
      </c>
      <c r="P352" s="4" t="s">
        <v>97</v>
      </c>
      <c r="Q352" s="4" t="s">
        <v>97</v>
      </c>
      <c r="R352" s="14" t="s">
        <v>100</v>
      </c>
      <c r="S352" s="14" t="s">
        <v>100</v>
      </c>
      <c r="T352" s="14" t="s">
        <v>100</v>
      </c>
      <c r="U352" s="8"/>
      <c r="V352" s="14"/>
      <c r="W352" s="14"/>
      <c r="X352" s="14"/>
      <c r="Y352" s="5">
        <v>45955</v>
      </c>
      <c r="Z352" s="5">
        <v>45957</v>
      </c>
      <c r="AA352" s="4" t="s">
        <v>103</v>
      </c>
      <c r="AB352" s="4" t="s">
        <v>257</v>
      </c>
      <c r="AC352" s="4" t="s">
        <v>97</v>
      </c>
      <c r="AD352" s="4" t="s">
        <v>103</v>
      </c>
      <c r="AE352" s="4" t="s">
        <v>97</v>
      </c>
      <c r="AF352" s="4" t="s">
        <v>103</v>
      </c>
      <c r="AG352" s="4" t="s">
        <v>97</v>
      </c>
      <c r="AH352" s="4" t="s">
        <v>103</v>
      </c>
      <c r="AI352" s="5">
        <v>45955</v>
      </c>
      <c r="AJ352" s="4" t="s">
        <v>103</v>
      </c>
      <c r="AK352" s="4" t="s">
        <v>103</v>
      </c>
      <c r="AL352" s="4" t="s">
        <v>97</v>
      </c>
      <c r="AM352" s="4" t="s">
        <v>103</v>
      </c>
      <c r="AN352" s="4" t="s">
        <v>103</v>
      </c>
      <c r="AO352" s="4" t="s">
        <v>97</v>
      </c>
      <c r="AP352" s="4" t="s">
        <v>97</v>
      </c>
      <c r="AQ352" s="4" t="s">
        <v>97</v>
      </c>
      <c r="AR352" s="4" t="s">
        <v>97</v>
      </c>
      <c r="AS352" s="4" t="s">
        <v>97</v>
      </c>
      <c r="AT352" s="4"/>
      <c r="AU352" s="4"/>
      <c r="AV352" s="4" t="s">
        <v>103</v>
      </c>
      <c r="AW352" s="4" t="s">
        <v>103</v>
      </c>
      <c r="AX352" s="4" t="s">
        <v>103</v>
      </c>
      <c r="AY352" s="4" t="s">
        <v>97</v>
      </c>
      <c r="AZ352" s="4" t="s">
        <v>103</v>
      </c>
      <c r="BA352" s="4" t="s">
        <v>97</v>
      </c>
      <c r="BB352" s="5">
        <v>45957</v>
      </c>
      <c r="BC352" s="5">
        <v>45957</v>
      </c>
      <c r="BD352" s="5">
        <v>45958</v>
      </c>
      <c r="BE352" s="5">
        <v>45958</v>
      </c>
      <c r="BF352" s="4" t="s">
        <v>98</v>
      </c>
      <c r="BG352" s="4" t="s">
        <v>103</v>
      </c>
      <c r="BH352" s="4" t="s">
        <v>103</v>
      </c>
      <c r="BI352" s="4" t="s">
        <v>834</v>
      </c>
    </row>
    <row r="353" spans="1:61" x14ac:dyDescent="0.35">
      <c r="A353" s="4" t="s">
        <v>957</v>
      </c>
      <c r="B353" s="8" t="str">
        <f t="shared" si="28"/>
        <v>2025</v>
      </c>
      <c r="C353" s="2" t="s">
        <v>77</v>
      </c>
      <c r="D353" s="6" t="str">
        <f t="shared" si="29"/>
        <v>Dakar</v>
      </c>
      <c r="E353" s="6">
        <f t="shared" si="30"/>
        <v>341880</v>
      </c>
      <c r="F353" s="6">
        <f t="shared" si="31"/>
        <v>4042240</v>
      </c>
      <c r="G353" s="4" t="s">
        <v>975</v>
      </c>
      <c r="H353" s="4" t="s">
        <v>976</v>
      </c>
      <c r="I353" s="4">
        <v>33</v>
      </c>
      <c r="J353" s="4" t="s">
        <v>96</v>
      </c>
      <c r="K353" s="5"/>
      <c r="L353" s="4"/>
      <c r="M353" s="4"/>
      <c r="N353" s="4"/>
      <c r="O353" s="4" t="s">
        <v>238</v>
      </c>
      <c r="P353" s="4" t="s">
        <v>97</v>
      </c>
      <c r="Q353" s="4" t="s">
        <v>97</v>
      </c>
      <c r="R353" s="14" t="s">
        <v>100</v>
      </c>
      <c r="S353" s="14" t="s">
        <v>100</v>
      </c>
      <c r="T353" s="14" t="s">
        <v>100</v>
      </c>
      <c r="U353" s="8"/>
      <c r="V353" s="14"/>
      <c r="W353" s="14"/>
      <c r="X353" s="14"/>
      <c r="Y353" s="5">
        <v>45906</v>
      </c>
      <c r="Z353" s="5">
        <v>45957</v>
      </c>
      <c r="AA353" s="4" t="s">
        <v>103</v>
      </c>
      <c r="AB353" s="4" t="s">
        <v>488</v>
      </c>
      <c r="AC353" s="4" t="s">
        <v>97</v>
      </c>
      <c r="AD353" s="4" t="s">
        <v>97</v>
      </c>
      <c r="AE353" s="4" t="s">
        <v>97</v>
      </c>
      <c r="AF353" s="4" t="s">
        <v>97</v>
      </c>
      <c r="AG353" s="4" t="s">
        <v>97</v>
      </c>
      <c r="AH353" s="4" t="s">
        <v>103</v>
      </c>
      <c r="AI353" s="5">
        <v>45906</v>
      </c>
      <c r="AJ353" s="4" t="s">
        <v>97</v>
      </c>
      <c r="AK353" s="4" t="s">
        <v>97</v>
      </c>
      <c r="AL353" s="4" t="s">
        <v>97</v>
      </c>
      <c r="AM353" s="4" t="s">
        <v>97</v>
      </c>
      <c r="AN353" s="4" t="s">
        <v>97</v>
      </c>
      <c r="AO353" s="4" t="s">
        <v>97</v>
      </c>
      <c r="AP353" s="4" t="s">
        <v>97</v>
      </c>
      <c r="AQ353" s="4" t="s">
        <v>97</v>
      </c>
      <c r="AR353" s="4" t="s">
        <v>97</v>
      </c>
      <c r="AS353" s="4" t="s">
        <v>97</v>
      </c>
      <c r="AT353" s="4"/>
      <c r="AU353" s="4"/>
      <c r="AV353" s="4" t="s">
        <v>97</v>
      </c>
      <c r="AW353" s="4" t="s">
        <v>97</v>
      </c>
      <c r="AX353" s="4" t="s">
        <v>97</v>
      </c>
      <c r="AY353" s="4" t="s">
        <v>97</v>
      </c>
      <c r="AZ353" s="4" t="s">
        <v>103</v>
      </c>
      <c r="BA353" s="4" t="s">
        <v>97</v>
      </c>
      <c r="BB353" s="5">
        <v>45957</v>
      </c>
      <c r="BC353" s="5">
        <v>45957</v>
      </c>
      <c r="BD353" s="5">
        <v>45958</v>
      </c>
      <c r="BE353" s="5">
        <v>45958</v>
      </c>
      <c r="BF353" s="4" t="s">
        <v>98</v>
      </c>
      <c r="BG353" s="4" t="s">
        <v>97</v>
      </c>
      <c r="BH353" s="4" t="s">
        <v>103</v>
      </c>
      <c r="BI353" s="4" t="s">
        <v>834</v>
      </c>
    </row>
    <row r="354" spans="1:61" x14ac:dyDescent="0.35">
      <c r="A354" s="4" t="s">
        <v>957</v>
      </c>
      <c r="B354" s="8" t="str">
        <f t="shared" si="28"/>
        <v>2025</v>
      </c>
      <c r="C354" s="2" t="s">
        <v>77</v>
      </c>
      <c r="D354" s="6" t="str">
        <f t="shared" si="29"/>
        <v>Dakar</v>
      </c>
      <c r="E354" s="6">
        <f t="shared" si="30"/>
        <v>341880</v>
      </c>
      <c r="F354" s="6">
        <f t="shared" si="31"/>
        <v>4042240</v>
      </c>
      <c r="G354" s="4" t="s">
        <v>977</v>
      </c>
      <c r="H354" s="4" t="s">
        <v>978</v>
      </c>
      <c r="I354" s="4">
        <v>4</v>
      </c>
      <c r="J354" s="4" t="s">
        <v>114</v>
      </c>
      <c r="K354" s="5"/>
      <c r="L354" s="4"/>
      <c r="M354" s="4"/>
      <c r="N354" s="4"/>
      <c r="O354" s="4" t="s">
        <v>238</v>
      </c>
      <c r="P354" s="4" t="s">
        <v>97</v>
      </c>
      <c r="Q354" s="4" t="s">
        <v>97</v>
      </c>
      <c r="R354" s="14" t="s">
        <v>100</v>
      </c>
      <c r="S354" s="14" t="s">
        <v>100</v>
      </c>
      <c r="T354" s="14" t="s">
        <v>100</v>
      </c>
      <c r="U354" s="8"/>
      <c r="V354" s="14"/>
      <c r="W354" s="14"/>
      <c r="X354" s="14"/>
      <c r="Y354" s="5">
        <v>45906</v>
      </c>
      <c r="Z354" s="5">
        <v>45957</v>
      </c>
      <c r="AA354" s="4" t="s">
        <v>103</v>
      </c>
      <c r="AB354" s="4" t="s">
        <v>488</v>
      </c>
      <c r="AC354" s="4" t="s">
        <v>97</v>
      </c>
      <c r="AD354" s="4" t="s">
        <v>97</v>
      </c>
      <c r="AE354" s="4" t="s">
        <v>97</v>
      </c>
      <c r="AF354" s="4" t="s">
        <v>97</v>
      </c>
      <c r="AG354" s="4" t="s">
        <v>97</v>
      </c>
      <c r="AH354" s="4" t="s">
        <v>103</v>
      </c>
      <c r="AI354" s="5">
        <v>45906</v>
      </c>
      <c r="AJ354" s="4" t="s">
        <v>97</v>
      </c>
      <c r="AK354" s="4" t="s">
        <v>97</v>
      </c>
      <c r="AL354" s="4" t="s">
        <v>97</v>
      </c>
      <c r="AM354" s="4" t="s">
        <v>97</v>
      </c>
      <c r="AN354" s="4" t="s">
        <v>97</v>
      </c>
      <c r="AO354" s="4" t="s">
        <v>97</v>
      </c>
      <c r="AP354" s="4" t="s">
        <v>97</v>
      </c>
      <c r="AQ354" s="4" t="s">
        <v>97</v>
      </c>
      <c r="AR354" s="4" t="s">
        <v>97</v>
      </c>
      <c r="AS354" s="4" t="s">
        <v>97</v>
      </c>
      <c r="AT354" s="4"/>
      <c r="AU354" s="4"/>
      <c r="AV354" s="4" t="s">
        <v>97</v>
      </c>
      <c r="AW354" s="4" t="s">
        <v>97</v>
      </c>
      <c r="AX354" s="4" t="s">
        <v>97</v>
      </c>
      <c r="AY354" s="4" t="s">
        <v>97</v>
      </c>
      <c r="AZ354" s="4" t="s">
        <v>103</v>
      </c>
      <c r="BA354" s="4" t="s">
        <v>97</v>
      </c>
      <c r="BB354" s="5">
        <v>45957</v>
      </c>
      <c r="BC354" s="5">
        <v>45957</v>
      </c>
      <c r="BD354" s="5">
        <v>45958</v>
      </c>
      <c r="BE354" s="5">
        <v>45958</v>
      </c>
      <c r="BF354" s="4" t="s">
        <v>98</v>
      </c>
      <c r="BG354" s="4" t="s">
        <v>97</v>
      </c>
      <c r="BH354" s="4" t="s">
        <v>103</v>
      </c>
      <c r="BI354" s="4" t="s">
        <v>834</v>
      </c>
    </row>
    <row r="355" spans="1:61" x14ac:dyDescent="0.35">
      <c r="A355" s="4" t="s">
        <v>957</v>
      </c>
      <c r="B355" s="8" t="str">
        <f t="shared" si="28"/>
        <v>2025</v>
      </c>
      <c r="C355" s="2" t="s">
        <v>77</v>
      </c>
      <c r="D355" s="6" t="str">
        <f t="shared" si="29"/>
        <v>Dakar</v>
      </c>
      <c r="E355" s="6">
        <f t="shared" si="30"/>
        <v>341880</v>
      </c>
      <c r="F355" s="6">
        <f t="shared" si="31"/>
        <v>4042240</v>
      </c>
      <c r="G355" s="4" t="s">
        <v>979</v>
      </c>
      <c r="H355" s="4" t="s">
        <v>980</v>
      </c>
      <c r="I355" s="4">
        <v>11</v>
      </c>
      <c r="J355" s="4" t="s">
        <v>96</v>
      </c>
      <c r="K355" s="5"/>
      <c r="L355" s="4"/>
      <c r="M355" s="4"/>
      <c r="N355" s="4"/>
      <c r="O355" s="4" t="s">
        <v>238</v>
      </c>
      <c r="P355" s="4" t="s">
        <v>97</v>
      </c>
      <c r="Q355" s="4" t="s">
        <v>97</v>
      </c>
      <c r="R355" s="14" t="s">
        <v>100</v>
      </c>
      <c r="S355" s="14" t="s">
        <v>100</v>
      </c>
      <c r="T355" s="14" t="s">
        <v>100</v>
      </c>
      <c r="U355" s="8"/>
      <c r="V355" s="14"/>
      <c r="W355" s="14"/>
      <c r="X355" s="14"/>
      <c r="Y355" s="5">
        <v>45906</v>
      </c>
      <c r="Z355" s="5">
        <v>45957</v>
      </c>
      <c r="AA355" s="4" t="s">
        <v>103</v>
      </c>
      <c r="AB355" s="4" t="s">
        <v>488</v>
      </c>
      <c r="AC355" s="4" t="s">
        <v>97</v>
      </c>
      <c r="AD355" s="4" t="s">
        <v>103</v>
      </c>
      <c r="AE355" s="4" t="s">
        <v>97</v>
      </c>
      <c r="AF355" s="4" t="s">
        <v>97</v>
      </c>
      <c r="AG355" s="4" t="s">
        <v>97</v>
      </c>
      <c r="AH355" s="4" t="s">
        <v>103</v>
      </c>
      <c r="AI355" s="5">
        <v>45906</v>
      </c>
      <c r="AJ355" s="4" t="s">
        <v>97</v>
      </c>
      <c r="AK355" s="4" t="s">
        <v>97</v>
      </c>
      <c r="AL355" s="4" t="s">
        <v>97</v>
      </c>
      <c r="AM355" s="4" t="s">
        <v>97</v>
      </c>
      <c r="AN355" s="4" t="s">
        <v>103</v>
      </c>
      <c r="AO355" s="4" t="s">
        <v>97</v>
      </c>
      <c r="AP355" s="4" t="s">
        <v>97</v>
      </c>
      <c r="AQ355" s="4" t="s">
        <v>97</v>
      </c>
      <c r="AR355" s="4" t="s">
        <v>97</v>
      </c>
      <c r="AS355" s="4" t="s">
        <v>97</v>
      </c>
      <c r="AT355" s="4" t="s">
        <v>981</v>
      </c>
      <c r="AU355" s="4"/>
      <c r="AV355" s="4" t="s">
        <v>97</v>
      </c>
      <c r="AW355" s="4" t="s">
        <v>97</v>
      </c>
      <c r="AX355" s="4" t="s">
        <v>97</v>
      </c>
      <c r="AY355" s="4" t="s">
        <v>97</v>
      </c>
      <c r="AZ355" s="4" t="s">
        <v>103</v>
      </c>
      <c r="BA355" s="4" t="s">
        <v>97</v>
      </c>
      <c r="BB355" s="5">
        <v>45957</v>
      </c>
      <c r="BC355" s="5">
        <v>45957</v>
      </c>
      <c r="BD355" s="5">
        <v>45958</v>
      </c>
      <c r="BE355" s="5">
        <v>45958</v>
      </c>
      <c r="BF355" s="4" t="s">
        <v>98</v>
      </c>
      <c r="BG355" s="4" t="s">
        <v>97</v>
      </c>
      <c r="BH355" s="4" t="s">
        <v>103</v>
      </c>
      <c r="BI355" s="4" t="s">
        <v>834</v>
      </c>
    </row>
    <row r="356" spans="1:61" x14ac:dyDescent="0.35">
      <c r="A356" s="4" t="s">
        <v>957</v>
      </c>
      <c r="B356" s="8" t="str">
        <f t="shared" si="28"/>
        <v>2025</v>
      </c>
      <c r="C356" s="2" t="s">
        <v>77</v>
      </c>
      <c r="D356" s="6" t="str">
        <f t="shared" si="29"/>
        <v>Dakar</v>
      </c>
      <c r="E356" s="6">
        <f t="shared" si="30"/>
        <v>341880</v>
      </c>
      <c r="F356" s="6">
        <f t="shared" si="31"/>
        <v>4042240</v>
      </c>
      <c r="G356" s="4" t="s">
        <v>982</v>
      </c>
      <c r="H356" s="4" t="s">
        <v>983</v>
      </c>
      <c r="I356" s="4">
        <v>7</v>
      </c>
      <c r="J356" s="4" t="s">
        <v>96</v>
      </c>
      <c r="K356" s="5"/>
      <c r="L356" s="4"/>
      <c r="M356" s="4"/>
      <c r="N356" s="4"/>
      <c r="O356" s="4" t="s">
        <v>238</v>
      </c>
      <c r="P356" s="4" t="s">
        <v>97</v>
      </c>
      <c r="Q356" s="4" t="s">
        <v>97</v>
      </c>
      <c r="R356" s="14" t="s">
        <v>100</v>
      </c>
      <c r="S356" s="14" t="s">
        <v>100</v>
      </c>
      <c r="T356" s="14" t="s">
        <v>100</v>
      </c>
      <c r="U356" s="8"/>
      <c r="V356" s="14"/>
      <c r="W356" s="14"/>
      <c r="X356" s="14"/>
      <c r="Y356" s="5">
        <v>45906</v>
      </c>
      <c r="Z356" s="5">
        <v>45957</v>
      </c>
      <c r="AA356" s="4" t="s">
        <v>97</v>
      </c>
      <c r="AB356" s="4"/>
      <c r="AC356" s="4" t="s">
        <v>97</v>
      </c>
      <c r="AD356" s="4" t="s">
        <v>103</v>
      </c>
      <c r="AE356" s="4" t="s">
        <v>97</v>
      </c>
      <c r="AF356" s="4" t="s">
        <v>97</v>
      </c>
      <c r="AG356" s="4" t="s">
        <v>97</v>
      </c>
      <c r="AH356" s="4" t="s">
        <v>103</v>
      </c>
      <c r="AI356" s="5">
        <v>45906</v>
      </c>
      <c r="AJ356" s="4" t="s">
        <v>97</v>
      </c>
      <c r="AK356" s="4" t="s">
        <v>97</v>
      </c>
      <c r="AL356" s="4" t="s">
        <v>103</v>
      </c>
      <c r="AM356" s="4" t="s">
        <v>97</v>
      </c>
      <c r="AN356" s="4" t="s">
        <v>103</v>
      </c>
      <c r="AO356" s="4" t="s">
        <v>97</v>
      </c>
      <c r="AP356" s="4" t="s">
        <v>97</v>
      </c>
      <c r="AQ356" s="4" t="s">
        <v>97</v>
      </c>
      <c r="AR356" s="4" t="s">
        <v>97</v>
      </c>
      <c r="AS356" s="4" t="s">
        <v>97</v>
      </c>
      <c r="AT356" s="4"/>
      <c r="AU356" s="4"/>
      <c r="AV356" s="4" t="s">
        <v>97</v>
      </c>
      <c r="AW356" s="4" t="s">
        <v>97</v>
      </c>
      <c r="AX356" s="4" t="s">
        <v>97</v>
      </c>
      <c r="AY356" s="4" t="s">
        <v>97</v>
      </c>
      <c r="AZ356" s="4" t="s">
        <v>103</v>
      </c>
      <c r="BA356" s="4" t="s">
        <v>97</v>
      </c>
      <c r="BB356" s="5">
        <v>45957</v>
      </c>
      <c r="BC356" s="5">
        <v>45957</v>
      </c>
      <c r="BD356" s="5">
        <v>45958</v>
      </c>
      <c r="BE356" s="5">
        <v>45958</v>
      </c>
      <c r="BF356" s="4" t="s">
        <v>98</v>
      </c>
      <c r="BG356" s="4" t="s">
        <v>97</v>
      </c>
      <c r="BH356" s="4" t="s">
        <v>103</v>
      </c>
      <c r="BI356" s="4" t="s">
        <v>834</v>
      </c>
    </row>
    <row r="357" spans="1:61" x14ac:dyDescent="0.35">
      <c r="A357" s="4" t="s">
        <v>957</v>
      </c>
      <c r="B357" s="8" t="str">
        <f t="shared" si="28"/>
        <v>2025</v>
      </c>
      <c r="C357" s="2" t="s">
        <v>3</v>
      </c>
      <c r="D357" s="6" t="str">
        <f t="shared" si="29"/>
        <v>Kaolack</v>
      </c>
      <c r="E357" s="6">
        <f t="shared" si="30"/>
        <v>412872</v>
      </c>
      <c r="F357" s="6">
        <f t="shared" si="31"/>
        <v>1267013</v>
      </c>
      <c r="G357" s="4" t="s">
        <v>984</v>
      </c>
      <c r="H357" s="4" t="s">
        <v>985</v>
      </c>
      <c r="I357" s="4">
        <v>32</v>
      </c>
      <c r="J357" s="4" t="s">
        <v>114</v>
      </c>
      <c r="K357" s="4"/>
      <c r="L357" s="4"/>
      <c r="M357" s="4"/>
      <c r="N357" s="4"/>
      <c r="O357" s="4" t="s">
        <v>238</v>
      </c>
      <c r="P357" s="4" t="s">
        <v>97</v>
      </c>
      <c r="Q357" s="4" t="s">
        <v>97</v>
      </c>
      <c r="R357" s="14" t="s">
        <v>100</v>
      </c>
      <c r="S357" s="14" t="s">
        <v>100</v>
      </c>
      <c r="T357" s="14" t="s">
        <v>100</v>
      </c>
      <c r="U357" s="8"/>
      <c r="V357" s="14"/>
      <c r="W357" s="14"/>
      <c r="X357" s="14"/>
      <c r="Y357" s="5">
        <v>45953</v>
      </c>
      <c r="Z357" s="5">
        <v>45957</v>
      </c>
      <c r="AA357" s="4" t="s">
        <v>103</v>
      </c>
      <c r="AB357" s="4" t="s">
        <v>405</v>
      </c>
      <c r="AC357" s="4" t="s">
        <v>103</v>
      </c>
      <c r="AD357" s="4" t="s">
        <v>103</v>
      </c>
      <c r="AE357" s="4" t="s">
        <v>97</v>
      </c>
      <c r="AF357" s="4" t="s">
        <v>97</v>
      </c>
      <c r="AG357" s="4" t="s">
        <v>103</v>
      </c>
      <c r="AH357" s="4" t="s">
        <v>103</v>
      </c>
      <c r="AI357" s="5">
        <v>45954</v>
      </c>
      <c r="AJ357" s="4" t="s">
        <v>97</v>
      </c>
      <c r="AK357" s="4" t="s">
        <v>103</v>
      </c>
      <c r="AL357" s="4" t="s">
        <v>97</v>
      </c>
      <c r="AM357" s="4" t="s">
        <v>103</v>
      </c>
      <c r="AN357" s="4" t="s">
        <v>103</v>
      </c>
      <c r="AO357" s="4" t="s">
        <v>97</v>
      </c>
      <c r="AP357" s="4" t="s">
        <v>97</v>
      </c>
      <c r="AQ357" s="4" t="s">
        <v>97</v>
      </c>
      <c r="AR357" s="4" t="s">
        <v>97</v>
      </c>
      <c r="AS357" s="4" t="s">
        <v>97</v>
      </c>
      <c r="AT357" s="4" t="s">
        <v>987</v>
      </c>
      <c r="AU357" s="4" t="s">
        <v>986</v>
      </c>
      <c r="AV357" s="4" t="s">
        <v>103</v>
      </c>
      <c r="AW357" s="4" t="s">
        <v>97</v>
      </c>
      <c r="AX357" s="4" t="s">
        <v>97</v>
      </c>
      <c r="AY357" s="4" t="s">
        <v>97</v>
      </c>
      <c r="AZ357" s="4" t="s">
        <v>97</v>
      </c>
      <c r="BA357" s="4" t="s">
        <v>97</v>
      </c>
      <c r="BB357" s="5">
        <v>45957</v>
      </c>
      <c r="BC357" s="5">
        <v>45957</v>
      </c>
      <c r="BD357" s="5">
        <v>45958</v>
      </c>
      <c r="BE357" s="5">
        <v>45958</v>
      </c>
      <c r="BF357" s="4" t="s">
        <v>98</v>
      </c>
      <c r="BG357" s="4" t="s">
        <v>97</v>
      </c>
      <c r="BH357" s="4" t="s">
        <v>103</v>
      </c>
      <c r="BI357" s="4" t="s">
        <v>834</v>
      </c>
    </row>
    <row r="358" spans="1:61" x14ac:dyDescent="0.35">
      <c r="A358" s="4" t="s">
        <v>957</v>
      </c>
      <c r="B358" s="8" t="str">
        <f t="shared" si="28"/>
        <v>2025</v>
      </c>
      <c r="C358" s="2" t="s">
        <v>77</v>
      </c>
      <c r="D358" s="6" t="str">
        <f t="shared" si="29"/>
        <v>Dakar</v>
      </c>
      <c r="E358" s="6">
        <f t="shared" si="30"/>
        <v>341880</v>
      </c>
      <c r="F358" s="6">
        <f t="shared" si="31"/>
        <v>4042240</v>
      </c>
      <c r="G358" s="4" t="s">
        <v>988</v>
      </c>
      <c r="H358" s="4" t="s">
        <v>989</v>
      </c>
      <c r="I358" s="4">
        <v>5</v>
      </c>
      <c r="J358" s="4" t="s">
        <v>114</v>
      </c>
      <c r="K358" s="3"/>
      <c r="L358" s="5"/>
      <c r="M358" s="4"/>
      <c r="N358" s="4"/>
      <c r="O358" s="4" t="s">
        <v>238</v>
      </c>
      <c r="P358" s="4" t="s">
        <v>97</v>
      </c>
      <c r="Q358" s="4" t="s">
        <v>97</v>
      </c>
      <c r="R358" s="14" t="s">
        <v>100</v>
      </c>
      <c r="S358" s="14" t="s">
        <v>100</v>
      </c>
      <c r="T358" s="14" t="s">
        <v>100</v>
      </c>
      <c r="U358" s="8"/>
      <c r="V358" s="14"/>
      <c r="W358" s="14"/>
      <c r="X358" s="14"/>
      <c r="Y358" s="5">
        <v>45906</v>
      </c>
      <c r="Z358" s="5">
        <v>45957</v>
      </c>
      <c r="AA358" s="4" t="s">
        <v>97</v>
      </c>
      <c r="AB358" s="4"/>
      <c r="AC358" s="4" t="s">
        <v>97</v>
      </c>
      <c r="AD358" s="4" t="s">
        <v>97</v>
      </c>
      <c r="AE358" s="4" t="s">
        <v>103</v>
      </c>
      <c r="AF358" s="4" t="s">
        <v>97</v>
      </c>
      <c r="AG358" s="4" t="s">
        <v>97</v>
      </c>
      <c r="AH358" s="4" t="s">
        <v>103</v>
      </c>
      <c r="AI358" s="5">
        <v>45906</v>
      </c>
      <c r="AJ358" s="4" t="s">
        <v>97</v>
      </c>
      <c r="AK358" s="4" t="s">
        <v>97</v>
      </c>
      <c r="AL358" s="4" t="s">
        <v>97</v>
      </c>
      <c r="AM358" s="4" t="s">
        <v>97</v>
      </c>
      <c r="AN358" s="4" t="s">
        <v>97</v>
      </c>
      <c r="AO358" s="4" t="s">
        <v>97</v>
      </c>
      <c r="AP358" s="4" t="s">
        <v>97</v>
      </c>
      <c r="AQ358" s="4" t="s">
        <v>97</v>
      </c>
      <c r="AR358" s="4" t="s">
        <v>97</v>
      </c>
      <c r="AS358" s="4" t="s">
        <v>97</v>
      </c>
      <c r="AT358" s="4"/>
      <c r="AU358" s="4"/>
      <c r="AV358" s="4" t="s">
        <v>97</v>
      </c>
      <c r="AW358" s="4" t="s">
        <v>97</v>
      </c>
      <c r="AX358" s="4" t="s">
        <v>97</v>
      </c>
      <c r="AY358" s="4" t="s">
        <v>97</v>
      </c>
      <c r="AZ358" s="4" t="s">
        <v>103</v>
      </c>
      <c r="BA358" s="4" t="s">
        <v>97</v>
      </c>
      <c r="BB358" s="5">
        <v>45957</v>
      </c>
      <c r="BC358" s="5">
        <v>45957</v>
      </c>
      <c r="BD358" s="5">
        <v>45958</v>
      </c>
      <c r="BE358" s="5">
        <v>45958</v>
      </c>
      <c r="BF358" s="4" t="s">
        <v>98</v>
      </c>
      <c r="BG358" s="4" t="s">
        <v>97</v>
      </c>
      <c r="BH358" s="4" t="s">
        <v>103</v>
      </c>
      <c r="BI358" s="4" t="s">
        <v>834</v>
      </c>
    </row>
    <row r="359" spans="1:61" x14ac:dyDescent="0.35">
      <c r="A359" s="4" t="s">
        <v>957</v>
      </c>
      <c r="B359" s="8" t="str">
        <f t="shared" si="28"/>
        <v>2025</v>
      </c>
      <c r="C359" s="2" t="s">
        <v>19</v>
      </c>
      <c r="D359" s="6" t="str">
        <f t="shared" si="29"/>
        <v>Dakar</v>
      </c>
      <c r="E359" s="6">
        <f t="shared" si="30"/>
        <v>565040</v>
      </c>
      <c r="F359" s="6">
        <f t="shared" si="31"/>
        <v>4042240</v>
      </c>
      <c r="G359" s="4" t="s">
        <v>990</v>
      </c>
      <c r="H359" s="4" t="s">
        <v>991</v>
      </c>
      <c r="I359" s="4"/>
      <c r="J359" s="4" t="s">
        <v>114</v>
      </c>
      <c r="K359" s="4"/>
      <c r="L359" s="4"/>
      <c r="M359" s="4"/>
      <c r="N359" s="4"/>
      <c r="O359" s="4" t="s">
        <v>238</v>
      </c>
      <c r="P359" s="4" t="s">
        <v>97</v>
      </c>
      <c r="Q359" s="4" t="s">
        <v>97</v>
      </c>
      <c r="R359" s="14" t="s">
        <v>100</v>
      </c>
      <c r="S359" s="14" t="s">
        <v>100</v>
      </c>
      <c r="T359" s="14" t="s">
        <v>100</v>
      </c>
      <c r="U359" s="8"/>
      <c r="V359" s="14"/>
      <c r="W359" s="14"/>
      <c r="X359" s="14"/>
      <c r="Y359" s="5">
        <v>45916</v>
      </c>
      <c r="Z359" s="5">
        <v>45958</v>
      </c>
      <c r="AA359" s="4" t="s">
        <v>97</v>
      </c>
      <c r="AB359" s="4"/>
      <c r="AC359" s="4" t="s">
        <v>97</v>
      </c>
      <c r="AD359" s="4" t="s">
        <v>97</v>
      </c>
      <c r="AE359" s="4" t="s">
        <v>97</v>
      </c>
      <c r="AF359" s="4" t="s">
        <v>97</v>
      </c>
      <c r="AG359" s="4" t="s">
        <v>97</v>
      </c>
      <c r="AH359" s="4" t="s">
        <v>103</v>
      </c>
      <c r="AI359" s="5">
        <v>45946</v>
      </c>
      <c r="AJ359" s="4" t="s">
        <v>97</v>
      </c>
      <c r="AK359" s="4" t="s">
        <v>97</v>
      </c>
      <c r="AL359" s="4" t="s">
        <v>97</v>
      </c>
      <c r="AM359" s="4" t="s">
        <v>97</v>
      </c>
      <c r="AN359" s="4" t="s">
        <v>103</v>
      </c>
      <c r="AO359" s="4" t="s">
        <v>103</v>
      </c>
      <c r="AP359" s="4" t="s">
        <v>103</v>
      </c>
      <c r="AQ359" s="4" t="s">
        <v>97</v>
      </c>
      <c r="AR359" s="4" t="s">
        <v>97</v>
      </c>
      <c r="AS359" s="4" t="s">
        <v>97</v>
      </c>
      <c r="AT359" s="4"/>
      <c r="AU359" s="4"/>
      <c r="AV359" s="4" t="s">
        <v>103</v>
      </c>
      <c r="AW359" s="4" t="s">
        <v>103</v>
      </c>
      <c r="AX359" s="4" t="s">
        <v>97</v>
      </c>
      <c r="AY359" s="4" t="s">
        <v>97</v>
      </c>
      <c r="AZ359" s="4" t="s">
        <v>103</v>
      </c>
      <c r="BA359" s="4" t="s">
        <v>97</v>
      </c>
      <c r="BB359" s="5">
        <v>45958</v>
      </c>
      <c r="BC359" s="5">
        <v>45959</v>
      </c>
      <c r="BD359" s="5">
        <v>45959</v>
      </c>
      <c r="BE359" s="5">
        <v>45959</v>
      </c>
      <c r="BF359" s="4" t="s">
        <v>98</v>
      </c>
      <c r="BG359" s="4" t="s">
        <v>103</v>
      </c>
      <c r="BH359" s="4" t="s">
        <v>97</v>
      </c>
      <c r="BI359" s="4" t="s">
        <v>834</v>
      </c>
    </row>
    <row r="360" spans="1:61" x14ac:dyDescent="0.35">
      <c r="A360" s="4" t="s">
        <v>957</v>
      </c>
      <c r="B360" s="8" t="str">
        <f t="shared" si="28"/>
        <v>2025</v>
      </c>
      <c r="C360" s="2" t="s">
        <v>19</v>
      </c>
      <c r="D360" s="6" t="str">
        <f t="shared" si="29"/>
        <v>Dakar</v>
      </c>
      <c r="E360" s="6">
        <f t="shared" si="30"/>
        <v>565040</v>
      </c>
      <c r="F360" s="6">
        <f t="shared" si="31"/>
        <v>4042240</v>
      </c>
      <c r="G360" s="4" t="s">
        <v>992</v>
      </c>
      <c r="H360" s="4" t="s">
        <v>993</v>
      </c>
      <c r="I360" s="4">
        <v>19</v>
      </c>
      <c r="J360" s="4" t="s">
        <v>96</v>
      </c>
      <c r="K360" s="4"/>
      <c r="L360" s="4"/>
      <c r="M360" s="4"/>
      <c r="N360" s="4"/>
      <c r="O360" s="4" t="s">
        <v>238</v>
      </c>
      <c r="P360" s="4" t="s">
        <v>97</v>
      </c>
      <c r="Q360" s="4" t="s">
        <v>97</v>
      </c>
      <c r="R360" s="14" t="s">
        <v>100</v>
      </c>
      <c r="S360" s="14" t="s">
        <v>100</v>
      </c>
      <c r="T360" s="14" t="s">
        <v>100</v>
      </c>
      <c r="U360" s="8"/>
      <c r="V360" s="14"/>
      <c r="W360" s="14"/>
      <c r="X360" s="14"/>
      <c r="Y360" s="5">
        <v>45947</v>
      </c>
      <c r="Z360" s="5">
        <v>45958</v>
      </c>
      <c r="AA360" s="4" t="s">
        <v>103</v>
      </c>
      <c r="AB360" s="4" t="s">
        <v>405</v>
      </c>
      <c r="AC360" s="4" t="s">
        <v>103</v>
      </c>
      <c r="AD360" s="4" t="s">
        <v>97</v>
      </c>
      <c r="AE360" s="4" t="s">
        <v>97</v>
      </c>
      <c r="AF360" s="4" t="s">
        <v>103</v>
      </c>
      <c r="AG360" s="4" t="s">
        <v>103</v>
      </c>
      <c r="AH360" s="4" t="s">
        <v>103</v>
      </c>
      <c r="AI360" s="5">
        <v>45947</v>
      </c>
      <c r="AJ360" s="4" t="s">
        <v>97</v>
      </c>
      <c r="AK360" s="4" t="s">
        <v>97</v>
      </c>
      <c r="AL360" s="4" t="s">
        <v>97</v>
      </c>
      <c r="AM360" s="4" t="s">
        <v>97</v>
      </c>
      <c r="AN360" s="4" t="s">
        <v>97</v>
      </c>
      <c r="AO360" s="4" t="s">
        <v>97</v>
      </c>
      <c r="AP360" s="4" t="s">
        <v>97</v>
      </c>
      <c r="AQ360" s="4" t="s">
        <v>97</v>
      </c>
      <c r="AR360" s="4" t="s">
        <v>97</v>
      </c>
      <c r="AS360" s="4" t="s">
        <v>97</v>
      </c>
      <c r="AT360" s="4"/>
      <c r="AU360" s="4" t="s">
        <v>994</v>
      </c>
      <c r="AV360" s="4" t="s">
        <v>97</v>
      </c>
      <c r="AW360" s="4" t="s">
        <v>97</v>
      </c>
      <c r="AX360" s="4" t="s">
        <v>97</v>
      </c>
      <c r="AY360" s="4" t="s">
        <v>97</v>
      </c>
      <c r="AZ360" s="4" t="s">
        <v>103</v>
      </c>
      <c r="BA360" s="4" t="s">
        <v>97</v>
      </c>
      <c r="BB360" s="5">
        <v>45958</v>
      </c>
      <c r="BC360" s="5">
        <v>45959</v>
      </c>
      <c r="BD360" s="5">
        <v>45960</v>
      </c>
      <c r="BE360" s="5">
        <v>45960</v>
      </c>
      <c r="BF360" s="4" t="s">
        <v>98</v>
      </c>
      <c r="BG360" s="4" t="s">
        <v>97</v>
      </c>
      <c r="BH360" s="4" t="s">
        <v>103</v>
      </c>
      <c r="BI360" s="4" t="s">
        <v>834</v>
      </c>
    </row>
    <row r="361" spans="1:61" x14ac:dyDescent="0.35">
      <c r="A361" s="4" t="s">
        <v>957</v>
      </c>
      <c r="B361" s="8" t="str">
        <f t="shared" si="28"/>
        <v>2025</v>
      </c>
      <c r="C361" s="2" t="s">
        <v>63</v>
      </c>
      <c r="D361" s="6" t="str">
        <f t="shared" si="29"/>
        <v>Saint-Louis</v>
      </c>
      <c r="E361" s="6">
        <f t="shared" si="30"/>
        <v>205977</v>
      </c>
      <c r="F361" s="6">
        <f t="shared" si="31"/>
        <v>1150065</v>
      </c>
      <c r="G361" s="4" t="s">
        <v>995</v>
      </c>
      <c r="H361" s="4" t="s">
        <v>996</v>
      </c>
      <c r="I361" s="4">
        <v>15</v>
      </c>
      <c r="J361" s="4" t="s">
        <v>114</v>
      </c>
      <c r="K361" s="4"/>
      <c r="L361" s="4"/>
      <c r="M361" s="4"/>
      <c r="N361" s="4"/>
      <c r="O361" s="4" t="s">
        <v>238</v>
      </c>
      <c r="P361" s="4" t="s">
        <v>97</v>
      </c>
      <c r="Q361" s="4" t="s">
        <v>97</v>
      </c>
      <c r="R361" s="14" t="s">
        <v>100</v>
      </c>
      <c r="S361" s="14" t="s">
        <v>100</v>
      </c>
      <c r="T361" s="14" t="s">
        <v>100</v>
      </c>
      <c r="U361" s="8"/>
      <c r="V361" s="14"/>
      <c r="W361" s="14"/>
      <c r="X361" s="14"/>
      <c r="Y361" s="5">
        <v>45948</v>
      </c>
      <c r="Z361" s="5">
        <v>45958</v>
      </c>
      <c r="AA361" s="4" t="s">
        <v>97</v>
      </c>
      <c r="AB361" s="4"/>
      <c r="AC361" s="4" t="s">
        <v>97</v>
      </c>
      <c r="AD361" s="4" t="s">
        <v>103</v>
      </c>
      <c r="AE361" s="4" t="s">
        <v>97</v>
      </c>
      <c r="AF361" s="4" t="s">
        <v>97</v>
      </c>
      <c r="AG361" s="4" t="s">
        <v>97</v>
      </c>
      <c r="AH361" s="4" t="s">
        <v>103</v>
      </c>
      <c r="AI361" s="5">
        <v>45948</v>
      </c>
      <c r="AJ361" s="4" t="s">
        <v>97</v>
      </c>
      <c r="AK361" s="4" t="s">
        <v>97</v>
      </c>
      <c r="AL361" s="4" t="s">
        <v>103</v>
      </c>
      <c r="AM361" s="4" t="s">
        <v>97</v>
      </c>
      <c r="AN361" s="4" t="s">
        <v>103</v>
      </c>
      <c r="AO361" s="4" t="s">
        <v>97</v>
      </c>
      <c r="AP361" s="4" t="s">
        <v>103</v>
      </c>
      <c r="AQ361" s="4" t="s">
        <v>97</v>
      </c>
      <c r="AR361" s="4" t="s">
        <v>97</v>
      </c>
      <c r="AS361" s="4" t="s">
        <v>103</v>
      </c>
      <c r="AT361" s="4"/>
      <c r="AU361" s="4"/>
      <c r="AV361" s="4" t="s">
        <v>103</v>
      </c>
      <c r="AW361" s="4" t="s">
        <v>97</v>
      </c>
      <c r="AX361" s="4" t="s">
        <v>97</v>
      </c>
      <c r="AY361" s="4" t="s">
        <v>97</v>
      </c>
      <c r="AZ361" s="4" t="s">
        <v>97</v>
      </c>
      <c r="BA361" s="4" t="s">
        <v>97</v>
      </c>
      <c r="BB361" s="5">
        <v>45958</v>
      </c>
      <c r="BC361" s="5">
        <v>45959</v>
      </c>
      <c r="BD361" s="5">
        <v>45960</v>
      </c>
      <c r="BE361" s="5">
        <v>45960</v>
      </c>
      <c r="BF361" s="4" t="s">
        <v>98</v>
      </c>
      <c r="BG361" s="4" t="s">
        <v>97</v>
      </c>
      <c r="BH361" s="4" t="s">
        <v>103</v>
      </c>
      <c r="BI361" s="4" t="s">
        <v>834</v>
      </c>
    </row>
    <row r="362" spans="1:61" x14ac:dyDescent="0.35">
      <c r="A362" s="4" t="s">
        <v>957</v>
      </c>
      <c r="B362" s="8" t="str">
        <f t="shared" si="28"/>
        <v>2025</v>
      </c>
      <c r="C362" s="2" t="s">
        <v>65</v>
      </c>
      <c r="D362" s="6" t="str">
        <f t="shared" si="29"/>
        <v>Saint-Louis</v>
      </c>
      <c r="E362" s="6">
        <f t="shared" si="30"/>
        <v>375150</v>
      </c>
      <c r="F362" s="6">
        <f t="shared" si="31"/>
        <v>1150065</v>
      </c>
      <c r="G362" s="4" t="s">
        <v>997</v>
      </c>
      <c r="H362" s="4" t="s">
        <v>998</v>
      </c>
      <c r="I362" s="4">
        <v>10</v>
      </c>
      <c r="J362" s="4" t="s">
        <v>96</v>
      </c>
      <c r="K362" s="4"/>
      <c r="L362" s="4"/>
      <c r="M362" s="4"/>
      <c r="N362" s="4"/>
      <c r="O362" s="4" t="s">
        <v>238</v>
      </c>
      <c r="P362" s="4" t="s">
        <v>97</v>
      </c>
      <c r="Q362" s="4" t="s">
        <v>97</v>
      </c>
      <c r="R362" s="14" t="s">
        <v>100</v>
      </c>
      <c r="S362" s="14" t="s">
        <v>100</v>
      </c>
      <c r="T362" s="14" t="s">
        <v>100</v>
      </c>
      <c r="U362" s="8"/>
      <c r="V362" s="14"/>
      <c r="W362" s="14"/>
      <c r="X362" s="14"/>
      <c r="Y362" s="5">
        <v>45950</v>
      </c>
      <c r="Z362" s="5">
        <v>45953</v>
      </c>
      <c r="AA362" s="4" t="s">
        <v>103</v>
      </c>
      <c r="AB362" s="4" t="s">
        <v>488</v>
      </c>
      <c r="AC362" s="4" t="s">
        <v>97</v>
      </c>
      <c r="AD362" s="4" t="s">
        <v>103</v>
      </c>
      <c r="AE362" s="4" t="s">
        <v>97</v>
      </c>
      <c r="AF362" s="4" t="s">
        <v>103</v>
      </c>
      <c r="AG362" s="4" t="s">
        <v>103</v>
      </c>
      <c r="AH362" s="4" t="s">
        <v>103</v>
      </c>
      <c r="AI362" s="5">
        <v>45950</v>
      </c>
      <c r="AJ362" s="4" t="s">
        <v>97</v>
      </c>
      <c r="AK362" s="4" t="s">
        <v>97</v>
      </c>
      <c r="AL362" s="4" t="s">
        <v>97</v>
      </c>
      <c r="AM362" s="4" t="s">
        <v>97</v>
      </c>
      <c r="AN362" s="4" t="s">
        <v>103</v>
      </c>
      <c r="AO362" s="4" t="s">
        <v>103</v>
      </c>
      <c r="AP362" s="4" t="s">
        <v>103</v>
      </c>
      <c r="AQ362" s="4" t="s">
        <v>97</v>
      </c>
      <c r="AR362" s="4" t="s">
        <v>97</v>
      </c>
      <c r="AS362" s="4" t="s">
        <v>97</v>
      </c>
      <c r="AT362" s="4"/>
      <c r="AU362" s="4"/>
      <c r="AV362" s="4" t="s">
        <v>97</v>
      </c>
      <c r="AW362" s="4" t="s">
        <v>103</v>
      </c>
      <c r="AX362" s="4" t="s">
        <v>97</v>
      </c>
      <c r="AY362" s="4" t="s">
        <v>97</v>
      </c>
      <c r="AZ362" s="4" t="s">
        <v>97</v>
      </c>
      <c r="BA362" s="4" t="s">
        <v>97</v>
      </c>
      <c r="BB362" s="5">
        <v>45953</v>
      </c>
      <c r="BC362" s="5">
        <v>45959</v>
      </c>
      <c r="BD362" s="5">
        <v>45960</v>
      </c>
      <c r="BE362" s="5">
        <v>45960</v>
      </c>
      <c r="BF362" s="4" t="s">
        <v>98</v>
      </c>
      <c r="BG362" s="4" t="s">
        <v>97</v>
      </c>
      <c r="BH362" s="4" t="s">
        <v>97</v>
      </c>
      <c r="BI362" s="4" t="s">
        <v>834</v>
      </c>
    </row>
    <row r="363" spans="1:61" x14ac:dyDescent="0.35">
      <c r="A363" s="4" t="s">
        <v>957</v>
      </c>
      <c r="B363" s="8" t="str">
        <f t="shared" si="28"/>
        <v>2025</v>
      </c>
      <c r="C363" s="2" t="s">
        <v>76</v>
      </c>
      <c r="D363" s="6" t="str">
        <f t="shared" si="29"/>
        <v>Kolda</v>
      </c>
      <c r="E363" s="6">
        <f t="shared" si="30"/>
        <v>367976</v>
      </c>
      <c r="F363" s="6">
        <f t="shared" si="31"/>
        <v>875661</v>
      </c>
      <c r="G363" s="4" t="s">
        <v>999</v>
      </c>
      <c r="H363" s="4" t="s">
        <v>1000</v>
      </c>
      <c r="I363" s="4">
        <v>25</v>
      </c>
      <c r="J363" s="4" t="s">
        <v>114</v>
      </c>
      <c r="K363" s="3" t="s">
        <v>1017</v>
      </c>
      <c r="L363" s="5">
        <v>45957</v>
      </c>
      <c r="M363" s="4"/>
      <c r="N363" s="4"/>
      <c r="O363" s="4" t="s">
        <v>238</v>
      </c>
      <c r="P363" s="4" t="s">
        <v>97</v>
      </c>
      <c r="Q363" s="4" t="s">
        <v>97</v>
      </c>
      <c r="R363" s="14" t="s">
        <v>100</v>
      </c>
      <c r="S363" s="14" t="s">
        <v>100</v>
      </c>
      <c r="T363" s="14" t="s">
        <v>100</v>
      </c>
      <c r="U363" s="8"/>
      <c r="V363" s="14"/>
      <c r="W363" s="14"/>
      <c r="X363" s="14"/>
      <c r="Y363" s="24" t="s">
        <v>1001</v>
      </c>
      <c r="Z363" s="5">
        <v>45957</v>
      </c>
      <c r="AA363" s="4" t="s">
        <v>103</v>
      </c>
      <c r="AB363" s="4"/>
      <c r="AC363" s="4" t="s">
        <v>97</v>
      </c>
      <c r="AD363" s="4" t="s">
        <v>97</v>
      </c>
      <c r="AE363" s="4" t="s">
        <v>97</v>
      </c>
      <c r="AF363" s="4" t="s">
        <v>103</v>
      </c>
      <c r="AG363" s="4" t="s">
        <v>97</v>
      </c>
      <c r="AH363" s="4" t="s">
        <v>103</v>
      </c>
      <c r="AI363" s="5">
        <v>45956</v>
      </c>
      <c r="AJ363" s="4" t="s">
        <v>97</v>
      </c>
      <c r="AK363" s="4" t="s">
        <v>97</v>
      </c>
      <c r="AL363" s="4" t="s">
        <v>97</v>
      </c>
      <c r="AM363" s="4" t="s">
        <v>97</v>
      </c>
      <c r="AN363" s="4" t="s">
        <v>97</v>
      </c>
      <c r="AO363" s="4" t="s">
        <v>97</v>
      </c>
      <c r="AP363" s="4" t="s">
        <v>97</v>
      </c>
      <c r="AQ363" s="4" t="s">
        <v>97</v>
      </c>
      <c r="AR363" s="4" t="s">
        <v>97</v>
      </c>
      <c r="AS363" s="4" t="s">
        <v>97</v>
      </c>
      <c r="AT363" s="4"/>
      <c r="AU363" s="4"/>
      <c r="AV363" s="4" t="s">
        <v>103</v>
      </c>
      <c r="AW363" s="4" t="s">
        <v>97</v>
      </c>
      <c r="AX363" s="4" t="s">
        <v>97</v>
      </c>
      <c r="AY363" s="4" t="s">
        <v>97</v>
      </c>
      <c r="AZ363" s="4" t="s">
        <v>97</v>
      </c>
      <c r="BA363" s="4" t="s">
        <v>97</v>
      </c>
      <c r="BB363" s="5">
        <v>45958</v>
      </c>
      <c r="BC363" s="5">
        <v>45959</v>
      </c>
      <c r="BD363" s="5">
        <v>45960</v>
      </c>
      <c r="BE363" s="5">
        <v>45960</v>
      </c>
      <c r="BF363" s="4" t="s">
        <v>98</v>
      </c>
      <c r="BG363" s="4" t="s">
        <v>97</v>
      </c>
      <c r="BH363" s="4" t="s">
        <v>103</v>
      </c>
      <c r="BI363" s="4" t="s">
        <v>834</v>
      </c>
    </row>
    <row r="364" spans="1:61" x14ac:dyDescent="0.35">
      <c r="A364" s="4" t="s">
        <v>957</v>
      </c>
      <c r="B364" s="8" t="str">
        <f t="shared" si="28"/>
        <v>2025</v>
      </c>
      <c r="C364" s="2" t="s">
        <v>1</v>
      </c>
      <c r="D364" s="6" t="str">
        <f t="shared" si="29"/>
        <v>Matam</v>
      </c>
      <c r="E364" s="6">
        <f t="shared" si="30"/>
        <v>110915</v>
      </c>
      <c r="F364" s="6">
        <f t="shared" si="31"/>
        <v>789215</v>
      </c>
      <c r="G364" s="4" t="s">
        <v>1002</v>
      </c>
      <c r="H364" s="4" t="s">
        <v>1003</v>
      </c>
      <c r="I364" s="4">
        <v>24</v>
      </c>
      <c r="J364" s="4" t="s">
        <v>114</v>
      </c>
      <c r="K364" s="4"/>
      <c r="L364" s="4"/>
      <c r="M364" s="4"/>
      <c r="N364" s="4"/>
      <c r="O364" s="4" t="s">
        <v>238</v>
      </c>
      <c r="P364" s="4" t="s">
        <v>97</v>
      </c>
      <c r="Q364" s="4" t="s">
        <v>97</v>
      </c>
      <c r="R364" s="14" t="s">
        <v>100</v>
      </c>
      <c r="S364" s="14" t="s">
        <v>100</v>
      </c>
      <c r="T364" s="14" t="s">
        <v>100</v>
      </c>
      <c r="U364" s="8"/>
      <c r="V364" s="14"/>
      <c r="W364" s="14"/>
      <c r="X364" s="14"/>
      <c r="Y364" s="5">
        <v>45950</v>
      </c>
      <c r="Z364" s="5">
        <v>45958</v>
      </c>
      <c r="AA364" s="4" t="s">
        <v>97</v>
      </c>
      <c r="AB364" s="4"/>
      <c r="AC364" s="4" t="s">
        <v>97</v>
      </c>
      <c r="AD364" s="4" t="s">
        <v>97</v>
      </c>
      <c r="AE364" s="4" t="s">
        <v>97</v>
      </c>
      <c r="AF364" s="4" t="s">
        <v>97</v>
      </c>
      <c r="AG364" s="4" t="s">
        <v>97</v>
      </c>
      <c r="AH364" s="4" t="s">
        <v>97</v>
      </c>
      <c r="AI364" s="5">
        <v>45956</v>
      </c>
      <c r="AJ364" s="4" t="s">
        <v>97</v>
      </c>
      <c r="AK364" s="4" t="s">
        <v>97</v>
      </c>
      <c r="AL364" s="4" t="s">
        <v>103</v>
      </c>
      <c r="AM364" s="4" t="s">
        <v>97</v>
      </c>
      <c r="AN364" s="4" t="s">
        <v>97</v>
      </c>
      <c r="AO364" s="4" t="s">
        <v>103</v>
      </c>
      <c r="AP364" s="4" t="s">
        <v>103</v>
      </c>
      <c r="AQ364" s="4" t="s">
        <v>97</v>
      </c>
      <c r="AR364" s="4" t="s">
        <v>97</v>
      </c>
      <c r="AS364" s="4" t="s">
        <v>97</v>
      </c>
      <c r="AT364" s="4"/>
      <c r="AU364" s="4"/>
      <c r="AV364" s="4" t="s">
        <v>103</v>
      </c>
      <c r="AW364" s="4" t="s">
        <v>97</v>
      </c>
      <c r="AX364" s="4" t="s">
        <v>97</v>
      </c>
      <c r="AY364" s="4" t="s">
        <v>97</v>
      </c>
      <c r="AZ364" s="4" t="s">
        <v>97</v>
      </c>
      <c r="BA364" s="4" t="s">
        <v>97</v>
      </c>
      <c r="BB364" s="5">
        <v>45959</v>
      </c>
      <c r="BC364" s="5">
        <v>45959</v>
      </c>
      <c r="BD364" s="5">
        <v>45962</v>
      </c>
      <c r="BE364" s="5">
        <v>45962</v>
      </c>
      <c r="BF364" s="4" t="s">
        <v>98</v>
      </c>
      <c r="BG364" s="4" t="s">
        <v>97</v>
      </c>
      <c r="BH364" s="4" t="s">
        <v>103</v>
      </c>
      <c r="BI364" s="4" t="s">
        <v>834</v>
      </c>
    </row>
    <row r="365" spans="1:61" x14ac:dyDescent="0.35">
      <c r="A365" s="4" t="s">
        <v>957</v>
      </c>
      <c r="B365" s="8" t="str">
        <f t="shared" si="28"/>
        <v>2025</v>
      </c>
      <c r="C365" s="2" t="s">
        <v>19</v>
      </c>
      <c r="D365" s="6" t="str">
        <f t="shared" si="29"/>
        <v>Dakar</v>
      </c>
      <c r="E365" s="6">
        <f t="shared" si="30"/>
        <v>565040</v>
      </c>
      <c r="F365" s="6">
        <f t="shared" si="31"/>
        <v>4042240</v>
      </c>
      <c r="G365" s="4" t="s">
        <v>1004</v>
      </c>
      <c r="H365" s="4" t="s">
        <v>1005</v>
      </c>
      <c r="I365" s="4">
        <v>32</v>
      </c>
      <c r="J365" s="4" t="s">
        <v>114</v>
      </c>
      <c r="K365" s="4"/>
      <c r="L365" s="4"/>
      <c r="M365" s="4"/>
      <c r="N365" s="4"/>
      <c r="O365" s="4" t="s">
        <v>238</v>
      </c>
      <c r="P365" s="4" t="s">
        <v>97</v>
      </c>
      <c r="Q365" s="4" t="s">
        <v>97</v>
      </c>
      <c r="R365" s="14" t="s">
        <v>100</v>
      </c>
      <c r="S365" s="14" t="s">
        <v>100</v>
      </c>
      <c r="T365" s="14" t="s">
        <v>100</v>
      </c>
      <c r="U365" s="8"/>
      <c r="V365" s="14"/>
      <c r="W365" s="14"/>
      <c r="X365" s="14"/>
      <c r="Y365" s="5">
        <v>45946</v>
      </c>
      <c r="Z365" s="5">
        <v>45960</v>
      </c>
      <c r="AA365" s="4" t="s">
        <v>97</v>
      </c>
      <c r="AB365" s="4"/>
      <c r="AC365" s="4" t="s">
        <v>103</v>
      </c>
      <c r="AD365" s="4" t="s">
        <v>103</v>
      </c>
      <c r="AE365" s="4" t="s">
        <v>97</v>
      </c>
      <c r="AF365" s="4" t="s">
        <v>97</v>
      </c>
      <c r="AG365" s="4" t="s">
        <v>103</v>
      </c>
      <c r="AH365" s="4" t="s">
        <v>103</v>
      </c>
      <c r="AI365" s="5">
        <v>45950</v>
      </c>
      <c r="AJ365" s="4" t="s">
        <v>97</v>
      </c>
      <c r="AK365" s="4" t="s">
        <v>97</v>
      </c>
      <c r="AL365" s="4" t="s">
        <v>103</v>
      </c>
      <c r="AM365" s="4" t="s">
        <v>97</v>
      </c>
      <c r="AN365" s="4" t="s">
        <v>103</v>
      </c>
      <c r="AO365" s="4" t="s">
        <v>97</v>
      </c>
      <c r="AP365" s="4" t="s">
        <v>97</v>
      </c>
      <c r="AQ365" s="4" t="s">
        <v>97</v>
      </c>
      <c r="AR365" s="4" t="s">
        <v>97</v>
      </c>
      <c r="AS365" s="4" t="s">
        <v>97</v>
      </c>
      <c r="AT365" s="4"/>
      <c r="AU365" s="4"/>
      <c r="AV365" s="4" t="s">
        <v>103</v>
      </c>
      <c r="AW365" s="4" t="s">
        <v>97</v>
      </c>
      <c r="AX365" s="4" t="s">
        <v>97</v>
      </c>
      <c r="AY365" s="4" t="s">
        <v>97</v>
      </c>
      <c r="AZ365" s="4" t="s">
        <v>97</v>
      </c>
      <c r="BA365" s="4" t="s">
        <v>97</v>
      </c>
      <c r="BB365" s="5">
        <v>45960</v>
      </c>
      <c r="BC365" s="5">
        <v>45962</v>
      </c>
      <c r="BD365" s="5">
        <v>45962</v>
      </c>
      <c r="BE365" s="5">
        <v>45962</v>
      </c>
      <c r="BF365" s="4" t="s">
        <v>98</v>
      </c>
      <c r="BG365" s="4" t="s">
        <v>97</v>
      </c>
      <c r="BH365" s="4" t="s">
        <v>103</v>
      </c>
      <c r="BI365" s="4" t="s">
        <v>834</v>
      </c>
    </row>
    <row r="366" spans="1:61" x14ac:dyDescent="0.35">
      <c r="A366" s="4" t="s">
        <v>957</v>
      </c>
      <c r="B366" s="8" t="str">
        <f t="shared" si="28"/>
        <v>2025</v>
      </c>
      <c r="C366" s="2" t="s">
        <v>37</v>
      </c>
      <c r="D366" s="6" t="str">
        <f t="shared" si="29"/>
        <v>Dakar</v>
      </c>
      <c r="E366" s="6">
        <f t="shared" si="30"/>
        <v>301226</v>
      </c>
      <c r="F366" s="6">
        <f t="shared" si="31"/>
        <v>4042240</v>
      </c>
      <c r="G366" s="4" t="s">
        <v>1006</v>
      </c>
      <c r="H366" s="4" t="s">
        <v>1007</v>
      </c>
      <c r="I366" s="4">
        <v>52</v>
      </c>
      <c r="J366" s="4" t="s">
        <v>114</v>
      </c>
      <c r="K366" s="4"/>
      <c r="L366" s="4"/>
      <c r="M366" s="4"/>
      <c r="N366" s="4"/>
      <c r="O366" s="4" t="s">
        <v>238</v>
      </c>
      <c r="P366" s="4" t="s">
        <v>97</v>
      </c>
      <c r="Q366" s="4" t="s">
        <v>97</v>
      </c>
      <c r="R366" s="14" t="s">
        <v>100</v>
      </c>
      <c r="S366" s="14" t="s">
        <v>100</v>
      </c>
      <c r="T366" s="14" t="s">
        <v>100</v>
      </c>
      <c r="U366" s="8"/>
      <c r="V366" s="14"/>
      <c r="W366" s="14"/>
      <c r="X366" s="14"/>
      <c r="Y366" s="5">
        <v>45950</v>
      </c>
      <c r="Z366" s="5">
        <v>45958</v>
      </c>
      <c r="AA366" s="4" t="s">
        <v>97</v>
      </c>
      <c r="AB366" s="4"/>
      <c r="AC366" s="4" t="s">
        <v>103</v>
      </c>
      <c r="AD366" s="4" t="s">
        <v>103</v>
      </c>
      <c r="AE366" s="4" t="s">
        <v>97</v>
      </c>
      <c r="AF366" s="4" t="s">
        <v>103</v>
      </c>
      <c r="AG366" s="4" t="s">
        <v>103</v>
      </c>
      <c r="AH366" s="4" t="s">
        <v>103</v>
      </c>
      <c r="AI366" s="5">
        <v>45950</v>
      </c>
      <c r="AJ366" s="4" t="s">
        <v>103</v>
      </c>
      <c r="AK366" s="4" t="s">
        <v>97</v>
      </c>
      <c r="AL366" s="4" t="s">
        <v>97</v>
      </c>
      <c r="AM366" s="4" t="s">
        <v>103</v>
      </c>
      <c r="AN366" s="4" t="s">
        <v>97</v>
      </c>
      <c r="AO366" s="4" t="s">
        <v>97</v>
      </c>
      <c r="AP366" s="4" t="s">
        <v>97</v>
      </c>
      <c r="AQ366" s="4" t="s">
        <v>97</v>
      </c>
      <c r="AR366" s="4" t="s">
        <v>97</v>
      </c>
      <c r="AS366" s="4" t="s">
        <v>97</v>
      </c>
      <c r="AT366" s="4"/>
      <c r="AU366" s="4"/>
      <c r="AV366" s="4" t="s">
        <v>103</v>
      </c>
      <c r="AW366" s="4" t="s">
        <v>97</v>
      </c>
      <c r="AX366" s="4" t="s">
        <v>103</v>
      </c>
      <c r="AY366" s="4" t="s">
        <v>97</v>
      </c>
      <c r="AZ366" s="4" t="s">
        <v>103</v>
      </c>
      <c r="BA366" s="4" t="s">
        <v>97</v>
      </c>
      <c r="BB366" s="5">
        <v>45955</v>
      </c>
      <c r="BC366" s="5">
        <v>45960</v>
      </c>
      <c r="BD366" s="5">
        <v>45962</v>
      </c>
      <c r="BE366" s="5">
        <v>45962</v>
      </c>
      <c r="BF366" s="4" t="s">
        <v>98</v>
      </c>
      <c r="BG366" s="4" t="s">
        <v>97</v>
      </c>
      <c r="BH366" s="4" t="s">
        <v>103</v>
      </c>
      <c r="BI366" s="4" t="s">
        <v>834</v>
      </c>
    </row>
    <row r="367" spans="1:61" x14ac:dyDescent="0.35">
      <c r="A367" s="4" t="s">
        <v>957</v>
      </c>
      <c r="B367" s="8" t="str">
        <f t="shared" si="28"/>
        <v>2025</v>
      </c>
      <c r="C367" s="2" t="s">
        <v>31</v>
      </c>
      <c r="D367" s="6" t="str">
        <f t="shared" si="29"/>
        <v>Dakar</v>
      </c>
      <c r="E367" s="6">
        <f t="shared" si="30"/>
        <v>424760</v>
      </c>
      <c r="F367" s="6">
        <f t="shared" si="31"/>
        <v>4042240</v>
      </c>
      <c r="G367" s="4" t="s">
        <v>1008</v>
      </c>
      <c r="H367" s="4" t="s">
        <v>1009</v>
      </c>
      <c r="I367" s="4">
        <v>44</v>
      </c>
      <c r="J367" s="4" t="s">
        <v>114</v>
      </c>
      <c r="K367" s="5" t="s">
        <v>350</v>
      </c>
      <c r="L367" s="4"/>
      <c r="M367" s="3"/>
      <c r="N367" s="4"/>
      <c r="O367" s="4" t="s">
        <v>238</v>
      </c>
      <c r="P367" s="4" t="s">
        <v>97</v>
      </c>
      <c r="Q367" s="4" t="s">
        <v>97</v>
      </c>
      <c r="R367" s="14" t="s">
        <v>100</v>
      </c>
      <c r="S367" s="14" t="s">
        <v>100</v>
      </c>
      <c r="T367" s="14" t="s">
        <v>100</v>
      </c>
      <c r="U367" s="8"/>
      <c r="V367" s="14"/>
      <c r="W367" s="14"/>
      <c r="X367" s="14"/>
      <c r="Y367" s="5">
        <v>45898</v>
      </c>
      <c r="Z367" s="5">
        <v>45959</v>
      </c>
      <c r="AA367" s="4" t="s">
        <v>103</v>
      </c>
      <c r="AB367" s="25">
        <v>38</v>
      </c>
      <c r="AC367" s="4" t="s">
        <v>97</v>
      </c>
      <c r="AD367" s="4" t="s">
        <v>97</v>
      </c>
      <c r="AE367" s="4" t="s">
        <v>97</v>
      </c>
      <c r="AF367" s="4" t="s">
        <v>103</v>
      </c>
      <c r="AG367" s="4" t="s">
        <v>103</v>
      </c>
      <c r="AH367" s="4" t="s">
        <v>103</v>
      </c>
      <c r="AI367" s="5">
        <v>45959</v>
      </c>
      <c r="AJ367" s="4" t="s">
        <v>97</v>
      </c>
      <c r="AK367" s="4" t="s">
        <v>97</v>
      </c>
      <c r="AL367" s="4" t="s">
        <v>97</v>
      </c>
      <c r="AM367" s="4" t="s">
        <v>97</v>
      </c>
      <c r="AN367" s="4" t="s">
        <v>103</v>
      </c>
      <c r="AO367" s="4" t="s">
        <v>97</v>
      </c>
      <c r="AP367" s="4" t="s">
        <v>103</v>
      </c>
      <c r="AQ367" s="4" t="s">
        <v>97</v>
      </c>
      <c r="AR367" s="4" t="s">
        <v>97</v>
      </c>
      <c r="AS367" s="4" t="s">
        <v>97</v>
      </c>
      <c r="AT367" s="4"/>
      <c r="AU367" s="4" t="s">
        <v>1010</v>
      </c>
      <c r="AV367" s="4" t="s">
        <v>103</v>
      </c>
      <c r="AW367" s="4" t="s">
        <v>97</v>
      </c>
      <c r="AX367" s="4" t="s">
        <v>97</v>
      </c>
      <c r="AY367" s="4" t="s">
        <v>97</v>
      </c>
      <c r="AZ367" s="4" t="s">
        <v>103</v>
      </c>
      <c r="BA367" s="4" t="s">
        <v>97</v>
      </c>
      <c r="BB367" s="5">
        <v>45961</v>
      </c>
      <c r="BC367" s="5">
        <v>45963</v>
      </c>
      <c r="BD367" s="5">
        <v>45963</v>
      </c>
      <c r="BE367" s="5">
        <v>45963</v>
      </c>
      <c r="BF367" s="4" t="s">
        <v>98</v>
      </c>
      <c r="BG367" s="4" t="s">
        <v>97</v>
      </c>
      <c r="BH367" s="4" t="s">
        <v>103</v>
      </c>
      <c r="BI367" s="4" t="s">
        <v>834</v>
      </c>
    </row>
    <row r="368" spans="1:61" x14ac:dyDescent="0.35">
      <c r="A368" s="4" t="s">
        <v>957</v>
      </c>
      <c r="B368" s="8" t="str">
        <f t="shared" si="28"/>
        <v>2025</v>
      </c>
      <c r="C368" s="2" t="s">
        <v>6</v>
      </c>
      <c r="D368" s="6" t="str">
        <f t="shared" si="29"/>
        <v>Kaffrine</v>
      </c>
      <c r="E368" s="6">
        <f t="shared" si="30"/>
        <v>286531</v>
      </c>
      <c r="F368" s="6">
        <f t="shared" si="31"/>
        <v>782275</v>
      </c>
      <c r="G368" s="4" t="s">
        <v>1011</v>
      </c>
      <c r="H368" s="4" t="s">
        <v>1012</v>
      </c>
      <c r="I368" s="4">
        <v>70</v>
      </c>
      <c r="J368" s="4" t="s">
        <v>114</v>
      </c>
      <c r="K368" s="4"/>
      <c r="L368" s="4"/>
      <c r="M368" s="4"/>
      <c r="N368" s="4"/>
      <c r="O368" s="4" t="s">
        <v>238</v>
      </c>
      <c r="P368" s="4" t="s">
        <v>97</v>
      </c>
      <c r="Q368" s="4" t="s">
        <v>97</v>
      </c>
      <c r="R368" s="14" t="s">
        <v>100</v>
      </c>
      <c r="S368" s="14" t="s">
        <v>100</v>
      </c>
      <c r="T368" s="14" t="s">
        <v>100</v>
      </c>
      <c r="U368" s="8"/>
      <c r="V368" s="14"/>
      <c r="W368" s="14"/>
      <c r="X368" s="14"/>
      <c r="Y368" s="5">
        <v>45954</v>
      </c>
      <c r="Z368" s="5">
        <v>45955</v>
      </c>
      <c r="AA368" s="4" t="s">
        <v>97</v>
      </c>
      <c r="AB368" s="4"/>
      <c r="AC368" s="4" t="s">
        <v>97</v>
      </c>
      <c r="AD368" s="4" t="s">
        <v>103</v>
      </c>
      <c r="AE368" s="4" t="s">
        <v>97</v>
      </c>
      <c r="AF368" s="4" t="s">
        <v>97</v>
      </c>
      <c r="AG368" s="4" t="s">
        <v>103</v>
      </c>
      <c r="AH368" s="4" t="s">
        <v>103</v>
      </c>
      <c r="AI368" s="5">
        <v>45954</v>
      </c>
      <c r="AJ368" s="4" t="s">
        <v>97</v>
      </c>
      <c r="AK368" s="4" t="s">
        <v>103</v>
      </c>
      <c r="AL368" s="4" t="s">
        <v>97</v>
      </c>
      <c r="AM368" s="4" t="s">
        <v>97</v>
      </c>
      <c r="AN368" s="4" t="s">
        <v>97</v>
      </c>
      <c r="AO368" s="4" t="s">
        <v>97</v>
      </c>
      <c r="AP368" s="4" t="s">
        <v>97</v>
      </c>
      <c r="AQ368" s="4" t="s">
        <v>97</v>
      </c>
      <c r="AR368" s="4" t="s">
        <v>97</v>
      </c>
      <c r="AS368" s="4" t="s">
        <v>97</v>
      </c>
      <c r="AT368" s="4"/>
      <c r="AU368" s="4"/>
      <c r="AV368" s="4" t="s">
        <v>103</v>
      </c>
      <c r="AW368" s="4" t="s">
        <v>97</v>
      </c>
      <c r="AX368" s="4" t="s">
        <v>97</v>
      </c>
      <c r="AY368" s="4" t="s">
        <v>97</v>
      </c>
      <c r="AZ368" s="4" t="s">
        <v>103</v>
      </c>
      <c r="BA368" s="4" t="s">
        <v>97</v>
      </c>
      <c r="BB368" s="5">
        <v>45957</v>
      </c>
      <c r="BC368" s="5">
        <v>45963</v>
      </c>
      <c r="BD368" s="5">
        <v>45963</v>
      </c>
      <c r="BE368" s="5">
        <v>45963</v>
      </c>
      <c r="BF368" s="4" t="s">
        <v>98</v>
      </c>
      <c r="BG368" s="4" t="s">
        <v>97</v>
      </c>
      <c r="BH368" s="4" t="s">
        <v>103</v>
      </c>
      <c r="BI368" s="4" t="s">
        <v>834</v>
      </c>
    </row>
    <row r="369" spans="1:61" x14ac:dyDescent="0.35">
      <c r="A369" s="4" t="s">
        <v>957</v>
      </c>
      <c r="B369" s="8" t="str">
        <f t="shared" si="28"/>
        <v>2025</v>
      </c>
      <c r="C369" s="2" t="s">
        <v>18</v>
      </c>
      <c r="D369" s="6" t="str">
        <f t="shared" si="29"/>
        <v>Dakar</v>
      </c>
      <c r="E369" s="6">
        <f t="shared" si="30"/>
        <v>419489</v>
      </c>
      <c r="F369" s="6">
        <f t="shared" si="31"/>
        <v>4042240</v>
      </c>
      <c r="G369" s="4" t="s">
        <v>1013</v>
      </c>
      <c r="H369" s="4" t="s">
        <v>1014</v>
      </c>
      <c r="I369" s="4">
        <v>23</v>
      </c>
      <c r="J369" s="4" t="s">
        <v>96</v>
      </c>
      <c r="K369" s="4"/>
      <c r="L369" s="4"/>
      <c r="M369" s="4"/>
      <c r="N369" s="4"/>
      <c r="O369" s="4" t="s">
        <v>238</v>
      </c>
      <c r="P369" s="4" t="s">
        <v>97</v>
      </c>
      <c r="Q369" s="4" t="s">
        <v>97</v>
      </c>
      <c r="R369" s="14" t="s">
        <v>100</v>
      </c>
      <c r="S369" s="14" t="s">
        <v>100</v>
      </c>
      <c r="T369" s="14" t="s">
        <v>100</v>
      </c>
      <c r="U369" s="8"/>
      <c r="V369" s="14"/>
      <c r="W369" s="14"/>
      <c r="X369" s="14"/>
      <c r="Y369" s="5">
        <v>45853</v>
      </c>
      <c r="Z369" s="5">
        <v>45961</v>
      </c>
      <c r="AA369" s="4" t="s">
        <v>97</v>
      </c>
      <c r="AB369" s="4"/>
      <c r="AC369" s="4" t="s">
        <v>97</v>
      </c>
      <c r="AD369" s="4" t="s">
        <v>97</v>
      </c>
      <c r="AE369" s="4" t="s">
        <v>97</v>
      </c>
      <c r="AF369" s="4" t="s">
        <v>97</v>
      </c>
      <c r="AG369" s="4" t="s">
        <v>97</v>
      </c>
      <c r="AH369" s="4" t="s">
        <v>103</v>
      </c>
      <c r="AI369" s="5">
        <v>45959</v>
      </c>
      <c r="AJ369" s="4" t="s">
        <v>97</v>
      </c>
      <c r="AK369" s="4" t="s">
        <v>97</v>
      </c>
      <c r="AL369" s="4" t="s">
        <v>97</v>
      </c>
      <c r="AM369" s="4" t="s">
        <v>97</v>
      </c>
      <c r="AN369" s="4" t="s">
        <v>97</v>
      </c>
      <c r="AO369" s="4" t="s">
        <v>97</v>
      </c>
      <c r="AP369" s="4" t="s">
        <v>97</v>
      </c>
      <c r="AQ369" s="4" t="s">
        <v>103</v>
      </c>
      <c r="AR369" s="4" t="s">
        <v>97</v>
      </c>
      <c r="AS369" s="4" t="s">
        <v>103</v>
      </c>
      <c r="AT369" s="4"/>
      <c r="AU369" s="4"/>
      <c r="AV369" s="5" t="s">
        <v>103</v>
      </c>
      <c r="AW369" s="4" t="s">
        <v>97</v>
      </c>
      <c r="AX369" s="4" t="s">
        <v>97</v>
      </c>
      <c r="AY369" s="4" t="s">
        <v>97</v>
      </c>
      <c r="AZ369" s="4" t="s">
        <v>103</v>
      </c>
      <c r="BA369" s="4" t="s">
        <v>97</v>
      </c>
      <c r="BB369" s="5">
        <v>45961</v>
      </c>
      <c r="BC369" s="5">
        <v>45961</v>
      </c>
      <c r="BD369" s="5">
        <v>45963</v>
      </c>
      <c r="BE369" s="5">
        <v>45963</v>
      </c>
      <c r="BF369" s="4" t="s">
        <v>98</v>
      </c>
      <c r="BG369" s="4" t="s">
        <v>97</v>
      </c>
      <c r="BH369" s="4" t="s">
        <v>103</v>
      </c>
      <c r="BI369" s="4" t="s">
        <v>834</v>
      </c>
    </row>
    <row r="370" spans="1:61" x14ac:dyDescent="0.35">
      <c r="A370" s="4" t="s">
        <v>957</v>
      </c>
      <c r="B370" s="8" t="str">
        <f t="shared" si="28"/>
        <v>2025</v>
      </c>
      <c r="C370" s="2" t="s">
        <v>18</v>
      </c>
      <c r="D370" s="6" t="str">
        <f t="shared" si="29"/>
        <v>Dakar</v>
      </c>
      <c r="E370" s="6">
        <f t="shared" si="30"/>
        <v>419489</v>
      </c>
      <c r="F370" s="6">
        <f t="shared" si="31"/>
        <v>4042240</v>
      </c>
      <c r="G370" s="4" t="s">
        <v>1015</v>
      </c>
      <c r="H370" s="4" t="s">
        <v>1016</v>
      </c>
      <c r="I370" s="4">
        <v>31</v>
      </c>
      <c r="J370" s="4" t="s">
        <v>114</v>
      </c>
      <c r="K370" s="5"/>
      <c r="L370" s="4"/>
      <c r="M370" s="4"/>
      <c r="N370" s="4"/>
      <c r="O370" s="4" t="s">
        <v>238</v>
      </c>
      <c r="P370" s="4" t="s">
        <v>97</v>
      </c>
      <c r="Q370" s="4" t="s">
        <v>97</v>
      </c>
      <c r="R370" s="14" t="s">
        <v>100</v>
      </c>
      <c r="S370" s="14" t="s">
        <v>100</v>
      </c>
      <c r="T370" s="14" t="s">
        <v>100</v>
      </c>
      <c r="U370" s="8"/>
      <c r="V370" s="14"/>
      <c r="W370" s="14"/>
      <c r="X370" s="14"/>
      <c r="Y370" s="5">
        <v>45958</v>
      </c>
      <c r="Z370" s="5">
        <v>45960</v>
      </c>
      <c r="AA370" s="4" t="s">
        <v>103</v>
      </c>
      <c r="AB370" s="4" t="s">
        <v>651</v>
      </c>
      <c r="AC370" s="4" t="s">
        <v>103</v>
      </c>
      <c r="AD370" s="4" t="s">
        <v>97</v>
      </c>
      <c r="AE370" s="4" t="s">
        <v>97</v>
      </c>
      <c r="AF370" s="4" t="s">
        <v>103</v>
      </c>
      <c r="AG370" s="4" t="s">
        <v>103</v>
      </c>
      <c r="AH370" s="4" t="s">
        <v>103</v>
      </c>
      <c r="AI370" s="5">
        <v>45958</v>
      </c>
      <c r="AJ370" s="4" t="s">
        <v>97</v>
      </c>
      <c r="AK370" s="4" t="s">
        <v>97</v>
      </c>
      <c r="AL370" s="4" t="s">
        <v>97</v>
      </c>
      <c r="AM370" s="4" t="s">
        <v>97</v>
      </c>
      <c r="AN370" s="4" t="s">
        <v>97</v>
      </c>
      <c r="AO370" s="4" t="s">
        <v>97</v>
      </c>
      <c r="AP370" s="4" t="s">
        <v>97</v>
      </c>
      <c r="AQ370" s="4" t="s">
        <v>97</v>
      </c>
      <c r="AR370" s="4" t="s">
        <v>97</v>
      </c>
      <c r="AS370" s="4" t="s">
        <v>97</v>
      </c>
      <c r="AT370" s="4"/>
      <c r="AU370" s="4"/>
      <c r="AV370" s="4" t="s">
        <v>103</v>
      </c>
      <c r="AW370" s="4" t="s">
        <v>97</v>
      </c>
      <c r="AX370" s="4" t="s">
        <v>97</v>
      </c>
      <c r="AY370" s="4" t="s">
        <v>97</v>
      </c>
      <c r="AZ370" s="4" t="s">
        <v>97</v>
      </c>
      <c r="BA370" s="4" t="s">
        <v>97</v>
      </c>
      <c r="BB370" s="5">
        <v>45961</v>
      </c>
      <c r="BC370" s="5">
        <v>45961</v>
      </c>
      <c r="BD370" s="5">
        <v>45963</v>
      </c>
      <c r="BE370" s="5">
        <v>45963</v>
      </c>
      <c r="BF370" s="4" t="s">
        <v>98</v>
      </c>
      <c r="BG370" s="4" t="s">
        <v>97</v>
      </c>
      <c r="BH370" s="4" t="s">
        <v>103</v>
      </c>
      <c r="BI370" s="4" t="s">
        <v>834</v>
      </c>
    </row>
    <row r="371" spans="1:61" x14ac:dyDescent="0.35">
      <c r="A371" s="4" t="s">
        <v>1029</v>
      </c>
      <c r="B371" s="8" t="str">
        <f t="shared" si="28"/>
        <v>2025</v>
      </c>
      <c r="C371" s="2" t="s">
        <v>11</v>
      </c>
      <c r="D371" s="6" t="str">
        <f t="shared" si="29"/>
        <v>Diourbel</v>
      </c>
      <c r="E371" s="6">
        <f t="shared" si="30"/>
        <v>396146</v>
      </c>
      <c r="F371" s="6">
        <f t="shared" si="31"/>
        <v>1980827</v>
      </c>
      <c r="G371" s="4" t="s">
        <v>1018</v>
      </c>
      <c r="H371" s="4" t="s">
        <v>1019</v>
      </c>
      <c r="I371" s="4">
        <v>12</v>
      </c>
      <c r="J371" s="4" t="s">
        <v>114</v>
      </c>
      <c r="K371" s="4"/>
      <c r="L371" s="4"/>
      <c r="M371" s="4"/>
      <c r="N371" s="4"/>
      <c r="O371" s="4" t="s">
        <v>238</v>
      </c>
      <c r="P371" s="4" t="s">
        <v>97</v>
      </c>
      <c r="Q371" s="4" t="s">
        <v>97</v>
      </c>
      <c r="R371" s="14" t="s">
        <v>100</v>
      </c>
      <c r="S371" s="14" t="s">
        <v>100</v>
      </c>
      <c r="T371" s="14" t="s">
        <v>100</v>
      </c>
      <c r="U371" s="8"/>
      <c r="V371" s="14"/>
      <c r="W371" s="14"/>
      <c r="X371" s="14"/>
      <c r="Y371" s="5">
        <v>45955</v>
      </c>
      <c r="Z371" s="5">
        <v>45962</v>
      </c>
      <c r="AA371" s="4" t="s">
        <v>103</v>
      </c>
      <c r="AB371" s="25">
        <v>38</v>
      </c>
      <c r="AC371" s="4" t="s">
        <v>97</v>
      </c>
      <c r="AD371" s="4" t="s">
        <v>97</v>
      </c>
      <c r="AE371" s="4" t="s">
        <v>97</v>
      </c>
      <c r="AF371" s="4" t="s">
        <v>97</v>
      </c>
      <c r="AG371" s="4" t="s">
        <v>97</v>
      </c>
      <c r="AH371" s="4" t="s">
        <v>103</v>
      </c>
      <c r="AI371" s="5">
        <v>45960</v>
      </c>
      <c r="AJ371" s="4" t="s">
        <v>97</v>
      </c>
      <c r="AK371" s="4" t="s">
        <v>97</v>
      </c>
      <c r="AL371" s="4" t="s">
        <v>103</v>
      </c>
      <c r="AM371" s="4" t="s">
        <v>103</v>
      </c>
      <c r="AN371" s="4" t="s">
        <v>103</v>
      </c>
      <c r="AO371" s="4" t="s">
        <v>103</v>
      </c>
      <c r="AP371" s="4" t="s">
        <v>103</v>
      </c>
      <c r="AQ371" s="4" t="s">
        <v>103</v>
      </c>
      <c r="AR371" s="4" t="s">
        <v>97</v>
      </c>
      <c r="AS371" s="4" t="s">
        <v>103</v>
      </c>
      <c r="AT371" s="4"/>
      <c r="AU371" s="4"/>
      <c r="AV371" s="4" t="s">
        <v>97</v>
      </c>
      <c r="AW371" s="4" t="s">
        <v>97</v>
      </c>
      <c r="AX371" s="4" t="s">
        <v>97</v>
      </c>
      <c r="AY371" s="4" t="s">
        <v>97</v>
      </c>
      <c r="AZ371" s="4" t="s">
        <v>103</v>
      </c>
      <c r="BA371" s="4" t="s">
        <v>97</v>
      </c>
      <c r="BB371" s="5">
        <v>45962</v>
      </c>
      <c r="BC371" s="5">
        <v>45964</v>
      </c>
      <c r="BD371" s="5">
        <v>45964</v>
      </c>
      <c r="BE371" s="5">
        <v>45964</v>
      </c>
      <c r="BF371" s="4" t="s">
        <v>98</v>
      </c>
      <c r="BG371" s="4" t="s">
        <v>97</v>
      </c>
      <c r="BH371" s="4" t="s">
        <v>103</v>
      </c>
      <c r="BI371" s="4" t="s">
        <v>834</v>
      </c>
    </row>
    <row r="372" spans="1:61" x14ac:dyDescent="0.35">
      <c r="A372" s="4" t="s">
        <v>1029</v>
      </c>
      <c r="B372" s="8" t="str">
        <f t="shared" si="28"/>
        <v>2025</v>
      </c>
      <c r="C372" s="2" t="s">
        <v>20</v>
      </c>
      <c r="D372" s="6" t="str">
        <f t="shared" si="29"/>
        <v>Dakar</v>
      </c>
      <c r="E372" s="6">
        <f t="shared" si="30"/>
        <v>272276</v>
      </c>
      <c r="F372" s="6">
        <f t="shared" si="31"/>
        <v>4042240</v>
      </c>
      <c r="G372" s="4" t="s">
        <v>1020</v>
      </c>
      <c r="H372" s="4" t="s">
        <v>380</v>
      </c>
      <c r="I372" s="4">
        <v>17</v>
      </c>
      <c r="J372" s="4" t="s">
        <v>114</v>
      </c>
      <c r="K372" s="4"/>
      <c r="L372" s="4"/>
      <c r="M372" s="4"/>
      <c r="N372" s="4"/>
      <c r="O372" s="4" t="s">
        <v>238</v>
      </c>
      <c r="P372" s="4" t="s">
        <v>97</v>
      </c>
      <c r="Q372" s="4" t="s">
        <v>97</v>
      </c>
      <c r="R372" s="14" t="s">
        <v>100</v>
      </c>
      <c r="S372" s="14" t="s">
        <v>100</v>
      </c>
      <c r="T372" s="14" t="s">
        <v>100</v>
      </c>
      <c r="U372" s="8"/>
      <c r="V372" s="14"/>
      <c r="W372" s="14"/>
      <c r="X372" s="14"/>
      <c r="Y372" s="5">
        <v>45959</v>
      </c>
      <c r="Z372" s="5">
        <v>45961</v>
      </c>
      <c r="AA372" s="4" t="s">
        <v>97</v>
      </c>
      <c r="AB372" s="4"/>
      <c r="AC372" s="4" t="s">
        <v>97</v>
      </c>
      <c r="AD372" s="4" t="s">
        <v>97</v>
      </c>
      <c r="AE372" s="4" t="s">
        <v>97</v>
      </c>
      <c r="AF372" s="4" t="s">
        <v>97</v>
      </c>
      <c r="AG372" s="4" t="s">
        <v>97</v>
      </c>
      <c r="AH372" s="4" t="s">
        <v>103</v>
      </c>
      <c r="AI372" s="5">
        <v>45959</v>
      </c>
      <c r="AJ372" s="4" t="s">
        <v>103</v>
      </c>
      <c r="AK372" s="4" t="s">
        <v>97</v>
      </c>
      <c r="AL372" s="4" t="s">
        <v>97</v>
      </c>
      <c r="AM372" s="4" t="s">
        <v>103</v>
      </c>
      <c r="AN372" s="4" t="s">
        <v>103</v>
      </c>
      <c r="AO372" s="4" t="s">
        <v>97</v>
      </c>
      <c r="AP372" s="4" t="s">
        <v>97</v>
      </c>
      <c r="AQ372" s="4" t="s">
        <v>97</v>
      </c>
      <c r="AR372" s="4" t="s">
        <v>97</v>
      </c>
      <c r="AS372" s="4" t="s">
        <v>97</v>
      </c>
      <c r="AT372" s="4"/>
      <c r="AU372" s="4"/>
      <c r="AV372" s="4" t="s">
        <v>103</v>
      </c>
      <c r="AW372" s="4" t="s">
        <v>97</v>
      </c>
      <c r="AX372" s="4" t="s">
        <v>97</v>
      </c>
      <c r="AY372" s="4" t="s">
        <v>97</v>
      </c>
      <c r="AZ372" s="4" t="s">
        <v>97</v>
      </c>
      <c r="BA372" s="4" t="s">
        <v>97</v>
      </c>
      <c r="BB372" s="5">
        <v>45961</v>
      </c>
      <c r="BC372" s="5">
        <v>45964</v>
      </c>
      <c r="BD372" s="5">
        <v>45964</v>
      </c>
      <c r="BE372" s="5">
        <v>45964</v>
      </c>
      <c r="BF372" s="4" t="s">
        <v>98</v>
      </c>
      <c r="BG372" s="4" t="s">
        <v>97</v>
      </c>
      <c r="BH372" s="4" t="s">
        <v>103</v>
      </c>
      <c r="BI372" s="4" t="s">
        <v>834</v>
      </c>
    </row>
    <row r="373" spans="1:61" x14ac:dyDescent="0.35">
      <c r="A373" s="4" t="s">
        <v>1029</v>
      </c>
      <c r="B373" s="8" t="str">
        <f t="shared" si="28"/>
        <v>2025</v>
      </c>
      <c r="C373" s="2" t="s">
        <v>18</v>
      </c>
      <c r="D373" s="6" t="str">
        <f t="shared" si="29"/>
        <v>Dakar</v>
      </c>
      <c r="E373" s="6">
        <f t="shared" si="30"/>
        <v>419489</v>
      </c>
      <c r="F373" s="6">
        <f t="shared" si="31"/>
        <v>4042240</v>
      </c>
      <c r="G373" s="4" t="s">
        <v>1021</v>
      </c>
      <c r="H373" s="4" t="s">
        <v>1022</v>
      </c>
      <c r="I373" s="4">
        <v>9</v>
      </c>
      <c r="J373" s="4" t="s">
        <v>96</v>
      </c>
      <c r="K373" s="4"/>
      <c r="L373" s="4"/>
      <c r="M373" s="4"/>
      <c r="N373" s="4"/>
      <c r="O373" s="4" t="s">
        <v>238</v>
      </c>
      <c r="P373" s="4" t="s">
        <v>97</v>
      </c>
      <c r="Q373" s="4" t="s">
        <v>97</v>
      </c>
      <c r="R373" s="14" t="s">
        <v>100</v>
      </c>
      <c r="S373" s="14" t="s">
        <v>100</v>
      </c>
      <c r="T373" s="14" t="s">
        <v>100</v>
      </c>
      <c r="U373" s="8"/>
      <c r="V373" s="14"/>
      <c r="W373" s="14"/>
      <c r="X373" s="14"/>
      <c r="Y373" s="5">
        <v>45962</v>
      </c>
      <c r="Z373" s="5">
        <v>45964</v>
      </c>
      <c r="AA373" s="4" t="s">
        <v>97</v>
      </c>
      <c r="AB373" s="4"/>
      <c r="AC373" s="4" t="s">
        <v>97</v>
      </c>
      <c r="AD373" s="4" t="s">
        <v>97</v>
      </c>
      <c r="AE373" s="4" t="s">
        <v>97</v>
      </c>
      <c r="AF373" s="4" t="s">
        <v>97</v>
      </c>
      <c r="AG373" s="4" t="s">
        <v>97</v>
      </c>
      <c r="AH373" s="4" t="s">
        <v>103</v>
      </c>
      <c r="AI373" s="5">
        <v>45962</v>
      </c>
      <c r="AJ373" s="4" t="s">
        <v>103</v>
      </c>
      <c r="AK373" s="4" t="s">
        <v>97</v>
      </c>
      <c r="AL373" s="4" t="s">
        <v>103</v>
      </c>
      <c r="AM373" s="4" t="s">
        <v>97</v>
      </c>
      <c r="AN373" s="4" t="s">
        <v>103</v>
      </c>
      <c r="AO373" s="4" t="s">
        <v>103</v>
      </c>
      <c r="AP373" s="4" t="s">
        <v>97</v>
      </c>
      <c r="AQ373" s="4" t="s">
        <v>97</v>
      </c>
      <c r="AR373" s="4" t="s">
        <v>97</v>
      </c>
      <c r="AS373" s="4" t="s">
        <v>97</v>
      </c>
      <c r="AT373" s="4"/>
      <c r="AU373" s="4"/>
      <c r="AV373" s="4" t="s">
        <v>103</v>
      </c>
      <c r="AW373" s="4" t="s">
        <v>97</v>
      </c>
      <c r="AX373" s="4" t="s">
        <v>97</v>
      </c>
      <c r="AY373" s="4" t="s">
        <v>97</v>
      </c>
      <c r="AZ373" s="4" t="s">
        <v>97</v>
      </c>
      <c r="BA373" s="4" t="s">
        <v>97</v>
      </c>
      <c r="BB373" s="5">
        <v>45964</v>
      </c>
      <c r="BC373" s="5">
        <v>45964</v>
      </c>
      <c r="BD373" s="5">
        <v>45964</v>
      </c>
      <c r="BE373" s="5">
        <v>45964</v>
      </c>
      <c r="BF373" s="4" t="s">
        <v>98</v>
      </c>
      <c r="BG373" s="4" t="s">
        <v>97</v>
      </c>
      <c r="BH373" s="4" t="s">
        <v>103</v>
      </c>
      <c r="BI373" s="4" t="s">
        <v>834</v>
      </c>
    </row>
    <row r="374" spans="1:61" x14ac:dyDescent="0.35">
      <c r="A374" s="4" t="s">
        <v>1029</v>
      </c>
      <c r="B374" s="8" t="str">
        <f t="shared" si="28"/>
        <v>2025</v>
      </c>
      <c r="C374" s="2" t="s">
        <v>18</v>
      </c>
      <c r="D374" s="6" t="str">
        <f t="shared" si="29"/>
        <v>Dakar</v>
      </c>
      <c r="E374" s="6">
        <f t="shared" si="30"/>
        <v>419489</v>
      </c>
      <c r="F374" s="6">
        <f t="shared" si="31"/>
        <v>4042240</v>
      </c>
      <c r="G374" s="4" t="s">
        <v>1023</v>
      </c>
      <c r="H374" s="4" t="s">
        <v>1024</v>
      </c>
      <c r="I374" s="4">
        <v>12</v>
      </c>
      <c r="J374" s="4" t="s">
        <v>96</v>
      </c>
      <c r="K374" s="4"/>
      <c r="L374" s="4"/>
      <c r="M374" s="4"/>
      <c r="N374" s="4"/>
      <c r="O374" s="4" t="s">
        <v>238</v>
      </c>
      <c r="P374" s="4" t="s">
        <v>97</v>
      </c>
      <c r="Q374" s="4" t="s">
        <v>97</v>
      </c>
      <c r="R374" s="14" t="s">
        <v>100</v>
      </c>
      <c r="S374" s="14" t="s">
        <v>100</v>
      </c>
      <c r="T374" s="14" t="s">
        <v>100</v>
      </c>
      <c r="U374" s="8"/>
      <c r="V374" s="14"/>
      <c r="W374" s="14"/>
      <c r="X374" s="14"/>
      <c r="Y374" s="5">
        <v>45962</v>
      </c>
      <c r="Z374" s="5">
        <v>45964</v>
      </c>
      <c r="AA374" s="4" t="s">
        <v>97</v>
      </c>
      <c r="AB374" s="4"/>
      <c r="AC374" s="4" t="s">
        <v>97</v>
      </c>
      <c r="AD374" s="4" t="s">
        <v>97</v>
      </c>
      <c r="AE374" s="4" t="s">
        <v>97</v>
      </c>
      <c r="AF374" s="4" t="s">
        <v>97</v>
      </c>
      <c r="AG374" s="4" t="s">
        <v>97</v>
      </c>
      <c r="AH374" s="4" t="s">
        <v>103</v>
      </c>
      <c r="AI374" s="5">
        <v>45962</v>
      </c>
      <c r="AJ374" s="4" t="s">
        <v>103</v>
      </c>
      <c r="AK374" s="4" t="s">
        <v>97</v>
      </c>
      <c r="AL374" s="4" t="s">
        <v>103</v>
      </c>
      <c r="AM374" s="4" t="s">
        <v>103</v>
      </c>
      <c r="AN374" s="4" t="s">
        <v>103</v>
      </c>
      <c r="AO374" s="4" t="s">
        <v>97</v>
      </c>
      <c r="AP374" s="4" t="s">
        <v>97</v>
      </c>
      <c r="AQ374" s="4" t="s">
        <v>97</v>
      </c>
      <c r="AR374" s="4" t="s">
        <v>97</v>
      </c>
      <c r="AS374" s="4" t="s">
        <v>97</v>
      </c>
      <c r="AT374" s="4"/>
      <c r="AU374" s="4"/>
      <c r="AV374" s="4" t="s">
        <v>103</v>
      </c>
      <c r="AW374" s="4" t="s">
        <v>97</v>
      </c>
      <c r="AX374" s="4" t="s">
        <v>97</v>
      </c>
      <c r="AY374" s="4" t="s">
        <v>97</v>
      </c>
      <c r="AZ374" s="4" t="s">
        <v>97</v>
      </c>
      <c r="BA374" s="4" t="s">
        <v>97</v>
      </c>
      <c r="BB374" s="5">
        <v>45964</v>
      </c>
      <c r="BC374" s="5">
        <v>45964</v>
      </c>
      <c r="BD374" s="5">
        <v>45964</v>
      </c>
      <c r="BE374" s="5">
        <v>45964</v>
      </c>
      <c r="BF374" s="4" t="s">
        <v>98</v>
      </c>
      <c r="BG374" s="4" t="s">
        <v>97</v>
      </c>
      <c r="BH374" s="4" t="s">
        <v>103</v>
      </c>
      <c r="BI374" s="4" t="s">
        <v>834</v>
      </c>
    </row>
    <row r="375" spans="1:61" x14ac:dyDescent="0.35">
      <c r="A375" s="4" t="s">
        <v>1029</v>
      </c>
      <c r="B375" s="8" t="str">
        <f t="shared" si="28"/>
        <v>2025</v>
      </c>
      <c r="C375" s="2" t="s">
        <v>31</v>
      </c>
      <c r="D375" s="6" t="str">
        <f t="shared" si="29"/>
        <v>Dakar</v>
      </c>
      <c r="E375" s="6">
        <f t="shared" si="30"/>
        <v>424760</v>
      </c>
      <c r="F375" s="6">
        <f t="shared" si="31"/>
        <v>4042240</v>
      </c>
      <c r="G375" s="4" t="s">
        <v>1025</v>
      </c>
      <c r="H375" s="4" t="s">
        <v>1026</v>
      </c>
      <c r="I375" s="4">
        <v>37</v>
      </c>
      <c r="J375" s="4" t="s">
        <v>114</v>
      </c>
      <c r="K375" s="4"/>
      <c r="L375" s="4"/>
      <c r="M375" s="4"/>
      <c r="N375" s="4"/>
      <c r="O375" s="4" t="s">
        <v>238</v>
      </c>
      <c r="P375" s="4" t="s">
        <v>97</v>
      </c>
      <c r="Q375" s="4" t="s">
        <v>97</v>
      </c>
      <c r="R375" s="14" t="s">
        <v>100</v>
      </c>
      <c r="S375" s="14" t="s">
        <v>100</v>
      </c>
      <c r="T375" s="14" t="s">
        <v>100</v>
      </c>
      <c r="U375" s="8"/>
      <c r="V375" s="14"/>
      <c r="W375" s="14"/>
      <c r="X375" s="14"/>
      <c r="Y375" s="5">
        <v>45959</v>
      </c>
      <c r="Z375" s="5">
        <v>45963</v>
      </c>
      <c r="AA375" s="4" t="s">
        <v>97</v>
      </c>
      <c r="AB375" s="4"/>
      <c r="AC375" s="4" t="s">
        <v>97</v>
      </c>
      <c r="AD375" s="4" t="s">
        <v>97</v>
      </c>
      <c r="AE375" s="4" t="s">
        <v>97</v>
      </c>
      <c r="AF375" s="4" t="s">
        <v>97</v>
      </c>
      <c r="AG375" s="4" t="s">
        <v>97</v>
      </c>
      <c r="AH375" s="4" t="s">
        <v>103</v>
      </c>
      <c r="AI375" s="5">
        <v>45960</v>
      </c>
      <c r="AJ375" s="4" t="s">
        <v>97</v>
      </c>
      <c r="AK375" s="4" t="s">
        <v>103</v>
      </c>
      <c r="AL375" s="4" t="s">
        <v>97</v>
      </c>
      <c r="AM375" s="4" t="s">
        <v>97</v>
      </c>
      <c r="AN375" s="4" t="s">
        <v>103</v>
      </c>
      <c r="AO375" s="4" t="s">
        <v>103</v>
      </c>
      <c r="AP375" s="4" t="s">
        <v>103</v>
      </c>
      <c r="AQ375" s="4" t="s">
        <v>97</v>
      </c>
      <c r="AR375" s="4" t="s">
        <v>97</v>
      </c>
      <c r="AS375" s="4" t="s">
        <v>97</v>
      </c>
      <c r="AT375" s="4"/>
      <c r="AU375" s="4"/>
      <c r="AV375" s="4" t="s">
        <v>103</v>
      </c>
      <c r="AW375" s="4" t="s">
        <v>97</v>
      </c>
      <c r="AX375" s="4" t="s">
        <v>97</v>
      </c>
      <c r="AY375" s="4" t="s">
        <v>97</v>
      </c>
      <c r="AZ375" s="4" t="s">
        <v>103</v>
      </c>
      <c r="BA375" s="4" t="s">
        <v>97</v>
      </c>
      <c r="BB375" s="5">
        <v>45964</v>
      </c>
      <c r="BC375" s="5">
        <v>45964</v>
      </c>
      <c r="BD375" s="5">
        <v>45964</v>
      </c>
      <c r="BE375" s="5">
        <v>45964</v>
      </c>
      <c r="BF375" s="4" t="s">
        <v>98</v>
      </c>
      <c r="BG375" s="4" t="s">
        <v>97</v>
      </c>
      <c r="BH375" s="4" t="s">
        <v>103</v>
      </c>
      <c r="BI375" s="4" t="s">
        <v>834</v>
      </c>
    </row>
    <row r="376" spans="1:61" x14ac:dyDescent="0.35">
      <c r="A376" s="4" t="s">
        <v>1029</v>
      </c>
      <c r="B376" s="8" t="str">
        <f t="shared" si="28"/>
        <v>2025</v>
      </c>
      <c r="C376" s="2" t="s">
        <v>64</v>
      </c>
      <c r="D376" s="6" t="str">
        <f t="shared" si="29"/>
        <v>Dakar</v>
      </c>
      <c r="E376" s="6">
        <f t="shared" si="30"/>
        <v>284840</v>
      </c>
      <c r="F376" s="6">
        <f t="shared" si="31"/>
        <v>4042240</v>
      </c>
      <c r="G376" s="4" t="s">
        <v>1027</v>
      </c>
      <c r="H376" s="4" t="s">
        <v>1028</v>
      </c>
      <c r="I376" s="4">
        <v>27</v>
      </c>
      <c r="J376" s="4" t="s">
        <v>114</v>
      </c>
      <c r="K376" s="4"/>
      <c r="L376" s="4"/>
      <c r="M376" s="4"/>
      <c r="N376" s="4"/>
      <c r="O376" s="4" t="s">
        <v>238</v>
      </c>
      <c r="P376" s="4" t="s">
        <v>97</v>
      </c>
      <c r="Q376" s="4" t="s">
        <v>97</v>
      </c>
      <c r="R376" s="14" t="s">
        <v>100</v>
      </c>
      <c r="S376" s="14" t="s">
        <v>100</v>
      </c>
      <c r="T376" s="14" t="s">
        <v>100</v>
      </c>
      <c r="U376" s="8"/>
      <c r="V376" s="14"/>
      <c r="W376" s="14"/>
      <c r="X376" s="14"/>
      <c r="Y376" s="5">
        <v>45963</v>
      </c>
      <c r="Z376" s="5">
        <v>45964</v>
      </c>
      <c r="AA376" s="4" t="s">
        <v>103</v>
      </c>
      <c r="AB376" s="25">
        <v>38</v>
      </c>
      <c r="AC376" s="4" t="s">
        <v>97</v>
      </c>
      <c r="AD376" s="4" t="s">
        <v>97</v>
      </c>
      <c r="AE376" s="4" t="s">
        <v>97</v>
      </c>
      <c r="AF376" s="4" t="s">
        <v>97</v>
      </c>
      <c r="AG376" s="4" t="s">
        <v>97</v>
      </c>
      <c r="AH376" s="4" t="s">
        <v>103</v>
      </c>
      <c r="AI376" s="5">
        <v>45964</v>
      </c>
      <c r="AJ376" s="4" t="s">
        <v>97</v>
      </c>
      <c r="AK376" s="4" t="s">
        <v>97</v>
      </c>
      <c r="AL376" s="4" t="s">
        <v>97</v>
      </c>
      <c r="AM376" s="4" t="s">
        <v>103</v>
      </c>
      <c r="AN376" s="4" t="s">
        <v>103</v>
      </c>
      <c r="AO376" s="4" t="s">
        <v>103</v>
      </c>
      <c r="AP376" s="4" t="s">
        <v>97</v>
      </c>
      <c r="AQ376" s="4" t="s">
        <v>103</v>
      </c>
      <c r="AR376" s="4" t="s">
        <v>97</v>
      </c>
      <c r="AS376" s="4" t="s">
        <v>97</v>
      </c>
      <c r="AT376" s="4"/>
      <c r="AU376" s="4"/>
      <c r="AV376" s="4" t="s">
        <v>103</v>
      </c>
      <c r="AW376" s="4" t="s">
        <v>97</v>
      </c>
      <c r="AX376" s="4" t="s">
        <v>97</v>
      </c>
      <c r="AY376" s="4" t="s">
        <v>97</v>
      </c>
      <c r="AZ376" s="4" t="s">
        <v>103</v>
      </c>
      <c r="BA376" s="4" t="s">
        <v>97</v>
      </c>
      <c r="BB376" s="5">
        <v>45964</v>
      </c>
      <c r="BC376" s="5">
        <v>45964</v>
      </c>
      <c r="BD376" s="5">
        <v>45964</v>
      </c>
      <c r="BE376" s="5">
        <v>45964</v>
      </c>
      <c r="BF376" s="4" t="s">
        <v>98</v>
      </c>
      <c r="BG376" s="4" t="s">
        <v>97</v>
      </c>
      <c r="BH376" s="4" t="s">
        <v>103</v>
      </c>
      <c r="BI376" s="4" t="s">
        <v>834</v>
      </c>
    </row>
    <row r="377" spans="1:61" x14ac:dyDescent="0.35">
      <c r="A377" s="4" t="s">
        <v>1029</v>
      </c>
      <c r="B377" s="8" t="str">
        <f t="shared" si="28"/>
        <v>2025</v>
      </c>
      <c r="C377" s="2" t="s">
        <v>32</v>
      </c>
      <c r="D377" s="6" t="str">
        <f t="shared" si="29"/>
        <v>Kaolack</v>
      </c>
      <c r="E377" s="6">
        <f t="shared" si="30"/>
        <v>151881</v>
      </c>
      <c r="F377" s="6">
        <f t="shared" si="31"/>
        <v>1267013</v>
      </c>
      <c r="G377" s="4" t="s">
        <v>1030</v>
      </c>
      <c r="H377" s="4" t="s">
        <v>1031</v>
      </c>
      <c r="I377" s="4">
        <v>7</v>
      </c>
      <c r="J377" s="4" t="s">
        <v>114</v>
      </c>
      <c r="K377" s="4"/>
      <c r="L377" s="4"/>
      <c r="M377" s="4"/>
      <c r="N377" s="4"/>
      <c r="O377" s="4" t="s">
        <v>238</v>
      </c>
      <c r="P377" s="4" t="s">
        <v>97</v>
      </c>
      <c r="Q377" s="4" t="s">
        <v>97</v>
      </c>
      <c r="R377" s="14" t="s">
        <v>100</v>
      </c>
      <c r="S377" s="14" t="s">
        <v>100</v>
      </c>
      <c r="T377" s="14" t="s">
        <v>100</v>
      </c>
      <c r="U377" s="8"/>
      <c r="V377" s="14"/>
      <c r="W377" s="14"/>
      <c r="X377" s="14"/>
      <c r="Y377" s="5">
        <v>45961</v>
      </c>
      <c r="Z377" s="5">
        <v>45964</v>
      </c>
      <c r="AA377" s="4" t="s">
        <v>103</v>
      </c>
      <c r="AB377" s="25" t="s">
        <v>488</v>
      </c>
      <c r="AC377" s="4" t="s">
        <v>103</v>
      </c>
      <c r="AD377" s="4" t="s">
        <v>103</v>
      </c>
      <c r="AE377" s="4" t="s">
        <v>97</v>
      </c>
      <c r="AF377" s="4" t="s">
        <v>103</v>
      </c>
      <c r="AG377" s="4" t="s">
        <v>97</v>
      </c>
      <c r="AH377" s="4" t="s">
        <v>103</v>
      </c>
      <c r="AI377" s="5">
        <v>45961</v>
      </c>
      <c r="AJ377" s="4" t="s">
        <v>103</v>
      </c>
      <c r="AK377" s="4" t="s">
        <v>97</v>
      </c>
      <c r="AL377" s="4" t="s">
        <v>103</v>
      </c>
      <c r="AM377" s="4" t="s">
        <v>103</v>
      </c>
      <c r="AN377" s="4" t="s">
        <v>103</v>
      </c>
      <c r="AO377" s="4" t="s">
        <v>103</v>
      </c>
      <c r="AP377" s="4" t="s">
        <v>103</v>
      </c>
      <c r="AQ377" s="4" t="s">
        <v>97</v>
      </c>
      <c r="AR377" s="4" t="s">
        <v>97</v>
      </c>
      <c r="AS377" s="4" t="s">
        <v>97</v>
      </c>
      <c r="AT377" s="4"/>
      <c r="AU377" s="4"/>
      <c r="AV377" s="4" t="s">
        <v>103</v>
      </c>
      <c r="AW377" s="4" t="s">
        <v>97</v>
      </c>
      <c r="AX377" s="4" t="s">
        <v>97</v>
      </c>
      <c r="AY377" s="4" t="s">
        <v>97</v>
      </c>
      <c r="AZ377" s="4" t="s">
        <v>97</v>
      </c>
      <c r="BA377" s="4" t="s">
        <v>97</v>
      </c>
      <c r="BB377" s="5">
        <v>45964</v>
      </c>
      <c r="BC377" s="5">
        <v>45965</v>
      </c>
      <c r="BD377" s="5">
        <v>45966</v>
      </c>
      <c r="BE377" s="5">
        <v>45966</v>
      </c>
      <c r="BF377" s="4" t="s">
        <v>98</v>
      </c>
      <c r="BG377" s="4" t="s">
        <v>97</v>
      </c>
      <c r="BH377" s="4" t="s">
        <v>103</v>
      </c>
      <c r="BI377" s="4" t="s">
        <v>834</v>
      </c>
    </row>
    <row r="378" spans="1:61" x14ac:dyDescent="0.35">
      <c r="A378" s="4" t="s">
        <v>1029</v>
      </c>
      <c r="B378" s="8" t="str">
        <f t="shared" si="28"/>
        <v>2025</v>
      </c>
      <c r="C378" s="2" t="s">
        <v>19</v>
      </c>
      <c r="D378" s="6" t="str">
        <f t="shared" si="29"/>
        <v>Dakar</v>
      </c>
      <c r="E378" s="6">
        <f t="shared" si="30"/>
        <v>565040</v>
      </c>
      <c r="F378" s="6">
        <f t="shared" si="31"/>
        <v>4042240</v>
      </c>
      <c r="G378" s="4" t="s">
        <v>1032</v>
      </c>
      <c r="H378" s="4" t="s">
        <v>1033</v>
      </c>
      <c r="I378" s="4">
        <v>22</v>
      </c>
      <c r="J378" s="4" t="s">
        <v>114</v>
      </c>
      <c r="K378" s="4"/>
      <c r="L378" s="4"/>
      <c r="M378" s="4"/>
      <c r="N378" s="4"/>
      <c r="O378" s="4" t="s">
        <v>238</v>
      </c>
      <c r="P378" s="4" t="s">
        <v>97</v>
      </c>
      <c r="Q378" s="4" t="s">
        <v>97</v>
      </c>
      <c r="R378" s="14" t="s">
        <v>100</v>
      </c>
      <c r="S378" s="14" t="s">
        <v>100</v>
      </c>
      <c r="T378" s="14" t="s">
        <v>100</v>
      </c>
      <c r="U378" s="8"/>
      <c r="V378" s="14"/>
      <c r="W378" s="14"/>
      <c r="X378" s="14"/>
      <c r="Y378" s="5">
        <v>45930</v>
      </c>
      <c r="Z378" s="5">
        <v>45950</v>
      </c>
      <c r="AA378" s="4" t="s">
        <v>103</v>
      </c>
      <c r="AB378" s="25">
        <v>38</v>
      </c>
      <c r="AC378" s="4" t="s">
        <v>97</v>
      </c>
      <c r="AD378" s="4" t="s">
        <v>97</v>
      </c>
      <c r="AE378" s="4" t="s">
        <v>97</v>
      </c>
      <c r="AF378" s="4" t="s">
        <v>97</v>
      </c>
      <c r="AG378" s="4" t="s">
        <v>97</v>
      </c>
      <c r="AH378" s="4" t="s">
        <v>97</v>
      </c>
      <c r="AI378" s="5">
        <v>45948</v>
      </c>
      <c r="AJ378" s="4" t="s">
        <v>97</v>
      </c>
      <c r="AK378" s="4" t="s">
        <v>97</v>
      </c>
      <c r="AL378" s="4" t="s">
        <v>97</v>
      </c>
      <c r="AM378" s="4" t="s">
        <v>97</v>
      </c>
      <c r="AN378" s="4" t="s">
        <v>103</v>
      </c>
      <c r="AO378" s="4" t="s">
        <v>103</v>
      </c>
      <c r="AP378" s="4" t="s">
        <v>103</v>
      </c>
      <c r="AQ378" s="4" t="s">
        <v>97</v>
      </c>
      <c r="AR378" s="4" t="s">
        <v>97</v>
      </c>
      <c r="AS378" s="4" t="s">
        <v>97</v>
      </c>
      <c r="AT378" s="4"/>
      <c r="AU378" s="4"/>
      <c r="AV378" s="4" t="s">
        <v>97</v>
      </c>
      <c r="AW378" s="4" t="s">
        <v>97</v>
      </c>
      <c r="AX378" s="4" t="s">
        <v>97</v>
      </c>
      <c r="AY378" s="4" t="s">
        <v>97</v>
      </c>
      <c r="AZ378" s="4" t="s">
        <v>103</v>
      </c>
      <c r="BA378" s="4" t="s">
        <v>97</v>
      </c>
      <c r="BB378" s="5">
        <v>45965</v>
      </c>
      <c r="BC378" s="5">
        <v>45966</v>
      </c>
      <c r="BD378" s="5">
        <v>45966</v>
      </c>
      <c r="BE378" s="5">
        <v>45966</v>
      </c>
      <c r="BF378" s="4" t="s">
        <v>98</v>
      </c>
      <c r="BG378" s="4" t="s">
        <v>97</v>
      </c>
      <c r="BH378" s="4" t="s">
        <v>97</v>
      </c>
      <c r="BI378" s="4" t="s">
        <v>834</v>
      </c>
    </row>
    <row r="379" spans="1:61" x14ac:dyDescent="0.35">
      <c r="A379" s="4" t="s">
        <v>1029</v>
      </c>
      <c r="B379" s="8" t="str">
        <f t="shared" si="28"/>
        <v>2025</v>
      </c>
      <c r="C379" s="2" t="s">
        <v>20</v>
      </c>
      <c r="D379" s="6" t="str">
        <f t="shared" si="29"/>
        <v>Dakar</v>
      </c>
      <c r="E379" s="6">
        <f t="shared" si="30"/>
        <v>272276</v>
      </c>
      <c r="F379" s="6">
        <f t="shared" si="31"/>
        <v>4042240</v>
      </c>
      <c r="G379" s="4" t="s">
        <v>1034</v>
      </c>
      <c r="H379" s="4" t="s">
        <v>1035</v>
      </c>
      <c r="I379" s="4">
        <v>28</v>
      </c>
      <c r="J379" s="4" t="s">
        <v>96</v>
      </c>
      <c r="K379" s="4"/>
      <c r="L379" s="4"/>
      <c r="M379" s="4"/>
      <c r="N379" s="4"/>
      <c r="O379" s="4" t="s">
        <v>238</v>
      </c>
      <c r="P379" s="4" t="s">
        <v>97</v>
      </c>
      <c r="Q379" s="4" t="s">
        <v>103</v>
      </c>
      <c r="R379" s="14" t="s">
        <v>100</v>
      </c>
      <c r="S379" s="14" t="s">
        <v>100</v>
      </c>
      <c r="T379" s="14" t="s">
        <v>100</v>
      </c>
      <c r="U379" s="8"/>
      <c r="V379" s="14"/>
      <c r="W379" s="14"/>
      <c r="X379" s="14"/>
      <c r="Y379" s="5">
        <v>45953</v>
      </c>
      <c r="Z379" s="5">
        <v>45953</v>
      </c>
      <c r="AA379" s="4" t="s">
        <v>97</v>
      </c>
      <c r="AB379" s="25"/>
      <c r="AC379" s="4" t="s">
        <v>103</v>
      </c>
      <c r="AD379" s="4" t="s">
        <v>103</v>
      </c>
      <c r="AE379" s="4" t="s">
        <v>97</v>
      </c>
      <c r="AF379" s="4" t="s">
        <v>103</v>
      </c>
      <c r="AG379" s="4" t="s">
        <v>103</v>
      </c>
      <c r="AH379" s="4" t="s">
        <v>103</v>
      </c>
      <c r="AI379" s="5">
        <v>45953</v>
      </c>
      <c r="AJ379" s="4" t="s">
        <v>103</v>
      </c>
      <c r="AK379" s="4" t="s">
        <v>97</v>
      </c>
      <c r="AL379" s="4" t="s">
        <v>103</v>
      </c>
      <c r="AM379" s="4" t="s">
        <v>97</v>
      </c>
      <c r="AN379" s="4" t="s">
        <v>97</v>
      </c>
      <c r="AO379" s="4" t="s">
        <v>97</v>
      </c>
      <c r="AP379" s="4" t="s">
        <v>97</v>
      </c>
      <c r="AQ379" s="4" t="s">
        <v>97</v>
      </c>
      <c r="AR379" s="4" t="s">
        <v>97</v>
      </c>
      <c r="AS379" s="4" t="s">
        <v>103</v>
      </c>
      <c r="AT379" s="4"/>
      <c r="AU379" s="4"/>
      <c r="AV379" s="4" t="s">
        <v>103</v>
      </c>
      <c r="AW379" s="4" t="s">
        <v>97</v>
      </c>
      <c r="AX379" s="4" t="s">
        <v>97</v>
      </c>
      <c r="AY379" s="4" t="s">
        <v>97</v>
      </c>
      <c r="AZ379" s="4" t="s">
        <v>103</v>
      </c>
      <c r="BA379" s="4" t="s">
        <v>97</v>
      </c>
      <c r="BB379" s="5">
        <v>45935</v>
      </c>
      <c r="BC379" s="5">
        <v>45966</v>
      </c>
      <c r="BD379" s="5">
        <v>45966</v>
      </c>
      <c r="BE379" s="5">
        <v>45966</v>
      </c>
      <c r="BF379" s="4" t="s">
        <v>98</v>
      </c>
      <c r="BG379" s="4" t="s">
        <v>97</v>
      </c>
      <c r="BH379" s="4" t="s">
        <v>103</v>
      </c>
      <c r="BI379" s="4" t="s">
        <v>834</v>
      </c>
    </row>
    <row r="380" spans="1:61" x14ac:dyDescent="0.35">
      <c r="A380" s="4" t="s">
        <v>1029</v>
      </c>
      <c r="B380" s="8" t="str">
        <f t="shared" si="28"/>
        <v>2025</v>
      </c>
      <c r="C380" s="2" t="s">
        <v>31</v>
      </c>
      <c r="D380" s="6" t="str">
        <f t="shared" si="29"/>
        <v>Dakar</v>
      </c>
      <c r="E380" s="6">
        <f t="shared" si="30"/>
        <v>424760</v>
      </c>
      <c r="F380" s="6">
        <f t="shared" si="31"/>
        <v>4042240</v>
      </c>
      <c r="G380" s="4" t="s">
        <v>1036</v>
      </c>
      <c r="H380" s="4" t="s">
        <v>1037</v>
      </c>
      <c r="I380" s="4">
        <v>2</v>
      </c>
      <c r="J380" s="4" t="s">
        <v>114</v>
      </c>
      <c r="K380" s="4"/>
      <c r="L380" s="4"/>
      <c r="M380" s="4"/>
      <c r="N380" s="4"/>
      <c r="O380" s="4" t="s">
        <v>238</v>
      </c>
      <c r="P380" s="4" t="s">
        <v>97</v>
      </c>
      <c r="Q380" s="4" t="s">
        <v>97</v>
      </c>
      <c r="R380" s="14" t="s">
        <v>100</v>
      </c>
      <c r="S380" s="14" t="s">
        <v>100</v>
      </c>
      <c r="T380" s="14" t="s">
        <v>100</v>
      </c>
      <c r="U380" s="8"/>
      <c r="V380" s="14"/>
      <c r="W380" s="14"/>
      <c r="X380" s="14"/>
      <c r="Y380" s="5">
        <v>45963</v>
      </c>
      <c r="Z380" s="5">
        <v>45964</v>
      </c>
      <c r="AA380" s="4" t="s">
        <v>103</v>
      </c>
      <c r="AB380" s="25">
        <v>39</v>
      </c>
      <c r="AC380" s="4" t="s">
        <v>97</v>
      </c>
      <c r="AD380" s="4" t="s">
        <v>97</v>
      </c>
      <c r="AE380" s="4" t="s">
        <v>97</v>
      </c>
      <c r="AF380" s="4" t="s">
        <v>97</v>
      </c>
      <c r="AG380" s="4" t="s">
        <v>97</v>
      </c>
      <c r="AH380" s="4" t="s">
        <v>103</v>
      </c>
      <c r="AI380" s="5">
        <v>45964</v>
      </c>
      <c r="AJ380" s="4" t="s">
        <v>103</v>
      </c>
      <c r="AK380" s="4" t="s">
        <v>97</v>
      </c>
      <c r="AL380" s="4" t="s">
        <v>97</v>
      </c>
      <c r="AM380" s="4" t="s">
        <v>103</v>
      </c>
      <c r="AN380" s="4" t="s">
        <v>103</v>
      </c>
      <c r="AO380" s="4" t="s">
        <v>97</v>
      </c>
      <c r="AP380" s="4" t="s">
        <v>97</v>
      </c>
      <c r="AQ380" s="4" t="s">
        <v>97</v>
      </c>
      <c r="AR380" s="4" t="s">
        <v>97</v>
      </c>
      <c r="AS380" s="4" t="s">
        <v>97</v>
      </c>
      <c r="AT380" s="4"/>
      <c r="AU380" s="4" t="s">
        <v>511</v>
      </c>
      <c r="AV380" s="4" t="s">
        <v>103</v>
      </c>
      <c r="AW380" s="4" t="s">
        <v>97</v>
      </c>
      <c r="AX380" s="4" t="s">
        <v>97</v>
      </c>
      <c r="AY380" s="4" t="s">
        <v>97</v>
      </c>
      <c r="AZ380" s="4" t="s">
        <v>103</v>
      </c>
      <c r="BA380" s="4" t="s">
        <v>97</v>
      </c>
      <c r="BB380" s="5">
        <v>45965</v>
      </c>
      <c r="BC380" s="5">
        <v>45966</v>
      </c>
      <c r="BD380" s="5">
        <v>45966</v>
      </c>
      <c r="BE380" s="5">
        <v>45966</v>
      </c>
      <c r="BF380" s="4" t="s">
        <v>98</v>
      </c>
      <c r="BG380" s="4" t="s">
        <v>103</v>
      </c>
      <c r="BH380" s="4" t="s">
        <v>97</v>
      </c>
      <c r="BI380" s="4" t="s">
        <v>834</v>
      </c>
    </row>
    <row r="381" spans="1:61" x14ac:dyDescent="0.35">
      <c r="A381" s="4" t="s">
        <v>1029</v>
      </c>
      <c r="B381" s="8" t="str">
        <f t="shared" si="28"/>
        <v>2025</v>
      </c>
      <c r="C381" s="2" t="s">
        <v>52</v>
      </c>
      <c r="D381" s="6" t="str">
        <f t="shared" si="29"/>
        <v>Kaolack</v>
      </c>
      <c r="E381" s="6">
        <f t="shared" si="30"/>
        <v>231613</v>
      </c>
      <c r="F381" s="6">
        <f t="shared" si="31"/>
        <v>1267013</v>
      </c>
      <c r="G381" s="4" t="s">
        <v>1038</v>
      </c>
      <c r="H381" s="4" t="s">
        <v>1039</v>
      </c>
      <c r="I381" s="4">
        <v>21</v>
      </c>
      <c r="J381" s="4" t="s">
        <v>96</v>
      </c>
      <c r="K381" s="4"/>
      <c r="L381" s="4"/>
      <c r="M381" s="4"/>
      <c r="N381" s="4"/>
      <c r="O381" s="4" t="s">
        <v>238</v>
      </c>
      <c r="P381" s="4" t="s">
        <v>97</v>
      </c>
      <c r="Q381" s="4" t="s">
        <v>97</v>
      </c>
      <c r="R381" s="14" t="s">
        <v>100</v>
      </c>
      <c r="S381" s="14" t="s">
        <v>100</v>
      </c>
      <c r="T381" s="14" t="s">
        <v>100</v>
      </c>
      <c r="U381" s="8"/>
      <c r="V381" s="14"/>
      <c r="W381" s="14"/>
      <c r="X381" s="14"/>
      <c r="Y381" s="5">
        <v>45962</v>
      </c>
      <c r="Z381" s="5">
        <v>45964</v>
      </c>
      <c r="AA381" s="4" t="s">
        <v>103</v>
      </c>
      <c r="AB381" s="4" t="s">
        <v>488</v>
      </c>
      <c r="AC381" s="4" t="s">
        <v>103</v>
      </c>
      <c r="AD381" s="4" t="s">
        <v>97</v>
      </c>
      <c r="AE381" s="4" t="s">
        <v>97</v>
      </c>
      <c r="AF381" s="4" t="s">
        <v>97</v>
      </c>
      <c r="AG381" s="4" t="s">
        <v>103</v>
      </c>
      <c r="AH381" s="4" t="s">
        <v>103</v>
      </c>
      <c r="AI381" s="5">
        <v>45962</v>
      </c>
      <c r="AJ381" s="4" t="s">
        <v>97</v>
      </c>
      <c r="AK381" s="4" t="s">
        <v>97</v>
      </c>
      <c r="AL381" s="4" t="s">
        <v>103</v>
      </c>
      <c r="AM381" s="4" t="s">
        <v>103</v>
      </c>
      <c r="AN381" s="4" t="s">
        <v>103</v>
      </c>
      <c r="AO381" s="4" t="s">
        <v>103</v>
      </c>
      <c r="AP381" s="4" t="s">
        <v>97</v>
      </c>
      <c r="AQ381" s="4" t="s">
        <v>97</v>
      </c>
      <c r="AR381" s="4" t="s">
        <v>97</v>
      </c>
      <c r="AS381" s="4" t="s">
        <v>97</v>
      </c>
      <c r="AT381" s="4"/>
      <c r="AU381" s="4"/>
      <c r="AV381" s="4" t="s">
        <v>103</v>
      </c>
      <c r="AW381" s="4" t="s">
        <v>97</v>
      </c>
      <c r="AX381" s="4" t="s">
        <v>97</v>
      </c>
      <c r="AY381" s="4" t="s">
        <v>97</v>
      </c>
      <c r="AZ381" s="4" t="s">
        <v>97</v>
      </c>
      <c r="BA381" s="4" t="s">
        <v>97</v>
      </c>
      <c r="BB381" s="5">
        <v>45964</v>
      </c>
      <c r="BC381" s="5">
        <v>45965</v>
      </c>
      <c r="BD381" s="5">
        <v>45966</v>
      </c>
      <c r="BE381" s="5">
        <v>45966</v>
      </c>
      <c r="BF381" s="4" t="s">
        <v>98</v>
      </c>
      <c r="BG381" s="4" t="s">
        <v>97</v>
      </c>
      <c r="BH381" s="4" t="s">
        <v>103</v>
      </c>
      <c r="BI381" s="4" t="s">
        <v>834</v>
      </c>
    </row>
    <row r="382" spans="1:61" x14ac:dyDescent="0.35">
      <c r="A382" s="4" t="s">
        <v>1029</v>
      </c>
      <c r="B382" s="8" t="str">
        <f t="shared" si="28"/>
        <v>2025</v>
      </c>
      <c r="C382" s="2" t="s">
        <v>37</v>
      </c>
      <c r="D382" s="6" t="str">
        <f t="shared" si="29"/>
        <v>Dakar</v>
      </c>
      <c r="E382" s="6">
        <f t="shared" si="30"/>
        <v>301226</v>
      </c>
      <c r="F382" s="6">
        <f t="shared" si="31"/>
        <v>4042240</v>
      </c>
      <c r="G382" s="4" t="s">
        <v>1040</v>
      </c>
      <c r="H382" s="4" t="s">
        <v>1041</v>
      </c>
      <c r="I382" s="4">
        <v>1</v>
      </c>
      <c r="J382" s="4" t="s">
        <v>114</v>
      </c>
      <c r="K382" s="4"/>
      <c r="L382" s="4"/>
      <c r="M382" s="4"/>
      <c r="N382" s="4"/>
      <c r="O382" s="4" t="s">
        <v>238</v>
      </c>
      <c r="P382" s="4" t="s">
        <v>97</v>
      </c>
      <c r="Q382" s="4" t="s">
        <v>97</v>
      </c>
      <c r="R382" s="14" t="s">
        <v>100</v>
      </c>
      <c r="S382" s="14" t="s">
        <v>100</v>
      </c>
      <c r="T382" s="14" t="s">
        <v>100</v>
      </c>
      <c r="U382" s="8"/>
      <c r="V382" s="14"/>
      <c r="W382" s="14"/>
      <c r="X382" s="14"/>
      <c r="Y382" s="26" t="s">
        <v>1042</v>
      </c>
      <c r="Z382" s="5">
        <v>45966</v>
      </c>
      <c r="AA382" s="4" t="s">
        <v>103</v>
      </c>
      <c r="AB382" s="4" t="s">
        <v>488</v>
      </c>
      <c r="AC382" s="4" t="s">
        <v>97</v>
      </c>
      <c r="AD382" s="4" t="s">
        <v>97</v>
      </c>
      <c r="AE382" s="4" t="s">
        <v>97</v>
      </c>
      <c r="AF382" s="4" t="s">
        <v>97</v>
      </c>
      <c r="AG382" s="4" t="s">
        <v>97</v>
      </c>
      <c r="AH382" s="4" t="s">
        <v>103</v>
      </c>
      <c r="AI382" s="5">
        <v>45965</v>
      </c>
      <c r="AJ382" s="4" t="s">
        <v>103</v>
      </c>
      <c r="AK382" s="4" t="s">
        <v>103</v>
      </c>
      <c r="AL382" s="4" t="s">
        <v>97</v>
      </c>
      <c r="AM382" s="4" t="s">
        <v>97</v>
      </c>
      <c r="AN382" s="4" t="s">
        <v>103</v>
      </c>
      <c r="AO382" s="4" t="s">
        <v>103</v>
      </c>
      <c r="AP382" s="4" t="s">
        <v>103</v>
      </c>
      <c r="AQ382" s="4" t="s">
        <v>97</v>
      </c>
      <c r="AR382" s="4" t="s">
        <v>103</v>
      </c>
      <c r="AS382" s="4" t="s">
        <v>97</v>
      </c>
      <c r="AT382" s="4"/>
      <c r="AU382" s="4"/>
      <c r="AV382" s="4" t="s">
        <v>103</v>
      </c>
      <c r="AW382" s="4" t="s">
        <v>103</v>
      </c>
      <c r="AX382" s="4" t="s">
        <v>103</v>
      </c>
      <c r="AY382" s="4" t="s">
        <v>103</v>
      </c>
      <c r="AZ382" s="4" t="s">
        <v>103</v>
      </c>
      <c r="BA382" s="4" t="s">
        <v>97</v>
      </c>
      <c r="BB382" s="5">
        <v>45966</v>
      </c>
      <c r="BC382" s="5">
        <v>45966</v>
      </c>
      <c r="BD382" s="5">
        <v>45966</v>
      </c>
      <c r="BE382" s="5">
        <v>45966</v>
      </c>
      <c r="BF382" s="4" t="s">
        <v>98</v>
      </c>
      <c r="BG382" s="4" t="s">
        <v>103</v>
      </c>
      <c r="BH382" s="4" t="s">
        <v>97</v>
      </c>
      <c r="BI382" s="4" t="s">
        <v>834</v>
      </c>
    </row>
    <row r="383" spans="1:61" x14ac:dyDescent="0.35">
      <c r="A383" s="4" t="s">
        <v>1029</v>
      </c>
      <c r="B383" s="8" t="str">
        <f t="shared" si="28"/>
        <v>2025</v>
      </c>
      <c r="C383" s="2" t="s">
        <v>23</v>
      </c>
      <c r="D383" s="6" t="str">
        <f t="shared" si="29"/>
        <v>Dakar</v>
      </c>
      <c r="E383" s="6">
        <f t="shared" si="30"/>
        <v>167577</v>
      </c>
      <c r="F383" s="6">
        <f t="shared" si="31"/>
        <v>4042240</v>
      </c>
      <c r="G383" s="4" t="s">
        <v>1043</v>
      </c>
      <c r="H383" s="4" t="s">
        <v>1044</v>
      </c>
      <c r="I383" s="4">
        <v>8</v>
      </c>
      <c r="J383" s="4" t="s">
        <v>114</v>
      </c>
      <c r="K383" s="4"/>
      <c r="L383" s="4"/>
      <c r="M383" s="4"/>
      <c r="N383" s="4"/>
      <c r="O383" s="4" t="s">
        <v>238</v>
      </c>
      <c r="P383" s="4" t="s">
        <v>97</v>
      </c>
      <c r="Q383" s="4" t="s">
        <v>97</v>
      </c>
      <c r="R383" s="14" t="s">
        <v>100</v>
      </c>
      <c r="S383" s="14" t="s">
        <v>100</v>
      </c>
      <c r="T383" s="14" t="s">
        <v>100</v>
      </c>
      <c r="U383" s="8"/>
      <c r="V383" s="14"/>
      <c r="W383" s="14"/>
      <c r="X383" s="14"/>
      <c r="Y383" s="5">
        <v>45963</v>
      </c>
      <c r="Z383" s="5">
        <v>45965</v>
      </c>
      <c r="AA383" s="4" t="s">
        <v>97</v>
      </c>
      <c r="AB383" s="4"/>
      <c r="AC383" s="4" t="s">
        <v>97</v>
      </c>
      <c r="AD383" s="4" t="s">
        <v>103</v>
      </c>
      <c r="AE383" s="4" t="s">
        <v>97</v>
      </c>
      <c r="AF383" s="4" t="s">
        <v>103</v>
      </c>
      <c r="AG383" s="4" t="s">
        <v>97</v>
      </c>
      <c r="AH383" s="4" t="s">
        <v>103</v>
      </c>
      <c r="AI383" s="5">
        <v>45963</v>
      </c>
      <c r="AJ383" s="4" t="s">
        <v>97</v>
      </c>
      <c r="AK383" s="4" t="s">
        <v>97</v>
      </c>
      <c r="AL383" s="4" t="s">
        <v>97</v>
      </c>
      <c r="AM383" s="4" t="s">
        <v>103</v>
      </c>
      <c r="AN383" s="4" t="s">
        <v>97</v>
      </c>
      <c r="AO383" s="4" t="s">
        <v>97</v>
      </c>
      <c r="AP383" s="4" t="s">
        <v>97</v>
      </c>
      <c r="AQ383" s="4" t="s">
        <v>97</v>
      </c>
      <c r="AR383" s="4" t="s">
        <v>97</v>
      </c>
      <c r="AS383" s="4" t="s">
        <v>97</v>
      </c>
      <c r="AT383" s="4"/>
      <c r="AU383" s="4"/>
      <c r="AV383" s="4" t="s">
        <v>103</v>
      </c>
      <c r="AW383" s="4" t="s">
        <v>97</v>
      </c>
      <c r="AX383" s="4" t="s">
        <v>97</v>
      </c>
      <c r="AY383" s="4" t="s">
        <v>97</v>
      </c>
      <c r="AZ383" s="4" t="s">
        <v>103</v>
      </c>
      <c r="BA383" s="4" t="s">
        <v>97</v>
      </c>
      <c r="BB383" s="5">
        <v>45965</v>
      </c>
      <c r="BC383" s="5">
        <v>45965</v>
      </c>
      <c r="BD383" s="5">
        <v>45966</v>
      </c>
      <c r="BE383" s="5">
        <v>45966</v>
      </c>
      <c r="BF383" s="4" t="s">
        <v>98</v>
      </c>
      <c r="BG383" s="4" t="s">
        <v>97</v>
      </c>
      <c r="BH383" s="4" t="s">
        <v>103</v>
      </c>
      <c r="BI383" s="4" t="s">
        <v>834</v>
      </c>
    </row>
    <row r="384" spans="1:61" x14ac:dyDescent="0.35">
      <c r="A384" s="4" t="s">
        <v>1029</v>
      </c>
      <c r="B384" s="8" t="str">
        <f t="shared" si="28"/>
        <v>2025</v>
      </c>
      <c r="C384" s="2" t="s">
        <v>37</v>
      </c>
      <c r="D384" s="6" t="str">
        <f t="shared" si="29"/>
        <v>Dakar</v>
      </c>
      <c r="E384" s="6">
        <f t="shared" si="30"/>
        <v>301226</v>
      </c>
      <c r="F384" s="6">
        <f t="shared" si="31"/>
        <v>4042240</v>
      </c>
      <c r="G384" s="4" t="s">
        <v>1045</v>
      </c>
      <c r="H384" s="4" t="s">
        <v>1046</v>
      </c>
      <c r="I384" s="4">
        <v>35</v>
      </c>
      <c r="J384" s="4" t="s">
        <v>114</v>
      </c>
      <c r="K384" s="4"/>
      <c r="L384" s="4"/>
      <c r="M384" s="4"/>
      <c r="N384" s="4"/>
      <c r="O384" s="4" t="s">
        <v>238</v>
      </c>
      <c r="P384" s="4" t="s">
        <v>97</v>
      </c>
      <c r="Q384" s="4" t="s">
        <v>97</v>
      </c>
      <c r="R384" s="14" t="s">
        <v>100</v>
      </c>
      <c r="S384" s="14" t="s">
        <v>100</v>
      </c>
      <c r="T384" s="14" t="s">
        <v>100</v>
      </c>
      <c r="U384" s="8"/>
      <c r="V384" s="14"/>
      <c r="W384" s="14"/>
      <c r="X384" s="14"/>
      <c r="Y384" s="24">
        <v>45961</v>
      </c>
      <c r="Z384" s="5">
        <v>45964</v>
      </c>
      <c r="AA384" s="4" t="s">
        <v>103</v>
      </c>
      <c r="AB384" s="4" t="s">
        <v>653</v>
      </c>
      <c r="AC384" s="4" t="s">
        <v>103</v>
      </c>
      <c r="AD384" s="4" t="s">
        <v>97</v>
      </c>
      <c r="AE384" s="4" t="s">
        <v>97</v>
      </c>
      <c r="AF384" s="4" t="s">
        <v>103</v>
      </c>
      <c r="AG384" s="4" t="s">
        <v>103</v>
      </c>
      <c r="AH384" s="4" t="s">
        <v>103</v>
      </c>
      <c r="AI384" s="5">
        <v>45961</v>
      </c>
      <c r="AJ384" s="4" t="s">
        <v>103</v>
      </c>
      <c r="AK384" s="4" t="s">
        <v>97</v>
      </c>
      <c r="AL384" s="4" t="s">
        <v>97</v>
      </c>
      <c r="AM384" s="4" t="s">
        <v>103</v>
      </c>
      <c r="AN384" s="4" t="s">
        <v>103</v>
      </c>
      <c r="AO384" s="4" t="s">
        <v>97</v>
      </c>
      <c r="AP384" s="4" t="s">
        <v>97</v>
      </c>
      <c r="AQ384" s="4" t="s">
        <v>97</v>
      </c>
      <c r="AR384" s="4" t="s">
        <v>97</v>
      </c>
      <c r="AS384" s="4" t="s">
        <v>97</v>
      </c>
      <c r="AT384" s="4"/>
      <c r="AU384" s="4"/>
      <c r="AV384" s="4" t="s">
        <v>97</v>
      </c>
      <c r="AW384" s="4" t="s">
        <v>97</v>
      </c>
      <c r="AX384" s="4" t="s">
        <v>103</v>
      </c>
      <c r="AY384" s="4" t="s">
        <v>97</v>
      </c>
      <c r="AZ384" s="4" t="s">
        <v>103</v>
      </c>
      <c r="BA384" s="4" t="s">
        <v>97</v>
      </c>
      <c r="BB384" s="5">
        <v>45967</v>
      </c>
      <c r="BC384" s="5">
        <v>45968</v>
      </c>
      <c r="BD384" s="5">
        <v>45968</v>
      </c>
      <c r="BE384" s="5">
        <v>45968</v>
      </c>
      <c r="BF384" s="4" t="s">
        <v>98</v>
      </c>
      <c r="BG384" s="4" t="s">
        <v>97</v>
      </c>
      <c r="BH384" s="4" t="s">
        <v>103</v>
      </c>
      <c r="BI384" s="4" t="s">
        <v>834</v>
      </c>
    </row>
    <row r="385" spans="1:61" x14ac:dyDescent="0.35">
      <c r="A385" s="4" t="s">
        <v>1029</v>
      </c>
      <c r="B385" s="8" t="str">
        <f t="shared" si="28"/>
        <v>2025</v>
      </c>
      <c r="C385" s="2" t="s">
        <v>19</v>
      </c>
      <c r="D385" s="6" t="str">
        <f t="shared" si="29"/>
        <v>Dakar</v>
      </c>
      <c r="E385" s="6">
        <f t="shared" si="30"/>
        <v>565040</v>
      </c>
      <c r="F385" s="6">
        <f t="shared" si="31"/>
        <v>4042240</v>
      </c>
      <c r="G385" s="4" t="s">
        <v>1047</v>
      </c>
      <c r="H385" s="4" t="s">
        <v>1048</v>
      </c>
      <c r="I385" s="4">
        <v>19</v>
      </c>
      <c r="J385" s="4" t="s">
        <v>114</v>
      </c>
      <c r="K385" s="4"/>
      <c r="L385" s="4"/>
      <c r="M385" s="4"/>
      <c r="N385" s="4"/>
      <c r="O385" s="4" t="s">
        <v>238</v>
      </c>
      <c r="P385" s="4" t="s">
        <v>97</v>
      </c>
      <c r="Q385" s="4" t="s">
        <v>97</v>
      </c>
      <c r="R385" s="14" t="s">
        <v>100</v>
      </c>
      <c r="S385" s="14" t="s">
        <v>100</v>
      </c>
      <c r="T385" s="14" t="s">
        <v>100</v>
      </c>
      <c r="U385" s="8"/>
      <c r="V385" s="14"/>
      <c r="W385" s="14"/>
      <c r="X385" s="14"/>
      <c r="Y385" s="5">
        <v>45965</v>
      </c>
      <c r="Z385" s="5">
        <v>45967</v>
      </c>
      <c r="AA385" s="4" t="s">
        <v>103</v>
      </c>
      <c r="AB385" s="4" t="s">
        <v>413</v>
      </c>
      <c r="AC385" s="4" t="s">
        <v>103</v>
      </c>
      <c r="AD385" s="4" t="s">
        <v>103</v>
      </c>
      <c r="AE385" s="4" t="s">
        <v>97</v>
      </c>
      <c r="AF385" s="4" t="s">
        <v>103</v>
      </c>
      <c r="AG385" s="4" t="s">
        <v>103</v>
      </c>
      <c r="AH385" s="4" t="s">
        <v>103</v>
      </c>
      <c r="AI385" s="5">
        <v>45966</v>
      </c>
      <c r="AJ385" s="4" t="s">
        <v>97</v>
      </c>
      <c r="AK385" s="4" t="s">
        <v>97</v>
      </c>
      <c r="AL385" s="4" t="s">
        <v>97</v>
      </c>
      <c r="AM385" s="4" t="s">
        <v>103</v>
      </c>
      <c r="AN385" s="4" t="s">
        <v>103</v>
      </c>
      <c r="AO385" s="4" t="s">
        <v>97</v>
      </c>
      <c r="AP385" s="4" t="s">
        <v>103</v>
      </c>
      <c r="AQ385" s="4" t="s">
        <v>97</v>
      </c>
      <c r="AR385" s="4" t="s">
        <v>97</v>
      </c>
      <c r="AS385" s="4" t="s">
        <v>97</v>
      </c>
      <c r="AT385" s="4"/>
      <c r="AU385" s="4"/>
      <c r="AV385" s="4" t="s">
        <v>103</v>
      </c>
      <c r="AW385" s="4" t="s">
        <v>97</v>
      </c>
      <c r="AX385" s="4" t="s">
        <v>97</v>
      </c>
      <c r="AY385" s="4" t="s">
        <v>97</v>
      </c>
      <c r="AZ385" s="4" t="s">
        <v>103</v>
      </c>
      <c r="BA385" s="4" t="s">
        <v>97</v>
      </c>
      <c r="BB385" s="5">
        <v>45968</v>
      </c>
      <c r="BC385" s="5">
        <v>45968</v>
      </c>
      <c r="BD385" s="5">
        <v>45968</v>
      </c>
      <c r="BE385" s="5">
        <v>45968</v>
      </c>
      <c r="BF385" s="4" t="s">
        <v>98</v>
      </c>
      <c r="BG385" s="4" t="s">
        <v>97</v>
      </c>
      <c r="BH385" s="4" t="s">
        <v>103</v>
      </c>
      <c r="BI385" s="4" t="s">
        <v>834</v>
      </c>
    </row>
    <row r="386" spans="1:61" x14ac:dyDescent="0.35">
      <c r="A386" s="4" t="s">
        <v>1029</v>
      </c>
      <c r="B386" s="8" t="str">
        <f t="shared" si="28"/>
        <v>2025</v>
      </c>
      <c r="C386" s="2" t="s">
        <v>36</v>
      </c>
      <c r="D386" s="6" t="str">
        <f t="shared" si="29"/>
        <v>Kedougou</v>
      </c>
      <c r="E386" s="6">
        <f t="shared" si="30"/>
        <v>105689</v>
      </c>
      <c r="F386" s="6">
        <f t="shared" si="31"/>
        <v>203720</v>
      </c>
      <c r="G386" s="4" t="s">
        <v>1049</v>
      </c>
      <c r="H386" s="4" t="s">
        <v>1050</v>
      </c>
      <c r="I386" s="4">
        <v>32</v>
      </c>
      <c r="J386" s="4" t="s">
        <v>114</v>
      </c>
      <c r="K386" s="4"/>
      <c r="L386" s="4"/>
      <c r="M386" s="4"/>
      <c r="N386" s="4"/>
      <c r="O386" s="4" t="s">
        <v>238</v>
      </c>
      <c r="P386" s="4" t="s">
        <v>97</v>
      </c>
      <c r="Q386" s="4" t="s">
        <v>97</v>
      </c>
      <c r="R386" s="14" t="s">
        <v>100</v>
      </c>
      <c r="S386" s="14" t="s">
        <v>100</v>
      </c>
      <c r="T386" s="14" t="s">
        <v>100</v>
      </c>
      <c r="U386" s="8"/>
      <c r="V386" s="14"/>
      <c r="W386" s="14"/>
      <c r="X386" s="14"/>
      <c r="Y386" s="5">
        <v>45961</v>
      </c>
      <c r="Z386" s="5">
        <v>45964</v>
      </c>
      <c r="AA386" s="4" t="s">
        <v>103</v>
      </c>
      <c r="AB386" s="25">
        <v>38</v>
      </c>
      <c r="AC386" s="4" t="s">
        <v>103</v>
      </c>
      <c r="AD386" s="4" t="s">
        <v>97</v>
      </c>
      <c r="AE386" s="4" t="s">
        <v>97</v>
      </c>
      <c r="AF386" s="4" t="s">
        <v>97</v>
      </c>
      <c r="AG386" s="4" t="s">
        <v>97</v>
      </c>
      <c r="AH386" s="4" t="s">
        <v>103</v>
      </c>
      <c r="AI386" s="26" t="s">
        <v>1051</v>
      </c>
      <c r="AJ386" s="4" t="s">
        <v>103</v>
      </c>
      <c r="AK386" s="4" t="s">
        <v>103</v>
      </c>
      <c r="AL386" s="4" t="s">
        <v>97</v>
      </c>
      <c r="AM386" s="4" t="s">
        <v>103</v>
      </c>
      <c r="AN386" s="4" t="s">
        <v>97</v>
      </c>
      <c r="AO386" s="4" t="s">
        <v>97</v>
      </c>
      <c r="AP386" s="4" t="s">
        <v>103</v>
      </c>
      <c r="AQ386" s="4" t="s">
        <v>97</v>
      </c>
      <c r="AR386" s="4" t="s">
        <v>97</v>
      </c>
      <c r="AS386" s="4" t="s">
        <v>97</v>
      </c>
      <c r="AT386" s="4"/>
      <c r="AU386" s="4"/>
      <c r="AV386" s="4" t="s">
        <v>103</v>
      </c>
      <c r="AW386" s="4" t="s">
        <v>103</v>
      </c>
      <c r="AX386" s="4" t="s">
        <v>97</v>
      </c>
      <c r="AY386" s="4" t="s">
        <v>97</v>
      </c>
      <c r="AZ386" s="4" t="s">
        <v>103</v>
      </c>
      <c r="BA386" s="4" t="s">
        <v>97</v>
      </c>
      <c r="BB386" s="5">
        <v>45964</v>
      </c>
      <c r="BC386" s="5">
        <v>45965</v>
      </c>
      <c r="BD386" s="5">
        <v>45968</v>
      </c>
      <c r="BE386" s="5">
        <v>45968</v>
      </c>
      <c r="BF386" s="4" t="s">
        <v>98</v>
      </c>
      <c r="BG386" s="4" t="s">
        <v>97</v>
      </c>
      <c r="BH386" s="4" t="s">
        <v>103</v>
      </c>
      <c r="BI386" s="4" t="s">
        <v>834</v>
      </c>
    </row>
    <row r="387" spans="1:61" x14ac:dyDescent="0.35">
      <c r="A387" s="4" t="s">
        <v>1029</v>
      </c>
      <c r="B387" s="8" t="str">
        <f t="shared" si="28"/>
        <v>2025</v>
      </c>
      <c r="C387" s="2" t="s">
        <v>20</v>
      </c>
      <c r="D387" s="6" t="str">
        <f t="shared" si="29"/>
        <v>Dakar</v>
      </c>
      <c r="E387" s="6">
        <f t="shared" si="30"/>
        <v>272276</v>
      </c>
      <c r="F387" s="6">
        <f t="shared" si="31"/>
        <v>4042240</v>
      </c>
      <c r="G387" s="4" t="s">
        <v>1052</v>
      </c>
      <c r="H387" s="4" t="s">
        <v>1053</v>
      </c>
      <c r="I387" s="4">
        <v>1</v>
      </c>
      <c r="J387" s="4" t="s">
        <v>114</v>
      </c>
      <c r="K387" s="4"/>
      <c r="L387" s="4"/>
      <c r="M387" s="4"/>
      <c r="N387" s="4"/>
      <c r="O387" s="4" t="s">
        <v>238</v>
      </c>
      <c r="P387" s="4" t="s">
        <v>97</v>
      </c>
      <c r="Q387" s="4" t="s">
        <v>97</v>
      </c>
      <c r="R387" s="14" t="s">
        <v>100</v>
      </c>
      <c r="S387" s="14" t="s">
        <v>100</v>
      </c>
      <c r="T387" s="14" t="s">
        <v>100</v>
      </c>
      <c r="U387" s="8"/>
      <c r="V387" s="14"/>
      <c r="W387" s="14"/>
      <c r="X387" s="14"/>
      <c r="Y387" s="5">
        <v>45967</v>
      </c>
      <c r="Z387" s="5">
        <v>45968</v>
      </c>
      <c r="AA387" s="4" t="s">
        <v>103</v>
      </c>
      <c r="AB387" s="4" t="s">
        <v>550</v>
      </c>
      <c r="AC387" s="4" t="s">
        <v>97</v>
      </c>
      <c r="AD387" s="4" t="s">
        <v>97</v>
      </c>
      <c r="AE387" s="4" t="s">
        <v>97</v>
      </c>
      <c r="AF387" s="4" t="s">
        <v>97</v>
      </c>
      <c r="AG387" s="4" t="s">
        <v>97</v>
      </c>
      <c r="AH387" s="4" t="s">
        <v>103</v>
      </c>
      <c r="AI387" s="5">
        <v>45967</v>
      </c>
      <c r="AJ387" s="4" t="s">
        <v>103</v>
      </c>
      <c r="AK387" s="4" t="s">
        <v>103</v>
      </c>
      <c r="AL387" s="4" t="s">
        <v>97</v>
      </c>
      <c r="AM387" s="4" t="s">
        <v>103</v>
      </c>
      <c r="AN387" s="4" t="s">
        <v>103</v>
      </c>
      <c r="AO387" s="4" t="s">
        <v>97</v>
      </c>
      <c r="AP387" s="4" t="s">
        <v>97</v>
      </c>
      <c r="AQ387" s="4" t="s">
        <v>97</v>
      </c>
      <c r="AR387" s="4" t="s">
        <v>97</v>
      </c>
      <c r="AS387" s="4" t="s">
        <v>103</v>
      </c>
      <c r="AT387" s="4"/>
      <c r="AU387" s="4"/>
      <c r="AV387" s="4" t="s">
        <v>103</v>
      </c>
      <c r="AW387" s="4" t="s">
        <v>97</v>
      </c>
      <c r="AX387" s="4" t="s">
        <v>103</v>
      </c>
      <c r="AY387" s="4" t="s">
        <v>97</v>
      </c>
      <c r="AZ387" s="4" t="s">
        <v>103</v>
      </c>
      <c r="BA387" s="4" t="s">
        <v>97</v>
      </c>
      <c r="BB387" s="5">
        <v>45968</v>
      </c>
      <c r="BC387" s="5">
        <v>45968</v>
      </c>
      <c r="BD387" s="5">
        <v>45968</v>
      </c>
      <c r="BE387" s="5">
        <v>45968</v>
      </c>
      <c r="BF387" s="4" t="s">
        <v>98</v>
      </c>
      <c r="BG387" s="4" t="s">
        <v>97</v>
      </c>
      <c r="BH387" s="4" t="s">
        <v>103</v>
      </c>
      <c r="BI387" s="4" t="s">
        <v>834</v>
      </c>
    </row>
    <row r="388" spans="1:61" x14ac:dyDescent="0.35">
      <c r="A388" s="4" t="s">
        <v>1029</v>
      </c>
      <c r="B388" s="8" t="str">
        <f t="shared" si="28"/>
        <v>2025</v>
      </c>
      <c r="C388" s="2" t="s">
        <v>21</v>
      </c>
      <c r="D388" s="6" t="str">
        <f t="shared" si="29"/>
        <v>Dakar</v>
      </c>
      <c r="E388" s="6">
        <f t="shared" si="30"/>
        <v>219872</v>
      </c>
      <c r="F388" s="6">
        <f t="shared" si="31"/>
        <v>4042240</v>
      </c>
      <c r="G388" s="4" t="s">
        <v>1054</v>
      </c>
      <c r="H388" s="4" t="s">
        <v>1055</v>
      </c>
      <c r="I388" s="4">
        <v>1</v>
      </c>
      <c r="J388" s="4" t="s">
        <v>114</v>
      </c>
      <c r="K388" s="4"/>
      <c r="L388" s="4"/>
      <c r="M388" s="4"/>
      <c r="N388" s="4"/>
      <c r="O388" s="4" t="s">
        <v>238</v>
      </c>
      <c r="P388" s="4" t="s">
        <v>97</v>
      </c>
      <c r="Q388" s="4" t="s">
        <v>97</v>
      </c>
      <c r="R388" s="14" t="s">
        <v>100</v>
      </c>
      <c r="S388" s="14" t="s">
        <v>100</v>
      </c>
      <c r="T388" s="14" t="s">
        <v>100</v>
      </c>
      <c r="U388" s="8"/>
      <c r="V388" s="14"/>
      <c r="W388" s="14"/>
      <c r="X388" s="14"/>
      <c r="Y388" s="5">
        <v>45967</v>
      </c>
      <c r="Z388" s="5">
        <v>45968</v>
      </c>
      <c r="AA388" s="4" t="s">
        <v>103</v>
      </c>
      <c r="AB388" s="4" t="s">
        <v>488</v>
      </c>
      <c r="AC388" s="4" t="s">
        <v>103</v>
      </c>
      <c r="AD388" s="4" t="s">
        <v>97</v>
      </c>
      <c r="AE388" s="4" t="s">
        <v>97</v>
      </c>
      <c r="AF388" s="4" t="s">
        <v>97</v>
      </c>
      <c r="AG388" s="4" t="s">
        <v>97</v>
      </c>
      <c r="AH388" s="4" t="s">
        <v>103</v>
      </c>
      <c r="AI388" s="5">
        <v>45967</v>
      </c>
      <c r="AJ388" s="4" t="s">
        <v>97</v>
      </c>
      <c r="AK388" s="4" t="s">
        <v>97</v>
      </c>
      <c r="AL388" s="4" t="s">
        <v>97</v>
      </c>
      <c r="AM388" s="4" t="s">
        <v>97</v>
      </c>
      <c r="AN388" s="4" t="s">
        <v>103</v>
      </c>
      <c r="AO388" s="4" t="s">
        <v>97</v>
      </c>
      <c r="AP388" s="4" t="s">
        <v>103</v>
      </c>
      <c r="AQ388" s="4" t="s">
        <v>97</v>
      </c>
      <c r="AR388" s="4" t="s">
        <v>97</v>
      </c>
      <c r="AS388" s="4" t="s">
        <v>97</v>
      </c>
      <c r="AT388" s="4"/>
      <c r="AU388" s="4"/>
      <c r="AV388" s="4" t="s">
        <v>103</v>
      </c>
      <c r="AW388" s="4" t="s">
        <v>97</v>
      </c>
      <c r="AX388" s="4" t="s">
        <v>97</v>
      </c>
      <c r="AY388" s="4" t="s">
        <v>97</v>
      </c>
      <c r="AZ388" s="4" t="s">
        <v>103</v>
      </c>
      <c r="BA388" s="4" t="s">
        <v>97</v>
      </c>
      <c r="BB388" s="5">
        <v>45968</v>
      </c>
      <c r="BC388" s="5">
        <v>45968</v>
      </c>
      <c r="BD388" s="5">
        <v>45968</v>
      </c>
      <c r="BE388" s="5">
        <v>45968</v>
      </c>
      <c r="BF388" s="4" t="s">
        <v>98</v>
      </c>
      <c r="BG388" s="4" t="s">
        <v>97</v>
      </c>
      <c r="BH388" s="4" t="s">
        <v>103</v>
      </c>
      <c r="BI388" s="4" t="s">
        <v>834</v>
      </c>
    </row>
    <row r="389" spans="1:61" x14ac:dyDescent="0.35">
      <c r="A389" s="4" t="s">
        <v>1029</v>
      </c>
      <c r="B389" s="8" t="str">
        <f t="shared" si="28"/>
        <v>2025</v>
      </c>
      <c r="C389" s="2" t="s">
        <v>31</v>
      </c>
      <c r="D389" s="6" t="str">
        <f t="shared" si="29"/>
        <v>Dakar</v>
      </c>
      <c r="E389" s="6">
        <f t="shared" si="30"/>
        <v>424760</v>
      </c>
      <c r="F389" s="6">
        <f t="shared" si="31"/>
        <v>4042240</v>
      </c>
      <c r="G389" s="4" t="s">
        <v>1056</v>
      </c>
      <c r="H389" s="4" t="s">
        <v>1057</v>
      </c>
      <c r="I389" s="4">
        <v>3</v>
      </c>
      <c r="J389" s="4" t="s">
        <v>96</v>
      </c>
      <c r="K389" s="4"/>
      <c r="L389" s="4"/>
      <c r="M389" s="4"/>
      <c r="N389" s="4"/>
      <c r="O389" s="4" t="s">
        <v>238</v>
      </c>
      <c r="P389" s="4" t="s">
        <v>97</v>
      </c>
      <c r="Q389" s="4" t="s">
        <v>97</v>
      </c>
      <c r="R389" s="14" t="s">
        <v>100</v>
      </c>
      <c r="S389" s="14" t="s">
        <v>100</v>
      </c>
      <c r="T389" s="14" t="s">
        <v>100</v>
      </c>
      <c r="U389" s="8"/>
      <c r="V389" s="14"/>
      <c r="W389" s="14"/>
      <c r="X389" s="14"/>
      <c r="Y389" s="5">
        <v>45967</v>
      </c>
      <c r="Z389" s="5">
        <v>45968</v>
      </c>
      <c r="AA389" s="4" t="s">
        <v>97</v>
      </c>
      <c r="AB389" s="4"/>
      <c r="AC389" s="4" t="s">
        <v>97</v>
      </c>
      <c r="AD389" s="4" t="s">
        <v>103</v>
      </c>
      <c r="AE389" s="4" t="s">
        <v>97</v>
      </c>
      <c r="AF389" s="4" t="s">
        <v>97</v>
      </c>
      <c r="AG389" s="4" t="s">
        <v>97</v>
      </c>
      <c r="AH389" s="4" t="s">
        <v>103</v>
      </c>
      <c r="AI389" s="5">
        <v>45968</v>
      </c>
      <c r="AJ389" s="4" t="s">
        <v>97</v>
      </c>
      <c r="AK389" s="4" t="s">
        <v>103</v>
      </c>
      <c r="AL389" s="4" t="s">
        <v>97</v>
      </c>
      <c r="AM389" s="4" t="s">
        <v>97</v>
      </c>
      <c r="AN389" s="4" t="s">
        <v>97</v>
      </c>
      <c r="AO389" s="4" t="s">
        <v>103</v>
      </c>
      <c r="AP389" s="4" t="s">
        <v>97</v>
      </c>
      <c r="AQ389" s="4" t="s">
        <v>97</v>
      </c>
      <c r="AR389" s="4" t="s">
        <v>97</v>
      </c>
      <c r="AS389" s="4" t="s">
        <v>97</v>
      </c>
      <c r="AT389" s="4"/>
      <c r="AU389" s="4"/>
      <c r="AV389" s="4" t="s">
        <v>103</v>
      </c>
      <c r="AW389" s="4" t="s">
        <v>97</v>
      </c>
      <c r="AX389" s="4" t="s">
        <v>97</v>
      </c>
      <c r="AY389" s="4" t="s">
        <v>97</v>
      </c>
      <c r="AZ389" s="4" t="s">
        <v>103</v>
      </c>
      <c r="BA389" s="4" t="s">
        <v>97</v>
      </c>
      <c r="BB389" s="5">
        <v>45968</v>
      </c>
      <c r="BC389" s="5">
        <v>45968</v>
      </c>
      <c r="BD389" s="5">
        <v>45968</v>
      </c>
      <c r="BE389" s="5">
        <v>45968</v>
      </c>
      <c r="BF389" s="4" t="s">
        <v>98</v>
      </c>
      <c r="BG389" s="4" t="s">
        <v>97</v>
      </c>
      <c r="BH389" s="4" t="s">
        <v>103</v>
      </c>
      <c r="BI389" s="4" t="s">
        <v>834</v>
      </c>
    </row>
    <row r="390" spans="1:61" x14ac:dyDescent="0.35">
      <c r="A390" s="4" t="s">
        <v>1029</v>
      </c>
      <c r="B390" s="8" t="str">
        <f t="shared" ref="B390:B453" si="32">RIGHT(A390,4)</f>
        <v>2025</v>
      </c>
      <c r="C390" s="2" t="s">
        <v>32</v>
      </c>
      <c r="D390" s="6" t="str">
        <f t="shared" ref="D390:D453" si="33">IF(C390="","",VLOOKUP(C390,district_region,2,FALSE))</f>
        <v>Kaolack</v>
      </c>
      <c r="E390" s="6">
        <f t="shared" ref="E390:E453" si="34">IF(C390="","",VLOOKUP(C390,liste_pop,3,FALSE))</f>
        <v>151881</v>
      </c>
      <c r="F390" s="6">
        <f t="shared" ref="F390:F453" si="35">IF(D390="","",IF(D390="Dakar",4042240,VLOOKUP(D390,liste_pop,4,FALSE)))</f>
        <v>1267013</v>
      </c>
      <c r="G390" s="4" t="s">
        <v>1058</v>
      </c>
      <c r="H390" s="4" t="s">
        <v>1059</v>
      </c>
      <c r="I390" s="4">
        <v>96</v>
      </c>
      <c r="J390" s="4" t="s">
        <v>114</v>
      </c>
      <c r="K390" s="4"/>
      <c r="L390" s="4"/>
      <c r="M390" s="4"/>
      <c r="N390" s="4"/>
      <c r="O390" s="4" t="s">
        <v>238</v>
      </c>
      <c r="P390" s="4" t="s">
        <v>97</v>
      </c>
      <c r="Q390" s="4" t="s">
        <v>97</v>
      </c>
      <c r="R390" s="14" t="s">
        <v>100</v>
      </c>
      <c r="S390" s="14" t="s">
        <v>100</v>
      </c>
      <c r="T390" s="14" t="s">
        <v>100</v>
      </c>
      <c r="U390" s="8"/>
      <c r="V390" s="14"/>
      <c r="W390" s="14"/>
      <c r="X390" s="14"/>
      <c r="Y390" s="5">
        <v>45942</v>
      </c>
      <c r="Z390" s="5">
        <v>45967</v>
      </c>
      <c r="AA390" s="4" t="s">
        <v>103</v>
      </c>
      <c r="AB390" s="4" t="s">
        <v>550</v>
      </c>
      <c r="AC390" s="4" t="s">
        <v>103</v>
      </c>
      <c r="AD390" s="4" t="s">
        <v>97</v>
      </c>
      <c r="AE390" s="4" t="s">
        <v>97</v>
      </c>
      <c r="AF390" s="4" t="s">
        <v>103</v>
      </c>
      <c r="AG390" s="4" t="s">
        <v>103</v>
      </c>
      <c r="AH390" s="4" t="s">
        <v>103</v>
      </c>
      <c r="AI390" s="5">
        <v>45942</v>
      </c>
      <c r="AJ390" s="4" t="s">
        <v>97</v>
      </c>
      <c r="AK390" s="4" t="s">
        <v>97</v>
      </c>
      <c r="AL390" s="4" t="s">
        <v>97</v>
      </c>
      <c r="AM390" s="4" t="s">
        <v>103</v>
      </c>
      <c r="AN390" s="4" t="s">
        <v>103</v>
      </c>
      <c r="AO390" s="4" t="s">
        <v>103</v>
      </c>
      <c r="AP390" s="4" t="s">
        <v>103</v>
      </c>
      <c r="AQ390" s="4" t="s">
        <v>97</v>
      </c>
      <c r="AR390" s="4" t="s">
        <v>97</v>
      </c>
      <c r="AS390" s="4" t="s">
        <v>97</v>
      </c>
      <c r="AT390" s="4"/>
      <c r="AU390" s="4"/>
      <c r="AV390" s="4" t="s">
        <v>103</v>
      </c>
      <c r="AW390" s="4" t="s">
        <v>103</v>
      </c>
      <c r="AX390" s="4" t="s">
        <v>97</v>
      </c>
      <c r="AY390" s="4" t="s">
        <v>97</v>
      </c>
      <c r="AZ390" s="4" t="s">
        <v>97</v>
      </c>
      <c r="BA390" s="4" t="s">
        <v>97</v>
      </c>
      <c r="BB390" s="5">
        <v>45967</v>
      </c>
      <c r="BC390" s="5">
        <v>45969</v>
      </c>
      <c r="BD390" s="5">
        <v>45969</v>
      </c>
      <c r="BE390" s="5">
        <v>45969</v>
      </c>
      <c r="BF390" s="4" t="s">
        <v>433</v>
      </c>
      <c r="BG390" s="4" t="s">
        <v>97</v>
      </c>
      <c r="BH390" s="4" t="s">
        <v>103</v>
      </c>
      <c r="BI390" s="4" t="s">
        <v>834</v>
      </c>
    </row>
    <row r="391" spans="1:61" x14ac:dyDescent="0.35">
      <c r="A391" s="4" t="s">
        <v>1029</v>
      </c>
      <c r="B391" s="8" t="str">
        <f t="shared" si="32"/>
        <v>2025</v>
      </c>
      <c r="C391" s="2" t="s">
        <v>49</v>
      </c>
      <c r="D391" s="6" t="str">
        <f t="shared" si="33"/>
        <v>Dakar</v>
      </c>
      <c r="E391" s="6">
        <f t="shared" si="34"/>
        <v>441950</v>
      </c>
      <c r="F391" s="6">
        <f t="shared" si="35"/>
        <v>4042240</v>
      </c>
      <c r="G391" s="4" t="s">
        <v>1060</v>
      </c>
      <c r="H391" s="4" t="s">
        <v>1061</v>
      </c>
      <c r="I391" s="4">
        <v>3</v>
      </c>
      <c r="J391" s="4" t="s">
        <v>114</v>
      </c>
      <c r="K391" s="4"/>
      <c r="L391" s="4"/>
      <c r="M391" s="4"/>
      <c r="N391" s="4"/>
      <c r="O391" s="4" t="s">
        <v>238</v>
      </c>
      <c r="P391" s="4" t="s">
        <v>103</v>
      </c>
      <c r="Q391" s="4" t="s">
        <v>97</v>
      </c>
      <c r="R391" s="14" t="s">
        <v>100</v>
      </c>
      <c r="S391" s="14" t="s">
        <v>100</v>
      </c>
      <c r="T391" s="14" t="s">
        <v>100</v>
      </c>
      <c r="U391" s="8"/>
      <c r="V391" s="14"/>
      <c r="W391" s="14"/>
      <c r="X391" s="14"/>
      <c r="Y391" s="5">
        <v>45967</v>
      </c>
      <c r="Z391" s="5">
        <v>45969</v>
      </c>
      <c r="AA391" s="4" t="s">
        <v>97</v>
      </c>
      <c r="AB391" s="4"/>
      <c r="AC391" s="4" t="s">
        <v>97</v>
      </c>
      <c r="AD391" s="4" t="s">
        <v>97</v>
      </c>
      <c r="AE391" s="4" t="s">
        <v>97</v>
      </c>
      <c r="AF391" s="4" t="s">
        <v>97</v>
      </c>
      <c r="AG391" s="4" t="s">
        <v>97</v>
      </c>
      <c r="AH391" s="4" t="s">
        <v>103</v>
      </c>
      <c r="AI391" s="26" t="s">
        <v>1062</v>
      </c>
      <c r="AJ391" s="4" t="s">
        <v>97</v>
      </c>
      <c r="AK391" s="4" t="s">
        <v>103</v>
      </c>
      <c r="AL391" s="4" t="s">
        <v>97</v>
      </c>
      <c r="AM391" s="4" t="s">
        <v>103</v>
      </c>
      <c r="AN391" s="4" t="s">
        <v>103</v>
      </c>
      <c r="AO391" s="4" t="s">
        <v>97</v>
      </c>
      <c r="AP391" s="4" t="s">
        <v>97</v>
      </c>
      <c r="AQ391" s="4" t="s">
        <v>97</v>
      </c>
      <c r="AR391" s="4" t="s">
        <v>97</v>
      </c>
      <c r="AS391" s="4" t="s">
        <v>97</v>
      </c>
      <c r="AT391" s="4"/>
      <c r="AU391" s="4"/>
      <c r="AV391" s="4" t="s">
        <v>103</v>
      </c>
      <c r="AW391" s="4" t="s">
        <v>97</v>
      </c>
      <c r="AX391" s="4" t="s">
        <v>97</v>
      </c>
      <c r="AY391" s="4" t="s">
        <v>97</v>
      </c>
      <c r="AZ391" s="4" t="s">
        <v>97</v>
      </c>
      <c r="BA391" s="4" t="s">
        <v>97</v>
      </c>
      <c r="BB391" s="5">
        <v>45969</v>
      </c>
      <c r="BC391" s="5">
        <v>45969</v>
      </c>
      <c r="BD391" s="5">
        <v>45969</v>
      </c>
      <c r="BE391" s="5">
        <v>45969</v>
      </c>
      <c r="BF391" s="4" t="s">
        <v>98</v>
      </c>
      <c r="BG391" s="4" t="s">
        <v>97</v>
      </c>
      <c r="BH391" s="4" t="s">
        <v>103</v>
      </c>
      <c r="BI391" s="4" t="s">
        <v>834</v>
      </c>
    </row>
    <row r="392" spans="1:61" x14ac:dyDescent="0.35">
      <c r="A392" s="4" t="s">
        <v>1029</v>
      </c>
      <c r="B392" s="8" t="str">
        <f t="shared" si="32"/>
        <v>2025</v>
      </c>
      <c r="C392" s="2" t="s">
        <v>55</v>
      </c>
      <c r="D392" s="6" t="str">
        <f t="shared" si="33"/>
        <v>Ziguinchor</v>
      </c>
      <c r="E392" s="6">
        <f t="shared" si="34"/>
        <v>64244</v>
      </c>
      <c r="F392" s="6">
        <f t="shared" si="35"/>
        <v>729952</v>
      </c>
      <c r="G392" s="4" t="s">
        <v>1063</v>
      </c>
      <c r="H392" s="4" t="s">
        <v>1064</v>
      </c>
      <c r="I392" s="4">
        <v>33</v>
      </c>
      <c r="J392" s="4" t="s">
        <v>96</v>
      </c>
      <c r="K392" s="4"/>
      <c r="L392" s="4"/>
      <c r="M392" s="4"/>
      <c r="N392" s="4"/>
      <c r="O392" s="4" t="s">
        <v>238</v>
      </c>
      <c r="P392" s="4" t="s">
        <v>97</v>
      </c>
      <c r="Q392" s="4" t="s">
        <v>97</v>
      </c>
      <c r="R392" s="14" t="s">
        <v>481</v>
      </c>
      <c r="S392" s="14" t="s">
        <v>100</v>
      </c>
      <c r="T392" s="14" t="s">
        <v>481</v>
      </c>
      <c r="U392" s="8"/>
      <c r="V392" s="14"/>
      <c r="W392" s="14"/>
      <c r="X392" t="s">
        <v>1136</v>
      </c>
      <c r="Y392" s="5">
        <v>45960</v>
      </c>
      <c r="Z392" s="5">
        <v>45960</v>
      </c>
      <c r="AA392" s="4" t="s">
        <v>103</v>
      </c>
      <c r="AB392" s="4" t="s">
        <v>463</v>
      </c>
      <c r="AC392" s="4" t="s">
        <v>103</v>
      </c>
      <c r="AD392" s="4" t="s">
        <v>103</v>
      </c>
      <c r="AE392" s="4" t="s">
        <v>97</v>
      </c>
      <c r="AF392" s="4" t="s">
        <v>103</v>
      </c>
      <c r="AG392" s="4" t="s">
        <v>103</v>
      </c>
      <c r="AH392" s="4" t="s">
        <v>103</v>
      </c>
      <c r="AI392" s="5">
        <v>45960</v>
      </c>
      <c r="AJ392" s="4" t="s">
        <v>103</v>
      </c>
      <c r="AK392" s="4" t="s">
        <v>103</v>
      </c>
      <c r="AL392" s="4" t="s">
        <v>97</v>
      </c>
      <c r="AM392" s="4" t="s">
        <v>103</v>
      </c>
      <c r="AN392" s="4" t="s">
        <v>97</v>
      </c>
      <c r="AO392" s="4" t="s">
        <v>97</v>
      </c>
      <c r="AP392" s="4" t="s">
        <v>97</v>
      </c>
      <c r="AQ392" s="4" t="s">
        <v>97</v>
      </c>
      <c r="AR392" s="4" t="s">
        <v>103</v>
      </c>
      <c r="AS392" s="4" t="s">
        <v>103</v>
      </c>
      <c r="AT392" s="4"/>
      <c r="AU392" s="4"/>
      <c r="AV392" s="4" t="s">
        <v>103</v>
      </c>
      <c r="AW392" s="4" t="s">
        <v>103</v>
      </c>
      <c r="AX392" s="4" t="s">
        <v>97</v>
      </c>
      <c r="AY392" s="4" t="s">
        <v>97</v>
      </c>
      <c r="AZ392" s="4" t="s">
        <v>97</v>
      </c>
      <c r="BA392" s="4" t="s">
        <v>97</v>
      </c>
      <c r="BB392" s="5">
        <v>45965</v>
      </c>
      <c r="BC392" s="5">
        <v>45965</v>
      </c>
      <c r="BD392" s="5">
        <v>45967</v>
      </c>
      <c r="BE392" s="5">
        <v>45967</v>
      </c>
      <c r="BF392" s="4" t="s">
        <v>98</v>
      </c>
      <c r="BG392" s="4" t="s">
        <v>103</v>
      </c>
      <c r="BH392" s="4" t="s">
        <v>103</v>
      </c>
      <c r="BI392" s="4" t="s">
        <v>482</v>
      </c>
    </row>
    <row r="393" spans="1:61" x14ac:dyDescent="0.35">
      <c r="A393" s="4" t="s">
        <v>1065</v>
      </c>
      <c r="B393" s="8" t="str">
        <f t="shared" si="32"/>
        <v>2025</v>
      </c>
      <c r="C393" s="2" t="s">
        <v>0</v>
      </c>
      <c r="D393" s="6" t="str">
        <f t="shared" si="33"/>
        <v>Matam</v>
      </c>
      <c r="E393" s="6">
        <f t="shared" si="34"/>
        <v>271560</v>
      </c>
      <c r="F393" s="6">
        <f t="shared" si="35"/>
        <v>789215</v>
      </c>
      <c r="G393" s="4" t="s">
        <v>1066</v>
      </c>
      <c r="H393" s="4" t="s">
        <v>1067</v>
      </c>
      <c r="I393" s="4">
        <v>50</v>
      </c>
      <c r="J393" s="4" t="s">
        <v>114</v>
      </c>
      <c r="K393" s="4" t="s">
        <v>437</v>
      </c>
      <c r="L393" s="5">
        <v>45222</v>
      </c>
      <c r="M393" s="4"/>
      <c r="N393" s="4"/>
      <c r="O393" s="4" t="s">
        <v>238</v>
      </c>
      <c r="P393" s="4" t="s">
        <v>97</v>
      </c>
      <c r="Q393" s="4" t="s">
        <v>97</v>
      </c>
      <c r="R393" s="14" t="s">
        <v>100</v>
      </c>
      <c r="S393" s="14" t="s">
        <v>100</v>
      </c>
      <c r="T393" s="14" t="s">
        <v>100</v>
      </c>
      <c r="U393" s="8"/>
      <c r="V393" s="14"/>
      <c r="W393" s="14"/>
      <c r="X393" s="14"/>
      <c r="Y393" s="5">
        <v>45953</v>
      </c>
      <c r="Z393" s="5">
        <v>45967</v>
      </c>
      <c r="AA393" s="4" t="s">
        <v>103</v>
      </c>
      <c r="AB393" s="4" t="s">
        <v>1068</v>
      </c>
      <c r="AC393" s="4" t="s">
        <v>103</v>
      </c>
      <c r="AD393" s="4" t="s">
        <v>103</v>
      </c>
      <c r="AE393" s="4" t="s">
        <v>97</v>
      </c>
      <c r="AF393" s="4" t="s">
        <v>103</v>
      </c>
      <c r="AG393" s="4" t="s">
        <v>103</v>
      </c>
      <c r="AH393" s="4" t="s">
        <v>103</v>
      </c>
      <c r="AI393" s="5">
        <v>45953</v>
      </c>
      <c r="AJ393" s="4" t="s">
        <v>103</v>
      </c>
      <c r="AK393" s="4" t="s">
        <v>97</v>
      </c>
      <c r="AL393" s="4" t="s">
        <v>103</v>
      </c>
      <c r="AM393" s="4" t="s">
        <v>103</v>
      </c>
      <c r="AN393" s="4" t="s">
        <v>103</v>
      </c>
      <c r="AO393" s="4" t="s">
        <v>103</v>
      </c>
      <c r="AP393" s="4" t="s">
        <v>103</v>
      </c>
      <c r="AQ393" s="4" t="s">
        <v>97</v>
      </c>
      <c r="AR393" s="4" t="s">
        <v>97</v>
      </c>
      <c r="AS393" s="4" t="s">
        <v>97</v>
      </c>
      <c r="AT393" s="4"/>
      <c r="AU393" s="4"/>
      <c r="AV393" s="4" t="s">
        <v>103</v>
      </c>
      <c r="AW393" s="4" t="s">
        <v>97</v>
      </c>
      <c r="AX393" s="4" t="s">
        <v>97</v>
      </c>
      <c r="AY393" s="4" t="s">
        <v>97</v>
      </c>
      <c r="AZ393" s="4" t="s">
        <v>97</v>
      </c>
      <c r="BA393" s="4" t="s">
        <v>97</v>
      </c>
      <c r="BB393" s="5">
        <v>45969</v>
      </c>
      <c r="BC393" s="5">
        <v>45970</v>
      </c>
      <c r="BD393" s="5">
        <v>45971</v>
      </c>
      <c r="BE393" s="5">
        <v>45971</v>
      </c>
      <c r="BF393" s="4" t="s">
        <v>98</v>
      </c>
      <c r="BG393" s="4" t="s">
        <v>103</v>
      </c>
      <c r="BH393" s="4" t="s">
        <v>97</v>
      </c>
      <c r="BI393" s="4" t="s">
        <v>834</v>
      </c>
    </row>
    <row r="394" spans="1:61" x14ac:dyDescent="0.35">
      <c r="A394" s="4" t="s">
        <v>1065</v>
      </c>
      <c r="B394" s="8" t="str">
        <f t="shared" si="32"/>
        <v>2025</v>
      </c>
      <c r="C394" s="2" t="s">
        <v>63</v>
      </c>
      <c r="D394" s="6" t="str">
        <f t="shared" si="33"/>
        <v>Saint-Louis</v>
      </c>
      <c r="E394" s="6">
        <f t="shared" si="34"/>
        <v>205977</v>
      </c>
      <c r="F394" s="6">
        <f t="shared" si="35"/>
        <v>1150065</v>
      </c>
      <c r="G394" s="4" t="s">
        <v>1069</v>
      </c>
      <c r="H394" s="4" t="s">
        <v>1070</v>
      </c>
      <c r="I394" s="4">
        <v>37</v>
      </c>
      <c r="J394" s="4" t="s">
        <v>96</v>
      </c>
      <c r="K394" s="4"/>
      <c r="L394" s="4"/>
      <c r="M394" s="4"/>
      <c r="N394" s="4"/>
      <c r="O394" s="4" t="s">
        <v>238</v>
      </c>
      <c r="P394" s="4" t="s">
        <v>97</v>
      </c>
      <c r="Q394" s="4" t="s">
        <v>97</v>
      </c>
      <c r="R394" s="14" t="s">
        <v>100</v>
      </c>
      <c r="S394" s="14" t="s">
        <v>100</v>
      </c>
      <c r="T394" s="14" t="s">
        <v>100</v>
      </c>
      <c r="U394" s="8"/>
      <c r="V394" s="14"/>
      <c r="W394" s="14"/>
      <c r="X394" s="14"/>
      <c r="Y394" s="5">
        <v>45962</v>
      </c>
      <c r="Z394" s="5">
        <v>45965</v>
      </c>
      <c r="AA394" s="4" t="s">
        <v>103</v>
      </c>
      <c r="AB394" s="4" t="s">
        <v>314</v>
      </c>
      <c r="AC394" s="4" t="s">
        <v>97</v>
      </c>
      <c r="AD394" s="4" t="s">
        <v>97</v>
      </c>
      <c r="AE394" s="4" t="s">
        <v>97</v>
      </c>
      <c r="AF394" s="4" t="s">
        <v>103</v>
      </c>
      <c r="AG394" s="4" t="s">
        <v>97</v>
      </c>
      <c r="AH394" s="4" t="s">
        <v>103</v>
      </c>
      <c r="AI394" s="5">
        <v>45962</v>
      </c>
      <c r="AJ394" s="4" t="s">
        <v>97</v>
      </c>
      <c r="AK394" s="4" t="s">
        <v>97</v>
      </c>
      <c r="AL394" s="4" t="s">
        <v>97</v>
      </c>
      <c r="AM394" s="4" t="s">
        <v>97</v>
      </c>
      <c r="AN394" s="4" t="s">
        <v>97</v>
      </c>
      <c r="AO394" s="4" t="s">
        <v>97</v>
      </c>
      <c r="AP394" s="4" t="s">
        <v>103</v>
      </c>
      <c r="AQ394" s="4" t="s">
        <v>97</v>
      </c>
      <c r="AR394" s="4" t="s">
        <v>97</v>
      </c>
      <c r="AS394" s="4" t="s">
        <v>97</v>
      </c>
      <c r="AT394" s="4"/>
      <c r="AU394" s="4"/>
      <c r="AV394" s="4" t="s">
        <v>97</v>
      </c>
      <c r="AW394" s="4" t="s">
        <v>97</v>
      </c>
      <c r="AX394" s="4" t="s">
        <v>97</v>
      </c>
      <c r="AY394" s="4" t="s">
        <v>97</v>
      </c>
      <c r="AZ394" s="4" t="s">
        <v>103</v>
      </c>
      <c r="BA394" s="4" t="s">
        <v>97</v>
      </c>
      <c r="BB394" s="5">
        <v>45966</v>
      </c>
      <c r="BC394" s="5">
        <v>45969</v>
      </c>
      <c r="BD394" s="5">
        <v>45971</v>
      </c>
      <c r="BE394" s="5">
        <v>45971</v>
      </c>
      <c r="BF394" s="4" t="s">
        <v>98</v>
      </c>
      <c r="BG394" s="4" t="s">
        <v>97</v>
      </c>
      <c r="BH394" s="4" t="s">
        <v>103</v>
      </c>
      <c r="BI394" s="4" t="s">
        <v>834</v>
      </c>
    </row>
    <row r="395" spans="1:61" x14ac:dyDescent="0.35">
      <c r="A395" s="4" t="s">
        <v>1065</v>
      </c>
      <c r="B395" s="8" t="str">
        <f t="shared" si="32"/>
        <v>2025</v>
      </c>
      <c r="C395" s="2" t="s">
        <v>43</v>
      </c>
      <c r="D395" s="6" t="str">
        <f t="shared" si="33"/>
        <v>Tambacounda</v>
      </c>
      <c r="E395" s="6">
        <f t="shared" si="34"/>
        <v>225492</v>
      </c>
      <c r="F395" s="6">
        <f t="shared" si="35"/>
        <v>937181</v>
      </c>
      <c r="G395" s="4" t="s">
        <v>1071</v>
      </c>
      <c r="H395" s="4" t="s">
        <v>1072</v>
      </c>
      <c r="I395" s="4">
        <v>6</v>
      </c>
      <c r="J395" s="4" t="s">
        <v>114</v>
      </c>
      <c r="K395" s="4"/>
      <c r="L395" s="4"/>
      <c r="M395" s="4"/>
      <c r="N395" s="4"/>
      <c r="O395" s="4" t="s">
        <v>238</v>
      </c>
      <c r="P395" s="4" t="s">
        <v>97</v>
      </c>
      <c r="Q395" s="4" t="s">
        <v>97</v>
      </c>
      <c r="R395" s="14" t="s">
        <v>100</v>
      </c>
      <c r="S395" s="14" t="s">
        <v>100</v>
      </c>
      <c r="T395" s="14" t="s">
        <v>100</v>
      </c>
      <c r="U395" s="8"/>
      <c r="V395" s="14"/>
      <c r="W395" s="14"/>
      <c r="X395" s="14"/>
      <c r="Y395" s="5">
        <v>45962</v>
      </c>
      <c r="Z395" s="5">
        <v>45964</v>
      </c>
      <c r="AA395" s="4" t="s">
        <v>103</v>
      </c>
      <c r="AB395" s="4" t="s">
        <v>488</v>
      </c>
      <c r="AC395" s="4" t="s">
        <v>103</v>
      </c>
      <c r="AD395" s="4" t="s">
        <v>97</v>
      </c>
      <c r="AE395" s="4" t="s">
        <v>97</v>
      </c>
      <c r="AF395" s="4" t="s">
        <v>97</v>
      </c>
      <c r="AG395" s="4" t="s">
        <v>97</v>
      </c>
      <c r="AH395" s="4" t="s">
        <v>103</v>
      </c>
      <c r="AI395" s="5">
        <v>45962</v>
      </c>
      <c r="AJ395" s="4" t="s">
        <v>97</v>
      </c>
      <c r="AK395" s="4" t="s">
        <v>97</v>
      </c>
      <c r="AL395" s="4" t="s">
        <v>97</v>
      </c>
      <c r="AM395" s="4" t="s">
        <v>103</v>
      </c>
      <c r="AN395" s="4" t="s">
        <v>103</v>
      </c>
      <c r="AO395" s="4" t="s">
        <v>103</v>
      </c>
      <c r="AP395" s="4" t="s">
        <v>103</v>
      </c>
      <c r="AQ395" s="4" t="s">
        <v>97</v>
      </c>
      <c r="AR395" s="4" t="s">
        <v>103</v>
      </c>
      <c r="AS395" s="4" t="s">
        <v>103</v>
      </c>
      <c r="AT395" s="4"/>
      <c r="AU395" s="4"/>
      <c r="AV395" s="4" t="s">
        <v>103</v>
      </c>
      <c r="AW395" s="4" t="s">
        <v>97</v>
      </c>
      <c r="AX395" s="4" t="s">
        <v>97</v>
      </c>
      <c r="AY395" s="4" t="s">
        <v>97</v>
      </c>
      <c r="AZ395" s="4" t="s">
        <v>97</v>
      </c>
      <c r="BA395" s="4" t="s">
        <v>97</v>
      </c>
      <c r="BB395" s="5">
        <v>45964</v>
      </c>
      <c r="BC395" s="5">
        <v>45971</v>
      </c>
      <c r="BD395" s="5">
        <v>45971</v>
      </c>
      <c r="BE395" s="5">
        <v>45971</v>
      </c>
      <c r="BF395" s="4" t="s">
        <v>98</v>
      </c>
      <c r="BG395" s="4" t="s">
        <v>97</v>
      </c>
      <c r="BH395" s="4" t="s">
        <v>103</v>
      </c>
      <c r="BI395" s="4" t="s">
        <v>834</v>
      </c>
    </row>
    <row r="396" spans="1:61" x14ac:dyDescent="0.35">
      <c r="A396" s="4" t="s">
        <v>1065</v>
      </c>
      <c r="B396" s="8" t="str">
        <f t="shared" si="32"/>
        <v>2025</v>
      </c>
      <c r="C396" s="2" t="s">
        <v>55</v>
      </c>
      <c r="D396" s="6" t="str">
        <f t="shared" si="33"/>
        <v>Ziguinchor</v>
      </c>
      <c r="E396" s="6">
        <f t="shared" si="34"/>
        <v>64244</v>
      </c>
      <c r="F396" s="6">
        <f t="shared" si="35"/>
        <v>729952</v>
      </c>
      <c r="G396" s="4" t="s">
        <v>1073</v>
      </c>
      <c r="H396" s="4" t="s">
        <v>1074</v>
      </c>
      <c r="I396" s="4">
        <v>38</v>
      </c>
      <c r="J396" s="4" t="s">
        <v>114</v>
      </c>
      <c r="K396" s="4" t="s">
        <v>1075</v>
      </c>
      <c r="L396" s="5">
        <v>45950</v>
      </c>
      <c r="M396" s="4"/>
      <c r="N396" s="4"/>
      <c r="O396" s="4" t="s">
        <v>238</v>
      </c>
      <c r="P396" s="4" t="s">
        <v>103</v>
      </c>
      <c r="Q396" s="4" t="s">
        <v>97</v>
      </c>
      <c r="R396" s="14" t="s">
        <v>100</v>
      </c>
      <c r="S396" s="14" t="s">
        <v>100</v>
      </c>
      <c r="T396" s="14" t="s">
        <v>481</v>
      </c>
      <c r="U396" s="8"/>
      <c r="V396" s="14"/>
      <c r="W396" s="14"/>
      <c r="X396" s="14"/>
      <c r="Y396" s="5">
        <v>45969</v>
      </c>
      <c r="Z396" s="5">
        <v>45971</v>
      </c>
      <c r="AA396" s="4" t="s">
        <v>97</v>
      </c>
      <c r="AB396" s="4"/>
      <c r="AC396" s="4" t="s">
        <v>97</v>
      </c>
      <c r="AD396" s="4" t="s">
        <v>97</v>
      </c>
      <c r="AE396" s="4" t="s">
        <v>97</v>
      </c>
      <c r="AF396" s="4" t="s">
        <v>97</v>
      </c>
      <c r="AG396" s="4" t="s">
        <v>97</v>
      </c>
      <c r="AH396" s="4" t="s">
        <v>103</v>
      </c>
      <c r="AI396" s="5">
        <v>45969</v>
      </c>
      <c r="AJ396" s="4" t="s">
        <v>97</v>
      </c>
      <c r="AK396" s="4" t="s">
        <v>97</v>
      </c>
      <c r="AL396" s="4" t="s">
        <v>97</v>
      </c>
      <c r="AM396" s="4" t="s">
        <v>97</v>
      </c>
      <c r="AN396" s="4" t="s">
        <v>97</v>
      </c>
      <c r="AO396" s="4" t="s">
        <v>97</v>
      </c>
      <c r="AP396" s="4" t="s">
        <v>97</v>
      </c>
      <c r="AQ396" s="4" t="s">
        <v>97</v>
      </c>
      <c r="AR396" s="4" t="s">
        <v>97</v>
      </c>
      <c r="AS396" s="4" t="s">
        <v>97</v>
      </c>
      <c r="AT396" s="4"/>
      <c r="AU396" s="4"/>
      <c r="AV396" s="4" t="s">
        <v>103</v>
      </c>
      <c r="AW396" s="4" t="s">
        <v>97</v>
      </c>
      <c r="AX396" s="4" t="s">
        <v>97</v>
      </c>
      <c r="AY396" s="4" t="s">
        <v>97</v>
      </c>
      <c r="AZ396" s="4" t="s">
        <v>103</v>
      </c>
      <c r="BA396" s="4" t="s">
        <v>97</v>
      </c>
      <c r="BB396" s="5">
        <v>45971</v>
      </c>
      <c r="BC396" s="5">
        <v>45972</v>
      </c>
      <c r="BD396" s="5">
        <v>45972</v>
      </c>
      <c r="BE396" s="5">
        <v>45972</v>
      </c>
      <c r="BF396" s="4" t="s">
        <v>98</v>
      </c>
      <c r="BG396" s="4" t="s">
        <v>97</v>
      </c>
      <c r="BH396" s="4" t="s">
        <v>103</v>
      </c>
      <c r="BI396" s="4" t="s">
        <v>834</v>
      </c>
    </row>
    <row r="397" spans="1:61" x14ac:dyDescent="0.35">
      <c r="A397" s="4" t="s">
        <v>1065</v>
      </c>
      <c r="B397" s="8" t="str">
        <f t="shared" si="32"/>
        <v>2025</v>
      </c>
      <c r="C397" s="2" t="s">
        <v>52</v>
      </c>
      <c r="D397" s="6" t="str">
        <f t="shared" si="33"/>
        <v>Kaolack</v>
      </c>
      <c r="E397" s="6">
        <f t="shared" si="34"/>
        <v>231613</v>
      </c>
      <c r="F397" s="6">
        <f t="shared" si="35"/>
        <v>1267013</v>
      </c>
      <c r="G397" s="4" t="s">
        <v>1076</v>
      </c>
      <c r="H397" s="4" t="s">
        <v>1077</v>
      </c>
      <c r="I397" s="4">
        <v>22</v>
      </c>
      <c r="J397" s="4" t="s">
        <v>96</v>
      </c>
      <c r="K397" s="4"/>
      <c r="L397" s="4"/>
      <c r="M397" s="4"/>
      <c r="N397" s="4"/>
      <c r="O397" s="4" t="s">
        <v>238</v>
      </c>
      <c r="P397" s="4" t="s">
        <v>97</v>
      </c>
      <c r="Q397" s="4" t="s">
        <v>97</v>
      </c>
      <c r="R397" s="14" t="s">
        <v>100</v>
      </c>
      <c r="S397" s="14" t="s">
        <v>100</v>
      </c>
      <c r="T397" s="14" t="s">
        <v>100</v>
      </c>
      <c r="U397" s="8"/>
      <c r="V397" s="14"/>
      <c r="W397" s="14"/>
      <c r="X397" s="14"/>
      <c r="Y397" s="5">
        <v>45958</v>
      </c>
      <c r="Z397" s="5">
        <v>45968</v>
      </c>
      <c r="AA397" s="4" t="s">
        <v>103</v>
      </c>
      <c r="AB397" s="4" t="s">
        <v>513</v>
      </c>
      <c r="AC397" s="4" t="s">
        <v>103</v>
      </c>
      <c r="AD397" s="4" t="s">
        <v>97</v>
      </c>
      <c r="AE397" s="4" t="s">
        <v>97</v>
      </c>
      <c r="AF397" s="4" t="s">
        <v>97</v>
      </c>
      <c r="AG397" s="4" t="s">
        <v>97</v>
      </c>
      <c r="AH397" s="4" t="s">
        <v>103</v>
      </c>
      <c r="AI397" s="5">
        <v>45958</v>
      </c>
      <c r="AJ397" s="4" t="s">
        <v>103</v>
      </c>
      <c r="AK397" s="4" t="s">
        <v>97</v>
      </c>
      <c r="AL397" s="4" t="s">
        <v>97</v>
      </c>
      <c r="AM397" s="4" t="s">
        <v>103</v>
      </c>
      <c r="AN397" s="4" t="s">
        <v>97</v>
      </c>
      <c r="AO397" s="4" t="s">
        <v>97</v>
      </c>
      <c r="AP397" s="4" t="s">
        <v>97</v>
      </c>
      <c r="AQ397" s="4" t="s">
        <v>97</v>
      </c>
      <c r="AR397" s="4" t="s">
        <v>97</v>
      </c>
      <c r="AS397" s="4" t="s">
        <v>97</v>
      </c>
      <c r="AT397" s="4"/>
      <c r="AU397" s="4"/>
      <c r="AV397" s="4" t="s">
        <v>97</v>
      </c>
      <c r="AW397" s="4" t="s">
        <v>97</v>
      </c>
      <c r="AX397" s="4" t="s">
        <v>97</v>
      </c>
      <c r="AY397" s="4" t="s">
        <v>97</v>
      </c>
      <c r="AZ397" s="4" t="s">
        <v>103</v>
      </c>
      <c r="BA397" s="4" t="s">
        <v>97</v>
      </c>
      <c r="BB397" s="5">
        <v>45969</v>
      </c>
      <c r="BC397" s="5">
        <v>45970</v>
      </c>
      <c r="BD397" s="5">
        <v>45972</v>
      </c>
      <c r="BE397" s="5">
        <v>45972</v>
      </c>
      <c r="BF397" s="4" t="s">
        <v>98</v>
      </c>
      <c r="BG397" s="4" t="s">
        <v>97</v>
      </c>
      <c r="BH397" s="4" t="s">
        <v>103</v>
      </c>
      <c r="BI397" s="4" t="s">
        <v>834</v>
      </c>
    </row>
    <row r="398" spans="1:61" x14ac:dyDescent="0.35">
      <c r="A398" s="4" t="s">
        <v>1065</v>
      </c>
      <c r="B398" s="8" t="str">
        <f t="shared" si="32"/>
        <v>2025</v>
      </c>
      <c r="C398" s="2" t="s">
        <v>58</v>
      </c>
      <c r="D398" s="6" t="str">
        <f t="shared" si="33"/>
        <v>Dakar</v>
      </c>
      <c r="E398" s="6">
        <f t="shared" si="34"/>
        <v>423495</v>
      </c>
      <c r="F398" s="6">
        <f t="shared" si="35"/>
        <v>4042240</v>
      </c>
      <c r="G398" s="4" t="s">
        <v>1078</v>
      </c>
      <c r="H398" s="4" t="s">
        <v>1079</v>
      </c>
      <c r="I398" s="4">
        <v>15</v>
      </c>
      <c r="J398" s="4" t="s">
        <v>114</v>
      </c>
      <c r="K398" s="4"/>
      <c r="L398" s="4"/>
      <c r="M398" s="4"/>
      <c r="N398" s="4"/>
      <c r="O398" s="4" t="s">
        <v>238</v>
      </c>
      <c r="P398" s="4" t="s">
        <v>97</v>
      </c>
      <c r="Q398" s="4" t="s">
        <v>97</v>
      </c>
      <c r="R398" s="14" t="s">
        <v>100</v>
      </c>
      <c r="S398" s="14" t="s">
        <v>100</v>
      </c>
      <c r="T398" s="14" t="s">
        <v>100</v>
      </c>
      <c r="U398" s="8"/>
      <c r="V398" s="14"/>
      <c r="W398" s="14"/>
      <c r="X398" s="14"/>
      <c r="Y398" s="5">
        <v>45954</v>
      </c>
      <c r="Z398" s="5">
        <v>45966</v>
      </c>
      <c r="AA398" s="4" t="s">
        <v>103</v>
      </c>
      <c r="AB398" s="4" t="s">
        <v>488</v>
      </c>
      <c r="AC398" s="4" t="s">
        <v>103</v>
      </c>
      <c r="AD398" s="4" t="s">
        <v>97</v>
      </c>
      <c r="AE398" s="4" t="s">
        <v>97</v>
      </c>
      <c r="AF398" s="4" t="s">
        <v>103</v>
      </c>
      <c r="AG398" s="4" t="s">
        <v>97</v>
      </c>
      <c r="AH398" s="4" t="s">
        <v>103</v>
      </c>
      <c r="AI398" s="5">
        <v>45954</v>
      </c>
      <c r="AJ398" s="4" t="s">
        <v>97</v>
      </c>
      <c r="AK398" s="4" t="s">
        <v>97</v>
      </c>
      <c r="AL398" s="4" t="s">
        <v>97</v>
      </c>
      <c r="AM398" s="4" t="s">
        <v>97</v>
      </c>
      <c r="AN398" s="4" t="s">
        <v>103</v>
      </c>
      <c r="AO398" s="4" t="s">
        <v>103</v>
      </c>
      <c r="AP398" s="4" t="s">
        <v>103</v>
      </c>
      <c r="AQ398" s="4" t="s">
        <v>97</v>
      </c>
      <c r="AR398" s="4" t="s">
        <v>97</v>
      </c>
      <c r="AS398" s="4" t="s">
        <v>97</v>
      </c>
      <c r="AT398" s="4"/>
      <c r="AU398" s="4"/>
      <c r="AV398" s="4" t="s">
        <v>97</v>
      </c>
      <c r="AW398" s="4" t="s">
        <v>97</v>
      </c>
      <c r="AX398" s="4" t="s">
        <v>103</v>
      </c>
      <c r="AY398" s="4" t="s">
        <v>97</v>
      </c>
      <c r="AZ398" s="4" t="s">
        <v>97</v>
      </c>
      <c r="BA398" s="4" t="s">
        <v>97</v>
      </c>
      <c r="BB398" s="5">
        <v>44140</v>
      </c>
      <c r="BC398" s="5">
        <v>45966</v>
      </c>
      <c r="BD398" s="5">
        <v>45788</v>
      </c>
      <c r="BE398" s="5">
        <v>45788</v>
      </c>
      <c r="BF398" s="4" t="s">
        <v>98</v>
      </c>
      <c r="BG398" s="4" t="s">
        <v>97</v>
      </c>
      <c r="BH398" s="4" t="s">
        <v>103</v>
      </c>
      <c r="BI398" s="4" t="s">
        <v>834</v>
      </c>
    </row>
    <row r="399" spans="1:61" x14ac:dyDescent="0.35">
      <c r="A399" s="4" t="s">
        <v>1065</v>
      </c>
      <c r="B399" s="8" t="str">
        <f t="shared" si="32"/>
        <v>2025</v>
      </c>
      <c r="C399" s="2" t="s">
        <v>61</v>
      </c>
      <c r="D399" s="6" t="str">
        <f t="shared" si="33"/>
        <v>Thies</v>
      </c>
      <c r="E399" s="6">
        <f t="shared" si="34"/>
        <v>153582</v>
      </c>
      <c r="F399" s="6">
        <f t="shared" si="35"/>
        <v>2280463</v>
      </c>
      <c r="G399" s="4" t="s">
        <v>1080</v>
      </c>
      <c r="H399" s="4" t="s">
        <v>1081</v>
      </c>
      <c r="I399" s="4">
        <v>1</v>
      </c>
      <c r="J399" s="4" t="s">
        <v>114</v>
      </c>
      <c r="K399" s="4"/>
      <c r="L399" s="4"/>
      <c r="M399" s="4"/>
      <c r="N399" s="4"/>
      <c r="O399" s="4" t="s">
        <v>238</v>
      </c>
      <c r="P399" s="4" t="s">
        <v>97</v>
      </c>
      <c r="Q399" s="4" t="s">
        <v>97</v>
      </c>
      <c r="R399" s="14" t="s">
        <v>100</v>
      </c>
      <c r="S399" s="14" t="s">
        <v>100</v>
      </c>
      <c r="T399" s="14" t="s">
        <v>100</v>
      </c>
      <c r="U399" s="8"/>
      <c r="V399" s="14"/>
      <c r="W399" s="14"/>
      <c r="X399" s="14"/>
      <c r="Y399" s="5">
        <v>45970</v>
      </c>
      <c r="Z399" s="5">
        <v>45972</v>
      </c>
      <c r="AA399" s="4" t="s">
        <v>103</v>
      </c>
      <c r="AB399" s="4" t="s">
        <v>488</v>
      </c>
      <c r="AC399" s="4" t="s">
        <v>97</v>
      </c>
      <c r="AD399" s="4" t="s">
        <v>97</v>
      </c>
      <c r="AE399" s="4" t="s">
        <v>97</v>
      </c>
      <c r="AF399" s="4" t="s">
        <v>97</v>
      </c>
      <c r="AG399" s="4" t="s">
        <v>97</v>
      </c>
      <c r="AH399" s="4" t="s">
        <v>103</v>
      </c>
      <c r="AI399" s="5">
        <v>45971</v>
      </c>
      <c r="AJ399" s="4" t="s">
        <v>97</v>
      </c>
      <c r="AK399" s="4" t="s">
        <v>97</v>
      </c>
      <c r="AL399" s="4" t="s">
        <v>97</v>
      </c>
      <c r="AM399" s="4" t="s">
        <v>97</v>
      </c>
      <c r="AN399" s="4" t="s">
        <v>103</v>
      </c>
      <c r="AO399" s="4" t="s">
        <v>97</v>
      </c>
      <c r="AP399" s="4" t="s">
        <v>97</v>
      </c>
      <c r="AQ399" s="4" t="s">
        <v>97</v>
      </c>
      <c r="AR399" s="4" t="s">
        <v>97</v>
      </c>
      <c r="AS399" s="4" t="s">
        <v>97</v>
      </c>
      <c r="AT399" s="4"/>
      <c r="AU399" s="4"/>
      <c r="AV399" s="4" t="s">
        <v>97</v>
      </c>
      <c r="AW399" s="4" t="s">
        <v>97</v>
      </c>
      <c r="AX399" s="4" t="s">
        <v>97</v>
      </c>
      <c r="AY399" s="4" t="s">
        <v>97</v>
      </c>
      <c r="AZ399" s="4" t="s">
        <v>103</v>
      </c>
      <c r="BA399" s="4" t="s">
        <v>97</v>
      </c>
      <c r="BB399" s="5">
        <v>45972</v>
      </c>
      <c r="BC399" s="5">
        <v>45973</v>
      </c>
      <c r="BD399" s="5">
        <v>45974</v>
      </c>
      <c r="BE399" s="5">
        <v>45974</v>
      </c>
      <c r="BF399" s="4" t="s">
        <v>98</v>
      </c>
      <c r="BG399" s="4" t="s">
        <v>97</v>
      </c>
      <c r="BH399" s="4" t="s">
        <v>103</v>
      </c>
      <c r="BI399" s="4" t="s">
        <v>834</v>
      </c>
    </row>
    <row r="400" spans="1:61" x14ac:dyDescent="0.35">
      <c r="A400" s="4" t="s">
        <v>1065</v>
      </c>
      <c r="B400" s="8" t="str">
        <f t="shared" si="32"/>
        <v>2025</v>
      </c>
      <c r="C400" s="2" t="s">
        <v>33</v>
      </c>
      <c r="D400" s="6" t="str">
        <f t="shared" si="33"/>
        <v>Thies</v>
      </c>
      <c r="E400" s="6">
        <f t="shared" si="34"/>
        <v>102475</v>
      </c>
      <c r="F400" s="6">
        <f t="shared" si="35"/>
        <v>2280463</v>
      </c>
      <c r="G400" s="4" t="s">
        <v>1082</v>
      </c>
      <c r="H400" s="4" t="s">
        <v>1083</v>
      </c>
      <c r="I400" s="4">
        <v>30</v>
      </c>
      <c r="J400" s="4" t="s">
        <v>114</v>
      </c>
      <c r="K400" s="4"/>
      <c r="L400" s="4"/>
      <c r="M400" s="4"/>
      <c r="N400" s="4"/>
      <c r="O400" s="4" t="s">
        <v>238</v>
      </c>
      <c r="P400" s="4" t="s">
        <v>97</v>
      </c>
      <c r="Q400" s="4" t="s">
        <v>97</v>
      </c>
      <c r="R400" s="14" t="s">
        <v>100</v>
      </c>
      <c r="S400" s="14" t="s">
        <v>100</v>
      </c>
      <c r="T400" s="14" t="s">
        <v>100</v>
      </c>
      <c r="U400" s="8"/>
      <c r="V400" s="14"/>
      <c r="W400" s="14"/>
      <c r="X400" s="14"/>
      <c r="Y400" s="5">
        <v>45967</v>
      </c>
      <c r="Z400" s="5">
        <v>45971</v>
      </c>
      <c r="AA400" s="4" t="s">
        <v>103</v>
      </c>
      <c r="AB400" s="4" t="s">
        <v>488</v>
      </c>
      <c r="AC400" s="4" t="s">
        <v>103</v>
      </c>
      <c r="AD400" s="4" t="s">
        <v>97</v>
      </c>
      <c r="AE400" s="4" t="s">
        <v>97</v>
      </c>
      <c r="AF400" s="4" t="s">
        <v>103</v>
      </c>
      <c r="AG400" s="4" t="s">
        <v>97</v>
      </c>
      <c r="AH400" s="4" t="s">
        <v>103</v>
      </c>
      <c r="AI400" s="5">
        <v>45967</v>
      </c>
      <c r="AJ400" s="4" t="s">
        <v>103</v>
      </c>
      <c r="AK400" s="4" t="s">
        <v>103</v>
      </c>
      <c r="AL400" s="4" t="s">
        <v>97</v>
      </c>
      <c r="AM400" s="4" t="s">
        <v>103</v>
      </c>
      <c r="AN400" s="4" t="s">
        <v>103</v>
      </c>
      <c r="AO400" s="4" t="s">
        <v>97</v>
      </c>
      <c r="AP400" s="4" t="s">
        <v>97</v>
      </c>
      <c r="AQ400" s="4" t="s">
        <v>97</v>
      </c>
      <c r="AR400" s="4" t="s">
        <v>97</v>
      </c>
      <c r="AS400" s="4" t="s">
        <v>97</v>
      </c>
      <c r="AT400" s="4"/>
      <c r="AU400" s="4"/>
      <c r="AV400" s="4" t="s">
        <v>103</v>
      </c>
      <c r="AW400" s="4" t="s">
        <v>103</v>
      </c>
      <c r="AX400" s="4" t="s">
        <v>97</v>
      </c>
      <c r="AY400" s="4" t="s">
        <v>97</v>
      </c>
      <c r="AZ400" s="4" t="s">
        <v>103</v>
      </c>
      <c r="BA400" s="4" t="s">
        <v>97</v>
      </c>
      <c r="BB400" s="5">
        <v>45971</v>
      </c>
      <c r="BC400" s="5">
        <v>45973</v>
      </c>
      <c r="BD400" s="5">
        <v>45974</v>
      </c>
      <c r="BE400" s="5">
        <v>45974</v>
      </c>
      <c r="BF400" s="4" t="s">
        <v>98</v>
      </c>
      <c r="BG400" s="4" t="s">
        <v>97</v>
      </c>
      <c r="BH400" s="4" t="s">
        <v>103</v>
      </c>
      <c r="BI400" s="4" t="s">
        <v>834</v>
      </c>
    </row>
    <row r="401" spans="1:61" x14ac:dyDescent="0.35">
      <c r="A401" s="4" t="s">
        <v>1065</v>
      </c>
      <c r="B401" s="8" t="str">
        <f t="shared" si="32"/>
        <v>2025</v>
      </c>
      <c r="C401" s="2" t="s">
        <v>39</v>
      </c>
      <c r="D401" s="6" t="str">
        <f t="shared" si="33"/>
        <v>Thies</v>
      </c>
      <c r="E401" s="6">
        <f t="shared" si="34"/>
        <v>177609</v>
      </c>
      <c r="F401" s="6">
        <f t="shared" si="35"/>
        <v>2280463</v>
      </c>
      <c r="G401" s="4" t="s">
        <v>1084</v>
      </c>
      <c r="H401" s="4" t="s">
        <v>1085</v>
      </c>
      <c r="I401" s="4">
        <v>62</v>
      </c>
      <c r="J401" s="4" t="s">
        <v>96</v>
      </c>
      <c r="K401" s="4"/>
      <c r="L401" s="4"/>
      <c r="M401" s="4"/>
      <c r="N401" s="4"/>
      <c r="O401" s="4" t="s">
        <v>238</v>
      </c>
      <c r="P401" s="4" t="s">
        <v>97</v>
      </c>
      <c r="Q401" s="4" t="s">
        <v>97</v>
      </c>
      <c r="R401" s="14" t="s">
        <v>100</v>
      </c>
      <c r="S401" s="14" t="s">
        <v>100</v>
      </c>
      <c r="T401" s="14" t="s">
        <v>100</v>
      </c>
      <c r="U401" s="8"/>
      <c r="V401" s="14"/>
      <c r="W401" s="14"/>
      <c r="X401" s="14"/>
      <c r="Y401" s="5">
        <v>45965</v>
      </c>
      <c r="Z401" s="5">
        <v>45969</v>
      </c>
      <c r="AA401" s="4" t="s">
        <v>97</v>
      </c>
      <c r="AB401" s="4"/>
      <c r="AC401" s="4" t="s">
        <v>103</v>
      </c>
      <c r="AD401" s="4" t="s">
        <v>97</v>
      </c>
      <c r="AE401" s="4" t="s">
        <v>97</v>
      </c>
      <c r="AF401" s="4" t="s">
        <v>97</v>
      </c>
      <c r="AG401" s="4" t="s">
        <v>97</v>
      </c>
      <c r="AH401" s="4" t="s">
        <v>103</v>
      </c>
      <c r="AI401" s="5">
        <v>45965</v>
      </c>
      <c r="AJ401" s="4" t="s">
        <v>97</v>
      </c>
      <c r="AK401" s="4" t="s">
        <v>103</v>
      </c>
      <c r="AL401" s="4" t="s">
        <v>97</v>
      </c>
      <c r="AM401" s="4" t="s">
        <v>97</v>
      </c>
      <c r="AN401" s="4" t="s">
        <v>97</v>
      </c>
      <c r="AO401" s="4" t="s">
        <v>97</v>
      </c>
      <c r="AP401" s="4" t="s">
        <v>97</v>
      </c>
      <c r="AQ401" s="4" t="s">
        <v>97</v>
      </c>
      <c r="AR401" s="4" t="s">
        <v>97</v>
      </c>
      <c r="AS401" s="4" t="s">
        <v>97</v>
      </c>
      <c r="AT401" s="4"/>
      <c r="AU401" s="4"/>
      <c r="AV401" s="4" t="s">
        <v>103</v>
      </c>
      <c r="AW401" s="4" t="s">
        <v>97</v>
      </c>
      <c r="AX401" s="4" t="s">
        <v>97</v>
      </c>
      <c r="AY401" s="4" t="s">
        <v>97</v>
      </c>
      <c r="AZ401" s="4" t="s">
        <v>97</v>
      </c>
      <c r="BA401" s="4" t="s">
        <v>97</v>
      </c>
      <c r="BB401" s="5">
        <v>45973</v>
      </c>
      <c r="BC401" s="5">
        <v>45973</v>
      </c>
      <c r="BD401" s="5">
        <v>45974</v>
      </c>
      <c r="BE401" s="5">
        <v>45974</v>
      </c>
      <c r="BF401" s="4" t="s">
        <v>98</v>
      </c>
      <c r="BG401" s="4" t="s">
        <v>97</v>
      </c>
      <c r="BH401" s="4" t="s">
        <v>103</v>
      </c>
      <c r="BI401" s="4" t="s">
        <v>834</v>
      </c>
    </row>
    <row r="402" spans="1:61" x14ac:dyDescent="0.35">
      <c r="A402" s="4" t="s">
        <v>1065</v>
      </c>
      <c r="B402" s="8" t="str">
        <f t="shared" si="32"/>
        <v>2025</v>
      </c>
      <c r="C402" s="2" t="s">
        <v>19</v>
      </c>
      <c r="D402" s="6" t="str">
        <f t="shared" si="33"/>
        <v>Dakar</v>
      </c>
      <c r="E402" s="6">
        <f t="shared" si="34"/>
        <v>565040</v>
      </c>
      <c r="F402" s="6">
        <f t="shared" si="35"/>
        <v>4042240</v>
      </c>
      <c r="G402" s="4" t="s">
        <v>1086</v>
      </c>
      <c r="H402" s="4" t="s">
        <v>1087</v>
      </c>
      <c r="I402" s="4">
        <v>1</v>
      </c>
      <c r="J402" s="4" t="s">
        <v>96</v>
      </c>
      <c r="K402" s="4"/>
      <c r="L402" s="4"/>
      <c r="M402" s="4"/>
      <c r="N402" s="4"/>
      <c r="O402" s="4" t="s">
        <v>238</v>
      </c>
      <c r="P402" s="4" t="s">
        <v>97</v>
      </c>
      <c r="Q402" s="4" t="s">
        <v>97</v>
      </c>
      <c r="R402" s="14" t="s">
        <v>100</v>
      </c>
      <c r="S402" s="14" t="s">
        <v>100</v>
      </c>
      <c r="T402" s="14" t="s">
        <v>100</v>
      </c>
      <c r="U402" s="8"/>
      <c r="V402" s="14"/>
      <c r="W402" s="14"/>
      <c r="X402" s="14"/>
      <c r="Y402" s="5">
        <v>45967</v>
      </c>
      <c r="Z402" s="5">
        <v>45968</v>
      </c>
      <c r="AA402" s="4" t="s">
        <v>103</v>
      </c>
      <c r="AB402" s="4" t="s">
        <v>509</v>
      </c>
      <c r="AC402" s="4" t="s">
        <v>97</v>
      </c>
      <c r="AD402" s="4" t="s">
        <v>97</v>
      </c>
      <c r="AE402" s="4" t="s">
        <v>97</v>
      </c>
      <c r="AF402" s="4" t="s">
        <v>97</v>
      </c>
      <c r="AG402" s="4" t="s">
        <v>97</v>
      </c>
      <c r="AH402" s="4" t="s">
        <v>103</v>
      </c>
      <c r="AI402" s="5">
        <v>45967</v>
      </c>
      <c r="AJ402" s="4" t="s">
        <v>97</v>
      </c>
      <c r="AK402" s="4" t="s">
        <v>97</v>
      </c>
      <c r="AL402" s="4" t="s">
        <v>97</v>
      </c>
      <c r="AM402" s="4" t="s">
        <v>97</v>
      </c>
      <c r="AN402" s="4" t="s">
        <v>103</v>
      </c>
      <c r="AO402" s="4" t="s">
        <v>103</v>
      </c>
      <c r="AP402" s="4" t="s">
        <v>103</v>
      </c>
      <c r="AQ402" s="4" t="s">
        <v>97</v>
      </c>
      <c r="AR402" s="4" t="s">
        <v>97</v>
      </c>
      <c r="AS402" s="4" t="s">
        <v>97</v>
      </c>
      <c r="AT402" s="4"/>
      <c r="AU402" s="4"/>
      <c r="AV402" s="4" t="s">
        <v>103</v>
      </c>
      <c r="AW402" s="4" t="s">
        <v>97</v>
      </c>
      <c r="AX402" s="4" t="s">
        <v>97</v>
      </c>
      <c r="AY402" s="4" t="s">
        <v>97</v>
      </c>
      <c r="AZ402" s="4" t="s">
        <v>97</v>
      </c>
      <c r="BA402" s="4" t="s">
        <v>97</v>
      </c>
      <c r="BB402" s="5">
        <v>45972</v>
      </c>
      <c r="BC402" s="5">
        <v>45972</v>
      </c>
      <c r="BD402" s="5">
        <v>45973</v>
      </c>
      <c r="BE402" s="5">
        <v>45973</v>
      </c>
      <c r="BF402" s="4" t="s">
        <v>98</v>
      </c>
      <c r="BG402" s="4" t="s">
        <v>97</v>
      </c>
      <c r="BH402" s="4" t="s">
        <v>103</v>
      </c>
      <c r="BI402" s="4" t="s">
        <v>834</v>
      </c>
    </row>
    <row r="403" spans="1:61" x14ac:dyDescent="0.35">
      <c r="A403" s="4" t="s">
        <v>1065</v>
      </c>
      <c r="B403" s="8" t="str">
        <f t="shared" si="32"/>
        <v>2025</v>
      </c>
      <c r="C403" s="2" t="s">
        <v>18</v>
      </c>
      <c r="D403" s="6" t="str">
        <f t="shared" si="33"/>
        <v>Dakar</v>
      </c>
      <c r="E403" s="6">
        <f t="shared" si="34"/>
        <v>419489</v>
      </c>
      <c r="F403" s="6">
        <f t="shared" si="35"/>
        <v>4042240</v>
      </c>
      <c r="G403" s="4" t="s">
        <v>1088</v>
      </c>
      <c r="H403" s="4" t="s">
        <v>1089</v>
      </c>
      <c r="I403" s="4">
        <v>40</v>
      </c>
      <c r="J403" s="4" t="s">
        <v>114</v>
      </c>
      <c r="K403" s="4"/>
      <c r="L403" s="4"/>
      <c r="M403" s="4"/>
      <c r="N403" s="4"/>
      <c r="O403" s="4" t="s">
        <v>238</v>
      </c>
      <c r="P403" s="4" t="s">
        <v>103</v>
      </c>
      <c r="Q403" s="4" t="s">
        <v>97</v>
      </c>
      <c r="R403" s="14" t="s">
        <v>100</v>
      </c>
      <c r="S403" s="14" t="s">
        <v>100</v>
      </c>
      <c r="T403" s="14" t="s">
        <v>100</v>
      </c>
      <c r="U403" s="8"/>
      <c r="V403" s="14"/>
      <c r="W403" s="14"/>
      <c r="X403" s="14"/>
      <c r="Y403" s="5">
        <v>45971</v>
      </c>
      <c r="Z403" s="5">
        <v>45972</v>
      </c>
      <c r="AA403" s="4" t="s">
        <v>103</v>
      </c>
      <c r="AB403" s="25">
        <v>39</v>
      </c>
      <c r="AC403" s="4" t="s">
        <v>103</v>
      </c>
      <c r="AD403" s="4" t="s">
        <v>97</v>
      </c>
      <c r="AE403" s="4" t="s">
        <v>97</v>
      </c>
      <c r="AF403" s="4" t="s">
        <v>103</v>
      </c>
      <c r="AG403" s="4" t="s">
        <v>103</v>
      </c>
      <c r="AH403" s="4" t="s">
        <v>103</v>
      </c>
      <c r="AI403" s="5">
        <v>45971</v>
      </c>
      <c r="AJ403" s="4" t="s">
        <v>97</v>
      </c>
      <c r="AK403" s="4" t="s">
        <v>97</v>
      </c>
      <c r="AL403" s="4" t="s">
        <v>97</v>
      </c>
      <c r="AM403" s="4" t="s">
        <v>97</v>
      </c>
      <c r="AN403" s="4" t="s">
        <v>97</v>
      </c>
      <c r="AO403" s="4" t="s">
        <v>97</v>
      </c>
      <c r="AP403" s="4" t="s">
        <v>97</v>
      </c>
      <c r="AQ403" s="4" t="s">
        <v>97</v>
      </c>
      <c r="AR403" s="4" t="s">
        <v>97</v>
      </c>
      <c r="AS403" s="4" t="s">
        <v>97</v>
      </c>
      <c r="AT403" s="4"/>
      <c r="AU403" s="4"/>
      <c r="AV403" s="4" t="s">
        <v>97</v>
      </c>
      <c r="AW403" s="4" t="s">
        <v>97</v>
      </c>
      <c r="AX403" s="4" t="s">
        <v>97</v>
      </c>
      <c r="AY403" s="4" t="s">
        <v>97</v>
      </c>
      <c r="AZ403" s="4" t="s">
        <v>103</v>
      </c>
      <c r="BA403" s="4" t="s">
        <v>97</v>
      </c>
      <c r="BB403" s="5">
        <v>45973</v>
      </c>
      <c r="BC403" s="5">
        <v>45973</v>
      </c>
      <c r="BD403" s="5">
        <v>45973</v>
      </c>
      <c r="BE403" s="5">
        <v>45973</v>
      </c>
      <c r="BF403" s="4" t="s">
        <v>98</v>
      </c>
      <c r="BG403" s="4" t="s">
        <v>97</v>
      </c>
      <c r="BH403" s="4" t="s">
        <v>103</v>
      </c>
      <c r="BI403" s="4" t="s">
        <v>834</v>
      </c>
    </row>
    <row r="404" spans="1:61" x14ac:dyDescent="0.35">
      <c r="A404" s="4" t="s">
        <v>1065</v>
      </c>
      <c r="B404" s="8" t="str">
        <f t="shared" si="32"/>
        <v>2025</v>
      </c>
      <c r="C404" s="2" t="s">
        <v>18</v>
      </c>
      <c r="D404" s="6" t="str">
        <f t="shared" si="33"/>
        <v>Dakar</v>
      </c>
      <c r="E404" s="6">
        <f t="shared" si="34"/>
        <v>419489</v>
      </c>
      <c r="F404" s="6">
        <f t="shared" si="35"/>
        <v>4042240</v>
      </c>
      <c r="G404" s="4" t="s">
        <v>1090</v>
      </c>
      <c r="H404" s="4" t="s">
        <v>1091</v>
      </c>
      <c r="I404" s="4">
        <v>1</v>
      </c>
      <c r="J404" s="4" t="s">
        <v>114</v>
      </c>
      <c r="K404" s="4"/>
      <c r="L404" s="4"/>
      <c r="M404" s="4"/>
      <c r="N404" s="4"/>
      <c r="O404" s="4" t="s">
        <v>238</v>
      </c>
      <c r="P404" s="4" t="s">
        <v>97</v>
      </c>
      <c r="Q404" s="4" t="s">
        <v>97</v>
      </c>
      <c r="R404" s="14" t="s">
        <v>100</v>
      </c>
      <c r="S404" s="14" t="s">
        <v>100</v>
      </c>
      <c r="T404" s="14" t="s">
        <v>100</v>
      </c>
      <c r="U404" s="8"/>
      <c r="V404" s="14"/>
      <c r="W404" s="14"/>
      <c r="X404" s="14"/>
      <c r="Y404" s="5">
        <v>45970</v>
      </c>
      <c r="Z404" s="5">
        <v>45972</v>
      </c>
      <c r="AA404" s="4" t="s">
        <v>103</v>
      </c>
      <c r="AB404" s="4" t="s">
        <v>488</v>
      </c>
      <c r="AC404" s="4" t="s">
        <v>97</v>
      </c>
      <c r="AD404" s="4" t="s">
        <v>97</v>
      </c>
      <c r="AE404" s="4" t="s">
        <v>97</v>
      </c>
      <c r="AF404" s="4" t="s">
        <v>97</v>
      </c>
      <c r="AG404" s="4" t="s">
        <v>97</v>
      </c>
      <c r="AH404" s="4" t="s">
        <v>103</v>
      </c>
      <c r="AI404" s="5">
        <v>45970</v>
      </c>
      <c r="AJ404" s="4" t="s">
        <v>97</v>
      </c>
      <c r="AK404" s="4" t="s">
        <v>103</v>
      </c>
      <c r="AL404" s="4" t="s">
        <v>97</v>
      </c>
      <c r="AM404" s="4" t="s">
        <v>103</v>
      </c>
      <c r="AN404" s="4" t="s">
        <v>103</v>
      </c>
      <c r="AO404" s="4" t="s">
        <v>97</v>
      </c>
      <c r="AP404" s="4" t="s">
        <v>97</v>
      </c>
      <c r="AQ404" s="4" t="s">
        <v>97</v>
      </c>
      <c r="AR404" s="4" t="s">
        <v>103</v>
      </c>
      <c r="AS404" s="4" t="s">
        <v>103</v>
      </c>
      <c r="AT404" s="4"/>
      <c r="AU404" s="4"/>
      <c r="AV404" s="4" t="s">
        <v>97</v>
      </c>
      <c r="AW404" s="4" t="s">
        <v>97</v>
      </c>
      <c r="AX404" s="4" t="s">
        <v>97</v>
      </c>
      <c r="AY404" s="4" t="s">
        <v>97</v>
      </c>
      <c r="AZ404" s="4" t="s">
        <v>103</v>
      </c>
      <c r="BA404" s="4" t="s">
        <v>97</v>
      </c>
      <c r="BB404" s="5">
        <v>45972</v>
      </c>
      <c r="BC404" s="5">
        <v>45973</v>
      </c>
      <c r="BD404" s="5">
        <v>45973</v>
      </c>
      <c r="BE404" s="5">
        <v>45973</v>
      </c>
      <c r="BF404" s="4" t="s">
        <v>98</v>
      </c>
      <c r="BG404" s="4" t="s">
        <v>97</v>
      </c>
      <c r="BH404" s="4" t="s">
        <v>103</v>
      </c>
      <c r="BI404" s="4" t="s">
        <v>834</v>
      </c>
    </row>
    <row r="405" spans="1:61" x14ac:dyDescent="0.35">
      <c r="A405" s="4" t="s">
        <v>1065</v>
      </c>
      <c r="B405" s="8" t="str">
        <f t="shared" si="32"/>
        <v>2025</v>
      </c>
      <c r="C405" s="2" t="s">
        <v>18</v>
      </c>
      <c r="D405" s="6" t="str">
        <f t="shared" si="33"/>
        <v>Dakar</v>
      </c>
      <c r="E405" s="6">
        <f t="shared" si="34"/>
        <v>419489</v>
      </c>
      <c r="F405" s="6">
        <f t="shared" si="35"/>
        <v>4042240</v>
      </c>
      <c r="G405" s="4" t="s">
        <v>1092</v>
      </c>
      <c r="H405" s="4" t="s">
        <v>1093</v>
      </c>
      <c r="I405" s="4">
        <v>1</v>
      </c>
      <c r="J405" s="4" t="s">
        <v>114</v>
      </c>
      <c r="K405" s="4"/>
      <c r="L405" s="4"/>
      <c r="M405" s="4"/>
      <c r="N405" s="4"/>
      <c r="O405" s="4" t="s">
        <v>238</v>
      </c>
      <c r="P405" s="4" t="s">
        <v>97</v>
      </c>
      <c r="Q405" s="4" t="s">
        <v>97</v>
      </c>
      <c r="R405" s="14" t="s">
        <v>100</v>
      </c>
      <c r="S405" s="14" t="s">
        <v>100</v>
      </c>
      <c r="T405" s="14" t="s">
        <v>100</v>
      </c>
      <c r="U405" s="8"/>
      <c r="V405" s="14"/>
      <c r="W405" s="14"/>
      <c r="X405" s="14"/>
      <c r="Y405" s="5">
        <v>45969</v>
      </c>
      <c r="Z405" s="5">
        <v>45972</v>
      </c>
      <c r="AA405" s="4" t="s">
        <v>97</v>
      </c>
      <c r="AB405" s="4"/>
      <c r="AC405" s="4" t="s">
        <v>97</v>
      </c>
      <c r="AD405" s="4" t="s">
        <v>97</v>
      </c>
      <c r="AE405" s="4" t="s">
        <v>97</v>
      </c>
      <c r="AF405" s="4" t="s">
        <v>97</v>
      </c>
      <c r="AG405" s="4" t="s">
        <v>97</v>
      </c>
      <c r="AH405" s="4" t="s">
        <v>103</v>
      </c>
      <c r="AI405" s="5">
        <v>45969</v>
      </c>
      <c r="AJ405" s="4" t="s">
        <v>103</v>
      </c>
      <c r="AK405" s="4" t="s">
        <v>103</v>
      </c>
      <c r="AL405" s="4" t="s">
        <v>97</v>
      </c>
      <c r="AM405" s="4" t="s">
        <v>103</v>
      </c>
      <c r="AN405" s="4" t="s">
        <v>103</v>
      </c>
      <c r="AO405" s="4" t="s">
        <v>97</v>
      </c>
      <c r="AP405" s="4" t="s">
        <v>97</v>
      </c>
      <c r="AQ405" s="4" t="s">
        <v>97</v>
      </c>
      <c r="AR405" s="4" t="s">
        <v>103</v>
      </c>
      <c r="AS405" s="4" t="s">
        <v>97</v>
      </c>
      <c r="AT405" s="4"/>
      <c r="AU405" s="4"/>
      <c r="AV405" s="4" t="s">
        <v>97</v>
      </c>
      <c r="AW405" s="4" t="s">
        <v>97</v>
      </c>
      <c r="AX405" s="4" t="s">
        <v>97</v>
      </c>
      <c r="AY405" s="4" t="s">
        <v>97</v>
      </c>
      <c r="AZ405" s="4" t="s">
        <v>103</v>
      </c>
      <c r="BA405" s="4" t="s">
        <v>97</v>
      </c>
      <c r="BB405" s="5">
        <v>45973</v>
      </c>
      <c r="BC405" s="5">
        <v>45973</v>
      </c>
      <c r="BD405" s="5">
        <v>45973</v>
      </c>
      <c r="BE405" s="5">
        <v>45973</v>
      </c>
      <c r="BF405" s="4" t="s">
        <v>98</v>
      </c>
      <c r="BG405" s="4" t="s">
        <v>97</v>
      </c>
      <c r="BH405" s="4" t="s">
        <v>103</v>
      </c>
      <c r="BI405" s="4" t="s">
        <v>834</v>
      </c>
    </row>
    <row r="406" spans="1:61" x14ac:dyDescent="0.35">
      <c r="A406" s="4" t="s">
        <v>1065</v>
      </c>
      <c r="B406" s="8" t="str">
        <f t="shared" si="32"/>
        <v>2025</v>
      </c>
      <c r="C406" s="2" t="s">
        <v>18</v>
      </c>
      <c r="D406" s="6" t="str">
        <f t="shared" si="33"/>
        <v>Dakar</v>
      </c>
      <c r="E406" s="6">
        <f t="shared" si="34"/>
        <v>419489</v>
      </c>
      <c r="F406" s="6">
        <f t="shared" si="35"/>
        <v>4042240</v>
      </c>
      <c r="G406" s="4" t="s">
        <v>1094</v>
      </c>
      <c r="H406" s="4" t="s">
        <v>1095</v>
      </c>
      <c r="I406" s="4">
        <v>1</v>
      </c>
      <c r="J406" s="4" t="s">
        <v>114</v>
      </c>
      <c r="K406" s="4"/>
      <c r="L406" s="4"/>
      <c r="M406" s="4"/>
      <c r="N406" s="4"/>
      <c r="O406" s="4" t="s">
        <v>238</v>
      </c>
      <c r="P406" s="4" t="s">
        <v>97</v>
      </c>
      <c r="Q406" s="4" t="s">
        <v>97</v>
      </c>
      <c r="R406" s="14" t="s">
        <v>100</v>
      </c>
      <c r="S406" s="14" t="s">
        <v>100</v>
      </c>
      <c r="T406" s="14" t="s">
        <v>100</v>
      </c>
      <c r="U406" s="8"/>
      <c r="V406" s="14"/>
      <c r="W406" s="14"/>
      <c r="X406" s="14"/>
      <c r="Y406" s="5">
        <v>45970</v>
      </c>
      <c r="Z406" s="5">
        <v>45971</v>
      </c>
      <c r="AA406" s="4" t="s">
        <v>97</v>
      </c>
      <c r="AB406" s="4"/>
      <c r="AC406" s="4" t="s">
        <v>97</v>
      </c>
      <c r="AD406" s="4" t="s">
        <v>97</v>
      </c>
      <c r="AE406" s="4" t="s">
        <v>97</v>
      </c>
      <c r="AF406" s="4" t="s">
        <v>97</v>
      </c>
      <c r="AG406" s="4" t="s">
        <v>97</v>
      </c>
      <c r="AH406" s="4" t="s">
        <v>103</v>
      </c>
      <c r="AI406" s="5">
        <v>45970</v>
      </c>
      <c r="AJ406" s="4" t="s">
        <v>103</v>
      </c>
      <c r="AK406" s="4" t="s">
        <v>103</v>
      </c>
      <c r="AL406" s="4" t="s">
        <v>97</v>
      </c>
      <c r="AM406" s="4" t="s">
        <v>103</v>
      </c>
      <c r="AN406" s="4" t="s">
        <v>103</v>
      </c>
      <c r="AO406" s="4" t="s">
        <v>97</v>
      </c>
      <c r="AP406" s="4" t="s">
        <v>97</v>
      </c>
      <c r="AQ406" s="4" t="s">
        <v>103</v>
      </c>
      <c r="AR406" s="4" t="s">
        <v>103</v>
      </c>
      <c r="AS406" s="4" t="s">
        <v>103</v>
      </c>
      <c r="AT406" s="4"/>
      <c r="AU406" s="4"/>
      <c r="AV406" s="4" t="s">
        <v>97</v>
      </c>
      <c r="AW406" s="4" t="s">
        <v>97</v>
      </c>
      <c r="AX406" s="4" t="s">
        <v>97</v>
      </c>
      <c r="AY406" s="4" t="s">
        <v>97</v>
      </c>
      <c r="AZ406" s="4" t="s">
        <v>103</v>
      </c>
      <c r="BA406" s="4" t="s">
        <v>97</v>
      </c>
      <c r="BB406" s="5">
        <v>45973</v>
      </c>
      <c r="BC406" s="5">
        <v>45973</v>
      </c>
      <c r="BD406" s="5">
        <v>45973</v>
      </c>
      <c r="BE406" s="5">
        <v>45973</v>
      </c>
      <c r="BF406" s="4" t="s">
        <v>98</v>
      </c>
      <c r="BG406" s="4" t="s">
        <v>97</v>
      </c>
      <c r="BH406" s="4" t="s">
        <v>103</v>
      </c>
      <c r="BI406" s="4" t="s">
        <v>834</v>
      </c>
    </row>
    <row r="407" spans="1:61" x14ac:dyDescent="0.35">
      <c r="A407" s="4" t="s">
        <v>1065</v>
      </c>
      <c r="B407" s="8" t="str">
        <f t="shared" si="32"/>
        <v>2025</v>
      </c>
      <c r="C407" s="2" t="s">
        <v>18</v>
      </c>
      <c r="D407" s="6" t="str">
        <f t="shared" si="33"/>
        <v>Dakar</v>
      </c>
      <c r="E407" s="6">
        <f t="shared" si="34"/>
        <v>419489</v>
      </c>
      <c r="F407" s="6">
        <f t="shared" si="35"/>
        <v>4042240</v>
      </c>
      <c r="G407" s="4" t="s">
        <v>1096</v>
      </c>
      <c r="H407" s="4" t="s">
        <v>1097</v>
      </c>
      <c r="I407" s="4">
        <v>2</v>
      </c>
      <c r="J407" s="4" t="s">
        <v>96</v>
      </c>
      <c r="K407" s="4"/>
      <c r="L407" s="4"/>
      <c r="M407" s="4"/>
      <c r="N407" s="4"/>
      <c r="O407" s="4" t="s">
        <v>238</v>
      </c>
      <c r="P407" s="4" t="s">
        <v>97</v>
      </c>
      <c r="Q407" s="4" t="s">
        <v>97</v>
      </c>
      <c r="R407" s="14" t="s">
        <v>100</v>
      </c>
      <c r="S407" s="14" t="s">
        <v>100</v>
      </c>
      <c r="T407" s="14" t="s">
        <v>100</v>
      </c>
      <c r="U407" s="8"/>
      <c r="V407" s="14"/>
      <c r="W407" s="14"/>
      <c r="X407" s="14"/>
      <c r="Y407" s="5">
        <v>45969</v>
      </c>
      <c r="Z407" s="5">
        <v>45972</v>
      </c>
      <c r="AA407" s="4" t="s">
        <v>103</v>
      </c>
      <c r="AB407" s="25">
        <v>38</v>
      </c>
      <c r="AC407" s="4" t="s">
        <v>97</v>
      </c>
      <c r="AD407" s="4" t="s">
        <v>97</v>
      </c>
      <c r="AE407" s="4" t="s">
        <v>97</v>
      </c>
      <c r="AF407" s="4" t="s">
        <v>97</v>
      </c>
      <c r="AG407" s="4" t="s">
        <v>97</v>
      </c>
      <c r="AH407" s="4" t="s">
        <v>103</v>
      </c>
      <c r="AI407" s="5">
        <v>45969</v>
      </c>
      <c r="AJ407" s="4" t="s">
        <v>103</v>
      </c>
      <c r="AK407" s="4" t="s">
        <v>103</v>
      </c>
      <c r="AL407" s="4" t="s">
        <v>97</v>
      </c>
      <c r="AM407" s="4" t="s">
        <v>97</v>
      </c>
      <c r="AN407" s="4" t="s">
        <v>97</v>
      </c>
      <c r="AO407" s="4" t="s">
        <v>97</v>
      </c>
      <c r="AP407" s="4" t="s">
        <v>97</v>
      </c>
      <c r="AQ407" s="4" t="s">
        <v>103</v>
      </c>
      <c r="AR407" s="4" t="s">
        <v>103</v>
      </c>
      <c r="AS407" s="4" t="s">
        <v>103</v>
      </c>
      <c r="AT407" s="4"/>
      <c r="AU407" s="4"/>
      <c r="AV407" s="4" t="s">
        <v>97</v>
      </c>
      <c r="AW407" s="4" t="s">
        <v>97</v>
      </c>
      <c r="AX407" s="4" t="s">
        <v>97</v>
      </c>
      <c r="AY407" s="4" t="s">
        <v>97</v>
      </c>
      <c r="AZ407" s="4" t="s">
        <v>103</v>
      </c>
      <c r="BA407" s="4" t="s">
        <v>97</v>
      </c>
      <c r="BB407" s="5">
        <v>45972</v>
      </c>
      <c r="BC407" s="5">
        <v>45972</v>
      </c>
      <c r="BD407" s="5">
        <v>45973</v>
      </c>
      <c r="BE407" s="5">
        <v>45973</v>
      </c>
      <c r="BF407" s="4" t="s">
        <v>98</v>
      </c>
      <c r="BG407" s="4" t="s">
        <v>97</v>
      </c>
      <c r="BH407" s="4" t="s">
        <v>103</v>
      </c>
      <c r="BI407" s="4" t="s">
        <v>834</v>
      </c>
    </row>
    <row r="408" spans="1:61" x14ac:dyDescent="0.35">
      <c r="A408" s="4" t="s">
        <v>1065</v>
      </c>
      <c r="B408" s="8" t="str">
        <f t="shared" si="32"/>
        <v>2025</v>
      </c>
      <c r="C408" s="2" t="s">
        <v>19</v>
      </c>
      <c r="D408" s="6" t="str">
        <f t="shared" si="33"/>
        <v>Dakar</v>
      </c>
      <c r="E408" s="6">
        <f t="shared" si="34"/>
        <v>565040</v>
      </c>
      <c r="F408" s="6">
        <f t="shared" si="35"/>
        <v>4042240</v>
      </c>
      <c r="G408" s="4" t="s">
        <v>1098</v>
      </c>
      <c r="H408" s="4" t="s">
        <v>1099</v>
      </c>
      <c r="I408" s="4">
        <v>22</v>
      </c>
      <c r="J408" s="4" t="s">
        <v>114</v>
      </c>
      <c r="K408" s="4"/>
      <c r="L408" s="4"/>
      <c r="M408" s="4"/>
      <c r="N408" s="4"/>
      <c r="O408" s="4" t="s">
        <v>238</v>
      </c>
      <c r="P408" s="4" t="s">
        <v>97</v>
      </c>
      <c r="Q408" s="4" t="s">
        <v>97</v>
      </c>
      <c r="R408" s="14" t="s">
        <v>100</v>
      </c>
      <c r="S408" s="14" t="s">
        <v>100</v>
      </c>
      <c r="T408" s="14" t="s">
        <v>100</v>
      </c>
      <c r="U408" s="8"/>
      <c r="V408" s="14"/>
      <c r="W408" s="14"/>
      <c r="X408" s="14"/>
      <c r="Y408" s="5">
        <v>45960</v>
      </c>
      <c r="Z408" s="5">
        <v>45972</v>
      </c>
      <c r="AA408" s="4" t="s">
        <v>103</v>
      </c>
      <c r="AB408" s="4" t="s">
        <v>463</v>
      </c>
      <c r="AC408" s="4" t="s">
        <v>103</v>
      </c>
      <c r="AD408" s="4" t="s">
        <v>97</v>
      </c>
      <c r="AE408" s="4" t="s">
        <v>97</v>
      </c>
      <c r="AF408" s="4" t="s">
        <v>103</v>
      </c>
      <c r="AG408" s="4" t="s">
        <v>97</v>
      </c>
      <c r="AH408" s="4" t="s">
        <v>103</v>
      </c>
      <c r="AI408" s="5">
        <v>45960</v>
      </c>
      <c r="AJ408" s="4" t="s">
        <v>97</v>
      </c>
      <c r="AK408" s="4" t="s">
        <v>97</v>
      </c>
      <c r="AL408" s="4" t="s">
        <v>103</v>
      </c>
      <c r="AM408" s="4" t="s">
        <v>103</v>
      </c>
      <c r="AN408" s="4" t="s">
        <v>103</v>
      </c>
      <c r="AO408" s="4" t="s">
        <v>97</v>
      </c>
      <c r="AP408" s="4" t="s">
        <v>97</v>
      </c>
      <c r="AQ408" s="4" t="s">
        <v>97</v>
      </c>
      <c r="AR408" s="4" t="s">
        <v>97</v>
      </c>
      <c r="AS408" s="4" t="s">
        <v>97</v>
      </c>
      <c r="AT408" s="4"/>
      <c r="AU408" s="4"/>
      <c r="AV408" s="4" t="s">
        <v>103</v>
      </c>
      <c r="AW408" s="4" t="s">
        <v>97</v>
      </c>
      <c r="AX408" s="4" t="s">
        <v>97</v>
      </c>
      <c r="AY408" s="4" t="s">
        <v>97</v>
      </c>
      <c r="AZ408" s="4" t="s">
        <v>103</v>
      </c>
      <c r="BA408" s="4" t="s">
        <v>97</v>
      </c>
      <c r="BB408" s="5">
        <v>45972</v>
      </c>
      <c r="BC408" s="5">
        <v>45973</v>
      </c>
      <c r="BD408" s="5">
        <v>45973</v>
      </c>
      <c r="BE408" s="5">
        <v>45973</v>
      </c>
      <c r="BF408" s="4" t="s">
        <v>98</v>
      </c>
      <c r="BG408" s="4" t="s">
        <v>97</v>
      </c>
      <c r="BH408" s="4" t="s">
        <v>103</v>
      </c>
      <c r="BI408" s="4" t="s">
        <v>834</v>
      </c>
    </row>
    <row r="409" spans="1:61" x14ac:dyDescent="0.35">
      <c r="A409" s="4" t="s">
        <v>1065</v>
      </c>
      <c r="B409" s="8" t="str">
        <f t="shared" si="32"/>
        <v>2025</v>
      </c>
      <c r="C409" s="2" t="s">
        <v>19</v>
      </c>
      <c r="D409" s="6" t="str">
        <f t="shared" si="33"/>
        <v>Dakar</v>
      </c>
      <c r="E409" s="6">
        <f t="shared" si="34"/>
        <v>565040</v>
      </c>
      <c r="F409" s="6">
        <f t="shared" si="35"/>
        <v>4042240</v>
      </c>
      <c r="G409" s="4" t="s">
        <v>1100</v>
      </c>
      <c r="H409" s="4" t="s">
        <v>1101</v>
      </c>
      <c r="I409" s="4">
        <v>2</v>
      </c>
      <c r="J409" s="4" t="s">
        <v>96</v>
      </c>
      <c r="K409" s="4"/>
      <c r="L409" s="4"/>
      <c r="M409" s="4"/>
      <c r="N409" s="4"/>
      <c r="O409" s="4" t="s">
        <v>238</v>
      </c>
      <c r="P409" s="4" t="s">
        <v>97</v>
      </c>
      <c r="Q409" s="4" t="s">
        <v>97</v>
      </c>
      <c r="R409" s="14" t="s">
        <v>100</v>
      </c>
      <c r="S409" s="14" t="s">
        <v>100</v>
      </c>
      <c r="T409" s="14" t="s">
        <v>100</v>
      </c>
      <c r="U409" s="8"/>
      <c r="V409" s="14"/>
      <c r="W409" s="14"/>
      <c r="X409" s="14"/>
      <c r="Y409" s="5">
        <v>45969</v>
      </c>
      <c r="Z409" s="5">
        <v>45971</v>
      </c>
      <c r="AA409" s="4" t="s">
        <v>103</v>
      </c>
      <c r="AB409" s="4" t="s">
        <v>488</v>
      </c>
      <c r="AC409" s="4" t="s">
        <v>97</v>
      </c>
      <c r="AD409" s="4" t="s">
        <v>97</v>
      </c>
      <c r="AE409" s="4" t="s">
        <v>97</v>
      </c>
      <c r="AF409" s="4" t="s">
        <v>103</v>
      </c>
      <c r="AG409" s="4" t="s">
        <v>103</v>
      </c>
      <c r="AH409" s="4" t="s">
        <v>103</v>
      </c>
      <c r="AI409" s="5">
        <v>45969</v>
      </c>
      <c r="AJ409" s="4" t="s">
        <v>97</v>
      </c>
      <c r="AK409" s="4" t="s">
        <v>97</v>
      </c>
      <c r="AL409" s="4" t="s">
        <v>97</v>
      </c>
      <c r="AM409" s="4" t="s">
        <v>103</v>
      </c>
      <c r="AN409" s="4" t="s">
        <v>103</v>
      </c>
      <c r="AO409" s="4" t="s">
        <v>103</v>
      </c>
      <c r="AP409" s="4" t="s">
        <v>103</v>
      </c>
      <c r="AQ409" s="4" t="s">
        <v>97</v>
      </c>
      <c r="AR409" s="4" t="s">
        <v>97</v>
      </c>
      <c r="AS409" s="4" t="s">
        <v>97</v>
      </c>
      <c r="AT409" s="4"/>
      <c r="AU409" s="4"/>
      <c r="AV409" s="4" t="s">
        <v>103</v>
      </c>
      <c r="AW409" s="4" t="s">
        <v>97</v>
      </c>
      <c r="AX409" s="4" t="s">
        <v>97</v>
      </c>
      <c r="AY409" s="4" t="s">
        <v>97</v>
      </c>
      <c r="AZ409" s="4" t="s">
        <v>103</v>
      </c>
      <c r="BA409" s="4" t="s">
        <v>97</v>
      </c>
      <c r="BB409" s="5">
        <v>45972</v>
      </c>
      <c r="BC409" s="5">
        <v>45973</v>
      </c>
      <c r="BD409" s="5">
        <v>45973</v>
      </c>
      <c r="BE409" s="5">
        <v>45973</v>
      </c>
      <c r="BF409" s="4" t="s">
        <v>98</v>
      </c>
      <c r="BG409" s="4" t="s">
        <v>97</v>
      </c>
      <c r="BH409" s="4" t="s">
        <v>103</v>
      </c>
      <c r="BI409" s="4" t="s">
        <v>834</v>
      </c>
    </row>
    <row r="410" spans="1:61" x14ac:dyDescent="0.35">
      <c r="A410" s="4" t="s">
        <v>1065</v>
      </c>
      <c r="B410" s="8" t="str">
        <f t="shared" si="32"/>
        <v>2025</v>
      </c>
      <c r="C410" s="2" t="s">
        <v>61</v>
      </c>
      <c r="D410" s="6" t="str">
        <f t="shared" si="33"/>
        <v>Thies</v>
      </c>
      <c r="E410" s="6">
        <f t="shared" si="34"/>
        <v>153582</v>
      </c>
      <c r="F410" s="6">
        <f t="shared" si="35"/>
        <v>2280463</v>
      </c>
      <c r="G410" s="4" t="s">
        <v>1102</v>
      </c>
      <c r="H410" s="4" t="s">
        <v>1103</v>
      </c>
      <c r="I410" s="4">
        <v>10</v>
      </c>
      <c r="J410" s="4" t="s">
        <v>114</v>
      </c>
      <c r="K410" s="4"/>
      <c r="L410" s="4"/>
      <c r="M410" s="4"/>
      <c r="N410" s="4"/>
      <c r="O410" s="4" t="s">
        <v>238</v>
      </c>
      <c r="P410" s="4" t="s">
        <v>97</v>
      </c>
      <c r="Q410" s="4" t="s">
        <v>97</v>
      </c>
      <c r="R410" s="14" t="s">
        <v>100</v>
      </c>
      <c r="S410" s="14" t="s">
        <v>100</v>
      </c>
      <c r="T410" s="14" t="s">
        <v>100</v>
      </c>
      <c r="U410" s="8"/>
      <c r="V410" s="14"/>
      <c r="W410" s="14"/>
      <c r="X410" s="14"/>
      <c r="Y410" s="5">
        <v>45931</v>
      </c>
      <c r="Z410" s="5">
        <v>45972</v>
      </c>
      <c r="AA410" s="4" t="s">
        <v>97</v>
      </c>
      <c r="AB410" s="4"/>
      <c r="AC410" s="4" t="s">
        <v>97</v>
      </c>
      <c r="AD410" s="4" t="s">
        <v>97</v>
      </c>
      <c r="AE410" s="4" t="s">
        <v>97</v>
      </c>
      <c r="AF410" s="4" t="s">
        <v>97</v>
      </c>
      <c r="AG410" s="4" t="s">
        <v>97</v>
      </c>
      <c r="AH410" s="4" t="s">
        <v>103</v>
      </c>
      <c r="AI410" s="5">
        <v>45970</v>
      </c>
      <c r="AJ410" s="4" t="s">
        <v>97</v>
      </c>
      <c r="AK410" s="4" t="s">
        <v>97</v>
      </c>
      <c r="AL410" s="4" t="s">
        <v>97</v>
      </c>
      <c r="AM410" s="4" t="s">
        <v>103</v>
      </c>
      <c r="AN410" s="4" t="s">
        <v>103</v>
      </c>
      <c r="AO410" s="4" t="s">
        <v>97</v>
      </c>
      <c r="AP410" s="4" t="s">
        <v>97</v>
      </c>
      <c r="AQ410" s="4" t="s">
        <v>97</v>
      </c>
      <c r="AR410" s="4" t="s">
        <v>97</v>
      </c>
      <c r="AS410" s="4" t="s">
        <v>97</v>
      </c>
      <c r="AT410" s="4"/>
      <c r="AU410" s="4"/>
      <c r="AV410" s="4" t="s">
        <v>103</v>
      </c>
      <c r="AW410" s="4" t="s">
        <v>97</v>
      </c>
      <c r="AX410" s="4" t="s">
        <v>97</v>
      </c>
      <c r="AY410" s="4" t="s">
        <v>97</v>
      </c>
      <c r="AZ410" s="4" t="s">
        <v>103</v>
      </c>
      <c r="BA410" s="4" t="s">
        <v>97</v>
      </c>
      <c r="BB410" s="5">
        <v>45972</v>
      </c>
      <c r="BC410" s="5">
        <v>45972</v>
      </c>
      <c r="BD410" s="5">
        <v>45975</v>
      </c>
      <c r="BE410" s="5">
        <v>45975</v>
      </c>
      <c r="BF410" s="4" t="s">
        <v>98</v>
      </c>
      <c r="BG410" s="4" t="s">
        <v>97</v>
      </c>
      <c r="BH410" s="4" t="s">
        <v>103</v>
      </c>
      <c r="BI410" s="4" t="s">
        <v>834</v>
      </c>
    </row>
    <row r="411" spans="1:61" x14ac:dyDescent="0.35">
      <c r="A411" s="4" t="s">
        <v>1065</v>
      </c>
      <c r="B411" s="8" t="str">
        <f t="shared" si="32"/>
        <v>2025</v>
      </c>
      <c r="C411" s="2" t="s">
        <v>32</v>
      </c>
      <c r="D411" s="6" t="str">
        <f t="shared" si="33"/>
        <v>Kaolack</v>
      </c>
      <c r="E411" s="6">
        <f t="shared" si="34"/>
        <v>151881</v>
      </c>
      <c r="F411" s="6">
        <f t="shared" si="35"/>
        <v>1267013</v>
      </c>
      <c r="G411" s="4" t="s">
        <v>1104</v>
      </c>
      <c r="H411" s="4" t="s">
        <v>1105</v>
      </c>
      <c r="I411" s="4">
        <v>12</v>
      </c>
      <c r="J411" s="4" t="s">
        <v>96</v>
      </c>
      <c r="K411" s="4"/>
      <c r="L411" s="4"/>
      <c r="M411" s="4"/>
      <c r="N411" s="4"/>
      <c r="O411" s="4" t="s">
        <v>238</v>
      </c>
      <c r="P411" s="4" t="s">
        <v>97</v>
      </c>
      <c r="Q411" s="4" t="s">
        <v>97</v>
      </c>
      <c r="R411" s="14" t="s">
        <v>100</v>
      </c>
      <c r="S411" s="14" t="s">
        <v>100</v>
      </c>
      <c r="T411" s="14" t="s">
        <v>100</v>
      </c>
      <c r="U411" s="8"/>
      <c r="V411" s="14"/>
      <c r="W411" s="14"/>
      <c r="X411" s="14"/>
      <c r="Y411" s="5">
        <v>45960</v>
      </c>
      <c r="Z411" s="5">
        <v>45974</v>
      </c>
      <c r="AA411" s="4" t="s">
        <v>103</v>
      </c>
      <c r="AB411" s="25">
        <v>37</v>
      </c>
      <c r="AC411" s="4" t="s">
        <v>97</v>
      </c>
      <c r="AD411" s="4" t="s">
        <v>97</v>
      </c>
      <c r="AE411" s="4" t="s">
        <v>97</v>
      </c>
      <c r="AF411" s="4" t="s">
        <v>103</v>
      </c>
      <c r="AG411" s="4" t="s">
        <v>103</v>
      </c>
      <c r="AH411" s="4" t="s">
        <v>103</v>
      </c>
      <c r="AI411" s="5">
        <v>45960</v>
      </c>
      <c r="AJ411" s="4" t="s">
        <v>103</v>
      </c>
      <c r="AK411" s="4" t="s">
        <v>103</v>
      </c>
      <c r="AL411" s="4" t="s">
        <v>97</v>
      </c>
      <c r="AM411" s="4" t="s">
        <v>97</v>
      </c>
      <c r="AN411" s="4" t="s">
        <v>103</v>
      </c>
      <c r="AO411" s="4" t="s">
        <v>97</v>
      </c>
      <c r="AP411" s="4" t="s">
        <v>103</v>
      </c>
      <c r="AQ411" s="4" t="s">
        <v>97</v>
      </c>
      <c r="AR411" s="4" t="s">
        <v>97</v>
      </c>
      <c r="AS411" s="4" t="s">
        <v>97</v>
      </c>
      <c r="AT411" s="4"/>
      <c r="AU411" s="4"/>
      <c r="AV411" s="4" t="s">
        <v>103</v>
      </c>
      <c r="AW411" s="4" t="s">
        <v>97</v>
      </c>
      <c r="AX411" s="4" t="s">
        <v>97</v>
      </c>
      <c r="AY411" s="4" t="s">
        <v>97</v>
      </c>
      <c r="AZ411" s="4" t="s">
        <v>97</v>
      </c>
      <c r="BA411" s="4" t="s">
        <v>97</v>
      </c>
      <c r="BB411" s="5">
        <v>45975</v>
      </c>
      <c r="BC411" s="5">
        <v>45975</v>
      </c>
      <c r="BD411" s="5">
        <v>45975</v>
      </c>
      <c r="BE411" s="5">
        <v>45975</v>
      </c>
      <c r="BF411" s="4" t="s">
        <v>98</v>
      </c>
      <c r="BG411" s="4" t="s">
        <v>97</v>
      </c>
      <c r="BH411" s="4" t="s">
        <v>103</v>
      </c>
      <c r="BI411" s="4" t="s">
        <v>834</v>
      </c>
    </row>
    <row r="412" spans="1:61" x14ac:dyDescent="0.35">
      <c r="A412" s="4" t="s">
        <v>1065</v>
      </c>
      <c r="B412" s="8" t="str">
        <f t="shared" si="32"/>
        <v>2025</v>
      </c>
      <c r="C412" s="2" t="s">
        <v>21</v>
      </c>
      <c r="D412" s="6" t="str">
        <f t="shared" si="33"/>
        <v>Dakar</v>
      </c>
      <c r="E412" s="6">
        <f t="shared" si="34"/>
        <v>219872</v>
      </c>
      <c r="F412" s="6">
        <f t="shared" si="35"/>
        <v>4042240</v>
      </c>
      <c r="G412" s="4" t="s">
        <v>1106</v>
      </c>
      <c r="H412" s="4" t="s">
        <v>1107</v>
      </c>
      <c r="I412" s="4">
        <v>11</v>
      </c>
      <c r="J412" s="4" t="s">
        <v>96</v>
      </c>
      <c r="K412" s="4"/>
      <c r="L412" s="4"/>
      <c r="M412" s="4"/>
      <c r="N412" s="4"/>
      <c r="O412" s="4" t="s">
        <v>238</v>
      </c>
      <c r="P412" s="4" t="s">
        <v>97</v>
      </c>
      <c r="Q412" s="4" t="s">
        <v>97</v>
      </c>
      <c r="R412" s="14" t="s">
        <v>100</v>
      </c>
      <c r="S412" s="14" t="s">
        <v>100</v>
      </c>
      <c r="T412" s="14" t="s">
        <v>100</v>
      </c>
      <c r="U412" s="8"/>
      <c r="V412" s="14"/>
      <c r="W412" s="14"/>
      <c r="X412" s="14"/>
      <c r="Y412" s="5">
        <v>45968</v>
      </c>
      <c r="Z412" s="5">
        <v>45972</v>
      </c>
      <c r="AA412" s="4" t="s">
        <v>103</v>
      </c>
      <c r="AB412" s="4" t="s">
        <v>488</v>
      </c>
      <c r="AC412" s="4" t="s">
        <v>103</v>
      </c>
      <c r="AD412" s="4" t="s">
        <v>97</v>
      </c>
      <c r="AE412" s="4" t="s">
        <v>97</v>
      </c>
      <c r="AF412" s="4" t="s">
        <v>103</v>
      </c>
      <c r="AG412" s="4" t="s">
        <v>97</v>
      </c>
      <c r="AH412" s="4" t="s">
        <v>103</v>
      </c>
      <c r="AI412" s="5">
        <v>45968</v>
      </c>
      <c r="AJ412" s="4" t="s">
        <v>97</v>
      </c>
      <c r="AK412" s="4" t="s">
        <v>97</v>
      </c>
      <c r="AL412" s="4" t="s">
        <v>97</v>
      </c>
      <c r="AM412" s="4" t="s">
        <v>103</v>
      </c>
      <c r="AN412" s="4" t="s">
        <v>103</v>
      </c>
      <c r="AO412" s="4" t="s">
        <v>97</v>
      </c>
      <c r="AP412" s="4" t="s">
        <v>103</v>
      </c>
      <c r="AQ412" s="4" t="s">
        <v>97</v>
      </c>
      <c r="AR412" s="4" t="s">
        <v>97</v>
      </c>
      <c r="AS412" s="4" t="s">
        <v>97</v>
      </c>
      <c r="AT412" s="4"/>
      <c r="AU412" s="4"/>
      <c r="AV412" s="4" t="s">
        <v>97</v>
      </c>
      <c r="AW412" s="4" t="s">
        <v>97</v>
      </c>
      <c r="AX412" s="4" t="s">
        <v>97</v>
      </c>
      <c r="AY412" s="4" t="s">
        <v>97</v>
      </c>
      <c r="AZ412" s="4" t="s">
        <v>103</v>
      </c>
      <c r="BA412" s="4" t="s">
        <v>97</v>
      </c>
      <c r="BB412" s="5">
        <v>45975</v>
      </c>
      <c r="BC412" s="5">
        <v>45975</v>
      </c>
      <c r="BD412" s="5">
        <v>45975</v>
      </c>
      <c r="BE412" s="5">
        <v>45975</v>
      </c>
      <c r="BF412" s="4" t="s">
        <v>98</v>
      </c>
      <c r="BG412" s="4" t="s">
        <v>97</v>
      </c>
      <c r="BH412" s="4" t="s">
        <v>103</v>
      </c>
      <c r="BI412" s="4" t="s">
        <v>834</v>
      </c>
    </row>
    <row r="413" spans="1:61" x14ac:dyDescent="0.35">
      <c r="A413" s="4" t="s">
        <v>1065</v>
      </c>
      <c r="B413" s="8" t="str">
        <f t="shared" si="32"/>
        <v>2025</v>
      </c>
      <c r="C413" s="2" t="s">
        <v>21</v>
      </c>
      <c r="D413" s="6" t="str">
        <f t="shared" si="33"/>
        <v>Dakar</v>
      </c>
      <c r="E413" s="6">
        <f t="shared" si="34"/>
        <v>219872</v>
      </c>
      <c r="F413" s="6">
        <f t="shared" si="35"/>
        <v>4042240</v>
      </c>
      <c r="G413" s="4" t="s">
        <v>1108</v>
      </c>
      <c r="H413" s="4" t="s">
        <v>1109</v>
      </c>
      <c r="I413" s="4">
        <v>1</v>
      </c>
      <c r="J413" s="4" t="s">
        <v>114</v>
      </c>
      <c r="K413" s="4"/>
      <c r="L413" s="4"/>
      <c r="M413" s="4"/>
      <c r="N413" s="4"/>
      <c r="O413" s="4" t="s">
        <v>238</v>
      </c>
      <c r="P413" s="4" t="s">
        <v>97</v>
      </c>
      <c r="Q413" s="4" t="s">
        <v>97</v>
      </c>
      <c r="R413" s="14" t="s">
        <v>100</v>
      </c>
      <c r="S413" s="14" t="s">
        <v>100</v>
      </c>
      <c r="T413" s="14" t="s">
        <v>100</v>
      </c>
      <c r="U413" s="8"/>
      <c r="V413" s="14"/>
      <c r="W413" s="14"/>
      <c r="X413" s="14"/>
      <c r="Y413" s="5">
        <v>45970</v>
      </c>
      <c r="Z413" s="5">
        <v>45972</v>
      </c>
      <c r="AA413" s="4" t="s">
        <v>103</v>
      </c>
      <c r="AB413" s="4" t="s">
        <v>413</v>
      </c>
      <c r="AC413" s="4" t="s">
        <v>97</v>
      </c>
      <c r="AD413" s="4" t="s">
        <v>97</v>
      </c>
      <c r="AE413" s="4" t="s">
        <v>97</v>
      </c>
      <c r="AF413" s="4" t="s">
        <v>103</v>
      </c>
      <c r="AG413" s="4" t="s">
        <v>97</v>
      </c>
      <c r="AH413" s="4" t="s">
        <v>103</v>
      </c>
      <c r="AI413" s="5">
        <v>45971</v>
      </c>
      <c r="AJ413" s="4" t="s">
        <v>97</v>
      </c>
      <c r="AK413" s="4" t="s">
        <v>97</v>
      </c>
      <c r="AL413" s="4" t="s">
        <v>103</v>
      </c>
      <c r="AM413" s="4" t="s">
        <v>103</v>
      </c>
      <c r="AN413" s="4" t="s">
        <v>103</v>
      </c>
      <c r="AO413" s="4" t="s">
        <v>103</v>
      </c>
      <c r="AP413" s="4" t="s">
        <v>103</v>
      </c>
      <c r="AQ413" s="4" t="s">
        <v>103</v>
      </c>
      <c r="AR413" s="4" t="s">
        <v>97</v>
      </c>
      <c r="AS413" s="4" t="s">
        <v>103</v>
      </c>
      <c r="AT413" s="4"/>
      <c r="AU413" s="4"/>
      <c r="AV413" s="4" t="s">
        <v>103</v>
      </c>
      <c r="AW413" s="4" t="s">
        <v>97</v>
      </c>
      <c r="AX413" s="4" t="s">
        <v>97</v>
      </c>
      <c r="AY413" s="4" t="s">
        <v>97</v>
      </c>
      <c r="AZ413" s="4" t="s">
        <v>103</v>
      </c>
      <c r="BA413" s="4" t="s">
        <v>97</v>
      </c>
      <c r="BB413" s="5">
        <v>45972</v>
      </c>
      <c r="BC413" s="5">
        <v>45972</v>
      </c>
      <c r="BD413" s="5">
        <v>45975</v>
      </c>
      <c r="BE413" s="5">
        <v>45975</v>
      </c>
      <c r="BF413" s="4" t="s">
        <v>98</v>
      </c>
      <c r="BG413" s="4" t="s">
        <v>97</v>
      </c>
      <c r="BH413" s="4" t="s">
        <v>103</v>
      </c>
      <c r="BI413" s="4" t="s">
        <v>834</v>
      </c>
    </row>
    <row r="414" spans="1:61" x14ac:dyDescent="0.35">
      <c r="A414" s="4" t="s">
        <v>1065</v>
      </c>
      <c r="B414" s="8" t="str">
        <f t="shared" si="32"/>
        <v>2025</v>
      </c>
      <c r="C414" s="2" t="s">
        <v>18</v>
      </c>
      <c r="D414" s="6" t="str">
        <f t="shared" si="33"/>
        <v>Dakar</v>
      </c>
      <c r="E414" s="6">
        <f t="shared" si="34"/>
        <v>419489</v>
      </c>
      <c r="F414" s="6">
        <f t="shared" si="35"/>
        <v>4042240</v>
      </c>
      <c r="G414" s="4" t="s">
        <v>1110</v>
      </c>
      <c r="H414" s="4" t="s">
        <v>1111</v>
      </c>
      <c r="I414" s="4">
        <v>29</v>
      </c>
      <c r="J414" s="4" t="s">
        <v>114</v>
      </c>
      <c r="K414" s="4"/>
      <c r="L414" s="4"/>
      <c r="M414" s="4"/>
      <c r="N414" s="4"/>
      <c r="O414" s="4" t="s">
        <v>238</v>
      </c>
      <c r="P414" s="4" t="s">
        <v>97</v>
      </c>
      <c r="Q414" s="4" t="s">
        <v>97</v>
      </c>
      <c r="R414" s="14" t="s">
        <v>100</v>
      </c>
      <c r="S414" s="14" t="s">
        <v>100</v>
      </c>
      <c r="T414" s="14" t="s">
        <v>100</v>
      </c>
      <c r="U414" s="8"/>
      <c r="V414" s="14"/>
      <c r="W414" s="14"/>
      <c r="X414" s="14"/>
      <c r="Y414" s="5">
        <v>45964</v>
      </c>
      <c r="Z414" s="5">
        <v>45975</v>
      </c>
      <c r="AA414" s="4" t="s">
        <v>103</v>
      </c>
      <c r="AB414" s="4" t="s">
        <v>509</v>
      </c>
      <c r="AC414" s="4" t="s">
        <v>103</v>
      </c>
      <c r="AD414" s="4" t="s">
        <v>103</v>
      </c>
      <c r="AE414" s="4" t="s">
        <v>97</v>
      </c>
      <c r="AF414" s="4" t="s">
        <v>103</v>
      </c>
      <c r="AG414" s="4" t="s">
        <v>103</v>
      </c>
      <c r="AH414" s="4" t="s">
        <v>103</v>
      </c>
      <c r="AI414" s="5">
        <v>45974</v>
      </c>
      <c r="AJ414" s="4" t="s">
        <v>97</v>
      </c>
      <c r="AK414" s="4" t="s">
        <v>103</v>
      </c>
      <c r="AL414" s="4" t="s">
        <v>97</v>
      </c>
      <c r="AM414" s="4" t="s">
        <v>103</v>
      </c>
      <c r="AN414" s="4" t="s">
        <v>103</v>
      </c>
      <c r="AO414" s="4" t="s">
        <v>97</v>
      </c>
      <c r="AP414" s="4" t="s">
        <v>97</v>
      </c>
      <c r="AQ414" s="4" t="s">
        <v>97</v>
      </c>
      <c r="AR414" s="4" t="s">
        <v>97</v>
      </c>
      <c r="AS414" s="4" t="s">
        <v>97</v>
      </c>
      <c r="AT414" s="4"/>
      <c r="AU414" s="4"/>
      <c r="AV414" s="4" t="s">
        <v>103</v>
      </c>
      <c r="AW414" s="4" t="s">
        <v>97</v>
      </c>
      <c r="AX414" s="4" t="s">
        <v>97</v>
      </c>
      <c r="AY414" s="4" t="s">
        <v>97</v>
      </c>
      <c r="AZ414" s="4" t="s">
        <v>103</v>
      </c>
      <c r="BA414" s="4" t="s">
        <v>97</v>
      </c>
      <c r="BB414" s="5">
        <v>45975</v>
      </c>
      <c r="BC414" s="5">
        <v>45975</v>
      </c>
      <c r="BD414" s="5">
        <v>45975</v>
      </c>
      <c r="BE414" s="5">
        <v>45975</v>
      </c>
      <c r="BF414" s="4" t="s">
        <v>98</v>
      </c>
      <c r="BG414" s="4" t="s">
        <v>97</v>
      </c>
      <c r="BH414" s="4" t="s">
        <v>103</v>
      </c>
      <c r="BI414" s="4" t="s">
        <v>834</v>
      </c>
    </row>
    <row r="415" spans="1:61" x14ac:dyDescent="0.35">
      <c r="A415" s="4" t="s">
        <v>1065</v>
      </c>
      <c r="B415" s="8" t="str">
        <f t="shared" si="32"/>
        <v>2025</v>
      </c>
      <c r="C415" s="2" t="s">
        <v>18</v>
      </c>
      <c r="D415" s="6" t="str">
        <f t="shared" si="33"/>
        <v>Dakar</v>
      </c>
      <c r="E415" s="6">
        <f t="shared" si="34"/>
        <v>419489</v>
      </c>
      <c r="F415" s="6">
        <f t="shared" si="35"/>
        <v>4042240</v>
      </c>
      <c r="G415" s="4" t="s">
        <v>1112</v>
      </c>
      <c r="H415" s="4" t="s">
        <v>1113</v>
      </c>
      <c r="I415" s="4">
        <v>44</v>
      </c>
      <c r="J415" s="4" t="s">
        <v>114</v>
      </c>
      <c r="K415" s="4" t="s">
        <v>1114</v>
      </c>
      <c r="L415" s="5">
        <v>45970</v>
      </c>
      <c r="M415" s="4"/>
      <c r="N415" s="4"/>
      <c r="O415" s="4" t="s">
        <v>238</v>
      </c>
      <c r="P415" s="4" t="s">
        <v>97</v>
      </c>
      <c r="Q415" s="4" t="s">
        <v>97</v>
      </c>
      <c r="R415" s="14" t="s">
        <v>481</v>
      </c>
      <c r="S415" s="14" t="s">
        <v>100</v>
      </c>
      <c r="T415" s="14" t="s">
        <v>100</v>
      </c>
      <c r="U415" s="8"/>
      <c r="V415" s="14"/>
      <c r="W415" s="14"/>
      <c r="X415" s="14"/>
      <c r="Y415" s="5">
        <v>45970</v>
      </c>
      <c r="Z415" s="5">
        <v>45975</v>
      </c>
      <c r="AA415" s="4" t="s">
        <v>97</v>
      </c>
      <c r="AB415" s="4"/>
      <c r="AC415" s="4" t="s">
        <v>97</v>
      </c>
      <c r="AD415" s="4" t="s">
        <v>97</v>
      </c>
      <c r="AE415" s="4" t="s">
        <v>97</v>
      </c>
      <c r="AF415" s="4" t="s">
        <v>103</v>
      </c>
      <c r="AG415" s="4" t="s">
        <v>97</v>
      </c>
      <c r="AH415" s="4" t="s">
        <v>103</v>
      </c>
      <c r="AI415" s="5">
        <v>45970</v>
      </c>
      <c r="AJ415" s="4" t="s">
        <v>103</v>
      </c>
      <c r="AK415" s="4" t="s">
        <v>97</v>
      </c>
      <c r="AL415" s="4" t="s">
        <v>103</v>
      </c>
      <c r="AM415" s="4" t="s">
        <v>103</v>
      </c>
      <c r="AN415" s="4" t="s">
        <v>103</v>
      </c>
      <c r="AO415" s="4" t="s">
        <v>97</v>
      </c>
      <c r="AP415" s="4" t="s">
        <v>97</v>
      </c>
      <c r="AQ415" s="4" t="s">
        <v>97</v>
      </c>
      <c r="AR415" s="4" t="s">
        <v>103</v>
      </c>
      <c r="AS415" s="4" t="s">
        <v>103</v>
      </c>
      <c r="AT415" s="4"/>
      <c r="AU415" s="4"/>
      <c r="AV415" s="4" t="s">
        <v>103</v>
      </c>
      <c r="AW415" s="4" t="s">
        <v>97</v>
      </c>
      <c r="AX415" s="4" t="s">
        <v>97</v>
      </c>
      <c r="AY415" s="4" t="s">
        <v>97</v>
      </c>
      <c r="AZ415" s="4" t="s">
        <v>103</v>
      </c>
      <c r="BA415" s="4" t="s">
        <v>97</v>
      </c>
      <c r="BB415" s="5">
        <v>45975</v>
      </c>
      <c r="BC415" s="5">
        <v>45975</v>
      </c>
      <c r="BD415" s="5">
        <v>45975</v>
      </c>
      <c r="BE415" s="5">
        <v>45975</v>
      </c>
      <c r="BF415" s="4" t="s">
        <v>98</v>
      </c>
      <c r="BG415" s="4" t="s">
        <v>103</v>
      </c>
      <c r="BH415" s="4" t="s">
        <v>97</v>
      </c>
      <c r="BI415" s="4" t="s">
        <v>482</v>
      </c>
    </row>
    <row r="416" spans="1:61" x14ac:dyDescent="0.35">
      <c r="A416" s="4" t="s">
        <v>1115</v>
      </c>
      <c r="B416" s="8" t="str">
        <f t="shared" si="32"/>
        <v>2025</v>
      </c>
      <c r="C416" s="2" t="s">
        <v>91</v>
      </c>
      <c r="D416" s="6" t="str">
        <f t="shared" si="33"/>
        <v>Dakar</v>
      </c>
      <c r="E416" s="6">
        <f t="shared" si="34"/>
        <v>179835</v>
      </c>
      <c r="F416" s="6">
        <f t="shared" si="35"/>
        <v>4042240</v>
      </c>
      <c r="G416" s="4" t="s">
        <v>1116</v>
      </c>
      <c r="H416" s="4" t="s">
        <v>1117</v>
      </c>
      <c r="I416" s="4">
        <v>4</v>
      </c>
      <c r="J416" s="4" t="s">
        <v>114</v>
      </c>
      <c r="K416" s="4"/>
      <c r="L416" s="4"/>
      <c r="M416" s="4"/>
      <c r="N416" s="4"/>
      <c r="O416" s="4" t="s">
        <v>238</v>
      </c>
      <c r="P416" s="4" t="s">
        <v>97</v>
      </c>
      <c r="Q416" s="4" t="s">
        <v>97</v>
      </c>
      <c r="R416" s="14" t="s">
        <v>100</v>
      </c>
      <c r="S416" s="14" t="s">
        <v>100</v>
      </c>
      <c r="T416" s="14" t="s">
        <v>100</v>
      </c>
      <c r="U416" s="8"/>
      <c r="V416" s="14"/>
      <c r="W416" s="14"/>
      <c r="X416" s="14"/>
      <c r="Y416" s="5">
        <v>45972</v>
      </c>
      <c r="Z416" s="5">
        <v>45975</v>
      </c>
      <c r="AA416" s="4" t="s">
        <v>103</v>
      </c>
      <c r="AB416" s="4" t="s">
        <v>546</v>
      </c>
      <c r="AC416" s="4" t="s">
        <v>97</v>
      </c>
      <c r="AD416" s="4" t="s">
        <v>97</v>
      </c>
      <c r="AE416" s="4" t="s">
        <v>97</v>
      </c>
      <c r="AF416" s="4" t="s">
        <v>97</v>
      </c>
      <c r="AG416" s="4" t="s">
        <v>97</v>
      </c>
      <c r="AH416" s="4" t="s">
        <v>103</v>
      </c>
      <c r="AI416" s="5">
        <v>45972</v>
      </c>
      <c r="AJ416" s="4" t="s">
        <v>103</v>
      </c>
      <c r="AK416" s="4" t="s">
        <v>103</v>
      </c>
      <c r="AL416" s="4" t="s">
        <v>97</v>
      </c>
      <c r="AM416" s="4" t="s">
        <v>97</v>
      </c>
      <c r="AN416" s="4" t="s">
        <v>97</v>
      </c>
      <c r="AO416" s="4" t="s">
        <v>103</v>
      </c>
      <c r="AP416" s="4" t="s">
        <v>103</v>
      </c>
      <c r="AQ416" s="4" t="s">
        <v>97</v>
      </c>
      <c r="AR416" s="4" t="s">
        <v>97</v>
      </c>
      <c r="AS416" s="4" t="s">
        <v>103</v>
      </c>
      <c r="AT416" s="4"/>
      <c r="AU416" s="4"/>
      <c r="AV416" s="4" t="s">
        <v>103</v>
      </c>
      <c r="AW416" s="4" t="s">
        <v>97</v>
      </c>
      <c r="AX416" s="4" t="s">
        <v>97</v>
      </c>
      <c r="AY416" s="4" t="s">
        <v>97</v>
      </c>
      <c r="AZ416" s="4" t="s">
        <v>97</v>
      </c>
      <c r="BA416" s="4" t="s">
        <v>97</v>
      </c>
      <c r="BB416" s="5">
        <v>45975</v>
      </c>
      <c r="BC416" s="5">
        <v>45975</v>
      </c>
      <c r="BD416" s="5">
        <v>45976</v>
      </c>
      <c r="BE416" s="5">
        <v>45976</v>
      </c>
      <c r="BF416" s="4" t="s">
        <v>98</v>
      </c>
      <c r="BG416" s="4" t="s">
        <v>97</v>
      </c>
      <c r="BH416" s="4" t="s">
        <v>97</v>
      </c>
      <c r="BI416" s="4" t="s">
        <v>834</v>
      </c>
    </row>
    <row r="417" spans="1:61" x14ac:dyDescent="0.35">
      <c r="A417" s="4" t="s">
        <v>1115</v>
      </c>
      <c r="B417" s="8" t="str">
        <f t="shared" si="32"/>
        <v>2025</v>
      </c>
      <c r="C417" s="2" t="s">
        <v>18</v>
      </c>
      <c r="D417" s="6" t="str">
        <f t="shared" si="33"/>
        <v>Dakar</v>
      </c>
      <c r="E417" s="6">
        <f t="shared" si="34"/>
        <v>419489</v>
      </c>
      <c r="F417" s="6">
        <f t="shared" si="35"/>
        <v>4042240</v>
      </c>
      <c r="G417" s="4" t="s">
        <v>1118</v>
      </c>
      <c r="H417" s="4" t="s">
        <v>1119</v>
      </c>
      <c r="I417" s="4">
        <v>34</v>
      </c>
      <c r="J417" s="4" t="s">
        <v>114</v>
      </c>
      <c r="K417" s="4" t="s">
        <v>422</v>
      </c>
      <c r="L417" s="5">
        <v>45954</v>
      </c>
      <c r="M417" s="4"/>
      <c r="N417" s="4"/>
      <c r="O417" s="4" t="s">
        <v>238</v>
      </c>
      <c r="P417" s="4" t="s">
        <v>97</v>
      </c>
      <c r="Q417" s="4" t="s">
        <v>97</v>
      </c>
      <c r="R417" s="14" t="s">
        <v>100</v>
      </c>
      <c r="S417" s="14" t="s">
        <v>100</v>
      </c>
      <c r="T417" s="14" t="s">
        <v>100</v>
      </c>
      <c r="U417" s="8"/>
      <c r="V417" s="14"/>
      <c r="W417" s="14"/>
      <c r="X417" s="14"/>
      <c r="Y417" s="5">
        <v>45972</v>
      </c>
      <c r="Z417" s="5">
        <v>45976</v>
      </c>
      <c r="AA417" s="4" t="s">
        <v>97</v>
      </c>
      <c r="AB417" s="4"/>
      <c r="AC417" s="4" t="s">
        <v>97</v>
      </c>
      <c r="AD417" s="4" t="s">
        <v>97</v>
      </c>
      <c r="AE417" s="4" t="s">
        <v>97</v>
      </c>
      <c r="AF417" s="4" t="s">
        <v>97</v>
      </c>
      <c r="AG417" s="4" t="s">
        <v>97</v>
      </c>
      <c r="AH417" s="4" t="s">
        <v>103</v>
      </c>
      <c r="AI417" s="5">
        <v>45972</v>
      </c>
      <c r="AJ417" s="4" t="s">
        <v>103</v>
      </c>
      <c r="AK417" s="4" t="s">
        <v>103</v>
      </c>
      <c r="AL417" s="4" t="s">
        <v>97</v>
      </c>
      <c r="AM417" s="4" t="s">
        <v>103</v>
      </c>
      <c r="AN417" s="4" t="s">
        <v>97</v>
      </c>
      <c r="AO417" s="4" t="s">
        <v>97</v>
      </c>
      <c r="AP417" s="4" t="s">
        <v>103</v>
      </c>
      <c r="AQ417" s="4" t="s">
        <v>103</v>
      </c>
      <c r="AR417" s="4" t="s">
        <v>97</v>
      </c>
      <c r="AS417" s="4" t="s">
        <v>103</v>
      </c>
      <c r="AT417" s="4"/>
      <c r="AU417" s="4"/>
      <c r="AV417" s="4" t="s">
        <v>103</v>
      </c>
      <c r="AW417" s="4" t="s">
        <v>97</v>
      </c>
      <c r="AX417" s="4" t="s">
        <v>97</v>
      </c>
      <c r="AY417" s="4" t="s">
        <v>97</v>
      </c>
      <c r="AZ417" s="4" t="s">
        <v>97</v>
      </c>
      <c r="BA417" s="4" t="s">
        <v>97</v>
      </c>
      <c r="BB417" s="5">
        <v>45976</v>
      </c>
      <c r="BC417" s="5">
        <v>45976</v>
      </c>
      <c r="BD417" s="5">
        <v>45976</v>
      </c>
      <c r="BE417" s="5">
        <v>45976</v>
      </c>
      <c r="BF417" s="4" t="s">
        <v>98</v>
      </c>
      <c r="BG417" s="4" t="s">
        <v>97</v>
      </c>
      <c r="BH417" s="4" t="s">
        <v>103</v>
      </c>
      <c r="BI417" s="4" t="s">
        <v>834</v>
      </c>
    </row>
    <row r="418" spans="1:61" x14ac:dyDescent="0.35">
      <c r="A418" s="4" t="s">
        <v>1115</v>
      </c>
      <c r="B418" s="8" t="str">
        <f t="shared" si="32"/>
        <v>2025</v>
      </c>
      <c r="C418" s="2" t="s">
        <v>91</v>
      </c>
      <c r="D418" s="6" t="str">
        <f t="shared" si="33"/>
        <v>Dakar</v>
      </c>
      <c r="E418" s="6">
        <f t="shared" si="34"/>
        <v>179835</v>
      </c>
      <c r="F418" s="6">
        <f t="shared" si="35"/>
        <v>4042240</v>
      </c>
      <c r="G418" s="4" t="s">
        <v>1120</v>
      </c>
      <c r="H418" s="4" t="s">
        <v>1121</v>
      </c>
      <c r="I418" s="4">
        <v>11</v>
      </c>
      <c r="J418" s="4" t="s">
        <v>114</v>
      </c>
      <c r="K418" s="4"/>
      <c r="L418" s="4"/>
      <c r="M418" s="4"/>
      <c r="N418" s="4"/>
      <c r="O418" s="4" t="s">
        <v>238</v>
      </c>
      <c r="P418" s="4" t="s">
        <v>97</v>
      </c>
      <c r="Q418" s="4" t="s">
        <v>97</v>
      </c>
      <c r="R418" s="14" t="s">
        <v>100</v>
      </c>
      <c r="S418" s="14" t="s">
        <v>100</v>
      </c>
      <c r="T418" s="14" t="s">
        <v>100</v>
      </c>
      <c r="U418" s="8"/>
      <c r="V418" s="14"/>
      <c r="W418" s="14"/>
      <c r="X418" s="14"/>
      <c r="Y418" s="5">
        <v>45970</v>
      </c>
      <c r="Z418" s="5">
        <v>45974</v>
      </c>
      <c r="AA418" s="4" t="s">
        <v>103</v>
      </c>
      <c r="AB418" s="4" t="s">
        <v>1122</v>
      </c>
      <c r="AC418" s="4" t="s">
        <v>97</v>
      </c>
      <c r="AD418" s="4" t="s">
        <v>103</v>
      </c>
      <c r="AE418" s="4" t="s">
        <v>97</v>
      </c>
      <c r="AF418" s="4" t="s">
        <v>97</v>
      </c>
      <c r="AG418" s="4" t="s">
        <v>97</v>
      </c>
      <c r="AH418" s="4" t="s">
        <v>103</v>
      </c>
      <c r="AI418" s="5">
        <v>45970</v>
      </c>
      <c r="AJ418" s="4" t="s">
        <v>97</v>
      </c>
      <c r="AK418" s="4" t="s">
        <v>97</v>
      </c>
      <c r="AL418" s="4" t="s">
        <v>97</v>
      </c>
      <c r="AM418" s="4" t="s">
        <v>97</v>
      </c>
      <c r="AN418" s="4" t="s">
        <v>97</v>
      </c>
      <c r="AO418" s="4" t="s">
        <v>103</v>
      </c>
      <c r="AP418" s="4" t="s">
        <v>97</v>
      </c>
      <c r="AQ418" s="4" t="s">
        <v>97</v>
      </c>
      <c r="AR418" s="4" t="s">
        <v>97</v>
      </c>
      <c r="AS418" s="4" t="s">
        <v>97</v>
      </c>
      <c r="AT418" s="4"/>
      <c r="AU418" s="4"/>
      <c r="AV418" s="4" t="s">
        <v>103</v>
      </c>
      <c r="AW418" s="4" t="s">
        <v>97</v>
      </c>
      <c r="AX418" s="4" t="s">
        <v>97</v>
      </c>
      <c r="AY418" s="4" t="s">
        <v>97</v>
      </c>
      <c r="AZ418" s="4" t="s">
        <v>103</v>
      </c>
      <c r="BA418" s="4" t="s">
        <v>97</v>
      </c>
      <c r="BB418" s="5">
        <v>45974</v>
      </c>
      <c r="BC418" s="5">
        <v>45975</v>
      </c>
      <c r="BD418" s="5">
        <v>45979</v>
      </c>
      <c r="BE418" s="5">
        <v>45979</v>
      </c>
      <c r="BF418" s="4" t="s">
        <v>98</v>
      </c>
      <c r="BG418" s="4" t="s">
        <v>97</v>
      </c>
      <c r="BH418" s="4" t="s">
        <v>103</v>
      </c>
      <c r="BI418" s="4" t="s">
        <v>834</v>
      </c>
    </row>
    <row r="419" spans="1:61" x14ac:dyDescent="0.35">
      <c r="A419" s="4" t="s">
        <v>1115</v>
      </c>
      <c r="B419" s="8" t="str">
        <f t="shared" si="32"/>
        <v>2025</v>
      </c>
      <c r="C419" s="2" t="s">
        <v>61</v>
      </c>
      <c r="D419" s="6" t="str">
        <f t="shared" si="33"/>
        <v>Thies</v>
      </c>
      <c r="E419" s="6">
        <f t="shared" si="34"/>
        <v>153582</v>
      </c>
      <c r="F419" s="6">
        <f t="shared" si="35"/>
        <v>2280463</v>
      </c>
      <c r="G419" s="4" t="s">
        <v>1123</v>
      </c>
      <c r="H419" s="4" t="s">
        <v>1124</v>
      </c>
      <c r="I419" s="4">
        <v>5</v>
      </c>
      <c r="J419" s="4" t="s">
        <v>96</v>
      </c>
      <c r="K419" s="4"/>
      <c r="L419" s="4"/>
      <c r="M419" s="4"/>
      <c r="N419" s="4"/>
      <c r="O419" s="4" t="s">
        <v>238</v>
      </c>
      <c r="P419" s="4" t="s">
        <v>97</v>
      </c>
      <c r="Q419" s="4" t="s">
        <v>97</v>
      </c>
      <c r="R419" s="14" t="s">
        <v>100</v>
      </c>
      <c r="S419" s="14" t="s">
        <v>100</v>
      </c>
      <c r="T419" s="14" t="s">
        <v>100</v>
      </c>
      <c r="U419" s="8"/>
      <c r="V419" s="14"/>
      <c r="W419" s="14"/>
      <c r="X419" s="14"/>
      <c r="Y419" s="5">
        <v>45971</v>
      </c>
      <c r="Z419" s="5">
        <v>45978</v>
      </c>
      <c r="AA419" s="4" t="s">
        <v>97</v>
      </c>
      <c r="AB419" s="4"/>
      <c r="AC419" s="4" t="s">
        <v>97</v>
      </c>
      <c r="AD419" s="4" t="s">
        <v>97</v>
      </c>
      <c r="AE419" s="4" t="s">
        <v>97</v>
      </c>
      <c r="AF419" s="4" t="s">
        <v>97</v>
      </c>
      <c r="AG419" s="4" t="s">
        <v>97</v>
      </c>
      <c r="AH419" s="4" t="s">
        <v>103</v>
      </c>
      <c r="AI419" s="5">
        <v>45971</v>
      </c>
      <c r="AJ419" s="4" t="s">
        <v>97</v>
      </c>
      <c r="AK419" s="4" t="s">
        <v>97</v>
      </c>
      <c r="AL419" s="4" t="s">
        <v>103</v>
      </c>
      <c r="AM419" s="4" t="s">
        <v>97</v>
      </c>
      <c r="AN419" s="4" t="s">
        <v>103</v>
      </c>
      <c r="AO419" s="4" t="s">
        <v>97</v>
      </c>
      <c r="AP419" s="4" t="s">
        <v>97</v>
      </c>
      <c r="AQ419" s="4" t="s">
        <v>97</v>
      </c>
      <c r="AR419" s="4" t="s">
        <v>97</v>
      </c>
      <c r="AS419" s="4" t="s">
        <v>97</v>
      </c>
      <c r="AT419" s="4"/>
      <c r="AU419" s="4"/>
      <c r="AV419" s="4" t="s">
        <v>103</v>
      </c>
      <c r="AW419" s="4" t="s">
        <v>97</v>
      </c>
      <c r="AX419" s="4" t="s">
        <v>97</v>
      </c>
      <c r="AY419" s="4" t="s">
        <v>97</v>
      </c>
      <c r="AZ419" s="4" t="s">
        <v>97</v>
      </c>
      <c r="BA419" s="4" t="s">
        <v>97</v>
      </c>
      <c r="BB419" s="5">
        <v>45978</v>
      </c>
      <c r="BC419" s="5">
        <v>45978</v>
      </c>
      <c r="BD419" s="5">
        <v>45980</v>
      </c>
      <c r="BE419" s="5">
        <v>45980</v>
      </c>
      <c r="BF419" s="4" t="s">
        <v>98</v>
      </c>
      <c r="BG419" s="4" t="s">
        <v>97</v>
      </c>
      <c r="BH419" s="4" t="s">
        <v>103</v>
      </c>
      <c r="BI419" s="4" t="s">
        <v>834</v>
      </c>
    </row>
    <row r="420" spans="1:61" x14ac:dyDescent="0.35">
      <c r="A420" s="4" t="s">
        <v>1115</v>
      </c>
      <c r="B420" s="8" t="str">
        <f t="shared" si="32"/>
        <v>2025</v>
      </c>
      <c r="C420" s="2" t="s">
        <v>33</v>
      </c>
      <c r="D420" s="6" t="str">
        <f t="shared" si="33"/>
        <v>Thies</v>
      </c>
      <c r="E420" s="6">
        <f t="shared" si="34"/>
        <v>102475</v>
      </c>
      <c r="F420" s="6">
        <f t="shared" si="35"/>
        <v>2280463</v>
      </c>
      <c r="G420" s="4" t="s">
        <v>1125</v>
      </c>
      <c r="H420" s="4" t="s">
        <v>1126</v>
      </c>
      <c r="I420" s="4">
        <v>23</v>
      </c>
      <c r="J420" s="4" t="s">
        <v>96</v>
      </c>
      <c r="K420" s="4"/>
      <c r="L420" s="4"/>
      <c r="M420" s="4"/>
      <c r="N420" s="4"/>
      <c r="O420" s="4" t="s">
        <v>238</v>
      </c>
      <c r="P420" s="4" t="s">
        <v>97</v>
      </c>
      <c r="Q420" s="4" t="s">
        <v>97</v>
      </c>
      <c r="R420" s="14" t="s">
        <v>100</v>
      </c>
      <c r="S420" s="14" t="s">
        <v>100</v>
      </c>
      <c r="T420" s="14" t="s">
        <v>100</v>
      </c>
      <c r="U420" s="8"/>
      <c r="V420" s="14"/>
      <c r="W420" s="14"/>
      <c r="X420" s="14"/>
      <c r="Y420" s="5">
        <v>45971</v>
      </c>
      <c r="Z420" s="5">
        <v>45978</v>
      </c>
      <c r="AA420" s="4" t="s">
        <v>103</v>
      </c>
      <c r="AB420" s="4" t="s">
        <v>488</v>
      </c>
      <c r="AC420" s="4" t="s">
        <v>103</v>
      </c>
      <c r="AD420" s="4" t="s">
        <v>97</v>
      </c>
      <c r="AE420" s="4" t="s">
        <v>97</v>
      </c>
      <c r="AF420" s="4" t="s">
        <v>97</v>
      </c>
      <c r="AG420" s="4" t="s">
        <v>103</v>
      </c>
      <c r="AH420" s="4" t="s">
        <v>103</v>
      </c>
      <c r="AI420" s="5">
        <v>45971</v>
      </c>
      <c r="AJ420" s="4" t="s">
        <v>97</v>
      </c>
      <c r="AK420" s="4" t="s">
        <v>97</v>
      </c>
      <c r="AL420" s="4" t="s">
        <v>97</v>
      </c>
      <c r="AM420" s="4" t="s">
        <v>97</v>
      </c>
      <c r="AN420" s="4" t="s">
        <v>97</v>
      </c>
      <c r="AO420" s="4" t="s">
        <v>97</v>
      </c>
      <c r="AP420" s="4" t="s">
        <v>97</v>
      </c>
      <c r="AQ420" s="4" t="s">
        <v>97</v>
      </c>
      <c r="AR420" s="4" t="s">
        <v>97</v>
      </c>
      <c r="AS420" s="4" t="s">
        <v>97</v>
      </c>
      <c r="AT420" s="4"/>
      <c r="AU420" s="4"/>
      <c r="AV420" s="4" t="s">
        <v>103</v>
      </c>
      <c r="AW420" s="4" t="s">
        <v>97</v>
      </c>
      <c r="AX420" s="4" t="s">
        <v>97</v>
      </c>
      <c r="AY420" s="4" t="s">
        <v>97</v>
      </c>
      <c r="AZ420" s="4" t="s">
        <v>97</v>
      </c>
      <c r="BA420" s="4" t="s">
        <v>97</v>
      </c>
      <c r="BB420" s="5">
        <v>45978</v>
      </c>
      <c r="BC420" s="5">
        <v>45978</v>
      </c>
      <c r="BD420" s="5">
        <v>45980</v>
      </c>
      <c r="BE420" s="5">
        <v>45980</v>
      </c>
      <c r="BF420" s="4" t="s">
        <v>98</v>
      </c>
      <c r="BG420" s="4" t="s">
        <v>97</v>
      </c>
      <c r="BH420" s="4" t="s">
        <v>103</v>
      </c>
      <c r="BI420" s="4" t="s">
        <v>834</v>
      </c>
    </row>
    <row r="421" spans="1:61" x14ac:dyDescent="0.35">
      <c r="A421" s="4" t="s">
        <v>1115</v>
      </c>
      <c r="B421" s="8" t="str">
        <f t="shared" si="32"/>
        <v>2025</v>
      </c>
      <c r="C421" s="2" t="s">
        <v>61</v>
      </c>
      <c r="D421" s="6" t="str">
        <f t="shared" si="33"/>
        <v>Thies</v>
      </c>
      <c r="E421" s="6">
        <f t="shared" si="34"/>
        <v>153582</v>
      </c>
      <c r="F421" s="6">
        <f t="shared" si="35"/>
        <v>2280463</v>
      </c>
      <c r="G421" s="4" t="s">
        <v>1127</v>
      </c>
      <c r="H421" s="4" t="s">
        <v>1128</v>
      </c>
      <c r="I421" s="4">
        <v>6</v>
      </c>
      <c r="J421" s="4" t="s">
        <v>114</v>
      </c>
      <c r="K421" s="4"/>
      <c r="L421" s="4"/>
      <c r="M421" s="4"/>
      <c r="N421" s="4"/>
      <c r="O421" s="4" t="s">
        <v>238</v>
      </c>
      <c r="P421" s="4" t="s">
        <v>97</v>
      </c>
      <c r="Q421" s="4" t="s">
        <v>97</v>
      </c>
      <c r="R421" s="14" t="s">
        <v>100</v>
      </c>
      <c r="S421" s="14" t="s">
        <v>100</v>
      </c>
      <c r="T421" s="14" t="s">
        <v>100</v>
      </c>
      <c r="U421" s="8"/>
      <c r="V421" s="14"/>
      <c r="W421" s="14"/>
      <c r="X421" s="14"/>
      <c r="Y421" s="5">
        <v>45973</v>
      </c>
      <c r="Z421" s="5">
        <v>45978</v>
      </c>
      <c r="AA421" s="4" t="s">
        <v>103</v>
      </c>
      <c r="AB421" s="4" t="s">
        <v>488</v>
      </c>
      <c r="AC421" s="4" t="s">
        <v>97</v>
      </c>
      <c r="AD421" s="4" t="s">
        <v>97</v>
      </c>
      <c r="AE421" s="4" t="s">
        <v>97</v>
      </c>
      <c r="AF421" s="4" t="s">
        <v>97</v>
      </c>
      <c r="AG421" s="4" t="s">
        <v>97</v>
      </c>
      <c r="AH421" s="4" t="s">
        <v>103</v>
      </c>
      <c r="AI421" s="5">
        <v>45973</v>
      </c>
      <c r="AJ421" s="4" t="s">
        <v>97</v>
      </c>
      <c r="AK421" s="4" t="s">
        <v>97</v>
      </c>
      <c r="AL421" s="4" t="s">
        <v>103</v>
      </c>
      <c r="AM421" s="4" t="s">
        <v>97</v>
      </c>
      <c r="AN421" s="4" t="s">
        <v>103</v>
      </c>
      <c r="AO421" s="4" t="s">
        <v>97</v>
      </c>
      <c r="AP421" s="4" t="s">
        <v>97</v>
      </c>
      <c r="AQ421" s="4" t="s">
        <v>97</v>
      </c>
      <c r="AR421" s="4" t="s">
        <v>97</v>
      </c>
      <c r="AS421" s="4" t="s">
        <v>97</v>
      </c>
      <c r="AT421" s="4"/>
      <c r="AU421" s="4"/>
      <c r="AV421" s="4" t="s">
        <v>103</v>
      </c>
      <c r="AW421" s="4" t="s">
        <v>97</v>
      </c>
      <c r="AX421" s="4" t="s">
        <v>97</v>
      </c>
      <c r="AY421" s="4" t="s">
        <v>97</v>
      </c>
      <c r="AZ421" s="4" t="s">
        <v>97</v>
      </c>
      <c r="BA421" s="4" t="s">
        <v>97</v>
      </c>
      <c r="BB421" s="5">
        <v>45978</v>
      </c>
      <c r="BC421" s="5">
        <v>45980</v>
      </c>
      <c r="BD421" s="5">
        <v>45981</v>
      </c>
      <c r="BE421" s="5">
        <v>45981</v>
      </c>
      <c r="BF421" s="4" t="s">
        <v>98</v>
      </c>
      <c r="BG421" s="4" t="s">
        <v>97</v>
      </c>
      <c r="BH421" s="4" t="s">
        <v>103</v>
      </c>
      <c r="BI421" s="4" t="s">
        <v>834</v>
      </c>
    </row>
    <row r="422" spans="1:61" x14ac:dyDescent="0.35">
      <c r="A422" s="4" t="s">
        <v>1115</v>
      </c>
      <c r="B422" s="8" t="str">
        <f t="shared" si="32"/>
        <v>2025</v>
      </c>
      <c r="C422" s="2" t="s">
        <v>71</v>
      </c>
      <c r="D422" s="6" t="str">
        <f t="shared" si="33"/>
        <v>Thies</v>
      </c>
      <c r="E422" s="6">
        <f t="shared" si="34"/>
        <v>195082</v>
      </c>
      <c r="F422" s="6">
        <f t="shared" si="35"/>
        <v>2280463</v>
      </c>
      <c r="G422" s="4" t="s">
        <v>1130</v>
      </c>
      <c r="H422" s="4" t="s">
        <v>1129</v>
      </c>
      <c r="I422" s="4">
        <v>6</v>
      </c>
      <c r="J422" s="4" t="s">
        <v>114</v>
      </c>
      <c r="K422" s="4"/>
      <c r="L422" s="4"/>
      <c r="M422" s="4"/>
      <c r="N422" s="4"/>
      <c r="O422" s="4" t="s">
        <v>238</v>
      </c>
      <c r="P422" s="4" t="s">
        <v>103</v>
      </c>
      <c r="Q422" s="4" t="s">
        <v>97</v>
      </c>
      <c r="R422" s="14" t="s">
        <v>100</v>
      </c>
      <c r="S422" s="14" t="s">
        <v>100</v>
      </c>
      <c r="T422" s="14" t="s">
        <v>100</v>
      </c>
      <c r="U422" s="8"/>
      <c r="V422" s="14"/>
      <c r="W422" s="14"/>
      <c r="X422" s="14"/>
      <c r="Y422" s="5">
        <v>45976</v>
      </c>
      <c r="Z422" s="5">
        <v>45979</v>
      </c>
      <c r="AA422" s="4" t="s">
        <v>103</v>
      </c>
      <c r="AB422" s="25">
        <v>39</v>
      </c>
      <c r="AC422" s="4" t="s">
        <v>97</v>
      </c>
      <c r="AD422" s="4" t="s">
        <v>103</v>
      </c>
      <c r="AE422" s="4" t="s">
        <v>97</v>
      </c>
      <c r="AF422" s="4" t="s">
        <v>97</v>
      </c>
      <c r="AG422" s="4" t="s">
        <v>103</v>
      </c>
      <c r="AH422" s="4" t="s">
        <v>103</v>
      </c>
      <c r="AI422" s="5">
        <v>45976</v>
      </c>
      <c r="AJ422" s="4" t="s">
        <v>103</v>
      </c>
      <c r="AK422" s="4" t="s">
        <v>103</v>
      </c>
      <c r="AL422" s="4" t="s">
        <v>97</v>
      </c>
      <c r="AM422" s="4" t="s">
        <v>103</v>
      </c>
      <c r="AN422" s="4" t="s">
        <v>103</v>
      </c>
      <c r="AO422" s="4" t="s">
        <v>103</v>
      </c>
      <c r="AP422" s="4" t="s">
        <v>97</v>
      </c>
      <c r="AQ422" s="4" t="s">
        <v>97</v>
      </c>
      <c r="AR422" s="4" t="s">
        <v>103</v>
      </c>
      <c r="AS422" s="4" t="s">
        <v>97</v>
      </c>
      <c r="AT422" s="4"/>
      <c r="AU422" s="4"/>
      <c r="AV422" s="4" t="s">
        <v>103</v>
      </c>
      <c r="AW422" s="4" t="s">
        <v>97</v>
      </c>
      <c r="AX422" s="4" t="s">
        <v>97</v>
      </c>
      <c r="AY422" s="4" t="s">
        <v>97</v>
      </c>
      <c r="AZ422" s="4" t="s">
        <v>97</v>
      </c>
      <c r="BA422" s="4" t="s">
        <v>97</v>
      </c>
      <c r="BB422" s="5">
        <v>45979</v>
      </c>
      <c r="BC422" s="5">
        <v>45982</v>
      </c>
      <c r="BD422" s="5">
        <v>45982</v>
      </c>
      <c r="BE422" s="5">
        <v>45982</v>
      </c>
      <c r="BF422" s="4" t="s">
        <v>98</v>
      </c>
      <c r="BG422" s="4" t="s">
        <v>97</v>
      </c>
      <c r="BH422" s="4" t="s">
        <v>103</v>
      </c>
      <c r="BI422" s="4" t="s">
        <v>834</v>
      </c>
    </row>
    <row r="423" spans="1:61" x14ac:dyDescent="0.35">
      <c r="A423" s="4" t="s">
        <v>1115</v>
      </c>
      <c r="B423" s="8" t="str">
        <f t="shared" si="32"/>
        <v>2025</v>
      </c>
      <c r="C423" s="2" t="s">
        <v>32</v>
      </c>
      <c r="D423" s="6" t="str">
        <f t="shared" si="33"/>
        <v>Kaolack</v>
      </c>
      <c r="E423" s="6">
        <f t="shared" si="34"/>
        <v>151881</v>
      </c>
      <c r="F423" s="6">
        <f t="shared" si="35"/>
        <v>1267013</v>
      </c>
      <c r="G423" s="4" t="s">
        <v>1131</v>
      </c>
      <c r="H423" s="4" t="s">
        <v>1132</v>
      </c>
      <c r="I423" s="4">
        <v>27</v>
      </c>
      <c r="J423" s="4" t="s">
        <v>96</v>
      </c>
      <c r="K423" s="4"/>
      <c r="L423" s="4"/>
      <c r="M423" s="4"/>
      <c r="N423" s="4"/>
      <c r="O423" s="4" t="s">
        <v>238</v>
      </c>
      <c r="P423" s="4" t="s">
        <v>97</v>
      </c>
      <c r="Q423" s="4" t="s">
        <v>97</v>
      </c>
      <c r="R423" s="14" t="s">
        <v>100</v>
      </c>
      <c r="S423" s="14" t="s">
        <v>100</v>
      </c>
      <c r="T423" s="14" t="s">
        <v>100</v>
      </c>
      <c r="U423" s="14"/>
      <c r="V423" s="14"/>
      <c r="W423" s="14"/>
      <c r="X423" s="14"/>
      <c r="Y423" s="5">
        <v>45970</v>
      </c>
      <c r="Z423" s="5">
        <v>45975</v>
      </c>
      <c r="AA423" s="4" t="s">
        <v>97</v>
      </c>
      <c r="AB423" s="4"/>
      <c r="AC423" s="4" t="s">
        <v>103</v>
      </c>
      <c r="AD423" s="4" t="s">
        <v>97</v>
      </c>
      <c r="AE423" s="4" t="s">
        <v>97</v>
      </c>
      <c r="AF423" s="4" t="s">
        <v>103</v>
      </c>
      <c r="AG423" s="4" t="s">
        <v>103</v>
      </c>
      <c r="AH423" s="4" t="s">
        <v>103</v>
      </c>
      <c r="AI423" s="5">
        <v>45970</v>
      </c>
      <c r="AJ423" s="4" t="s">
        <v>97</v>
      </c>
      <c r="AK423" s="4" t="s">
        <v>103</v>
      </c>
      <c r="AL423" s="4" t="s">
        <v>97</v>
      </c>
      <c r="AM423" s="4" t="s">
        <v>103</v>
      </c>
      <c r="AN423" s="4" t="s">
        <v>103</v>
      </c>
      <c r="AO423" s="4" t="s">
        <v>97</v>
      </c>
      <c r="AP423" s="4" t="s">
        <v>97</v>
      </c>
      <c r="AQ423" s="4" t="s">
        <v>103</v>
      </c>
      <c r="AR423" s="4" t="s">
        <v>97</v>
      </c>
      <c r="AS423" s="4" t="s">
        <v>97</v>
      </c>
      <c r="AT423" s="4"/>
      <c r="AU423" s="4"/>
      <c r="AV423" s="4" t="s">
        <v>103</v>
      </c>
      <c r="AW423" s="4" t="s">
        <v>97</v>
      </c>
      <c r="AX423" s="4" t="s">
        <v>97</v>
      </c>
      <c r="AY423" s="4" t="s">
        <v>97</v>
      </c>
      <c r="AZ423" s="4" t="s">
        <v>97</v>
      </c>
      <c r="BA423" s="4" t="s">
        <v>97</v>
      </c>
      <c r="BB423" s="5">
        <v>45975</v>
      </c>
      <c r="BC423" s="5">
        <v>45979</v>
      </c>
      <c r="BD423" s="5">
        <v>45982</v>
      </c>
      <c r="BE423" s="5">
        <v>45982</v>
      </c>
      <c r="BF423" s="4" t="s">
        <v>98</v>
      </c>
      <c r="BG423" s="4" t="s">
        <v>97</v>
      </c>
      <c r="BH423" s="4" t="s">
        <v>103</v>
      </c>
      <c r="BI423" s="4" t="s">
        <v>834</v>
      </c>
    </row>
    <row r="424" spans="1:61" x14ac:dyDescent="0.35">
      <c r="A424" s="4" t="s">
        <v>1115</v>
      </c>
      <c r="B424" s="8" t="str">
        <f t="shared" si="32"/>
        <v>2025</v>
      </c>
      <c r="C424" s="2" t="s">
        <v>18</v>
      </c>
      <c r="D424" s="6" t="str">
        <f t="shared" si="33"/>
        <v>Dakar</v>
      </c>
      <c r="E424" s="6">
        <f t="shared" si="34"/>
        <v>419489</v>
      </c>
      <c r="F424" s="6">
        <f t="shared" si="35"/>
        <v>4042240</v>
      </c>
      <c r="G424" s="4" t="s">
        <v>1133</v>
      </c>
      <c r="H424" s="4" t="s">
        <v>1134</v>
      </c>
      <c r="I424" s="4">
        <v>1</v>
      </c>
      <c r="J424" s="4" t="s">
        <v>96</v>
      </c>
      <c r="K424" s="4"/>
      <c r="L424" s="4"/>
      <c r="M424" s="4"/>
      <c r="N424" s="4"/>
      <c r="O424" s="4" t="s">
        <v>238</v>
      </c>
      <c r="P424" s="4" t="s">
        <v>97</v>
      </c>
      <c r="Q424" s="4" t="s">
        <v>97</v>
      </c>
      <c r="R424" s="14" t="s">
        <v>100</v>
      </c>
      <c r="S424" s="14" t="s">
        <v>100</v>
      </c>
      <c r="T424" s="14" t="s">
        <v>100</v>
      </c>
      <c r="U424" s="14"/>
      <c r="V424" s="14"/>
      <c r="W424" s="14"/>
      <c r="X424" s="14"/>
      <c r="Y424" s="5">
        <v>45979</v>
      </c>
      <c r="Z424" s="5">
        <v>45980</v>
      </c>
      <c r="AA424" s="4" t="s">
        <v>103</v>
      </c>
      <c r="AB424" s="4" t="s">
        <v>463</v>
      </c>
      <c r="AC424" s="4" t="s">
        <v>97</v>
      </c>
      <c r="AD424" s="4" t="s">
        <v>97</v>
      </c>
      <c r="AE424" s="4" t="s">
        <v>97</v>
      </c>
      <c r="AF424" s="4" t="s">
        <v>97</v>
      </c>
      <c r="AG424" s="4" t="s">
        <v>97</v>
      </c>
      <c r="AH424" s="4" t="s">
        <v>103</v>
      </c>
      <c r="AI424" s="5">
        <v>45979</v>
      </c>
      <c r="AJ424" s="4" t="s">
        <v>103</v>
      </c>
      <c r="AK424" s="4" t="s">
        <v>103</v>
      </c>
      <c r="AL424" s="4" t="s">
        <v>103</v>
      </c>
      <c r="AM424" s="4" t="s">
        <v>103</v>
      </c>
      <c r="AN424" s="4" t="s">
        <v>103</v>
      </c>
      <c r="AO424" s="4" t="s">
        <v>103</v>
      </c>
      <c r="AP424" s="4" t="s">
        <v>103</v>
      </c>
      <c r="AQ424" s="4" t="s">
        <v>97</v>
      </c>
      <c r="AR424" s="4" t="s">
        <v>103</v>
      </c>
      <c r="AS424" s="4" t="s">
        <v>103</v>
      </c>
      <c r="AT424" s="4"/>
      <c r="AU424" s="4"/>
      <c r="AV424" s="4" t="s">
        <v>97</v>
      </c>
      <c r="AW424" s="4" t="s">
        <v>97</v>
      </c>
      <c r="AX424" s="4" t="s">
        <v>97</v>
      </c>
      <c r="AY424" s="4" t="s">
        <v>97</v>
      </c>
      <c r="AZ424" s="4" t="s">
        <v>103</v>
      </c>
      <c r="BA424" s="4" t="s">
        <v>97</v>
      </c>
      <c r="BB424" s="5">
        <v>45981</v>
      </c>
      <c r="BC424" s="5">
        <v>45981</v>
      </c>
      <c r="BD424" s="5">
        <v>45981</v>
      </c>
      <c r="BE424" s="5">
        <v>45981</v>
      </c>
      <c r="BF424" s="4" t="s">
        <v>98</v>
      </c>
      <c r="BG424" s="4" t="s">
        <v>97</v>
      </c>
      <c r="BH424" s="4" t="s">
        <v>103</v>
      </c>
      <c r="BI424" s="4" t="s">
        <v>834</v>
      </c>
    </row>
    <row r="425" spans="1:61" x14ac:dyDescent="0.35">
      <c r="A425" s="4" t="s">
        <v>1115</v>
      </c>
      <c r="B425" s="8" t="str">
        <f t="shared" si="32"/>
        <v>2025</v>
      </c>
      <c r="C425" s="2" t="s">
        <v>31</v>
      </c>
      <c r="D425" s="6" t="str">
        <f t="shared" si="33"/>
        <v>Dakar</v>
      </c>
      <c r="E425" s="6">
        <f t="shared" si="34"/>
        <v>424760</v>
      </c>
      <c r="F425" s="6">
        <f t="shared" si="35"/>
        <v>4042240</v>
      </c>
      <c r="G425" s="4" t="s">
        <v>1138</v>
      </c>
      <c r="H425" s="4" t="s">
        <v>1139</v>
      </c>
      <c r="I425" s="4">
        <v>5</v>
      </c>
      <c r="J425" s="4" t="s">
        <v>114</v>
      </c>
      <c r="K425" s="4"/>
      <c r="L425" s="4"/>
      <c r="M425" s="4"/>
      <c r="N425" s="4"/>
      <c r="O425" s="4" t="s">
        <v>238</v>
      </c>
      <c r="P425" s="4" t="s">
        <v>97</v>
      </c>
      <c r="Q425" s="4" t="s">
        <v>97</v>
      </c>
      <c r="R425" s="14" t="s">
        <v>100</v>
      </c>
      <c r="S425" s="14" t="s">
        <v>100</v>
      </c>
      <c r="T425" s="14" t="s">
        <v>100</v>
      </c>
      <c r="U425" s="14"/>
      <c r="V425" s="14"/>
      <c r="W425" s="14"/>
      <c r="X425" s="14"/>
      <c r="Y425" s="5">
        <v>45976</v>
      </c>
      <c r="Z425" s="5">
        <v>45979</v>
      </c>
      <c r="AA425" s="4" t="s">
        <v>103</v>
      </c>
      <c r="AB425" s="25">
        <v>38</v>
      </c>
      <c r="AC425" s="4" t="s">
        <v>103</v>
      </c>
      <c r="AD425" s="4" t="s">
        <v>97</v>
      </c>
      <c r="AE425" s="4" t="s">
        <v>97</v>
      </c>
      <c r="AF425" s="4" t="s">
        <v>97</v>
      </c>
      <c r="AG425" s="4" t="s">
        <v>97</v>
      </c>
      <c r="AH425" s="4" t="s">
        <v>103</v>
      </c>
      <c r="AI425" s="5">
        <v>45975</v>
      </c>
      <c r="AJ425" s="4" t="s">
        <v>103</v>
      </c>
      <c r="AK425" s="4" t="s">
        <v>103</v>
      </c>
      <c r="AL425" s="4" t="s">
        <v>97</v>
      </c>
      <c r="AM425" s="4" t="s">
        <v>103</v>
      </c>
      <c r="AN425" s="4" t="s">
        <v>97</v>
      </c>
      <c r="AO425" s="4" t="s">
        <v>103</v>
      </c>
      <c r="AP425" s="4" t="s">
        <v>103</v>
      </c>
      <c r="AQ425" s="4" t="s">
        <v>103</v>
      </c>
      <c r="AR425" s="4" t="s">
        <v>97</v>
      </c>
      <c r="AS425" s="4" t="s">
        <v>97</v>
      </c>
      <c r="AT425" s="4"/>
      <c r="AU425" s="4"/>
      <c r="AV425" s="4" t="s">
        <v>103</v>
      </c>
      <c r="AW425" s="4" t="s">
        <v>97</v>
      </c>
      <c r="AX425" s="4" t="s">
        <v>97</v>
      </c>
      <c r="AY425" s="4" t="s">
        <v>97</v>
      </c>
      <c r="AZ425" s="4" t="s">
        <v>103</v>
      </c>
      <c r="BA425" s="4" t="s">
        <v>97</v>
      </c>
      <c r="BB425" s="5">
        <v>45982</v>
      </c>
      <c r="BC425" s="5">
        <v>45982</v>
      </c>
      <c r="BD425" s="5">
        <v>45982</v>
      </c>
      <c r="BE425" s="5">
        <v>45982</v>
      </c>
      <c r="BF425" s="4" t="s">
        <v>98</v>
      </c>
      <c r="BG425" s="4" t="s">
        <v>97</v>
      </c>
      <c r="BH425" s="4" t="s">
        <v>103</v>
      </c>
      <c r="BI425" s="4" t="s">
        <v>834</v>
      </c>
    </row>
    <row r="426" spans="1:61" x14ac:dyDescent="0.35">
      <c r="A426" s="4" t="s">
        <v>1140</v>
      </c>
      <c r="B426" s="8" t="str">
        <f t="shared" si="32"/>
        <v>2025</v>
      </c>
      <c r="C426" s="2" t="s">
        <v>0</v>
      </c>
      <c r="D426" s="6" t="str">
        <f t="shared" si="33"/>
        <v>Matam</v>
      </c>
      <c r="E426" s="6">
        <f t="shared" si="34"/>
        <v>271560</v>
      </c>
      <c r="F426" s="6">
        <f t="shared" si="35"/>
        <v>789215</v>
      </c>
      <c r="G426" s="4" t="s">
        <v>1141</v>
      </c>
      <c r="H426" s="4" t="s">
        <v>1142</v>
      </c>
      <c r="I426" s="4">
        <v>36</v>
      </c>
      <c r="J426" s="4" t="s">
        <v>114</v>
      </c>
      <c r="K426" s="4"/>
      <c r="L426" s="4"/>
      <c r="M426" s="4"/>
      <c r="N426" s="4"/>
      <c r="O426" s="4" t="s">
        <v>238</v>
      </c>
      <c r="P426" s="4" t="s">
        <v>97</v>
      </c>
      <c r="Q426" s="4" t="s">
        <v>97</v>
      </c>
      <c r="R426" s="14" t="s">
        <v>100</v>
      </c>
      <c r="S426" s="14" t="s">
        <v>100</v>
      </c>
      <c r="T426" s="14" t="s">
        <v>100</v>
      </c>
      <c r="U426" s="14"/>
      <c r="V426" s="14"/>
      <c r="W426" s="14"/>
      <c r="X426" s="14"/>
      <c r="Y426" s="5">
        <v>45968</v>
      </c>
      <c r="Z426" s="5">
        <v>45970</v>
      </c>
      <c r="AA426" s="4" t="s">
        <v>103</v>
      </c>
      <c r="AB426" s="25">
        <v>38</v>
      </c>
      <c r="AC426" s="4" t="s">
        <v>103</v>
      </c>
      <c r="AD426" s="4" t="s">
        <v>97</v>
      </c>
      <c r="AE426" s="4" t="s">
        <v>97</v>
      </c>
      <c r="AF426" s="4" t="s">
        <v>103</v>
      </c>
      <c r="AG426" s="4" t="s">
        <v>103</v>
      </c>
      <c r="AH426" s="4" t="s">
        <v>103</v>
      </c>
      <c r="AI426" s="26" t="s">
        <v>1062</v>
      </c>
      <c r="AJ426" s="4" t="s">
        <v>103</v>
      </c>
      <c r="AK426" s="4" t="s">
        <v>103</v>
      </c>
      <c r="AL426" s="4" t="s">
        <v>103</v>
      </c>
      <c r="AM426" s="4" t="s">
        <v>103</v>
      </c>
      <c r="AN426" s="4" t="s">
        <v>103</v>
      </c>
      <c r="AO426" s="4" t="s">
        <v>103</v>
      </c>
      <c r="AP426" s="4" t="s">
        <v>103</v>
      </c>
      <c r="AQ426" s="4" t="s">
        <v>103</v>
      </c>
      <c r="AR426" s="4" t="s">
        <v>103</v>
      </c>
      <c r="AS426" s="4" t="s">
        <v>97</v>
      </c>
      <c r="AT426" s="4"/>
      <c r="AU426" s="4"/>
      <c r="AV426" s="4" t="s">
        <v>97</v>
      </c>
      <c r="AW426" s="4" t="s">
        <v>97</v>
      </c>
      <c r="AX426" s="4" t="s">
        <v>97</v>
      </c>
      <c r="AY426" s="4" t="s">
        <v>97</v>
      </c>
      <c r="AZ426" s="4" t="s">
        <v>103</v>
      </c>
      <c r="BA426" s="4" t="s">
        <v>97</v>
      </c>
      <c r="BB426" s="5">
        <v>45980</v>
      </c>
      <c r="BC426" s="5">
        <v>45980</v>
      </c>
      <c r="BD426" s="5">
        <v>45983</v>
      </c>
      <c r="BE426" s="5">
        <v>45983</v>
      </c>
      <c r="BF426" s="4" t="s">
        <v>98</v>
      </c>
      <c r="BG426" s="4" t="s">
        <v>97</v>
      </c>
      <c r="BH426" s="4" t="s">
        <v>103</v>
      </c>
      <c r="BI426" s="4" t="s">
        <v>834</v>
      </c>
    </row>
    <row r="427" spans="1:61" x14ac:dyDescent="0.35">
      <c r="A427" s="4" t="s">
        <v>1140</v>
      </c>
      <c r="B427" s="8" t="str">
        <f t="shared" si="32"/>
        <v>2025</v>
      </c>
      <c r="C427" s="2" t="s">
        <v>17</v>
      </c>
      <c r="D427" s="6" t="str">
        <f t="shared" si="33"/>
        <v>Louga</v>
      </c>
      <c r="E427" s="6">
        <f t="shared" si="34"/>
        <v>169119</v>
      </c>
      <c r="F427" s="6">
        <f t="shared" si="35"/>
        <v>1121619</v>
      </c>
      <c r="G427" s="4" t="s">
        <v>1143</v>
      </c>
      <c r="H427" s="4" t="s">
        <v>940</v>
      </c>
      <c r="I427" s="4">
        <v>18</v>
      </c>
      <c r="J427" s="4" t="s">
        <v>96</v>
      </c>
      <c r="K427" s="4"/>
      <c r="L427" s="4"/>
      <c r="M427" s="4"/>
      <c r="N427" s="4"/>
      <c r="O427" s="4" t="s">
        <v>238</v>
      </c>
      <c r="P427" s="4" t="s">
        <v>97</v>
      </c>
      <c r="Q427" s="4" t="s">
        <v>97</v>
      </c>
      <c r="R427" s="14" t="s">
        <v>100</v>
      </c>
      <c r="S427" s="14" t="s">
        <v>100</v>
      </c>
      <c r="T427" s="14" t="s">
        <v>100</v>
      </c>
      <c r="U427" s="14"/>
      <c r="V427" s="14"/>
      <c r="W427" s="14"/>
      <c r="X427" s="14"/>
      <c r="Y427" s="5">
        <v>45957</v>
      </c>
      <c r="Z427" s="5">
        <v>45967</v>
      </c>
      <c r="AA427" s="4" t="s">
        <v>103</v>
      </c>
      <c r="AB427" s="25">
        <v>38</v>
      </c>
      <c r="AC427" s="4" t="s">
        <v>97</v>
      </c>
      <c r="AD427" s="4" t="s">
        <v>103</v>
      </c>
      <c r="AE427" s="4" t="s">
        <v>97</v>
      </c>
      <c r="AF427" s="4" t="s">
        <v>97</v>
      </c>
      <c r="AG427" s="4" t="s">
        <v>97</v>
      </c>
      <c r="AH427" s="4" t="s">
        <v>103</v>
      </c>
      <c r="AI427" s="5">
        <v>45967</v>
      </c>
      <c r="AJ427" s="4" t="s">
        <v>97</v>
      </c>
      <c r="AK427" s="4" t="s">
        <v>97</v>
      </c>
      <c r="AL427" s="4" t="s">
        <v>97</v>
      </c>
      <c r="AM427" s="4" t="s">
        <v>103</v>
      </c>
      <c r="AN427" s="4" t="s">
        <v>97</v>
      </c>
      <c r="AO427" s="4" t="s">
        <v>103</v>
      </c>
      <c r="AP427" s="4" t="s">
        <v>103</v>
      </c>
      <c r="AQ427" s="4" t="s">
        <v>97</v>
      </c>
      <c r="AR427" s="4" t="s">
        <v>97</v>
      </c>
      <c r="AS427" s="4" t="s">
        <v>97</v>
      </c>
      <c r="AT427" s="4"/>
      <c r="AU427" s="4"/>
      <c r="AV427" s="4" t="s">
        <v>97</v>
      </c>
      <c r="AW427" s="4" t="s">
        <v>97</v>
      </c>
      <c r="AX427" s="4" t="s">
        <v>97</v>
      </c>
      <c r="AY427" s="4" t="s">
        <v>97</v>
      </c>
      <c r="AZ427" s="4" t="s">
        <v>103</v>
      </c>
      <c r="BA427" s="4" t="s">
        <v>97</v>
      </c>
      <c r="BB427" s="5">
        <v>45968</v>
      </c>
      <c r="BC427" s="5">
        <v>45980</v>
      </c>
      <c r="BD427" s="5">
        <v>45983</v>
      </c>
      <c r="BE427" s="5">
        <v>45983</v>
      </c>
      <c r="BF427" s="4" t="s">
        <v>98</v>
      </c>
      <c r="BG427" s="4" t="s">
        <v>97</v>
      </c>
      <c r="BH427" s="4" t="s">
        <v>103</v>
      </c>
      <c r="BI427" s="4" t="s">
        <v>834</v>
      </c>
    </row>
    <row r="428" spans="1:61" x14ac:dyDescent="0.35">
      <c r="A428" s="4" t="s">
        <v>1140</v>
      </c>
      <c r="B428" s="8" t="str">
        <f t="shared" si="32"/>
        <v>2025</v>
      </c>
      <c r="C428" s="2" t="s">
        <v>91</v>
      </c>
      <c r="D428" s="6" t="str">
        <f t="shared" si="33"/>
        <v>Dakar</v>
      </c>
      <c r="E428" s="6">
        <f t="shared" si="34"/>
        <v>179835</v>
      </c>
      <c r="F428" s="6">
        <f t="shared" si="35"/>
        <v>4042240</v>
      </c>
      <c r="G428" s="4" t="s">
        <v>1144</v>
      </c>
      <c r="H428" s="4" t="s">
        <v>556</v>
      </c>
      <c r="I428" s="4">
        <v>38</v>
      </c>
      <c r="J428" s="4" t="s">
        <v>96</v>
      </c>
      <c r="K428" s="4"/>
      <c r="L428" s="4"/>
      <c r="M428" s="4"/>
      <c r="N428" s="4"/>
      <c r="O428" s="4" t="s">
        <v>238</v>
      </c>
      <c r="P428" s="4" t="s">
        <v>97</v>
      </c>
      <c r="Q428" s="4" t="s">
        <v>97</v>
      </c>
      <c r="R428" s="14" t="s">
        <v>100</v>
      </c>
      <c r="S428" s="14" t="s">
        <v>100</v>
      </c>
      <c r="T428" s="14" t="s">
        <v>100</v>
      </c>
      <c r="U428" s="14"/>
      <c r="V428" s="14"/>
      <c r="W428" s="14"/>
      <c r="X428" s="14"/>
      <c r="Y428" s="5">
        <v>45981</v>
      </c>
      <c r="Z428" s="5">
        <v>45985</v>
      </c>
      <c r="AA428" s="4" t="s">
        <v>103</v>
      </c>
      <c r="AB428" s="25" t="s">
        <v>550</v>
      </c>
      <c r="AC428" s="4" t="s">
        <v>103</v>
      </c>
      <c r="AD428" s="4" t="s">
        <v>97</v>
      </c>
      <c r="AE428" s="4" t="s">
        <v>97</v>
      </c>
      <c r="AF428" s="4" t="s">
        <v>97</v>
      </c>
      <c r="AG428" s="4" t="s">
        <v>103</v>
      </c>
      <c r="AH428" s="4" t="s">
        <v>97</v>
      </c>
      <c r="AI428" s="5">
        <v>45979</v>
      </c>
      <c r="AJ428" s="4" t="s">
        <v>97</v>
      </c>
      <c r="AK428" s="4" t="s">
        <v>97</v>
      </c>
      <c r="AL428" s="4" t="s">
        <v>97</v>
      </c>
      <c r="AM428" s="4" t="s">
        <v>97</v>
      </c>
      <c r="AN428" s="4" t="s">
        <v>103</v>
      </c>
      <c r="AO428" s="4" t="s">
        <v>97</v>
      </c>
      <c r="AP428" s="4" t="s">
        <v>103</v>
      </c>
      <c r="AQ428" s="4" t="s">
        <v>97</v>
      </c>
      <c r="AR428" s="4" t="s">
        <v>97</v>
      </c>
      <c r="AS428" s="4" t="s">
        <v>97</v>
      </c>
      <c r="AT428" s="4"/>
      <c r="AU428" s="4"/>
      <c r="AV428" s="4" t="s">
        <v>103</v>
      </c>
      <c r="AW428" s="4" t="s">
        <v>97</v>
      </c>
      <c r="AX428" s="4" t="s">
        <v>97</v>
      </c>
      <c r="AY428" s="4" t="s">
        <v>97</v>
      </c>
      <c r="AZ428" s="4" t="s">
        <v>103</v>
      </c>
      <c r="BA428" s="4" t="s">
        <v>97</v>
      </c>
      <c r="BB428" s="5">
        <v>45985</v>
      </c>
      <c r="BC428" s="5">
        <v>45986</v>
      </c>
      <c r="BD428" s="5">
        <v>45986</v>
      </c>
      <c r="BE428" s="5">
        <v>45986</v>
      </c>
      <c r="BF428" s="4" t="s">
        <v>98</v>
      </c>
      <c r="BG428" s="4" t="s">
        <v>97</v>
      </c>
      <c r="BH428" s="4" t="s">
        <v>103</v>
      </c>
      <c r="BI428" s="4" t="s">
        <v>834</v>
      </c>
    </row>
    <row r="429" spans="1:61" x14ac:dyDescent="0.35">
      <c r="A429" s="4" t="s">
        <v>1140</v>
      </c>
      <c r="B429" s="8" t="str">
        <f t="shared" si="32"/>
        <v>2025</v>
      </c>
      <c r="C429" s="2" t="s">
        <v>75</v>
      </c>
      <c r="D429" s="6" t="str">
        <f t="shared" si="33"/>
        <v>Diourbel</v>
      </c>
      <c r="E429" s="6">
        <f t="shared" si="34"/>
        <v>996481</v>
      </c>
      <c r="F429" s="6">
        <f t="shared" si="35"/>
        <v>1980827</v>
      </c>
      <c r="G429" s="4" t="s">
        <v>1146</v>
      </c>
      <c r="H429" s="4" t="s">
        <v>195</v>
      </c>
      <c r="I429" s="4">
        <v>11</v>
      </c>
      <c r="J429" s="4" t="s">
        <v>114</v>
      </c>
      <c r="K429" s="4"/>
      <c r="L429" s="4"/>
      <c r="M429" s="4"/>
      <c r="N429" s="4"/>
      <c r="O429" s="4" t="s">
        <v>238</v>
      </c>
      <c r="P429" s="4" t="s">
        <v>97</v>
      </c>
      <c r="Q429" s="4" t="s">
        <v>97</v>
      </c>
      <c r="R429" s="14" t="s">
        <v>100</v>
      </c>
      <c r="S429" s="14" t="s">
        <v>100</v>
      </c>
      <c r="T429" s="14" t="s">
        <v>100</v>
      </c>
      <c r="U429" s="14"/>
      <c r="V429" s="14"/>
      <c r="W429" s="14"/>
      <c r="X429" s="14"/>
      <c r="Y429" s="5">
        <v>45985</v>
      </c>
      <c r="Z429" s="5">
        <v>45987</v>
      </c>
      <c r="AA429" s="4"/>
      <c r="AB429" s="4"/>
      <c r="AC429" s="4" t="s">
        <v>97</v>
      </c>
      <c r="AD429" s="4" t="s">
        <v>97</v>
      </c>
      <c r="AE429" s="4" t="s">
        <v>103</v>
      </c>
      <c r="AF429" s="4" t="s">
        <v>103</v>
      </c>
      <c r="AG429" s="4" t="s">
        <v>97</v>
      </c>
      <c r="AH429" s="4" t="s">
        <v>103</v>
      </c>
      <c r="AI429" s="5">
        <v>45985</v>
      </c>
      <c r="AJ429" s="4" t="s">
        <v>97</v>
      </c>
      <c r="AK429" s="4" t="s">
        <v>97</v>
      </c>
      <c r="AL429" s="4" t="s">
        <v>97</v>
      </c>
      <c r="AM429" s="4" t="s">
        <v>103</v>
      </c>
      <c r="AN429" s="4" t="s">
        <v>103</v>
      </c>
      <c r="AO429" s="4" t="s">
        <v>103</v>
      </c>
      <c r="AP429" s="4" t="s">
        <v>103</v>
      </c>
      <c r="AQ429" s="4" t="s">
        <v>97</v>
      </c>
      <c r="AR429" s="4" t="s">
        <v>103</v>
      </c>
      <c r="AS429" s="4" t="s">
        <v>97</v>
      </c>
      <c r="AT429" s="4"/>
      <c r="AU429" s="4"/>
      <c r="AV429" s="4" t="s">
        <v>103</v>
      </c>
      <c r="AW429" s="4" t="s">
        <v>97</v>
      </c>
      <c r="AX429" s="4" t="s">
        <v>97</v>
      </c>
      <c r="AY429" s="4" t="s">
        <v>97</v>
      </c>
      <c r="AZ429" s="4" t="s">
        <v>97</v>
      </c>
      <c r="BA429" s="4" t="s">
        <v>97</v>
      </c>
      <c r="BB429" s="5">
        <v>45987</v>
      </c>
      <c r="BC429" s="5">
        <v>45987</v>
      </c>
      <c r="BD429" s="5">
        <v>45989</v>
      </c>
      <c r="BE429" s="5">
        <v>45989</v>
      </c>
      <c r="BF429" s="4" t="s">
        <v>98</v>
      </c>
      <c r="BG429" s="4" t="s">
        <v>97</v>
      </c>
      <c r="BH429" s="4" t="s">
        <v>103</v>
      </c>
      <c r="BI429" s="4" t="s">
        <v>834</v>
      </c>
    </row>
    <row r="430" spans="1:61" x14ac:dyDescent="0.35">
      <c r="A430" s="4" t="s">
        <v>1140</v>
      </c>
      <c r="B430" s="8" t="str">
        <f t="shared" si="32"/>
        <v>2025</v>
      </c>
      <c r="C430" s="2" t="s">
        <v>65</v>
      </c>
      <c r="D430" s="6" t="str">
        <f t="shared" si="33"/>
        <v>Saint-Louis</v>
      </c>
      <c r="E430" s="6">
        <f t="shared" si="34"/>
        <v>375150</v>
      </c>
      <c r="F430" s="6">
        <f t="shared" si="35"/>
        <v>1150065</v>
      </c>
      <c r="G430" s="4" t="s">
        <v>1147</v>
      </c>
      <c r="H430" s="4" t="s">
        <v>1148</v>
      </c>
      <c r="I430" s="4">
        <v>15</v>
      </c>
      <c r="J430" s="4" t="s">
        <v>114</v>
      </c>
      <c r="K430" s="4"/>
      <c r="L430" s="4"/>
      <c r="M430" s="4"/>
      <c r="N430" s="4"/>
      <c r="O430" s="4" t="s">
        <v>238</v>
      </c>
      <c r="P430" s="4" t="s">
        <v>97</v>
      </c>
      <c r="Q430" s="4" t="s">
        <v>97</v>
      </c>
      <c r="R430" s="14" t="s">
        <v>100</v>
      </c>
      <c r="S430" s="14" t="s">
        <v>100</v>
      </c>
      <c r="T430" s="14" t="s">
        <v>100</v>
      </c>
      <c r="U430" s="14"/>
      <c r="V430" s="14"/>
      <c r="W430" s="14"/>
      <c r="X430" s="14"/>
      <c r="Y430" s="5">
        <v>45977</v>
      </c>
      <c r="Z430" s="5">
        <v>45982</v>
      </c>
      <c r="AA430" s="4" t="s">
        <v>103</v>
      </c>
      <c r="AB430" s="4" t="s">
        <v>488</v>
      </c>
      <c r="AC430" s="4" t="s">
        <v>103</v>
      </c>
      <c r="AD430" s="4" t="s">
        <v>97</v>
      </c>
      <c r="AE430" s="4" t="s">
        <v>97</v>
      </c>
      <c r="AF430" s="4" t="s">
        <v>97</v>
      </c>
      <c r="AG430" s="4" t="s">
        <v>97</v>
      </c>
      <c r="AH430" s="4" t="s">
        <v>103</v>
      </c>
      <c r="AI430" s="5">
        <v>45977</v>
      </c>
      <c r="AJ430" s="4" t="s">
        <v>97</v>
      </c>
      <c r="AK430" s="4" t="s">
        <v>103</v>
      </c>
      <c r="AL430" s="4" t="s">
        <v>97</v>
      </c>
      <c r="AM430" s="4" t="s">
        <v>103</v>
      </c>
      <c r="AN430" s="4" t="s">
        <v>103</v>
      </c>
      <c r="AO430" s="4" t="s">
        <v>103</v>
      </c>
      <c r="AP430" s="4" t="s">
        <v>103</v>
      </c>
      <c r="AQ430" s="4" t="s">
        <v>97</v>
      </c>
      <c r="AR430" s="4" t="s">
        <v>97</v>
      </c>
      <c r="AS430" s="4" t="s">
        <v>97</v>
      </c>
      <c r="AT430" s="4"/>
      <c r="AU430" s="4"/>
      <c r="AV430" s="4" t="s">
        <v>103</v>
      </c>
      <c r="AW430" s="4" t="s">
        <v>97</v>
      </c>
      <c r="AX430" s="4" t="s">
        <v>97</v>
      </c>
      <c r="AY430" s="4" t="s">
        <v>97</v>
      </c>
      <c r="AZ430" s="4" t="s">
        <v>103</v>
      </c>
      <c r="BA430" s="4" t="s">
        <v>97</v>
      </c>
      <c r="BB430" s="5">
        <v>45987</v>
      </c>
      <c r="BC430" s="5">
        <v>45987</v>
      </c>
      <c r="BD430" s="5">
        <v>45988</v>
      </c>
      <c r="BE430" s="5">
        <v>45988</v>
      </c>
      <c r="BF430" s="4" t="s">
        <v>98</v>
      </c>
      <c r="BG430" s="4" t="s">
        <v>97</v>
      </c>
      <c r="BH430" s="4" t="s">
        <v>103</v>
      </c>
      <c r="BI430" s="4" t="s">
        <v>834</v>
      </c>
    </row>
    <row r="431" spans="1:61" x14ac:dyDescent="0.35">
      <c r="A431" s="4" t="s">
        <v>1140</v>
      </c>
      <c r="B431" s="8" t="str">
        <f t="shared" si="32"/>
        <v>2025</v>
      </c>
      <c r="C431" s="2" t="s">
        <v>19</v>
      </c>
      <c r="D431" s="6" t="str">
        <f t="shared" si="33"/>
        <v>Dakar</v>
      </c>
      <c r="E431" s="6">
        <f t="shared" si="34"/>
        <v>565040</v>
      </c>
      <c r="F431" s="6">
        <f t="shared" si="35"/>
        <v>4042240</v>
      </c>
      <c r="G431" s="4" t="s">
        <v>1174</v>
      </c>
      <c r="H431" s="4" t="s">
        <v>1149</v>
      </c>
      <c r="I431" s="4">
        <v>41</v>
      </c>
      <c r="J431" s="4" t="s">
        <v>114</v>
      </c>
      <c r="K431" s="4"/>
      <c r="L431" s="4"/>
      <c r="M431" s="4"/>
      <c r="N431" s="4"/>
      <c r="O431" s="4" t="s">
        <v>238</v>
      </c>
      <c r="P431" s="4" t="s">
        <v>97</v>
      </c>
      <c r="Q431" s="4" t="s">
        <v>97</v>
      </c>
      <c r="R431" s="14" t="s">
        <v>100</v>
      </c>
      <c r="S431" s="14" t="s">
        <v>100</v>
      </c>
      <c r="T431" s="14" t="s">
        <v>100</v>
      </c>
      <c r="U431" s="14"/>
      <c r="V431" s="14"/>
      <c r="W431" s="14"/>
      <c r="X431" s="14"/>
      <c r="Y431" s="5">
        <v>45984</v>
      </c>
      <c r="Z431" s="5">
        <v>45987</v>
      </c>
      <c r="AA431" s="4" t="s">
        <v>103</v>
      </c>
      <c r="AB431" s="25">
        <v>38</v>
      </c>
      <c r="AC431" s="4" t="s">
        <v>97</v>
      </c>
      <c r="AD431" s="4" t="s">
        <v>103</v>
      </c>
      <c r="AE431" s="4" t="s">
        <v>97</v>
      </c>
      <c r="AF431" s="4" t="s">
        <v>97</v>
      </c>
      <c r="AG431" s="4" t="s">
        <v>97</v>
      </c>
      <c r="AH431" s="4" t="s">
        <v>103</v>
      </c>
      <c r="AI431" s="5">
        <v>45984</v>
      </c>
      <c r="AJ431" s="4" t="s">
        <v>103</v>
      </c>
      <c r="AK431" s="4" t="s">
        <v>103</v>
      </c>
      <c r="AL431" s="4" t="s">
        <v>97</v>
      </c>
      <c r="AM431" s="4" t="s">
        <v>103</v>
      </c>
      <c r="AN431" s="4" t="s">
        <v>103</v>
      </c>
      <c r="AO431" s="4" t="s">
        <v>103</v>
      </c>
      <c r="AP431" s="4" t="s">
        <v>103</v>
      </c>
      <c r="AQ431" s="4" t="s">
        <v>97</v>
      </c>
      <c r="AR431" s="4" t="s">
        <v>103</v>
      </c>
      <c r="AS431" s="4" t="s">
        <v>97</v>
      </c>
      <c r="AT431" s="4"/>
      <c r="AU431" s="4"/>
      <c r="AV431" s="4" t="s">
        <v>103</v>
      </c>
      <c r="AW431" s="4" t="s">
        <v>103</v>
      </c>
      <c r="AX431" s="4" t="s">
        <v>97</v>
      </c>
      <c r="AY431" s="4" t="s">
        <v>97</v>
      </c>
      <c r="AZ431" s="4" t="s">
        <v>97</v>
      </c>
      <c r="BA431" s="4" t="s">
        <v>97</v>
      </c>
      <c r="BB431" s="5">
        <v>45987</v>
      </c>
      <c r="BC431" s="5">
        <v>45989</v>
      </c>
      <c r="BD431" s="5">
        <v>45989</v>
      </c>
      <c r="BE431" s="5">
        <v>45989</v>
      </c>
      <c r="BF431" s="4" t="s">
        <v>98</v>
      </c>
      <c r="BG431" s="4" t="s">
        <v>97</v>
      </c>
      <c r="BH431" s="4" t="s">
        <v>103</v>
      </c>
      <c r="BI431" s="4" t="s">
        <v>834</v>
      </c>
    </row>
    <row r="432" spans="1:61" x14ac:dyDescent="0.35">
      <c r="A432" s="4" t="s">
        <v>1140</v>
      </c>
      <c r="B432" s="8" t="str">
        <f t="shared" si="32"/>
        <v>2025</v>
      </c>
      <c r="C432" s="2" t="s">
        <v>76</v>
      </c>
      <c r="D432" s="6" t="str">
        <f t="shared" si="33"/>
        <v>Kolda</v>
      </c>
      <c r="E432" s="6">
        <f t="shared" si="34"/>
        <v>367976</v>
      </c>
      <c r="F432" s="6">
        <f t="shared" si="35"/>
        <v>875661</v>
      </c>
      <c r="G432" s="4" t="s">
        <v>1150</v>
      </c>
      <c r="H432" s="4" t="s">
        <v>1151</v>
      </c>
      <c r="I432" s="4">
        <v>30</v>
      </c>
      <c r="J432" s="4" t="s">
        <v>114</v>
      </c>
      <c r="K432" s="4"/>
      <c r="L432" s="4"/>
      <c r="M432" s="4"/>
      <c r="N432" s="4"/>
      <c r="O432" s="4" t="s">
        <v>238</v>
      </c>
      <c r="P432" s="4" t="s">
        <v>97</v>
      </c>
      <c r="Q432" s="4" t="s">
        <v>97</v>
      </c>
      <c r="R432" s="14" t="s">
        <v>100</v>
      </c>
      <c r="S432" s="14" t="s">
        <v>100</v>
      </c>
      <c r="T432" s="14" t="s">
        <v>100</v>
      </c>
      <c r="U432" s="14"/>
      <c r="V432" s="14"/>
      <c r="W432" s="14"/>
      <c r="X432" s="14"/>
      <c r="Y432" s="5">
        <v>45978</v>
      </c>
      <c r="Z432" s="5">
        <v>45981</v>
      </c>
      <c r="AA432" s="4" t="s">
        <v>103</v>
      </c>
      <c r="AB432" s="25">
        <v>39</v>
      </c>
      <c r="AC432" s="4" t="s">
        <v>103</v>
      </c>
      <c r="AD432" s="4" t="s">
        <v>97</v>
      </c>
      <c r="AE432" s="4" t="s">
        <v>97</v>
      </c>
      <c r="AF432" s="4" t="s">
        <v>103</v>
      </c>
      <c r="AG432" s="4" t="s">
        <v>103</v>
      </c>
      <c r="AH432" s="4" t="s">
        <v>103</v>
      </c>
      <c r="AI432" s="5">
        <v>45978</v>
      </c>
      <c r="AJ432" s="4" t="s">
        <v>97</v>
      </c>
      <c r="AK432" s="4" t="s">
        <v>97</v>
      </c>
      <c r="AL432" s="4" t="s">
        <v>97</v>
      </c>
      <c r="AM432" s="4" t="s">
        <v>97</v>
      </c>
      <c r="AN432" s="4" t="s">
        <v>97</v>
      </c>
      <c r="AO432" s="4" t="s">
        <v>97</v>
      </c>
      <c r="AP432" s="4" t="s">
        <v>97</v>
      </c>
      <c r="AQ432" s="4" t="s">
        <v>97</v>
      </c>
      <c r="AR432" s="4" t="s">
        <v>97</v>
      </c>
      <c r="AS432" s="4" t="s">
        <v>97</v>
      </c>
      <c r="AT432" s="4"/>
      <c r="AU432" s="4"/>
      <c r="AV432" s="4" t="s">
        <v>103</v>
      </c>
      <c r="AW432" s="4" t="s">
        <v>97</v>
      </c>
      <c r="AX432" s="4" t="s">
        <v>97</v>
      </c>
      <c r="AY432" s="4" t="s">
        <v>97</v>
      </c>
      <c r="AZ432" s="4" t="s">
        <v>97</v>
      </c>
      <c r="BA432" s="4" t="s">
        <v>97</v>
      </c>
      <c r="BB432" s="5">
        <v>45981</v>
      </c>
      <c r="BC432" s="5">
        <v>45987</v>
      </c>
      <c r="BD432" s="5">
        <v>45987</v>
      </c>
      <c r="BE432" s="5">
        <v>45987</v>
      </c>
      <c r="BF432" s="4" t="s">
        <v>98</v>
      </c>
      <c r="BG432" s="4" t="s">
        <v>97</v>
      </c>
      <c r="BH432" s="4" t="s">
        <v>103</v>
      </c>
      <c r="BI432" s="4" t="s">
        <v>834</v>
      </c>
    </row>
    <row r="433" spans="1:61" x14ac:dyDescent="0.35">
      <c r="A433" s="4" t="s">
        <v>1140</v>
      </c>
      <c r="B433" s="8" t="str">
        <f t="shared" si="32"/>
        <v>2025</v>
      </c>
      <c r="C433" s="2" t="s">
        <v>76</v>
      </c>
      <c r="D433" s="6" t="str">
        <f t="shared" si="33"/>
        <v>Kolda</v>
      </c>
      <c r="E433" s="6">
        <f t="shared" si="34"/>
        <v>367976</v>
      </c>
      <c r="F433" s="6">
        <f t="shared" si="35"/>
        <v>875661</v>
      </c>
      <c r="G433" s="4" t="s">
        <v>1152</v>
      </c>
      <c r="H433" s="4" t="s">
        <v>199</v>
      </c>
      <c r="I433" s="4">
        <v>20</v>
      </c>
      <c r="J433" s="4" t="s">
        <v>114</v>
      </c>
      <c r="K433" s="4"/>
      <c r="L433" s="4"/>
      <c r="M433" s="4"/>
      <c r="N433" s="4"/>
      <c r="O433" s="4" t="s">
        <v>238</v>
      </c>
      <c r="P433" s="4" t="s">
        <v>97</v>
      </c>
      <c r="Q433" s="4" t="s">
        <v>97</v>
      </c>
      <c r="R433" s="14" t="s">
        <v>100</v>
      </c>
      <c r="S433" s="14" t="s">
        <v>100</v>
      </c>
      <c r="T433" s="14" t="s">
        <v>100</v>
      </c>
      <c r="U433" s="14"/>
      <c r="V433" s="14"/>
      <c r="W433" s="14"/>
      <c r="X433" s="14"/>
      <c r="Y433" s="5">
        <v>45971</v>
      </c>
      <c r="Z433" s="5">
        <v>45982</v>
      </c>
      <c r="AA433" s="4" t="s">
        <v>103</v>
      </c>
      <c r="AB433" s="25">
        <v>39</v>
      </c>
      <c r="AC433" s="4" t="s">
        <v>103</v>
      </c>
      <c r="AD433" s="4" t="s">
        <v>103</v>
      </c>
      <c r="AE433" s="4" t="s">
        <v>97</v>
      </c>
      <c r="AF433" s="4" t="s">
        <v>97</v>
      </c>
      <c r="AG433" s="4" t="s">
        <v>97</v>
      </c>
      <c r="AH433" s="4" t="s">
        <v>103</v>
      </c>
      <c r="AI433" s="5">
        <v>45971</v>
      </c>
      <c r="AJ433" s="4" t="s">
        <v>97</v>
      </c>
      <c r="AK433" s="4" t="s">
        <v>97</v>
      </c>
      <c r="AL433" s="4" t="s">
        <v>97</v>
      </c>
      <c r="AM433" s="4" t="s">
        <v>97</v>
      </c>
      <c r="AN433" s="4" t="s">
        <v>97</v>
      </c>
      <c r="AO433" s="4" t="s">
        <v>97</v>
      </c>
      <c r="AP433" s="4" t="s">
        <v>97</v>
      </c>
      <c r="AQ433" s="4" t="s">
        <v>97</v>
      </c>
      <c r="AR433" s="4" t="s">
        <v>97</v>
      </c>
      <c r="AS433" s="4" t="s">
        <v>97</v>
      </c>
      <c r="AT433" s="4"/>
      <c r="AU433" s="4"/>
      <c r="AV433" s="4" t="s">
        <v>103</v>
      </c>
      <c r="AW433" s="4" t="s">
        <v>97</v>
      </c>
      <c r="AX433" s="4" t="s">
        <v>97</v>
      </c>
      <c r="AY433" s="4" t="s">
        <v>97</v>
      </c>
      <c r="AZ433" s="4" t="s">
        <v>97</v>
      </c>
      <c r="BA433" s="4" t="s">
        <v>97</v>
      </c>
      <c r="BB433" s="5">
        <v>45982</v>
      </c>
      <c r="BC433" s="5">
        <v>45987</v>
      </c>
      <c r="BD433" s="5">
        <v>45987</v>
      </c>
      <c r="BE433" s="5">
        <v>45987</v>
      </c>
      <c r="BF433" s="4" t="s">
        <v>98</v>
      </c>
      <c r="BG433" s="4" t="s">
        <v>97</v>
      </c>
      <c r="BH433" s="4" t="s">
        <v>103</v>
      </c>
      <c r="BI433" s="4" t="s">
        <v>834</v>
      </c>
    </row>
    <row r="434" spans="1:61" x14ac:dyDescent="0.35">
      <c r="A434" s="4" t="s">
        <v>1140</v>
      </c>
      <c r="B434" s="8" t="str">
        <f t="shared" si="32"/>
        <v>2025</v>
      </c>
      <c r="C434" s="2" t="s">
        <v>76</v>
      </c>
      <c r="D434" s="6" t="str">
        <f t="shared" si="33"/>
        <v>Kolda</v>
      </c>
      <c r="E434" s="6">
        <f t="shared" si="34"/>
        <v>367976</v>
      </c>
      <c r="F434" s="6">
        <f t="shared" si="35"/>
        <v>875661</v>
      </c>
      <c r="G434" s="4" t="s">
        <v>1153</v>
      </c>
      <c r="H434" s="4" t="s">
        <v>1154</v>
      </c>
      <c r="I434" s="4">
        <v>41</v>
      </c>
      <c r="J434" s="4" t="s">
        <v>114</v>
      </c>
      <c r="K434" s="4" t="s">
        <v>213</v>
      </c>
      <c r="L434" s="5">
        <v>45971</v>
      </c>
      <c r="M434" s="4"/>
      <c r="N434" s="4"/>
      <c r="O434" s="4" t="s">
        <v>238</v>
      </c>
      <c r="P434" s="4" t="s">
        <v>97</v>
      </c>
      <c r="Q434" s="4" t="s">
        <v>97</v>
      </c>
      <c r="R434" s="14" t="s">
        <v>100</v>
      </c>
      <c r="S434" s="14" t="s">
        <v>100</v>
      </c>
      <c r="T434" s="14" t="s">
        <v>100</v>
      </c>
      <c r="U434" s="14"/>
      <c r="V434" s="14"/>
      <c r="W434" s="14"/>
      <c r="X434" s="14"/>
      <c r="Y434" s="5">
        <v>45977</v>
      </c>
      <c r="Z434" s="5">
        <v>45981</v>
      </c>
      <c r="AA434" s="4" t="s">
        <v>103</v>
      </c>
      <c r="AB434" s="25" t="s">
        <v>296</v>
      </c>
      <c r="AC434" s="4" t="s">
        <v>103</v>
      </c>
      <c r="AD434" s="4" t="s">
        <v>97</v>
      </c>
      <c r="AE434" s="4" t="s">
        <v>97</v>
      </c>
      <c r="AF434" s="4" t="s">
        <v>103</v>
      </c>
      <c r="AG434" s="4" t="s">
        <v>103</v>
      </c>
      <c r="AH434" s="4" t="s">
        <v>103</v>
      </c>
      <c r="AI434" s="5">
        <v>45977</v>
      </c>
      <c r="AJ434" s="4" t="s">
        <v>97</v>
      </c>
      <c r="AK434" s="4" t="s">
        <v>97</v>
      </c>
      <c r="AL434" s="4" t="s">
        <v>97</v>
      </c>
      <c r="AM434" s="4" t="s">
        <v>97</v>
      </c>
      <c r="AN434" s="4" t="s">
        <v>97</v>
      </c>
      <c r="AO434" s="4" t="s">
        <v>97</v>
      </c>
      <c r="AP434" s="4" t="s">
        <v>97</v>
      </c>
      <c r="AQ434" s="4" t="s">
        <v>97</v>
      </c>
      <c r="AR434" s="4" t="s">
        <v>97</v>
      </c>
      <c r="AS434" s="4" t="s">
        <v>97</v>
      </c>
      <c r="AT434" s="4"/>
      <c r="AU434" s="4"/>
      <c r="AV434" s="4" t="s">
        <v>103</v>
      </c>
      <c r="AW434" s="4" t="s">
        <v>97</v>
      </c>
      <c r="AX434" s="4" t="s">
        <v>97</v>
      </c>
      <c r="AY434" s="4" t="s">
        <v>97</v>
      </c>
      <c r="AZ434" s="4" t="s">
        <v>97</v>
      </c>
      <c r="BA434" s="4" t="s">
        <v>97</v>
      </c>
      <c r="BB434" s="5">
        <v>45981</v>
      </c>
      <c r="BC434" s="5">
        <v>45987</v>
      </c>
      <c r="BD434" s="5">
        <v>45987</v>
      </c>
      <c r="BE434" s="5">
        <v>45987</v>
      </c>
      <c r="BF434" s="4" t="s">
        <v>98</v>
      </c>
      <c r="BG434" s="4" t="s">
        <v>97</v>
      </c>
      <c r="BH434" s="4" t="s">
        <v>103</v>
      </c>
      <c r="BI434" s="4" t="s">
        <v>834</v>
      </c>
    </row>
    <row r="435" spans="1:61" x14ac:dyDescent="0.35">
      <c r="A435" s="4" t="s">
        <v>1140</v>
      </c>
      <c r="B435" s="8" t="str">
        <f t="shared" si="32"/>
        <v>2025</v>
      </c>
      <c r="C435" s="2" t="s">
        <v>76</v>
      </c>
      <c r="D435" s="6" t="str">
        <f t="shared" si="33"/>
        <v>Kolda</v>
      </c>
      <c r="E435" s="6">
        <f t="shared" si="34"/>
        <v>367976</v>
      </c>
      <c r="F435" s="6">
        <f t="shared" si="35"/>
        <v>875661</v>
      </c>
      <c r="G435" s="4" t="s">
        <v>1155</v>
      </c>
      <c r="H435" s="4" t="s">
        <v>1156</v>
      </c>
      <c r="I435" s="4">
        <v>4</v>
      </c>
      <c r="J435" s="4" t="s">
        <v>114</v>
      </c>
      <c r="K435" s="4"/>
      <c r="L435" s="4"/>
      <c r="M435" s="4"/>
      <c r="N435" s="4"/>
      <c r="O435" s="4" t="s">
        <v>238</v>
      </c>
      <c r="P435" s="4" t="s">
        <v>97</v>
      </c>
      <c r="Q435" s="4" t="s">
        <v>97</v>
      </c>
      <c r="R435" s="14" t="s">
        <v>100</v>
      </c>
      <c r="S435" s="14" t="s">
        <v>100</v>
      </c>
      <c r="T435" s="14" t="s">
        <v>100</v>
      </c>
      <c r="U435" s="14"/>
      <c r="V435" s="14"/>
      <c r="W435" s="14"/>
      <c r="X435" s="14"/>
      <c r="Y435" s="5">
        <v>45970</v>
      </c>
      <c r="Z435" s="5">
        <v>45973</v>
      </c>
      <c r="AA435" s="4" t="s">
        <v>103</v>
      </c>
      <c r="AB435" s="25" t="s">
        <v>550</v>
      </c>
      <c r="AC435" s="4" t="s">
        <v>103</v>
      </c>
      <c r="AD435" s="4" t="s">
        <v>97</v>
      </c>
      <c r="AE435" s="4" t="s">
        <v>97</v>
      </c>
      <c r="AF435" s="4" t="s">
        <v>103</v>
      </c>
      <c r="AG435" s="4" t="s">
        <v>103</v>
      </c>
      <c r="AH435" s="4" t="s">
        <v>103</v>
      </c>
      <c r="AI435" s="5">
        <v>45970</v>
      </c>
      <c r="AJ435" s="4" t="s">
        <v>97</v>
      </c>
      <c r="AK435" s="4" t="s">
        <v>97</v>
      </c>
      <c r="AL435" s="4" t="s">
        <v>97</v>
      </c>
      <c r="AM435" s="4" t="s">
        <v>103</v>
      </c>
      <c r="AN435" s="4" t="s">
        <v>103</v>
      </c>
      <c r="AO435" s="4" t="s">
        <v>97</v>
      </c>
      <c r="AP435" s="4" t="s">
        <v>97</v>
      </c>
      <c r="AQ435" s="4" t="s">
        <v>97</v>
      </c>
      <c r="AR435" s="4" t="s">
        <v>97</v>
      </c>
      <c r="AS435" s="4" t="s">
        <v>97</v>
      </c>
      <c r="AT435" s="4"/>
      <c r="AU435" s="4"/>
      <c r="AV435" s="4" t="s">
        <v>103</v>
      </c>
      <c r="AW435" s="4" t="s">
        <v>97</v>
      </c>
      <c r="AX435" s="4" t="s">
        <v>97</v>
      </c>
      <c r="AY435" s="4" t="s">
        <v>97</v>
      </c>
      <c r="AZ435" s="4" t="s">
        <v>97</v>
      </c>
      <c r="BA435" s="4" t="s">
        <v>97</v>
      </c>
      <c r="BB435" s="5">
        <v>45973</v>
      </c>
      <c r="BC435" s="5">
        <v>45987</v>
      </c>
      <c r="BD435" s="5">
        <v>45987</v>
      </c>
      <c r="BE435" s="5">
        <v>45987</v>
      </c>
      <c r="BF435" s="4" t="s">
        <v>98</v>
      </c>
      <c r="BG435" s="4" t="s">
        <v>97</v>
      </c>
      <c r="BH435" s="4" t="s">
        <v>103</v>
      </c>
      <c r="BI435" s="4" t="s">
        <v>834</v>
      </c>
    </row>
    <row r="436" spans="1:61" x14ac:dyDescent="0.35">
      <c r="A436" s="4" t="s">
        <v>1140</v>
      </c>
      <c r="B436" s="8" t="str">
        <f t="shared" si="32"/>
        <v>2025</v>
      </c>
      <c r="C436" s="2" t="s">
        <v>76</v>
      </c>
      <c r="D436" s="6" t="str">
        <f t="shared" si="33"/>
        <v>Kolda</v>
      </c>
      <c r="E436" s="6">
        <f t="shared" si="34"/>
        <v>367976</v>
      </c>
      <c r="F436" s="6">
        <f t="shared" si="35"/>
        <v>875661</v>
      </c>
      <c r="G436" s="4" t="s">
        <v>1157</v>
      </c>
      <c r="H436" s="4" t="s">
        <v>144</v>
      </c>
      <c r="I436" s="4">
        <v>4</v>
      </c>
      <c r="J436" s="4" t="s">
        <v>114</v>
      </c>
      <c r="K436" s="4"/>
      <c r="L436" s="4"/>
      <c r="M436" s="4"/>
      <c r="N436" s="4"/>
      <c r="O436" s="4" t="s">
        <v>238</v>
      </c>
      <c r="P436" s="4" t="s">
        <v>97</v>
      </c>
      <c r="Q436" s="4" t="s">
        <v>97</v>
      </c>
      <c r="R436" s="14" t="s">
        <v>100</v>
      </c>
      <c r="S436" s="14" t="s">
        <v>100</v>
      </c>
      <c r="T436" s="14" t="s">
        <v>100</v>
      </c>
      <c r="U436" s="14"/>
      <c r="V436" s="14"/>
      <c r="W436" s="14"/>
      <c r="X436" s="14"/>
      <c r="Y436" s="5">
        <v>45973</v>
      </c>
      <c r="Z436" s="5">
        <v>45975</v>
      </c>
      <c r="AA436" s="4" t="s">
        <v>103</v>
      </c>
      <c r="AB436" s="25" t="s">
        <v>264</v>
      </c>
      <c r="AC436" s="4" t="s">
        <v>97</v>
      </c>
      <c r="AD436" s="4" t="s">
        <v>97</v>
      </c>
      <c r="AE436" s="4" t="s">
        <v>97</v>
      </c>
      <c r="AF436" s="4" t="s">
        <v>103</v>
      </c>
      <c r="AG436" s="4" t="s">
        <v>103</v>
      </c>
      <c r="AH436" s="4" t="s">
        <v>103</v>
      </c>
      <c r="AI436" s="5">
        <v>45973</v>
      </c>
      <c r="AJ436" s="4" t="s">
        <v>97</v>
      </c>
      <c r="AK436" s="4" t="s">
        <v>97</v>
      </c>
      <c r="AL436" s="4" t="s">
        <v>97</v>
      </c>
      <c r="AM436" s="4" t="s">
        <v>97</v>
      </c>
      <c r="AN436" s="4" t="s">
        <v>97</v>
      </c>
      <c r="AO436" s="4" t="s">
        <v>97</v>
      </c>
      <c r="AP436" s="4" t="s">
        <v>97</v>
      </c>
      <c r="AQ436" s="4" t="s">
        <v>97</v>
      </c>
      <c r="AR436" s="4" t="s">
        <v>97</v>
      </c>
      <c r="AS436" s="4" t="s">
        <v>97</v>
      </c>
      <c r="AT436" s="4"/>
      <c r="AU436" s="4"/>
      <c r="AV436" s="4" t="s">
        <v>103</v>
      </c>
      <c r="AW436" s="4" t="s">
        <v>97</v>
      </c>
      <c r="AX436" s="4" t="s">
        <v>97</v>
      </c>
      <c r="AY436" s="4" t="s">
        <v>97</v>
      </c>
      <c r="AZ436" s="4" t="s">
        <v>97</v>
      </c>
      <c r="BA436" s="4" t="s">
        <v>97</v>
      </c>
      <c r="BB436" s="5">
        <v>45975</v>
      </c>
      <c r="BC436" s="5">
        <v>45987</v>
      </c>
      <c r="BD436" s="5">
        <v>45987</v>
      </c>
      <c r="BE436" s="5">
        <v>45987</v>
      </c>
      <c r="BF436" s="4" t="s">
        <v>98</v>
      </c>
      <c r="BG436" s="4" t="s">
        <v>97</v>
      </c>
      <c r="BH436" s="4" t="s">
        <v>103</v>
      </c>
      <c r="BI436" s="4" t="s">
        <v>834</v>
      </c>
    </row>
    <row r="437" spans="1:61" x14ac:dyDescent="0.35">
      <c r="A437" s="4" t="s">
        <v>1140</v>
      </c>
      <c r="B437" s="8" t="str">
        <f t="shared" si="32"/>
        <v>2025</v>
      </c>
      <c r="C437" s="2" t="s">
        <v>60</v>
      </c>
      <c r="D437" s="6" t="str">
        <f t="shared" si="33"/>
        <v>Thies</v>
      </c>
      <c r="E437" s="6">
        <f t="shared" si="34"/>
        <v>92691</v>
      </c>
      <c r="F437" s="6">
        <f t="shared" si="35"/>
        <v>2280463</v>
      </c>
      <c r="G437" s="4" t="s">
        <v>1158</v>
      </c>
      <c r="H437" s="4" t="s">
        <v>1159</v>
      </c>
      <c r="I437" s="4">
        <v>28</v>
      </c>
      <c r="J437" s="4" t="s">
        <v>114</v>
      </c>
      <c r="K437" s="4"/>
      <c r="L437" s="4"/>
      <c r="M437" s="4"/>
      <c r="N437" s="4"/>
      <c r="O437" s="4" t="s">
        <v>238</v>
      </c>
      <c r="P437" s="4" t="s">
        <v>97</v>
      </c>
      <c r="Q437" s="4" t="s">
        <v>97</v>
      </c>
      <c r="R437" s="14" t="s">
        <v>100</v>
      </c>
      <c r="S437" s="14" t="s">
        <v>100</v>
      </c>
      <c r="T437" s="14" t="s">
        <v>100</v>
      </c>
      <c r="U437" s="14"/>
      <c r="V437" s="14"/>
      <c r="W437" s="14"/>
      <c r="X437" s="14"/>
      <c r="Y437" s="5">
        <v>45983</v>
      </c>
      <c r="Z437" s="5">
        <v>45985</v>
      </c>
      <c r="AA437" s="4"/>
      <c r="AB437" s="25"/>
      <c r="AC437" s="4" t="s">
        <v>97</v>
      </c>
      <c r="AD437" s="4" t="s">
        <v>97</v>
      </c>
      <c r="AE437" s="4" t="s">
        <v>97</v>
      </c>
      <c r="AF437" s="4" t="s">
        <v>103</v>
      </c>
      <c r="AG437" s="4" t="s">
        <v>97</v>
      </c>
      <c r="AH437" s="4" t="s">
        <v>103</v>
      </c>
      <c r="AI437" s="5">
        <v>45983</v>
      </c>
      <c r="AJ437" s="4" t="s">
        <v>103</v>
      </c>
      <c r="AK437" s="4" t="s">
        <v>97</v>
      </c>
      <c r="AL437" s="4" t="s">
        <v>97</v>
      </c>
      <c r="AM437" s="4" t="s">
        <v>97</v>
      </c>
      <c r="AN437" s="4" t="s">
        <v>103</v>
      </c>
      <c r="AO437" s="4" t="s">
        <v>103</v>
      </c>
      <c r="AP437" s="4" t="s">
        <v>103</v>
      </c>
      <c r="AQ437" s="4" t="s">
        <v>97</v>
      </c>
      <c r="AR437" s="4" t="s">
        <v>97</v>
      </c>
      <c r="AS437" s="4" t="s">
        <v>97</v>
      </c>
      <c r="AT437" s="4"/>
      <c r="AU437" s="4"/>
      <c r="AV437" s="4" t="s">
        <v>103</v>
      </c>
      <c r="AW437" s="4" t="s">
        <v>97</v>
      </c>
      <c r="AX437" s="4" t="s">
        <v>97</v>
      </c>
      <c r="AY437" s="4" t="s">
        <v>97</v>
      </c>
      <c r="AZ437" s="4" t="s">
        <v>103</v>
      </c>
      <c r="BA437" s="4" t="s">
        <v>97</v>
      </c>
      <c r="BB437" s="5">
        <v>45986</v>
      </c>
      <c r="BC437" s="5">
        <v>45987</v>
      </c>
      <c r="BD437" s="5">
        <v>45988</v>
      </c>
      <c r="BE437" s="5">
        <v>45988</v>
      </c>
      <c r="BF437" s="4" t="s">
        <v>98</v>
      </c>
      <c r="BG437" s="4" t="s">
        <v>97</v>
      </c>
      <c r="BH437" s="4" t="s">
        <v>103</v>
      </c>
      <c r="BI437" s="4" t="s">
        <v>834</v>
      </c>
    </row>
    <row r="438" spans="1:61" x14ac:dyDescent="0.35">
      <c r="A438" s="4" t="s">
        <v>1160</v>
      </c>
      <c r="B438" s="8" t="str">
        <f t="shared" si="32"/>
        <v>2025</v>
      </c>
      <c r="C438" s="2" t="s">
        <v>75</v>
      </c>
      <c r="D438" s="6" t="str">
        <f t="shared" si="33"/>
        <v>Diourbel</v>
      </c>
      <c r="E438" s="6">
        <f t="shared" si="34"/>
        <v>996481</v>
      </c>
      <c r="F438" s="6">
        <f t="shared" si="35"/>
        <v>1980827</v>
      </c>
      <c r="G438" s="4" t="s">
        <v>1161</v>
      </c>
      <c r="H438" s="4" t="s">
        <v>1162</v>
      </c>
      <c r="I438" s="4">
        <v>14</v>
      </c>
      <c r="J438" s="4" t="s">
        <v>114</v>
      </c>
      <c r="K438" s="4"/>
      <c r="L438" s="4"/>
      <c r="M438" s="4"/>
      <c r="N438" s="4"/>
      <c r="O438" s="4" t="s">
        <v>238</v>
      </c>
      <c r="P438" s="4" t="s">
        <v>97</v>
      </c>
      <c r="Q438" s="4" t="s">
        <v>97</v>
      </c>
      <c r="R438" s="14" t="s">
        <v>100</v>
      </c>
      <c r="S438" s="14" t="s">
        <v>100</v>
      </c>
      <c r="T438" s="14" t="s">
        <v>100</v>
      </c>
      <c r="U438" s="14"/>
      <c r="V438" s="14"/>
      <c r="W438" s="14"/>
      <c r="X438" s="14"/>
      <c r="Y438" s="5">
        <v>45989</v>
      </c>
      <c r="Z438" s="5">
        <v>45991</v>
      </c>
      <c r="AA438" s="4" t="s">
        <v>103</v>
      </c>
      <c r="AB438" s="25" t="s">
        <v>405</v>
      </c>
      <c r="AC438" s="4" t="s">
        <v>103</v>
      </c>
      <c r="AD438" s="4" t="s">
        <v>97</v>
      </c>
      <c r="AE438" s="4" t="s">
        <v>97</v>
      </c>
      <c r="AF438" s="4" t="s">
        <v>103</v>
      </c>
      <c r="AG438" s="4" t="s">
        <v>97</v>
      </c>
      <c r="AH438" s="4" t="s">
        <v>103</v>
      </c>
      <c r="AI438" s="5">
        <v>45989</v>
      </c>
      <c r="AJ438" s="4" t="s">
        <v>97</v>
      </c>
      <c r="AK438" s="4" t="s">
        <v>103</v>
      </c>
      <c r="AL438" s="4" t="s">
        <v>97</v>
      </c>
      <c r="AM438" s="4" t="s">
        <v>97</v>
      </c>
      <c r="AN438" s="4" t="s">
        <v>103</v>
      </c>
      <c r="AO438" s="4" t="s">
        <v>97</v>
      </c>
      <c r="AP438" s="4" t="s">
        <v>97</v>
      </c>
      <c r="AQ438" s="4" t="s">
        <v>97</v>
      </c>
      <c r="AR438" s="4" t="s">
        <v>97</v>
      </c>
      <c r="AS438" s="4" t="s">
        <v>97</v>
      </c>
      <c r="AT438" s="4"/>
      <c r="AU438" s="4"/>
      <c r="AV438" s="4" t="s">
        <v>103</v>
      </c>
      <c r="AW438" s="4" t="s">
        <v>97</v>
      </c>
      <c r="AX438" s="4" t="s">
        <v>97</v>
      </c>
      <c r="AY438" s="4" t="s">
        <v>97</v>
      </c>
      <c r="AZ438" s="4" t="s">
        <v>103</v>
      </c>
      <c r="BA438" s="4" t="s">
        <v>97</v>
      </c>
      <c r="BB438" s="5">
        <v>45991</v>
      </c>
      <c r="BC438" s="5">
        <v>45992</v>
      </c>
      <c r="BD438" s="5">
        <v>45994</v>
      </c>
      <c r="BE438" s="5">
        <v>45994</v>
      </c>
      <c r="BF438" s="4" t="s">
        <v>98</v>
      </c>
      <c r="BG438" s="4" t="s">
        <v>97</v>
      </c>
      <c r="BH438" s="4" t="s">
        <v>103</v>
      </c>
      <c r="BI438" s="4" t="s">
        <v>834</v>
      </c>
    </row>
    <row r="439" spans="1:61" x14ac:dyDescent="0.35">
      <c r="A439" s="4" t="s">
        <v>1160</v>
      </c>
      <c r="B439" s="8" t="str">
        <f t="shared" si="32"/>
        <v>2025</v>
      </c>
      <c r="C439" s="2" t="s">
        <v>75</v>
      </c>
      <c r="D439" s="6" t="str">
        <f t="shared" si="33"/>
        <v>Diourbel</v>
      </c>
      <c r="E439" s="6">
        <f t="shared" si="34"/>
        <v>996481</v>
      </c>
      <c r="F439" s="6">
        <f t="shared" si="35"/>
        <v>1980827</v>
      </c>
      <c r="G439" s="4" t="s">
        <v>1163</v>
      </c>
      <c r="H439" s="4" t="s">
        <v>1164</v>
      </c>
      <c r="I439" s="4">
        <v>7</v>
      </c>
      <c r="J439" s="4" t="s">
        <v>114</v>
      </c>
      <c r="K439" s="4"/>
      <c r="L439" s="4"/>
      <c r="M439" s="4"/>
      <c r="N439" s="4"/>
      <c r="O439" s="4" t="s">
        <v>238</v>
      </c>
      <c r="P439" s="4" t="s">
        <v>97</v>
      </c>
      <c r="Q439" s="4" t="s">
        <v>97</v>
      </c>
      <c r="R439" s="14" t="s">
        <v>100</v>
      </c>
      <c r="S439" s="14" t="s">
        <v>100</v>
      </c>
      <c r="T439" s="14" t="s">
        <v>100</v>
      </c>
      <c r="U439" s="14"/>
      <c r="V439" s="14"/>
      <c r="W439" s="14"/>
      <c r="X439" s="14"/>
      <c r="Y439" s="5">
        <v>45987</v>
      </c>
      <c r="Z439" s="5">
        <v>45989</v>
      </c>
      <c r="AA439" s="4" t="s">
        <v>103</v>
      </c>
      <c r="AB439" s="25" t="s">
        <v>488</v>
      </c>
      <c r="AC439" s="4" t="s">
        <v>97</v>
      </c>
      <c r="AD439" s="4" t="s">
        <v>97</v>
      </c>
      <c r="AE439" s="4" t="s">
        <v>97</v>
      </c>
      <c r="AF439" s="4" t="s">
        <v>97</v>
      </c>
      <c r="AG439" s="4" t="s">
        <v>97</v>
      </c>
      <c r="AH439" s="4" t="s">
        <v>103</v>
      </c>
      <c r="AI439" s="5">
        <v>45986</v>
      </c>
      <c r="AJ439" s="4" t="s">
        <v>97</v>
      </c>
      <c r="AK439" s="4" t="s">
        <v>97</v>
      </c>
      <c r="AL439" s="4" t="s">
        <v>97</v>
      </c>
      <c r="AM439" s="4" t="s">
        <v>103</v>
      </c>
      <c r="AN439" s="4" t="s">
        <v>103</v>
      </c>
      <c r="AO439" s="4" t="s">
        <v>97</v>
      </c>
      <c r="AP439" s="4" t="s">
        <v>97</v>
      </c>
      <c r="AQ439" s="4" t="s">
        <v>97</v>
      </c>
      <c r="AR439" s="4" t="s">
        <v>97</v>
      </c>
      <c r="AS439" s="4" t="s">
        <v>103</v>
      </c>
      <c r="AT439" s="4"/>
      <c r="AU439" s="4"/>
      <c r="AV439" s="4" t="s">
        <v>103</v>
      </c>
      <c r="AW439" s="4" t="s">
        <v>97</v>
      </c>
      <c r="AX439" s="4" t="s">
        <v>97</v>
      </c>
      <c r="AY439" s="4" t="s">
        <v>97</v>
      </c>
      <c r="AZ439" s="4" t="s">
        <v>103</v>
      </c>
      <c r="BA439" s="4" t="s">
        <v>97</v>
      </c>
      <c r="BB439" s="5">
        <v>45989</v>
      </c>
      <c r="BC439" s="5">
        <v>45992</v>
      </c>
      <c r="BD439" s="5">
        <v>45994</v>
      </c>
      <c r="BE439" s="5">
        <v>45994</v>
      </c>
      <c r="BF439" s="4" t="s">
        <v>98</v>
      </c>
      <c r="BG439" s="4" t="s">
        <v>97</v>
      </c>
      <c r="BH439" s="4" t="s">
        <v>103</v>
      </c>
      <c r="BI439" s="4" t="s">
        <v>834</v>
      </c>
    </row>
    <row r="440" spans="1:61" x14ac:dyDescent="0.35">
      <c r="A440" s="4" t="s">
        <v>1160</v>
      </c>
      <c r="B440" s="8" t="str">
        <f t="shared" si="32"/>
        <v>2025</v>
      </c>
      <c r="C440" s="2" t="s">
        <v>31</v>
      </c>
      <c r="D440" s="6" t="str">
        <f t="shared" si="33"/>
        <v>Dakar</v>
      </c>
      <c r="E440" s="6">
        <f t="shared" si="34"/>
        <v>424760</v>
      </c>
      <c r="F440" s="6">
        <f t="shared" si="35"/>
        <v>4042240</v>
      </c>
      <c r="G440" s="4" t="s">
        <v>1165</v>
      </c>
      <c r="H440" s="4" t="s">
        <v>1166</v>
      </c>
      <c r="I440" s="4">
        <v>1</v>
      </c>
      <c r="J440" s="4" t="s">
        <v>114</v>
      </c>
      <c r="K440" s="4"/>
      <c r="L440" s="4"/>
      <c r="M440" s="4"/>
      <c r="N440" s="4"/>
      <c r="O440" s="4" t="s">
        <v>238</v>
      </c>
      <c r="P440" s="4" t="s">
        <v>97</v>
      </c>
      <c r="Q440" s="4" t="s">
        <v>97</v>
      </c>
      <c r="R440" s="14" t="s">
        <v>100</v>
      </c>
      <c r="S440" s="14" t="s">
        <v>100</v>
      </c>
      <c r="T440" s="14" t="s">
        <v>100</v>
      </c>
      <c r="U440" s="14"/>
      <c r="V440" s="14"/>
      <c r="W440" s="14"/>
      <c r="X440" s="14"/>
      <c r="Y440" s="26" t="s">
        <v>1167</v>
      </c>
      <c r="Z440" s="5">
        <v>45993</v>
      </c>
      <c r="AA440" s="4" t="s">
        <v>103</v>
      </c>
      <c r="AB440" s="25">
        <v>38</v>
      </c>
      <c r="AC440" s="4" t="s">
        <v>97</v>
      </c>
      <c r="AD440" s="4" t="s">
        <v>97</v>
      </c>
      <c r="AE440" s="4" t="s">
        <v>97</v>
      </c>
      <c r="AF440" s="4" t="s">
        <v>97</v>
      </c>
      <c r="AG440" s="4" t="s">
        <v>97</v>
      </c>
      <c r="AH440" s="4" t="s">
        <v>103</v>
      </c>
      <c r="AI440" s="5">
        <v>45991</v>
      </c>
      <c r="AJ440" s="4" t="s">
        <v>103</v>
      </c>
      <c r="AK440" s="4" t="s">
        <v>103</v>
      </c>
      <c r="AL440" s="4" t="s">
        <v>103</v>
      </c>
      <c r="AM440" s="4" t="s">
        <v>97</v>
      </c>
      <c r="AN440" s="4" t="s">
        <v>103</v>
      </c>
      <c r="AO440" s="4" t="s">
        <v>103</v>
      </c>
      <c r="AP440" s="4" t="s">
        <v>103</v>
      </c>
      <c r="AQ440" s="4" t="s">
        <v>97</v>
      </c>
      <c r="AR440" s="4" t="s">
        <v>103</v>
      </c>
      <c r="AS440" s="4" t="s">
        <v>97</v>
      </c>
      <c r="AT440" s="4"/>
      <c r="AU440" s="4"/>
      <c r="AV440" s="4" t="s">
        <v>103</v>
      </c>
      <c r="AW440" s="4" t="s">
        <v>97</v>
      </c>
      <c r="AX440" s="4" t="s">
        <v>97</v>
      </c>
      <c r="AY440" s="4" t="s">
        <v>97</v>
      </c>
      <c r="AZ440" s="4" t="s">
        <v>103</v>
      </c>
      <c r="BA440" s="4" t="s">
        <v>97</v>
      </c>
      <c r="BB440" s="5">
        <v>45993</v>
      </c>
      <c r="BC440" s="5">
        <v>45993</v>
      </c>
      <c r="BD440" s="5">
        <v>45994</v>
      </c>
      <c r="BE440" s="5">
        <v>45994</v>
      </c>
      <c r="BF440" s="4" t="s">
        <v>98</v>
      </c>
      <c r="BG440" s="4" t="s">
        <v>97</v>
      </c>
      <c r="BH440" s="4" t="s">
        <v>103</v>
      </c>
      <c r="BI440" s="4" t="s">
        <v>834</v>
      </c>
    </row>
    <row r="441" spans="1:61" x14ac:dyDescent="0.35">
      <c r="A441" s="4" t="s">
        <v>1168</v>
      </c>
      <c r="B441" s="8" t="str">
        <f t="shared" si="32"/>
        <v>2025</v>
      </c>
      <c r="C441" s="2" t="s">
        <v>75</v>
      </c>
      <c r="D441" s="6" t="str">
        <f t="shared" si="33"/>
        <v>Diourbel</v>
      </c>
      <c r="E441" s="6">
        <f t="shared" si="34"/>
        <v>996481</v>
      </c>
      <c r="F441" s="6">
        <f t="shared" si="35"/>
        <v>1980827</v>
      </c>
      <c r="G441" s="4" t="s">
        <v>1169</v>
      </c>
      <c r="H441" s="4" t="s">
        <v>339</v>
      </c>
      <c r="I441" s="4">
        <v>35</v>
      </c>
      <c r="J441" s="4" t="s">
        <v>114</v>
      </c>
      <c r="K441" s="4"/>
      <c r="L441" s="4"/>
      <c r="M441" s="4"/>
      <c r="N441" s="4"/>
      <c r="O441" s="4" t="s">
        <v>238</v>
      </c>
      <c r="P441" s="4" t="s">
        <v>97</v>
      </c>
      <c r="Q441" s="4" t="s">
        <v>97</v>
      </c>
      <c r="R441" s="14" t="s">
        <v>100</v>
      </c>
      <c r="S441" s="14" t="s">
        <v>100</v>
      </c>
      <c r="T441" s="14" t="s">
        <v>100</v>
      </c>
      <c r="U441" s="14"/>
      <c r="V441" s="14"/>
      <c r="W441" s="14"/>
      <c r="X441" s="14"/>
      <c r="Y441" s="5">
        <v>45978</v>
      </c>
      <c r="Z441" s="5">
        <v>45994</v>
      </c>
      <c r="AA441" s="4" t="s">
        <v>103</v>
      </c>
      <c r="AB441" s="25">
        <v>38</v>
      </c>
      <c r="AC441" s="4" t="s">
        <v>97</v>
      </c>
      <c r="AD441" s="4" t="s">
        <v>97</v>
      </c>
      <c r="AE441" s="4" t="s">
        <v>97</v>
      </c>
      <c r="AF441" s="4" t="s">
        <v>103</v>
      </c>
      <c r="AG441" s="4" t="s">
        <v>103</v>
      </c>
      <c r="AH441" s="4" t="s">
        <v>103</v>
      </c>
      <c r="AI441" s="5">
        <v>45993</v>
      </c>
      <c r="AJ441" s="4" t="s">
        <v>97</v>
      </c>
      <c r="AK441" s="4" t="s">
        <v>97</v>
      </c>
      <c r="AL441" s="4" t="s">
        <v>103</v>
      </c>
      <c r="AM441" s="4" t="s">
        <v>97</v>
      </c>
      <c r="AN441" s="4" t="s">
        <v>97</v>
      </c>
      <c r="AO441" s="4" t="s">
        <v>97</v>
      </c>
      <c r="AP441" s="4" t="s">
        <v>103</v>
      </c>
      <c r="AQ441" s="4" t="s">
        <v>97</v>
      </c>
      <c r="AR441" s="4" t="s">
        <v>97</v>
      </c>
      <c r="AS441" s="4" t="s">
        <v>103</v>
      </c>
      <c r="AT441" s="4"/>
      <c r="AU441" s="4"/>
      <c r="AV441" s="4" t="s">
        <v>103</v>
      </c>
      <c r="AW441" s="4" t="s">
        <v>97</v>
      </c>
      <c r="AX441" s="4" t="s">
        <v>97</v>
      </c>
      <c r="AY441" s="4" t="s">
        <v>97</v>
      </c>
      <c r="AZ441" s="4" t="s">
        <v>103</v>
      </c>
      <c r="BA441" s="4" t="s">
        <v>97</v>
      </c>
      <c r="BB441" s="5">
        <v>45994</v>
      </c>
      <c r="BC441" s="5">
        <v>45997</v>
      </c>
      <c r="BD441" s="5">
        <v>45997</v>
      </c>
      <c r="BE441" s="5">
        <v>45997</v>
      </c>
      <c r="BF441" s="4" t="s">
        <v>98</v>
      </c>
      <c r="BG441" s="4" t="s">
        <v>97</v>
      </c>
      <c r="BH441" s="4" t="s">
        <v>103</v>
      </c>
      <c r="BI441" s="4" t="s">
        <v>834</v>
      </c>
    </row>
    <row r="442" spans="1:61" x14ac:dyDescent="0.35">
      <c r="A442" s="4" t="s">
        <v>1168</v>
      </c>
      <c r="B442" s="8" t="str">
        <f t="shared" si="32"/>
        <v>2025</v>
      </c>
      <c r="C442" s="2" t="s">
        <v>75</v>
      </c>
      <c r="D442" s="6" t="str">
        <f t="shared" si="33"/>
        <v>Diourbel</v>
      </c>
      <c r="E442" s="6">
        <f t="shared" si="34"/>
        <v>996481</v>
      </c>
      <c r="F442" s="6">
        <f t="shared" si="35"/>
        <v>1980827</v>
      </c>
      <c r="G442" s="4" t="s">
        <v>1170</v>
      </c>
      <c r="H442" s="4" t="s">
        <v>1171</v>
      </c>
      <c r="I442" s="4">
        <v>7</v>
      </c>
      <c r="J442" s="4" t="s">
        <v>114</v>
      </c>
      <c r="K442" s="4"/>
      <c r="L442" s="4"/>
      <c r="M442" s="4"/>
      <c r="N442" s="4"/>
      <c r="O442" s="4" t="s">
        <v>238</v>
      </c>
      <c r="P442" s="4" t="s">
        <v>97</v>
      </c>
      <c r="Q442" s="4" t="s">
        <v>97</v>
      </c>
      <c r="R442" s="14" t="s">
        <v>100</v>
      </c>
      <c r="S442" s="14" t="s">
        <v>100</v>
      </c>
      <c r="T442" s="14" t="s">
        <v>100</v>
      </c>
      <c r="U442" s="14"/>
      <c r="V442" s="14"/>
      <c r="W442" s="14"/>
      <c r="X442" s="14"/>
      <c r="Y442" s="5">
        <v>45966</v>
      </c>
      <c r="Z442" s="5">
        <v>45966</v>
      </c>
      <c r="AA442" s="4">
        <v>0</v>
      </c>
      <c r="AB442" s="25" t="s">
        <v>509</v>
      </c>
      <c r="AC442" s="4" t="s">
        <v>97</v>
      </c>
      <c r="AD442" s="4" t="s">
        <v>97</v>
      </c>
      <c r="AE442" s="4" t="s">
        <v>97</v>
      </c>
      <c r="AF442" s="4" t="s">
        <v>97</v>
      </c>
      <c r="AG442" s="4" t="s">
        <v>97</v>
      </c>
      <c r="AH442" s="4" t="s">
        <v>103</v>
      </c>
      <c r="AI442" s="5">
        <v>45996</v>
      </c>
      <c r="AJ442" s="4" t="s">
        <v>97</v>
      </c>
      <c r="AK442" s="4" t="s">
        <v>97</v>
      </c>
      <c r="AL442" s="4" t="s">
        <v>97</v>
      </c>
      <c r="AM442" s="4" t="s">
        <v>97</v>
      </c>
      <c r="AN442" s="4" t="s">
        <v>103</v>
      </c>
      <c r="AO442" s="4" t="s">
        <v>103</v>
      </c>
      <c r="AP442" s="4" t="s">
        <v>103</v>
      </c>
      <c r="AQ442" s="4" t="s">
        <v>97</v>
      </c>
      <c r="AR442" s="4" t="s">
        <v>97</v>
      </c>
      <c r="AS442" s="4" t="s">
        <v>97</v>
      </c>
      <c r="AT442" s="4"/>
      <c r="AU442" s="4"/>
      <c r="AV442" s="4" t="s">
        <v>103</v>
      </c>
      <c r="AW442" s="4" t="s">
        <v>97</v>
      </c>
      <c r="AX442" s="4" t="s">
        <v>97</v>
      </c>
      <c r="AY442" s="4" t="s">
        <v>97</v>
      </c>
      <c r="AZ442" s="4" t="s">
        <v>97</v>
      </c>
      <c r="BA442" s="4" t="s">
        <v>97</v>
      </c>
      <c r="BB442" s="5">
        <v>45996</v>
      </c>
      <c r="BC442" s="5">
        <v>45999</v>
      </c>
      <c r="BD442" s="5">
        <v>45999</v>
      </c>
      <c r="BE442" s="5">
        <v>45999</v>
      </c>
      <c r="BF442" s="4" t="s">
        <v>98</v>
      </c>
      <c r="BG442" s="4" t="s">
        <v>97</v>
      </c>
      <c r="BH442" s="4" t="s">
        <v>103</v>
      </c>
      <c r="BI442" s="4" t="s">
        <v>834</v>
      </c>
    </row>
    <row r="443" spans="1:61" x14ac:dyDescent="0.35">
      <c r="A443" s="4" t="s">
        <v>1168</v>
      </c>
      <c r="B443" s="8" t="str">
        <f t="shared" si="32"/>
        <v>2025</v>
      </c>
      <c r="C443" s="2" t="s">
        <v>6</v>
      </c>
      <c r="D443" s="6" t="str">
        <f t="shared" si="33"/>
        <v>Kaffrine</v>
      </c>
      <c r="E443" s="6">
        <f t="shared" si="34"/>
        <v>286531</v>
      </c>
      <c r="F443" s="6">
        <f t="shared" si="35"/>
        <v>782275</v>
      </c>
      <c r="G443" s="4" t="s">
        <v>1172</v>
      </c>
      <c r="H443" s="4" t="s">
        <v>1173</v>
      </c>
      <c r="I443" s="4">
        <v>53</v>
      </c>
      <c r="J443" s="4" t="s">
        <v>114</v>
      </c>
      <c r="K443" s="4"/>
      <c r="L443" s="4"/>
      <c r="M443" s="4"/>
      <c r="N443" s="4"/>
      <c r="O443" s="4" t="s">
        <v>238</v>
      </c>
      <c r="P443" s="4" t="s">
        <v>97</v>
      </c>
      <c r="Q443" s="4" t="s">
        <v>103</v>
      </c>
      <c r="R443" s="14" t="s">
        <v>100</v>
      </c>
      <c r="S443" s="14" t="s">
        <v>100</v>
      </c>
      <c r="T443" s="14" t="s">
        <v>100</v>
      </c>
      <c r="U443" s="14"/>
      <c r="V443" s="14"/>
      <c r="W443" s="14"/>
      <c r="X443" s="14"/>
      <c r="Y443" s="5">
        <v>45914</v>
      </c>
      <c r="Z443" s="5">
        <v>45918</v>
      </c>
      <c r="AA443" s="4" t="s">
        <v>103</v>
      </c>
      <c r="AB443" s="4" t="s">
        <v>276</v>
      </c>
      <c r="AC443" s="4" t="s">
        <v>103</v>
      </c>
      <c r="AD443" s="4" t="s">
        <v>103</v>
      </c>
      <c r="AE443" s="4" t="s">
        <v>97</v>
      </c>
      <c r="AF443" s="4" t="s">
        <v>103</v>
      </c>
      <c r="AG443" s="4" t="s">
        <v>97</v>
      </c>
      <c r="AH443" s="4" t="s">
        <v>103</v>
      </c>
      <c r="AI443" s="5">
        <v>45916</v>
      </c>
      <c r="AJ443" s="4" t="s">
        <v>97</v>
      </c>
      <c r="AK443" s="4" t="s">
        <v>97</v>
      </c>
      <c r="AL443" s="4" t="s">
        <v>97</v>
      </c>
      <c r="AM443" s="4" t="s">
        <v>103</v>
      </c>
      <c r="AN443" s="4" t="s">
        <v>97</v>
      </c>
      <c r="AO443" s="4" t="s">
        <v>97</v>
      </c>
      <c r="AP443" s="4" t="s">
        <v>97</v>
      </c>
      <c r="AQ443" s="4" t="s">
        <v>97</v>
      </c>
      <c r="AR443" s="4" t="s">
        <v>97</v>
      </c>
      <c r="AS443" s="4" t="s">
        <v>97</v>
      </c>
      <c r="AT443" s="4"/>
      <c r="AU443" s="4"/>
      <c r="AV443" s="4" t="s">
        <v>103</v>
      </c>
      <c r="AW443" s="4" t="s">
        <v>103</v>
      </c>
      <c r="AX443" s="4" t="s">
        <v>97</v>
      </c>
      <c r="AY443" s="4" t="s">
        <v>97</v>
      </c>
      <c r="AZ443" s="4" t="s">
        <v>97</v>
      </c>
      <c r="BA443" s="4" t="s">
        <v>97</v>
      </c>
      <c r="BB443" s="5">
        <v>46000</v>
      </c>
      <c r="BC443" s="5">
        <v>46000</v>
      </c>
      <c r="BD443" s="5">
        <v>46000</v>
      </c>
      <c r="BE443" s="5">
        <v>46000</v>
      </c>
      <c r="BF443" s="4" t="s">
        <v>98</v>
      </c>
      <c r="BG443" s="4" t="s">
        <v>97</v>
      </c>
      <c r="BH443" s="4" t="s">
        <v>103</v>
      </c>
      <c r="BI443" s="4" t="s">
        <v>834</v>
      </c>
    </row>
    <row r="444" spans="1:61" x14ac:dyDescent="0.35">
      <c r="A444" s="4" t="s">
        <v>1168</v>
      </c>
      <c r="B444" s="8" t="str">
        <f t="shared" si="32"/>
        <v>2025</v>
      </c>
      <c r="C444" s="2" t="s">
        <v>37</v>
      </c>
      <c r="D444" s="6" t="str">
        <f t="shared" si="33"/>
        <v>Dakar</v>
      </c>
      <c r="E444" s="6">
        <f t="shared" si="34"/>
        <v>301226</v>
      </c>
      <c r="F444" s="6">
        <f t="shared" si="35"/>
        <v>4042240</v>
      </c>
      <c r="G444" s="4" t="s">
        <v>1175</v>
      </c>
      <c r="H444" s="4" t="s">
        <v>1176</v>
      </c>
      <c r="I444" s="4">
        <v>2</v>
      </c>
      <c r="J444" s="4" t="s">
        <v>96</v>
      </c>
      <c r="K444" s="4"/>
      <c r="L444" s="4"/>
      <c r="M444" s="4"/>
      <c r="N444" s="4"/>
      <c r="O444" s="4" t="s">
        <v>238</v>
      </c>
      <c r="P444" s="4" t="s">
        <v>97</v>
      </c>
      <c r="Q444" s="4" t="s">
        <v>97</v>
      </c>
      <c r="R444" s="14" t="s">
        <v>100</v>
      </c>
      <c r="S444" s="14" t="s">
        <v>100</v>
      </c>
      <c r="T444" s="14" t="s">
        <v>100</v>
      </c>
      <c r="U444" s="14"/>
      <c r="V444" s="14"/>
      <c r="W444" s="14"/>
      <c r="X444" s="14"/>
      <c r="Y444" s="5">
        <v>45989</v>
      </c>
      <c r="Z444" s="5">
        <v>45992</v>
      </c>
      <c r="AA444" s="4" t="s">
        <v>103</v>
      </c>
      <c r="AB444" s="4" t="s">
        <v>488</v>
      </c>
      <c r="AC444" s="4" t="s">
        <v>103</v>
      </c>
      <c r="AD444" s="4" t="s">
        <v>97</v>
      </c>
      <c r="AE444" s="4" t="s">
        <v>97</v>
      </c>
      <c r="AF444" s="4" t="s">
        <v>97</v>
      </c>
      <c r="AG444" s="4" t="s">
        <v>97</v>
      </c>
      <c r="AH444" s="4" t="s">
        <v>103</v>
      </c>
      <c r="AI444" s="5">
        <v>45989</v>
      </c>
      <c r="AJ444" s="4" t="s">
        <v>103</v>
      </c>
      <c r="AK444" s="4" t="s">
        <v>103</v>
      </c>
      <c r="AL444" s="4" t="s">
        <v>97</v>
      </c>
      <c r="AM444" s="4" t="s">
        <v>103</v>
      </c>
      <c r="AN444" s="4" t="s">
        <v>97</v>
      </c>
      <c r="AO444" s="4" t="s">
        <v>103</v>
      </c>
      <c r="AP444" s="4" t="s">
        <v>103</v>
      </c>
      <c r="AQ444" s="4" t="s">
        <v>97</v>
      </c>
      <c r="AR444" s="4" t="s">
        <v>97</v>
      </c>
      <c r="AS444" s="4" t="s">
        <v>97</v>
      </c>
      <c r="AT444" s="4"/>
      <c r="AU444" s="4"/>
      <c r="AV444" s="4" t="s">
        <v>103</v>
      </c>
      <c r="AW444" s="4" t="s">
        <v>97</v>
      </c>
      <c r="AX444" s="4" t="s">
        <v>97</v>
      </c>
      <c r="AY444" s="4" t="s">
        <v>97</v>
      </c>
      <c r="AZ444" s="4" t="s">
        <v>103</v>
      </c>
      <c r="BA444" s="4" t="s">
        <v>97</v>
      </c>
      <c r="BB444" s="5">
        <v>45999</v>
      </c>
      <c r="BC444" s="5">
        <v>45999</v>
      </c>
      <c r="BD444" s="5">
        <v>46000</v>
      </c>
      <c r="BE444" s="5">
        <v>46000</v>
      </c>
      <c r="BF444" s="4" t="s">
        <v>98</v>
      </c>
      <c r="BG444" s="4" t="s">
        <v>97</v>
      </c>
      <c r="BH444" s="4" t="s">
        <v>103</v>
      </c>
      <c r="BI444" s="4" t="s">
        <v>834</v>
      </c>
    </row>
    <row r="445" spans="1:61" x14ac:dyDescent="0.35">
      <c r="A445" s="4" t="s">
        <v>1168</v>
      </c>
      <c r="B445" s="8" t="str">
        <f t="shared" si="32"/>
        <v>2025</v>
      </c>
      <c r="C445" s="2" t="s">
        <v>78</v>
      </c>
      <c r="D445" s="6" t="str">
        <f t="shared" si="33"/>
        <v>Ziguinchor</v>
      </c>
      <c r="E445" s="6">
        <f t="shared" si="34"/>
        <v>330001</v>
      </c>
      <c r="F445" s="6">
        <f t="shared" si="35"/>
        <v>729952</v>
      </c>
      <c r="G445" s="4" t="s">
        <v>1177</v>
      </c>
      <c r="H445" s="4" t="s">
        <v>1178</v>
      </c>
      <c r="I445" s="4">
        <v>11</v>
      </c>
      <c r="J445" s="4" t="s">
        <v>96</v>
      </c>
      <c r="K445" s="4"/>
      <c r="L445" s="4"/>
      <c r="M445" s="4"/>
      <c r="N445" s="4"/>
      <c r="O445" s="4" t="s">
        <v>238</v>
      </c>
      <c r="P445" s="4" t="s">
        <v>97</v>
      </c>
      <c r="Q445" s="4" t="s">
        <v>97</v>
      </c>
      <c r="R445" s="14" t="s">
        <v>100</v>
      </c>
      <c r="S445" s="14" t="s">
        <v>100</v>
      </c>
      <c r="T445" s="14" t="s">
        <v>100</v>
      </c>
      <c r="U445" s="14"/>
      <c r="V445" s="14"/>
      <c r="W445" s="14"/>
      <c r="X445" s="14"/>
      <c r="Y445" s="5">
        <v>45995</v>
      </c>
      <c r="Z445" s="5">
        <v>45999</v>
      </c>
      <c r="AA445" s="4" t="s">
        <v>103</v>
      </c>
      <c r="AB445" s="4" t="s">
        <v>488</v>
      </c>
      <c r="AC445" s="4" t="s">
        <v>103</v>
      </c>
      <c r="AD445" s="4" t="s">
        <v>97</v>
      </c>
      <c r="AE445" s="4" t="s">
        <v>97</v>
      </c>
      <c r="AF445" s="4" t="s">
        <v>97</v>
      </c>
      <c r="AG445" s="4" t="s">
        <v>103</v>
      </c>
      <c r="AH445" s="4" t="s">
        <v>103</v>
      </c>
      <c r="AI445" s="5">
        <v>45997</v>
      </c>
      <c r="AJ445" s="4" t="s">
        <v>97</v>
      </c>
      <c r="AK445" s="4" t="s">
        <v>97</v>
      </c>
      <c r="AL445" s="4" t="s">
        <v>97</v>
      </c>
      <c r="AM445" s="4" t="s">
        <v>103</v>
      </c>
      <c r="AN445" s="4" t="s">
        <v>103</v>
      </c>
      <c r="AO445" s="4" t="s">
        <v>103</v>
      </c>
      <c r="AP445" s="4" t="s">
        <v>103</v>
      </c>
      <c r="AQ445" s="4" t="s">
        <v>97</v>
      </c>
      <c r="AR445" s="4" t="s">
        <v>97</v>
      </c>
      <c r="AS445" s="4" t="s">
        <v>97</v>
      </c>
      <c r="AT445" s="4"/>
      <c r="AU445" s="4"/>
      <c r="AV445" s="4" t="s">
        <v>103</v>
      </c>
      <c r="AW445" s="4" t="s">
        <v>97</v>
      </c>
      <c r="AX445" s="4" t="s">
        <v>97</v>
      </c>
      <c r="AY445" s="4" t="s">
        <v>97</v>
      </c>
      <c r="AZ445" s="4" t="s">
        <v>103</v>
      </c>
      <c r="BA445" s="4" t="s">
        <v>97</v>
      </c>
      <c r="BB445" s="5">
        <v>45999</v>
      </c>
      <c r="BC445" s="5">
        <v>45999</v>
      </c>
      <c r="BD445" s="5">
        <v>45999</v>
      </c>
      <c r="BE445" s="5">
        <v>45999</v>
      </c>
      <c r="BF445" s="4" t="s">
        <v>98</v>
      </c>
      <c r="BG445" s="4" t="s">
        <v>97</v>
      </c>
      <c r="BH445" s="4" t="s">
        <v>103</v>
      </c>
      <c r="BI445" s="4" t="s">
        <v>834</v>
      </c>
    </row>
    <row r="446" spans="1:61" x14ac:dyDescent="0.35">
      <c r="A446" s="4" t="s">
        <v>1168</v>
      </c>
      <c r="B446" s="8" t="str">
        <f t="shared" si="32"/>
        <v>2025</v>
      </c>
      <c r="C446" s="2" t="s">
        <v>78</v>
      </c>
      <c r="D446" s="6" t="str">
        <f t="shared" si="33"/>
        <v>Ziguinchor</v>
      </c>
      <c r="E446" s="6">
        <f t="shared" si="34"/>
        <v>330001</v>
      </c>
      <c r="F446" s="6">
        <f t="shared" si="35"/>
        <v>729952</v>
      </c>
      <c r="G446" s="4" t="s">
        <v>1179</v>
      </c>
      <c r="H446" s="4" t="s">
        <v>1180</v>
      </c>
      <c r="I446" s="4">
        <v>27</v>
      </c>
      <c r="J446" s="4" t="s">
        <v>114</v>
      </c>
      <c r="K446" s="4"/>
      <c r="L446" s="4"/>
      <c r="M446" s="4"/>
      <c r="N446" s="4"/>
      <c r="O446" s="4" t="s">
        <v>238</v>
      </c>
      <c r="P446" s="4" t="s">
        <v>97</v>
      </c>
      <c r="Q446" s="4" t="s">
        <v>97</v>
      </c>
      <c r="R446" s="14" t="s">
        <v>100</v>
      </c>
      <c r="S446" s="14" t="s">
        <v>100</v>
      </c>
      <c r="T446" s="14" t="s">
        <v>100</v>
      </c>
      <c r="U446" s="14"/>
      <c r="V446" s="14"/>
      <c r="W446" s="14"/>
      <c r="X446" s="14"/>
      <c r="Y446" s="5">
        <v>45991</v>
      </c>
      <c r="Z446" s="5">
        <v>45992</v>
      </c>
      <c r="AA446" s="4" t="s">
        <v>103</v>
      </c>
      <c r="AB446" s="4" t="s">
        <v>488</v>
      </c>
      <c r="AC446" s="4" t="s">
        <v>103</v>
      </c>
      <c r="AD446" s="4" t="s">
        <v>97</v>
      </c>
      <c r="AE446" s="4" t="s">
        <v>97</v>
      </c>
      <c r="AF446" s="4" t="s">
        <v>97</v>
      </c>
      <c r="AG446" s="4" t="s">
        <v>103</v>
      </c>
      <c r="AH446" s="4" t="s">
        <v>103</v>
      </c>
      <c r="AI446" s="26" t="s">
        <v>1167</v>
      </c>
      <c r="AJ446" s="4" t="s">
        <v>97</v>
      </c>
      <c r="AK446" s="4" t="s">
        <v>97</v>
      </c>
      <c r="AL446" s="4" t="s">
        <v>97</v>
      </c>
      <c r="AM446" s="4" t="s">
        <v>97</v>
      </c>
      <c r="AN446" s="4" t="s">
        <v>97</v>
      </c>
      <c r="AO446" s="4" t="s">
        <v>97</v>
      </c>
      <c r="AP446" s="4" t="s">
        <v>97</v>
      </c>
      <c r="AQ446" s="4" t="s">
        <v>97</v>
      </c>
      <c r="AR446" s="4" t="s">
        <v>97</v>
      </c>
      <c r="AS446" s="4" t="s">
        <v>97</v>
      </c>
      <c r="AT446" s="4"/>
      <c r="AU446" s="4"/>
      <c r="AV446" s="4" t="s">
        <v>103</v>
      </c>
      <c r="AW446" s="4" t="s">
        <v>97</v>
      </c>
      <c r="AX446" s="4" t="s">
        <v>97</v>
      </c>
      <c r="AY446" s="4" t="s">
        <v>97</v>
      </c>
      <c r="AZ446" s="4" t="s">
        <v>103</v>
      </c>
      <c r="BA446" s="4" t="s">
        <v>97</v>
      </c>
      <c r="BB446" s="5">
        <v>46000</v>
      </c>
      <c r="BC446" s="5">
        <v>46000</v>
      </c>
      <c r="BD446" s="5">
        <v>46001</v>
      </c>
      <c r="BE446" s="5">
        <v>46001</v>
      </c>
      <c r="BF446" s="4" t="s">
        <v>98</v>
      </c>
      <c r="BG446" s="4" t="s">
        <v>97</v>
      </c>
      <c r="BH446" s="4" t="s">
        <v>103</v>
      </c>
      <c r="BI446" s="4" t="s">
        <v>834</v>
      </c>
    </row>
    <row r="447" spans="1:61" x14ac:dyDescent="0.35">
      <c r="A447" s="4" t="s">
        <v>1168</v>
      </c>
      <c r="B447" s="8" t="str">
        <f t="shared" si="32"/>
        <v>2025</v>
      </c>
      <c r="C447" s="2" t="s">
        <v>62</v>
      </c>
      <c r="D447" s="6" t="str">
        <f t="shared" si="33"/>
        <v>Matam</v>
      </c>
      <c r="E447" s="6">
        <f t="shared" si="34"/>
        <v>71989</v>
      </c>
      <c r="F447" s="6">
        <f t="shared" si="35"/>
        <v>789215</v>
      </c>
      <c r="G447" s="4" t="s">
        <v>1181</v>
      </c>
      <c r="H447" s="4" t="s">
        <v>1182</v>
      </c>
      <c r="I447" s="4">
        <v>6</v>
      </c>
      <c r="J447" s="4" t="s">
        <v>96</v>
      </c>
      <c r="K447" s="4"/>
      <c r="L447" s="4"/>
      <c r="M447" s="4"/>
      <c r="N447" s="4"/>
      <c r="O447" s="4" t="s">
        <v>238</v>
      </c>
      <c r="P447" s="4" t="s">
        <v>97</v>
      </c>
      <c r="Q447" s="4" t="s">
        <v>97</v>
      </c>
      <c r="R447" s="14" t="s">
        <v>100</v>
      </c>
      <c r="S447" s="14" t="s">
        <v>100</v>
      </c>
      <c r="T447" s="14" t="s">
        <v>100</v>
      </c>
      <c r="U447" s="14"/>
      <c r="V447" s="14"/>
      <c r="W447" s="14"/>
      <c r="X447" s="14"/>
      <c r="Y447" s="24">
        <v>45997</v>
      </c>
      <c r="Z447" s="26" t="s">
        <v>1183</v>
      </c>
      <c r="AA447" s="4" t="s">
        <v>103</v>
      </c>
      <c r="AB447" s="25">
        <v>40</v>
      </c>
      <c r="AC447" s="4" t="s">
        <v>97</v>
      </c>
      <c r="AD447" s="4" t="s">
        <v>97</v>
      </c>
      <c r="AE447" s="4" t="s">
        <v>97</v>
      </c>
      <c r="AF447" s="4" t="s">
        <v>103</v>
      </c>
      <c r="AG447" s="4" t="s">
        <v>97</v>
      </c>
      <c r="AH447" s="4" t="s">
        <v>103</v>
      </c>
      <c r="AI447" s="26" t="s">
        <v>1184</v>
      </c>
      <c r="AJ447" s="4" t="s">
        <v>103</v>
      </c>
      <c r="AK447" s="4" t="s">
        <v>103</v>
      </c>
      <c r="AL447" s="4" t="s">
        <v>97</v>
      </c>
      <c r="AM447" s="4" t="s">
        <v>103</v>
      </c>
      <c r="AN447" s="4" t="s">
        <v>103</v>
      </c>
      <c r="AO447" s="4" t="s">
        <v>103</v>
      </c>
      <c r="AP447" s="4" t="s">
        <v>97</v>
      </c>
      <c r="AQ447" s="4" t="s">
        <v>103</v>
      </c>
      <c r="AR447" s="4" t="s">
        <v>97</v>
      </c>
      <c r="AS447" s="4" t="s">
        <v>103</v>
      </c>
      <c r="AT447" s="4"/>
      <c r="AU447" s="4"/>
      <c r="AV447" s="4" t="s">
        <v>103</v>
      </c>
      <c r="AW447" s="4" t="s">
        <v>97</v>
      </c>
      <c r="AX447" s="4" t="s">
        <v>97</v>
      </c>
      <c r="AY447" s="4" t="s">
        <v>97</v>
      </c>
      <c r="AZ447" s="4" t="s">
        <v>97</v>
      </c>
      <c r="BA447" s="4" t="s">
        <v>97</v>
      </c>
      <c r="BB447" s="5">
        <v>45999</v>
      </c>
      <c r="BC447" s="5">
        <v>45999</v>
      </c>
      <c r="BD447" s="5">
        <v>46001</v>
      </c>
      <c r="BE447" s="5">
        <v>46001</v>
      </c>
      <c r="BF447" s="4" t="s">
        <v>98</v>
      </c>
      <c r="BG447" s="4" t="s">
        <v>97</v>
      </c>
      <c r="BH447" s="4" t="s">
        <v>97</v>
      </c>
      <c r="BI447" s="4" t="s">
        <v>834</v>
      </c>
    </row>
    <row r="448" spans="1:61" x14ac:dyDescent="0.35">
      <c r="A448" s="4" t="s">
        <v>1185</v>
      </c>
      <c r="B448" s="8" t="str">
        <f t="shared" si="32"/>
        <v>2025</v>
      </c>
      <c r="C448" s="2" t="s">
        <v>60</v>
      </c>
      <c r="D448" s="6" t="str">
        <f t="shared" si="33"/>
        <v>Thies</v>
      </c>
      <c r="E448" s="6">
        <f t="shared" si="34"/>
        <v>92691</v>
      </c>
      <c r="F448" s="6">
        <f t="shared" si="35"/>
        <v>2280463</v>
      </c>
      <c r="G448" s="4" t="s">
        <v>1186</v>
      </c>
      <c r="H448" s="4" t="s">
        <v>1187</v>
      </c>
      <c r="I448" s="4">
        <v>37</v>
      </c>
      <c r="J448" s="4" t="s">
        <v>114</v>
      </c>
      <c r="K448" s="4"/>
      <c r="L448" s="4"/>
      <c r="M448" s="4"/>
      <c r="N448" s="4"/>
      <c r="O448" s="4" t="s">
        <v>238</v>
      </c>
      <c r="P448" s="4" t="s">
        <v>97</v>
      </c>
      <c r="Q448" s="4" t="s">
        <v>97</v>
      </c>
      <c r="R448" s="14" t="s">
        <v>100</v>
      </c>
      <c r="S448" s="14" t="s">
        <v>100</v>
      </c>
      <c r="T448" s="14" t="s">
        <v>100</v>
      </c>
      <c r="U448" s="14"/>
      <c r="V448" s="14"/>
      <c r="W448" s="14"/>
      <c r="X448" s="14"/>
      <c r="Y448" s="5">
        <v>45996</v>
      </c>
      <c r="Z448" s="5">
        <v>46002</v>
      </c>
      <c r="AA448" s="4" t="s">
        <v>103</v>
      </c>
      <c r="AB448" s="4" t="s">
        <v>488</v>
      </c>
      <c r="AC448" s="4" t="s">
        <v>97</v>
      </c>
      <c r="AD448" s="4" t="s">
        <v>97</v>
      </c>
      <c r="AE448" s="4" t="s">
        <v>97</v>
      </c>
      <c r="AF448" s="4" t="s">
        <v>97</v>
      </c>
      <c r="AG448" s="4" t="s">
        <v>97</v>
      </c>
      <c r="AH448" s="4" t="s">
        <v>103</v>
      </c>
      <c r="AI448" s="5">
        <v>45996</v>
      </c>
      <c r="AJ448" s="4" t="s">
        <v>97</v>
      </c>
      <c r="AK448" s="4" t="s">
        <v>97</v>
      </c>
      <c r="AL448" s="4" t="s">
        <v>97</v>
      </c>
      <c r="AM448" s="4" t="s">
        <v>103</v>
      </c>
      <c r="AN448" s="4" t="s">
        <v>103</v>
      </c>
      <c r="AO448" s="4" t="s">
        <v>97</v>
      </c>
      <c r="AP448" s="4" t="s">
        <v>97</v>
      </c>
      <c r="AQ448" s="4" t="s">
        <v>103</v>
      </c>
      <c r="AR448" s="4" t="s">
        <v>97</v>
      </c>
      <c r="AS448" s="4" t="s">
        <v>97</v>
      </c>
      <c r="AT448" s="4"/>
      <c r="AU448" s="4"/>
      <c r="AV448" s="4" t="s">
        <v>97</v>
      </c>
      <c r="AW448" s="4" t="s">
        <v>103</v>
      </c>
      <c r="AX448" s="4" t="s">
        <v>97</v>
      </c>
      <c r="AY448" s="4" t="s">
        <v>97</v>
      </c>
      <c r="AZ448" s="4" t="s">
        <v>103</v>
      </c>
      <c r="BA448" s="4" t="s">
        <v>97</v>
      </c>
      <c r="BB448" s="5">
        <v>46002</v>
      </c>
      <c r="BC448" s="5">
        <v>46002</v>
      </c>
      <c r="BD448" s="5">
        <v>46006</v>
      </c>
      <c r="BE448" s="5">
        <v>46006</v>
      </c>
      <c r="BF448" s="4" t="s">
        <v>98</v>
      </c>
      <c r="BG448" s="4" t="s">
        <v>97</v>
      </c>
      <c r="BH448" s="4" t="s">
        <v>103</v>
      </c>
      <c r="BI448" s="4" t="s">
        <v>834</v>
      </c>
    </row>
    <row r="449" spans="1:61" x14ac:dyDescent="0.35">
      <c r="A449" s="4" t="s">
        <v>1185</v>
      </c>
      <c r="B449" s="8" t="str">
        <f t="shared" si="32"/>
        <v>2025</v>
      </c>
      <c r="C449" s="2" t="s">
        <v>75</v>
      </c>
      <c r="D449" s="6" t="str">
        <f t="shared" si="33"/>
        <v>Diourbel</v>
      </c>
      <c r="E449" s="6">
        <f t="shared" si="34"/>
        <v>996481</v>
      </c>
      <c r="F449" s="6">
        <f t="shared" si="35"/>
        <v>1980827</v>
      </c>
      <c r="G449" s="4" t="s">
        <v>1188</v>
      </c>
      <c r="H449" s="4" t="s">
        <v>1189</v>
      </c>
      <c r="I449" s="4">
        <v>3</v>
      </c>
      <c r="J449" s="4" t="s">
        <v>96</v>
      </c>
      <c r="K449" s="4"/>
      <c r="L449" s="4"/>
      <c r="M449" s="4"/>
      <c r="N449" s="4"/>
      <c r="O449" s="4" t="s">
        <v>238</v>
      </c>
      <c r="P449" s="4" t="s">
        <v>97</v>
      </c>
      <c r="Q449" s="4" t="s">
        <v>97</v>
      </c>
      <c r="R449" s="14" t="s">
        <v>100</v>
      </c>
      <c r="S449" s="14" t="s">
        <v>100</v>
      </c>
      <c r="T449" s="14" t="s">
        <v>100</v>
      </c>
      <c r="U449" s="14"/>
      <c r="V449" s="14"/>
      <c r="W449" s="14"/>
      <c r="X449" s="14"/>
      <c r="Y449" s="5">
        <v>45998</v>
      </c>
      <c r="Z449" s="5">
        <v>46003</v>
      </c>
      <c r="AA449" s="4" t="s">
        <v>97</v>
      </c>
      <c r="AB449" s="4"/>
      <c r="AC449" s="4" t="s">
        <v>97</v>
      </c>
      <c r="AD449" s="4" t="s">
        <v>97</v>
      </c>
      <c r="AE449" s="4" t="s">
        <v>97</v>
      </c>
      <c r="AF449" s="4" t="s">
        <v>97</v>
      </c>
      <c r="AG449" s="4" t="s">
        <v>97</v>
      </c>
      <c r="AH449" s="4" t="s">
        <v>103</v>
      </c>
      <c r="AI449" s="5">
        <v>45998</v>
      </c>
      <c r="AJ449" s="4" t="s">
        <v>97</v>
      </c>
      <c r="AK449" s="4" t="s">
        <v>97</v>
      </c>
      <c r="AL449" s="4" t="s">
        <v>97</v>
      </c>
      <c r="AM449" s="4" t="s">
        <v>97</v>
      </c>
      <c r="AN449" s="4" t="s">
        <v>103</v>
      </c>
      <c r="AO449" s="4" t="s">
        <v>103</v>
      </c>
      <c r="AP449" s="4" t="s">
        <v>103</v>
      </c>
      <c r="AQ449" s="4" t="s">
        <v>97</v>
      </c>
      <c r="AR449" s="4" t="s">
        <v>97</v>
      </c>
      <c r="AS449" s="4" t="s">
        <v>97</v>
      </c>
      <c r="AT449" s="4"/>
      <c r="AU449" s="4"/>
      <c r="AV449" s="4" t="s">
        <v>103</v>
      </c>
      <c r="AW449" s="4" t="s">
        <v>97</v>
      </c>
      <c r="AX449" s="4" t="s">
        <v>97</v>
      </c>
      <c r="AY449" s="4" t="s">
        <v>97</v>
      </c>
      <c r="AZ449" s="4" t="s">
        <v>97</v>
      </c>
      <c r="BA449" s="4" t="s">
        <v>97</v>
      </c>
      <c r="BB449" s="5">
        <v>46004</v>
      </c>
      <c r="BC449" s="5">
        <v>46004</v>
      </c>
      <c r="BD449" s="5">
        <v>46005</v>
      </c>
      <c r="BE449" s="5">
        <v>46005</v>
      </c>
      <c r="BF449" s="4" t="s">
        <v>98</v>
      </c>
      <c r="BG449" s="4" t="s">
        <v>97</v>
      </c>
      <c r="BH449" s="4" t="s">
        <v>103</v>
      </c>
      <c r="BI449" s="4" t="s">
        <v>834</v>
      </c>
    </row>
    <row r="450" spans="1:61" x14ac:dyDescent="0.35">
      <c r="A450" s="4" t="s">
        <v>1185</v>
      </c>
      <c r="B450" s="8" t="str">
        <f t="shared" si="32"/>
        <v>2025</v>
      </c>
      <c r="C450" s="2" t="s">
        <v>19</v>
      </c>
      <c r="D450" s="6" t="str">
        <f t="shared" si="33"/>
        <v>Dakar</v>
      </c>
      <c r="E450" s="6">
        <f t="shared" si="34"/>
        <v>565040</v>
      </c>
      <c r="F450" s="6">
        <f t="shared" si="35"/>
        <v>4042240</v>
      </c>
      <c r="G450" s="4" t="s">
        <v>1190</v>
      </c>
      <c r="H450" s="4" t="s">
        <v>297</v>
      </c>
      <c r="I450" s="4">
        <v>68</v>
      </c>
      <c r="J450" s="4" t="s">
        <v>96</v>
      </c>
      <c r="K450" s="4"/>
      <c r="L450" s="4"/>
      <c r="M450" s="4"/>
      <c r="N450" s="4"/>
      <c r="O450" s="4" t="s">
        <v>238</v>
      </c>
      <c r="P450" s="4" t="s">
        <v>97</v>
      </c>
      <c r="Q450" s="4" t="s">
        <v>97</v>
      </c>
      <c r="R450" s="14" t="s">
        <v>100</v>
      </c>
      <c r="S450" s="14" t="s">
        <v>100</v>
      </c>
      <c r="T450" s="14" t="s">
        <v>100</v>
      </c>
      <c r="U450" s="14"/>
      <c r="V450" s="14"/>
      <c r="W450" s="14"/>
      <c r="X450" s="14"/>
      <c r="Y450" s="5">
        <v>46005</v>
      </c>
      <c r="Z450" s="5">
        <v>46005</v>
      </c>
      <c r="AA450" s="4" t="s">
        <v>97</v>
      </c>
      <c r="AB450" s="4"/>
      <c r="AC450" s="4" t="s">
        <v>103</v>
      </c>
      <c r="AD450" s="4" t="s">
        <v>103</v>
      </c>
      <c r="AE450" s="4" t="s">
        <v>97</v>
      </c>
      <c r="AF450" s="4" t="s">
        <v>97</v>
      </c>
      <c r="AG450" s="4" t="s">
        <v>97</v>
      </c>
      <c r="AH450" s="4" t="s">
        <v>97</v>
      </c>
      <c r="AI450" s="5">
        <v>46005</v>
      </c>
      <c r="AJ450" s="4" t="s">
        <v>97</v>
      </c>
      <c r="AK450" s="4" t="s">
        <v>97</v>
      </c>
      <c r="AL450" s="4" t="s">
        <v>97</v>
      </c>
      <c r="AM450" s="4" t="s">
        <v>97</v>
      </c>
      <c r="AN450" s="4" t="s">
        <v>97</v>
      </c>
      <c r="AO450" s="4" t="s">
        <v>97</v>
      </c>
      <c r="AP450" s="4" t="s">
        <v>97</v>
      </c>
      <c r="AQ450" s="4" t="s">
        <v>97</v>
      </c>
      <c r="AR450" s="4" t="s">
        <v>97</v>
      </c>
      <c r="AS450" s="4" t="s">
        <v>97</v>
      </c>
      <c r="AT450" s="4"/>
      <c r="AU450" s="4"/>
      <c r="AV450" s="4" t="s">
        <v>103</v>
      </c>
      <c r="AW450" s="4" t="s">
        <v>97</v>
      </c>
      <c r="AX450" s="4" t="s">
        <v>97</v>
      </c>
      <c r="AY450" s="4" t="s">
        <v>97</v>
      </c>
      <c r="AZ450" s="4" t="s">
        <v>97</v>
      </c>
      <c r="BA450" s="4" t="s">
        <v>97</v>
      </c>
      <c r="BB450" s="5">
        <v>46005</v>
      </c>
      <c r="BC450" s="5">
        <v>46005</v>
      </c>
      <c r="BD450" s="5">
        <v>46005</v>
      </c>
      <c r="BE450" s="5">
        <v>46005</v>
      </c>
      <c r="BF450" s="4" t="s">
        <v>98</v>
      </c>
      <c r="BG450" s="4" t="s">
        <v>97</v>
      </c>
      <c r="BH450" s="4" t="s">
        <v>103</v>
      </c>
      <c r="BI450" s="4" t="s">
        <v>834</v>
      </c>
    </row>
    <row r="451" spans="1:61" x14ac:dyDescent="0.35">
      <c r="A451" s="4" t="s">
        <v>1185</v>
      </c>
      <c r="B451" s="8" t="str">
        <f t="shared" si="32"/>
        <v>2025</v>
      </c>
      <c r="C451" s="2" t="s">
        <v>18</v>
      </c>
      <c r="D451" s="6" t="str">
        <f t="shared" si="33"/>
        <v>Dakar</v>
      </c>
      <c r="E451" s="6">
        <f t="shared" si="34"/>
        <v>419489</v>
      </c>
      <c r="F451" s="6">
        <f t="shared" si="35"/>
        <v>4042240</v>
      </c>
      <c r="G451" s="4" t="s">
        <v>1191</v>
      </c>
      <c r="H451" s="4" t="s">
        <v>1192</v>
      </c>
      <c r="I451" s="4">
        <v>52</v>
      </c>
      <c r="J451" s="4" t="s">
        <v>96</v>
      </c>
      <c r="K451" s="4"/>
      <c r="L451" s="4"/>
      <c r="M451" s="4"/>
      <c r="N451" s="4"/>
      <c r="O451" s="4" t="s">
        <v>238</v>
      </c>
      <c r="P451" s="4" t="s">
        <v>97</v>
      </c>
      <c r="Q451" s="4" t="s">
        <v>103</v>
      </c>
      <c r="R451" s="14" t="s">
        <v>100</v>
      </c>
      <c r="S451" s="14" t="s">
        <v>100</v>
      </c>
      <c r="T451" s="14" t="s">
        <v>100</v>
      </c>
      <c r="U451" s="14"/>
      <c r="V451" s="14"/>
      <c r="W451" s="14"/>
      <c r="X451" s="14"/>
      <c r="Y451" s="5">
        <v>46005</v>
      </c>
      <c r="Z451" s="5">
        <v>46005</v>
      </c>
      <c r="AA451" s="4"/>
      <c r="AB451" s="4"/>
      <c r="AC451" s="4" t="s">
        <v>97</v>
      </c>
      <c r="AD451" s="4" t="s">
        <v>97</v>
      </c>
      <c r="AE451" s="4" t="s">
        <v>97</v>
      </c>
      <c r="AF451" s="4" t="s">
        <v>103</v>
      </c>
      <c r="AG451" s="4" t="s">
        <v>97</v>
      </c>
      <c r="AH451" s="4" t="s">
        <v>103</v>
      </c>
      <c r="AI451" s="5">
        <v>46001</v>
      </c>
      <c r="AJ451" s="4" t="s">
        <v>97</v>
      </c>
      <c r="AK451" s="4" t="s">
        <v>97</v>
      </c>
      <c r="AL451" s="4" t="s">
        <v>97</v>
      </c>
      <c r="AM451" s="4" t="s">
        <v>103</v>
      </c>
      <c r="AN451" s="4" t="s">
        <v>103</v>
      </c>
      <c r="AO451" s="4" t="s">
        <v>97</v>
      </c>
      <c r="AP451" s="4" t="s">
        <v>97</v>
      </c>
      <c r="AQ451" s="4" t="s">
        <v>97</v>
      </c>
      <c r="AR451" s="4" t="s">
        <v>97</v>
      </c>
      <c r="AS451" s="4" t="s">
        <v>97</v>
      </c>
      <c r="AT451" s="4"/>
      <c r="AU451" s="4"/>
      <c r="AV451" s="4" t="s">
        <v>103</v>
      </c>
      <c r="AW451" s="4" t="s">
        <v>103</v>
      </c>
      <c r="AX451" s="4" t="s">
        <v>97</v>
      </c>
      <c r="AY451" s="4" t="s">
        <v>97</v>
      </c>
      <c r="AZ451" s="4" t="s">
        <v>103</v>
      </c>
      <c r="BA451" s="4" t="s">
        <v>97</v>
      </c>
      <c r="BB451" s="5">
        <v>46003</v>
      </c>
      <c r="BC451" s="5">
        <v>46003</v>
      </c>
      <c r="BD451" s="5">
        <v>46005</v>
      </c>
      <c r="BE451" s="5">
        <v>46005</v>
      </c>
      <c r="BF451" s="4" t="s">
        <v>98</v>
      </c>
      <c r="BG451" s="4" t="s">
        <v>97</v>
      </c>
      <c r="BH451" s="4" t="s">
        <v>103</v>
      </c>
      <c r="BI451" s="4" t="s">
        <v>834</v>
      </c>
    </row>
    <row r="452" spans="1:61" x14ac:dyDescent="0.35">
      <c r="A452" s="4" t="s">
        <v>1185</v>
      </c>
      <c r="B452" s="8" t="str">
        <f t="shared" si="32"/>
        <v>2025</v>
      </c>
      <c r="C452" s="2" t="s">
        <v>20</v>
      </c>
      <c r="D452" s="6" t="str">
        <f t="shared" si="33"/>
        <v>Dakar</v>
      </c>
      <c r="E452" s="6">
        <f t="shared" si="34"/>
        <v>272276</v>
      </c>
      <c r="F452" s="6">
        <f t="shared" si="35"/>
        <v>4042240</v>
      </c>
      <c r="G452" s="4" t="s">
        <v>1193</v>
      </c>
      <c r="H452" s="4" t="s">
        <v>1194</v>
      </c>
      <c r="I452" s="4">
        <v>1</v>
      </c>
      <c r="J452" s="4" t="s">
        <v>114</v>
      </c>
      <c r="K452" s="4"/>
      <c r="L452" s="4"/>
      <c r="M452" s="4"/>
      <c r="N452" s="4"/>
      <c r="O452" s="4" t="s">
        <v>238</v>
      </c>
      <c r="P452" s="4" t="s">
        <v>97</v>
      </c>
      <c r="Q452" s="4" t="s">
        <v>97</v>
      </c>
      <c r="R452" s="14" t="s">
        <v>100</v>
      </c>
      <c r="S452" s="14" t="s">
        <v>100</v>
      </c>
      <c r="T452" s="14" t="s">
        <v>100</v>
      </c>
      <c r="U452" s="14"/>
      <c r="V452" s="14"/>
      <c r="W452" s="14"/>
      <c r="X452" s="14"/>
      <c r="Y452" s="5">
        <v>46004</v>
      </c>
      <c r="Z452" s="5">
        <v>46005</v>
      </c>
      <c r="AA452" s="4" t="s">
        <v>97</v>
      </c>
      <c r="AB452" s="4"/>
      <c r="AC452" s="3" t="s">
        <v>97</v>
      </c>
      <c r="AD452" s="3" t="s">
        <v>97</v>
      </c>
      <c r="AE452" s="4" t="s">
        <v>97</v>
      </c>
      <c r="AF452" s="4" t="s">
        <v>97</v>
      </c>
      <c r="AG452" s="4" t="s">
        <v>97</v>
      </c>
      <c r="AH452" s="4" t="s">
        <v>103</v>
      </c>
      <c r="AI452" s="5">
        <v>46004</v>
      </c>
      <c r="AJ452" s="4" t="s">
        <v>97</v>
      </c>
      <c r="AK452" s="4" t="s">
        <v>103</v>
      </c>
      <c r="AL452" s="4" t="s">
        <v>97</v>
      </c>
      <c r="AM452" s="4" t="s">
        <v>97</v>
      </c>
      <c r="AN452" s="4" t="s">
        <v>97</v>
      </c>
      <c r="AO452" s="4" t="s">
        <v>103</v>
      </c>
      <c r="AP452" s="4" t="s">
        <v>103</v>
      </c>
      <c r="AQ452" s="4" t="s">
        <v>97</v>
      </c>
      <c r="AR452" s="4" t="s">
        <v>103</v>
      </c>
      <c r="AS452" s="4" t="s">
        <v>103</v>
      </c>
      <c r="AT452" s="4"/>
      <c r="AU452" s="4"/>
      <c r="AV452" s="4" t="s">
        <v>103</v>
      </c>
      <c r="AW452" s="4" t="s">
        <v>97</v>
      </c>
      <c r="AX452" s="4" t="s">
        <v>97</v>
      </c>
      <c r="AY452" s="4" t="s">
        <v>97</v>
      </c>
      <c r="AZ452" s="4" t="s">
        <v>103</v>
      </c>
      <c r="BA452" s="4" t="s">
        <v>97</v>
      </c>
      <c r="BB452" s="5">
        <v>46007</v>
      </c>
      <c r="BC452" s="5">
        <v>46007</v>
      </c>
      <c r="BD452" s="5">
        <v>46007</v>
      </c>
      <c r="BE452" s="5">
        <v>46007</v>
      </c>
      <c r="BF452" s="4" t="s">
        <v>98</v>
      </c>
      <c r="BG452" s="4" t="s">
        <v>97</v>
      </c>
      <c r="BH452" s="4" t="s">
        <v>103</v>
      </c>
      <c r="BI452" s="4" t="s">
        <v>834</v>
      </c>
    </row>
    <row r="453" spans="1:61" x14ac:dyDescent="0.35">
      <c r="A453" s="4" t="s">
        <v>1204</v>
      </c>
      <c r="B453" s="8" t="str">
        <f t="shared" si="32"/>
        <v>2025</v>
      </c>
      <c r="C453" s="2" t="s">
        <v>75</v>
      </c>
      <c r="D453" s="6" t="str">
        <f t="shared" si="33"/>
        <v>Diourbel</v>
      </c>
      <c r="E453" s="6">
        <f t="shared" si="34"/>
        <v>996481</v>
      </c>
      <c r="F453" s="6">
        <f t="shared" si="35"/>
        <v>1980827</v>
      </c>
      <c r="G453" s="4" t="s">
        <v>1195</v>
      </c>
      <c r="H453" s="4" t="s">
        <v>1196</v>
      </c>
      <c r="I453" s="4">
        <v>7</v>
      </c>
      <c r="J453" s="4" t="s">
        <v>114</v>
      </c>
      <c r="K453" s="4"/>
      <c r="L453" s="4"/>
      <c r="M453" s="4"/>
      <c r="N453" s="4"/>
      <c r="O453" s="4" t="s">
        <v>238</v>
      </c>
      <c r="P453" s="4" t="s">
        <v>97</v>
      </c>
      <c r="Q453" s="4" t="s">
        <v>97</v>
      </c>
      <c r="R453" s="14" t="s">
        <v>100</v>
      </c>
      <c r="S453" s="14" t="s">
        <v>100</v>
      </c>
      <c r="T453" s="14" t="s">
        <v>100</v>
      </c>
      <c r="U453" s="14"/>
      <c r="V453" s="14"/>
      <c r="W453" s="14"/>
      <c r="X453" s="14"/>
      <c r="Y453" s="27">
        <v>46014</v>
      </c>
      <c r="Z453" s="27">
        <v>46017</v>
      </c>
      <c r="AA453" s="4" t="s">
        <v>103</v>
      </c>
      <c r="AB453" s="4" t="s">
        <v>488</v>
      </c>
      <c r="AC453" s="4" t="s">
        <v>103</v>
      </c>
      <c r="AD453" s="4" t="s">
        <v>97</v>
      </c>
      <c r="AE453" s="4" t="s">
        <v>97</v>
      </c>
      <c r="AF453" s="4" t="s">
        <v>103</v>
      </c>
      <c r="AG453" s="4" t="s">
        <v>97</v>
      </c>
      <c r="AH453" s="3" t="s">
        <v>103</v>
      </c>
      <c r="AI453" s="5">
        <v>46014</v>
      </c>
      <c r="AJ453" s="4" t="s">
        <v>97</v>
      </c>
      <c r="AK453" s="4" t="s">
        <v>97</v>
      </c>
      <c r="AL453" s="4" t="s">
        <v>97</v>
      </c>
      <c r="AM453" s="4" t="s">
        <v>103</v>
      </c>
      <c r="AN453" s="4" t="s">
        <v>97</v>
      </c>
      <c r="AO453" s="4" t="s">
        <v>103</v>
      </c>
      <c r="AP453" s="4" t="s">
        <v>103</v>
      </c>
      <c r="AQ453" s="4" t="s">
        <v>97</v>
      </c>
      <c r="AR453" s="4" t="s">
        <v>97</v>
      </c>
      <c r="AS453" s="4" t="s">
        <v>103</v>
      </c>
      <c r="AT453" s="4"/>
      <c r="AU453" s="4"/>
      <c r="AV453" s="4" t="s">
        <v>97</v>
      </c>
      <c r="AW453" s="4" t="s">
        <v>103</v>
      </c>
      <c r="AX453" s="4" t="s">
        <v>97</v>
      </c>
      <c r="AY453" s="4" t="s">
        <v>97</v>
      </c>
      <c r="AZ453" s="4" t="s">
        <v>103</v>
      </c>
      <c r="BA453" s="4" t="s">
        <v>97</v>
      </c>
      <c r="BB453" s="5">
        <v>46017</v>
      </c>
      <c r="BC453" s="5">
        <v>46017</v>
      </c>
      <c r="BD453" s="5">
        <v>46017</v>
      </c>
      <c r="BE453" s="5">
        <v>46017</v>
      </c>
      <c r="BF453" s="4" t="s">
        <v>98</v>
      </c>
      <c r="BG453" s="4" t="s">
        <v>97</v>
      </c>
      <c r="BH453" s="4" t="s">
        <v>103</v>
      </c>
      <c r="BI453" s="4" t="s">
        <v>834</v>
      </c>
    </row>
    <row r="454" spans="1:61" x14ac:dyDescent="0.35">
      <c r="A454" s="4" t="s">
        <v>1203</v>
      </c>
      <c r="B454" s="8" t="str">
        <f t="shared" ref="B454:B475" si="36">RIGHT(A454,4)</f>
        <v>2026</v>
      </c>
      <c r="C454" s="2" t="s">
        <v>57</v>
      </c>
      <c r="D454" s="6" t="str">
        <f t="shared" ref="D454:D475" si="37">IF(C454="","",VLOOKUP(C454,district_region,2,FALSE))</f>
        <v>Saint-Louis</v>
      </c>
      <c r="E454" s="6">
        <f t="shared" ref="E454:E475" si="38">IF(C454="","",VLOOKUP(C454,liste_pop,3,FALSE))</f>
        <v>207969</v>
      </c>
      <c r="F454" s="6">
        <f t="shared" ref="F454:F475" si="39">IF(D454="","",IF(D454="Dakar",4042240,VLOOKUP(D454,liste_pop,4,FALSE)))</f>
        <v>1150065</v>
      </c>
      <c r="G454" s="4" t="s">
        <v>1197</v>
      </c>
      <c r="H454" s="4" t="s">
        <v>1200</v>
      </c>
      <c r="I454" s="4">
        <v>7</v>
      </c>
      <c r="J454" s="4" t="s">
        <v>114</v>
      </c>
      <c r="K454" s="4"/>
      <c r="L454" s="4"/>
      <c r="M454" s="4"/>
      <c r="N454" s="4"/>
      <c r="O454" s="4" t="s">
        <v>238</v>
      </c>
      <c r="P454" s="4" t="s">
        <v>97</v>
      </c>
      <c r="Q454" s="4" t="s">
        <v>97</v>
      </c>
      <c r="R454" s="14" t="s">
        <v>100</v>
      </c>
      <c r="S454" s="14" t="s">
        <v>100</v>
      </c>
      <c r="T454" s="14" t="s">
        <v>100</v>
      </c>
      <c r="U454" s="14"/>
      <c r="V454" s="14"/>
      <c r="W454" s="14"/>
      <c r="X454" s="14"/>
      <c r="Y454" s="5">
        <v>45998</v>
      </c>
      <c r="Z454" s="5">
        <v>46000</v>
      </c>
      <c r="AA454" s="4" t="s">
        <v>103</v>
      </c>
      <c r="AB454" s="25">
        <v>38</v>
      </c>
      <c r="AC454" s="4" t="s">
        <v>97</v>
      </c>
      <c r="AD454" s="4" t="s">
        <v>97</v>
      </c>
      <c r="AE454" s="4" t="s">
        <v>97</v>
      </c>
      <c r="AF454" s="4" t="s">
        <v>97</v>
      </c>
      <c r="AG454" s="4" t="s">
        <v>97</v>
      </c>
      <c r="AH454" s="4" t="s">
        <v>103</v>
      </c>
      <c r="AI454" s="5">
        <v>46000</v>
      </c>
      <c r="AJ454" s="4" t="s">
        <v>97</v>
      </c>
      <c r="AK454" s="4" t="s">
        <v>97</v>
      </c>
      <c r="AL454" s="4" t="s">
        <v>97</v>
      </c>
      <c r="AM454" s="4" t="s">
        <v>103</v>
      </c>
      <c r="AN454" s="4" t="s">
        <v>103</v>
      </c>
      <c r="AO454" s="4" t="s">
        <v>103</v>
      </c>
      <c r="AP454" s="4" t="s">
        <v>103</v>
      </c>
      <c r="AQ454" s="4" t="s">
        <v>97</v>
      </c>
      <c r="AR454" s="4" t="s">
        <v>97</v>
      </c>
      <c r="AS454" s="4" t="s">
        <v>97</v>
      </c>
      <c r="AT454" s="4"/>
      <c r="AU454" s="4"/>
      <c r="AV454" s="4" t="s">
        <v>103</v>
      </c>
      <c r="AW454" s="4" t="s">
        <v>97</v>
      </c>
      <c r="AX454" s="4" t="s">
        <v>97</v>
      </c>
      <c r="AY454" s="4" t="s">
        <v>97</v>
      </c>
      <c r="AZ454" s="4" t="s">
        <v>103</v>
      </c>
      <c r="BA454" s="4" t="s">
        <v>97</v>
      </c>
      <c r="BB454" s="5">
        <v>46013</v>
      </c>
      <c r="BC454" s="5">
        <v>46013</v>
      </c>
      <c r="BD454" s="5">
        <v>46013</v>
      </c>
      <c r="BE454" s="5">
        <v>46013</v>
      </c>
      <c r="BF454" s="4" t="s">
        <v>98</v>
      </c>
      <c r="BG454" s="4" t="s">
        <v>97</v>
      </c>
      <c r="BH454" s="4" t="s">
        <v>103</v>
      </c>
      <c r="BI454" s="4" t="s">
        <v>834</v>
      </c>
    </row>
    <row r="455" spans="1:61" x14ac:dyDescent="0.35">
      <c r="A455" s="4" t="s">
        <v>1203</v>
      </c>
      <c r="B455" s="8" t="str">
        <f t="shared" si="36"/>
        <v>2026</v>
      </c>
      <c r="C455" s="2" t="s">
        <v>57</v>
      </c>
      <c r="D455" s="6" t="str">
        <f t="shared" si="37"/>
        <v>Saint-Louis</v>
      </c>
      <c r="E455" s="6">
        <f t="shared" si="38"/>
        <v>207969</v>
      </c>
      <c r="F455" s="6">
        <f t="shared" si="39"/>
        <v>1150065</v>
      </c>
      <c r="G455" s="4" t="s">
        <v>1198</v>
      </c>
      <c r="H455" s="4" t="s">
        <v>1199</v>
      </c>
      <c r="I455" s="4">
        <v>6</v>
      </c>
      <c r="J455" s="4" t="s">
        <v>96</v>
      </c>
      <c r="K455" s="4"/>
      <c r="L455" s="4"/>
      <c r="M455" s="4"/>
      <c r="N455" s="4"/>
      <c r="O455" s="4" t="s">
        <v>238</v>
      </c>
      <c r="P455" s="4" t="s">
        <v>97</v>
      </c>
      <c r="Q455" s="4" t="s">
        <v>97</v>
      </c>
      <c r="R455" s="14" t="s">
        <v>100</v>
      </c>
      <c r="S455" s="14" t="s">
        <v>100</v>
      </c>
      <c r="T455" s="14" t="s">
        <v>100</v>
      </c>
      <c r="U455" s="14"/>
      <c r="V455" s="14"/>
      <c r="W455" s="14"/>
      <c r="X455" s="14"/>
      <c r="Y455" s="5">
        <v>45995</v>
      </c>
      <c r="Z455" s="5">
        <v>45997</v>
      </c>
      <c r="AA455" s="4" t="s">
        <v>103</v>
      </c>
      <c r="AB455" s="25">
        <v>38</v>
      </c>
      <c r="AC455" s="4" t="s">
        <v>97</v>
      </c>
      <c r="AD455" s="4" t="s">
        <v>97</v>
      </c>
      <c r="AE455" s="4" t="s">
        <v>97</v>
      </c>
      <c r="AF455" s="4" t="s">
        <v>97</v>
      </c>
      <c r="AG455" s="4" t="s">
        <v>97</v>
      </c>
      <c r="AH455" s="4" t="s">
        <v>103</v>
      </c>
      <c r="AI455" s="5">
        <v>45995</v>
      </c>
      <c r="AJ455" s="4" t="s">
        <v>97</v>
      </c>
      <c r="AK455" s="4" t="s">
        <v>97</v>
      </c>
      <c r="AL455" s="4" t="s">
        <v>97</v>
      </c>
      <c r="AM455" s="4" t="s">
        <v>103</v>
      </c>
      <c r="AN455" s="4" t="s">
        <v>103</v>
      </c>
      <c r="AO455" s="4" t="s">
        <v>103</v>
      </c>
      <c r="AP455" s="4" t="s">
        <v>103</v>
      </c>
      <c r="AQ455" s="4" t="s">
        <v>97</v>
      </c>
      <c r="AR455" s="4" t="s">
        <v>97</v>
      </c>
      <c r="AS455" s="4" t="s">
        <v>97</v>
      </c>
      <c r="AT455" s="4"/>
      <c r="AU455" s="4"/>
      <c r="AV455" s="4" t="s">
        <v>103</v>
      </c>
      <c r="AW455" s="4" t="s">
        <v>97</v>
      </c>
      <c r="AX455" s="4" t="s">
        <v>97</v>
      </c>
      <c r="AY455" s="4" t="s">
        <v>97</v>
      </c>
      <c r="AZ455" s="4" t="s">
        <v>103</v>
      </c>
      <c r="BA455" s="4" t="s">
        <v>97</v>
      </c>
      <c r="BB455" s="5">
        <v>46013</v>
      </c>
      <c r="BC455" s="5">
        <v>46013</v>
      </c>
      <c r="BD455" s="5">
        <v>46013</v>
      </c>
      <c r="BE455" s="5">
        <v>46013</v>
      </c>
      <c r="BF455" s="4" t="s">
        <v>98</v>
      </c>
      <c r="BG455" s="4" t="s">
        <v>97</v>
      </c>
      <c r="BH455" s="4" t="s">
        <v>97</v>
      </c>
      <c r="BI455" s="4" t="s">
        <v>834</v>
      </c>
    </row>
    <row r="456" spans="1:61" x14ac:dyDescent="0.35">
      <c r="A456" s="4" t="s">
        <v>1203</v>
      </c>
      <c r="B456" s="8" t="str">
        <f t="shared" si="36"/>
        <v>2026</v>
      </c>
      <c r="C456" s="2" t="s">
        <v>71</v>
      </c>
      <c r="D456" s="6" t="str">
        <f t="shared" si="37"/>
        <v>Thies</v>
      </c>
      <c r="E456" s="6">
        <f t="shared" si="38"/>
        <v>195082</v>
      </c>
      <c r="F456" s="6">
        <f t="shared" si="39"/>
        <v>2280463</v>
      </c>
      <c r="G456" s="4" t="s">
        <v>1201</v>
      </c>
      <c r="H456" s="4" t="s">
        <v>1202</v>
      </c>
      <c r="I456" s="4">
        <v>30</v>
      </c>
      <c r="J456" s="4" t="s">
        <v>114</v>
      </c>
      <c r="K456" s="4"/>
      <c r="L456" s="4"/>
      <c r="M456" s="4"/>
      <c r="N456" s="4"/>
      <c r="O456" s="4" t="s">
        <v>238</v>
      </c>
      <c r="P456" s="4" t="s">
        <v>97</v>
      </c>
      <c r="Q456" s="4" t="s">
        <v>97</v>
      </c>
      <c r="R456" s="14" t="s">
        <v>100</v>
      </c>
      <c r="S456" s="14" t="s">
        <v>100</v>
      </c>
      <c r="T456" s="14" t="s">
        <v>100</v>
      </c>
      <c r="U456" s="14"/>
      <c r="V456" s="14"/>
      <c r="W456" s="14"/>
      <c r="X456" s="14"/>
      <c r="Y456" s="5">
        <v>46015</v>
      </c>
      <c r="Z456" s="5">
        <v>46016</v>
      </c>
      <c r="AA456" s="4" t="s">
        <v>97</v>
      </c>
      <c r="AB456" s="4"/>
      <c r="AC456" s="4" t="s">
        <v>97</v>
      </c>
      <c r="AD456" s="4" t="s">
        <v>97</v>
      </c>
      <c r="AE456" s="4" t="s">
        <v>97</v>
      </c>
      <c r="AF456" s="4" t="s">
        <v>97</v>
      </c>
      <c r="AG456" s="4" t="s">
        <v>103</v>
      </c>
      <c r="AH456" s="4" t="s">
        <v>103</v>
      </c>
      <c r="AI456" s="5">
        <v>46015</v>
      </c>
      <c r="AJ456" s="4" t="s">
        <v>103</v>
      </c>
      <c r="AK456" s="4" t="s">
        <v>103</v>
      </c>
      <c r="AL456" s="4" t="s">
        <v>97</v>
      </c>
      <c r="AM456" s="4" t="s">
        <v>103</v>
      </c>
      <c r="AN456" s="4" t="s">
        <v>103</v>
      </c>
      <c r="AO456" s="4" t="s">
        <v>97</v>
      </c>
      <c r="AP456" s="4" t="s">
        <v>97</v>
      </c>
      <c r="AQ456" s="4" t="s">
        <v>97</v>
      </c>
      <c r="AR456" s="4" t="s">
        <v>97</v>
      </c>
      <c r="AS456" s="4" t="s">
        <v>97</v>
      </c>
      <c r="AT456" s="4"/>
      <c r="AU456" s="4"/>
      <c r="AV456" s="4" t="s">
        <v>103</v>
      </c>
      <c r="AW456" s="4" t="s">
        <v>97</v>
      </c>
      <c r="AX456" s="4" t="s">
        <v>97</v>
      </c>
      <c r="AY456" s="4" t="s">
        <v>97</v>
      </c>
      <c r="AZ456" s="4" t="s">
        <v>97</v>
      </c>
      <c r="BA456" s="4" t="s">
        <v>97</v>
      </c>
      <c r="BB456" s="5">
        <v>46018</v>
      </c>
      <c r="BC456" s="5">
        <v>46020</v>
      </c>
      <c r="BD456" s="5">
        <v>46021</v>
      </c>
      <c r="BE456" s="5">
        <v>46021</v>
      </c>
      <c r="BF456" s="4" t="s">
        <v>98</v>
      </c>
      <c r="BG456" s="4" t="s">
        <v>97</v>
      </c>
      <c r="BH456" s="4" t="s">
        <v>97</v>
      </c>
      <c r="BI456" s="4" t="s">
        <v>834</v>
      </c>
    </row>
    <row r="457" spans="1:61" x14ac:dyDescent="0.35">
      <c r="A457" s="4" t="s">
        <v>1205</v>
      </c>
      <c r="B457" s="8" t="str">
        <f t="shared" si="36"/>
        <v>2026</v>
      </c>
      <c r="C457" s="2" t="s">
        <v>75</v>
      </c>
      <c r="D457" s="6" t="str">
        <f t="shared" si="37"/>
        <v>Diourbel</v>
      </c>
      <c r="E457" s="6">
        <f t="shared" si="38"/>
        <v>996481</v>
      </c>
      <c r="F457" s="6">
        <f t="shared" si="39"/>
        <v>1980827</v>
      </c>
      <c r="G457" s="4" t="s">
        <v>1206</v>
      </c>
      <c r="H457" s="4" t="s">
        <v>1207</v>
      </c>
      <c r="I457" s="4">
        <v>15</v>
      </c>
      <c r="J457" s="4" t="s">
        <v>114</v>
      </c>
      <c r="K457" s="4"/>
      <c r="L457" s="4"/>
      <c r="M457" s="4"/>
      <c r="N457" s="4"/>
      <c r="O457" s="4" t="s">
        <v>238</v>
      </c>
      <c r="P457" s="4" t="s">
        <v>97</v>
      </c>
      <c r="Q457" s="4" t="s">
        <v>97</v>
      </c>
      <c r="R457" s="14" t="s">
        <v>100</v>
      </c>
      <c r="S457" s="14" t="s">
        <v>100</v>
      </c>
      <c r="T457" s="14" t="s">
        <v>100</v>
      </c>
      <c r="U457" s="14"/>
      <c r="V457" s="14"/>
      <c r="W457" s="14"/>
      <c r="X457" s="14"/>
      <c r="Y457" s="5">
        <v>46013</v>
      </c>
      <c r="Z457" s="5">
        <v>46019</v>
      </c>
      <c r="AA457" s="4" t="s">
        <v>103</v>
      </c>
      <c r="AB457" s="4" t="s">
        <v>488</v>
      </c>
      <c r="AC457" s="4" t="s">
        <v>97</v>
      </c>
      <c r="AD457" s="4" t="s">
        <v>103</v>
      </c>
      <c r="AE457" s="4" t="s">
        <v>97</v>
      </c>
      <c r="AF457" s="4" t="s">
        <v>97</v>
      </c>
      <c r="AG457" s="4" t="s">
        <v>97</v>
      </c>
      <c r="AH457" s="4" t="s">
        <v>103</v>
      </c>
      <c r="AI457" s="5">
        <v>46012</v>
      </c>
      <c r="AJ457" s="4" t="s">
        <v>97</v>
      </c>
      <c r="AK457" s="4" t="s">
        <v>103</v>
      </c>
      <c r="AL457" s="4" t="s">
        <v>97</v>
      </c>
      <c r="AM457" s="4" t="s">
        <v>97</v>
      </c>
      <c r="AN457" s="4" t="s">
        <v>103</v>
      </c>
      <c r="AO457" s="4" t="s">
        <v>103</v>
      </c>
      <c r="AP457" s="4" t="s">
        <v>97</v>
      </c>
      <c r="AQ457" s="4" t="s">
        <v>97</v>
      </c>
      <c r="AR457" s="4" t="s">
        <v>97</v>
      </c>
      <c r="AS457" s="4" t="s">
        <v>97</v>
      </c>
      <c r="AT457" s="4"/>
      <c r="AU457" s="4"/>
      <c r="AV457" s="4" t="s">
        <v>103</v>
      </c>
      <c r="AW457" s="4" t="s">
        <v>97</v>
      </c>
      <c r="AX457" s="4" t="s">
        <v>97</v>
      </c>
      <c r="AY457" s="4" t="s">
        <v>97</v>
      </c>
      <c r="AZ457" s="4" t="s">
        <v>103</v>
      </c>
      <c r="BA457" s="4" t="s">
        <v>97</v>
      </c>
      <c r="BB457" s="5">
        <v>46020</v>
      </c>
      <c r="BC457" s="5">
        <v>46020</v>
      </c>
      <c r="BD457" s="5">
        <v>46021</v>
      </c>
      <c r="BE457" s="5">
        <v>46021</v>
      </c>
      <c r="BF457" s="4" t="s">
        <v>98</v>
      </c>
      <c r="BG457" s="4" t="s">
        <v>97</v>
      </c>
      <c r="BH457" s="4" t="s">
        <v>97</v>
      </c>
      <c r="BI457" s="4" t="s">
        <v>834</v>
      </c>
    </row>
    <row r="458" spans="1:61" x14ac:dyDescent="0.35">
      <c r="A458" s="4" t="s">
        <v>1205</v>
      </c>
      <c r="B458" s="8" t="str">
        <f t="shared" si="36"/>
        <v>2026</v>
      </c>
      <c r="C458" s="2" t="s">
        <v>75</v>
      </c>
      <c r="D458" s="6" t="str">
        <f t="shared" si="37"/>
        <v>Diourbel</v>
      </c>
      <c r="E458" s="6">
        <f t="shared" si="38"/>
        <v>996481</v>
      </c>
      <c r="F458" s="6">
        <f t="shared" si="39"/>
        <v>1980827</v>
      </c>
      <c r="G458" s="4" t="s">
        <v>1208</v>
      </c>
      <c r="H458" s="4" t="s">
        <v>1209</v>
      </c>
      <c r="I458" s="4">
        <v>1</v>
      </c>
      <c r="J458" s="4" t="s">
        <v>114</v>
      </c>
      <c r="K458" s="4"/>
      <c r="L458" s="4"/>
      <c r="M458" s="4"/>
      <c r="N458" s="4"/>
      <c r="O458" s="4" t="s">
        <v>238</v>
      </c>
      <c r="P458" s="4" t="s">
        <v>97</v>
      </c>
      <c r="Q458" s="4" t="s">
        <v>97</v>
      </c>
      <c r="R458" s="14" t="s">
        <v>100</v>
      </c>
      <c r="S458" s="14" t="s">
        <v>100</v>
      </c>
      <c r="T458" s="14" t="s">
        <v>100</v>
      </c>
      <c r="U458" s="14"/>
      <c r="V458" s="14"/>
      <c r="W458" s="14"/>
      <c r="X458" s="14"/>
      <c r="Y458" s="5">
        <v>46021</v>
      </c>
      <c r="Z458" s="5">
        <v>46024</v>
      </c>
      <c r="AA458" s="4" t="s">
        <v>103</v>
      </c>
      <c r="AB458" s="4" t="s">
        <v>488</v>
      </c>
      <c r="AC458" s="4" t="s">
        <v>97</v>
      </c>
      <c r="AD458" s="4" t="s">
        <v>97</v>
      </c>
      <c r="AE458" s="4" t="s">
        <v>97</v>
      </c>
      <c r="AF458" s="4" t="s">
        <v>97</v>
      </c>
      <c r="AG458" s="4" t="s">
        <v>97</v>
      </c>
      <c r="AH458" s="4" t="s">
        <v>103</v>
      </c>
      <c r="AI458" s="5">
        <v>46021</v>
      </c>
      <c r="AJ458" s="4" t="s">
        <v>97</v>
      </c>
      <c r="AK458" s="4" t="s">
        <v>97</v>
      </c>
      <c r="AL458" s="4" t="s">
        <v>97</v>
      </c>
      <c r="AM458" s="4" t="s">
        <v>103</v>
      </c>
      <c r="AN458" s="4" t="s">
        <v>97</v>
      </c>
      <c r="AO458" s="4" t="s">
        <v>97</v>
      </c>
      <c r="AP458" s="4" t="s">
        <v>103</v>
      </c>
      <c r="AQ458" s="4" t="s">
        <v>97</v>
      </c>
      <c r="AR458" s="4" t="s">
        <v>97</v>
      </c>
      <c r="AS458" s="4" t="s">
        <v>103</v>
      </c>
      <c r="AT458" s="4"/>
      <c r="AU458" s="4"/>
      <c r="AV458" s="4" t="s">
        <v>103</v>
      </c>
      <c r="AW458" s="4" t="s">
        <v>103</v>
      </c>
      <c r="AX458" s="4" t="s">
        <v>97</v>
      </c>
      <c r="AY458" s="4" t="s">
        <v>97</v>
      </c>
      <c r="AZ458" s="4" t="s">
        <v>103</v>
      </c>
      <c r="BA458" s="4" t="s">
        <v>97</v>
      </c>
      <c r="BB458" s="24">
        <v>46024</v>
      </c>
      <c r="BC458" s="24">
        <v>46024</v>
      </c>
      <c r="BD458" s="24">
        <v>46024</v>
      </c>
      <c r="BE458" s="24">
        <v>46024</v>
      </c>
      <c r="BF458" s="4" t="s">
        <v>98</v>
      </c>
      <c r="BG458" s="4" t="s">
        <v>97</v>
      </c>
      <c r="BH458" s="4" t="s">
        <v>97</v>
      </c>
      <c r="BI458" s="4" t="s">
        <v>834</v>
      </c>
    </row>
    <row r="459" spans="1:61" x14ac:dyDescent="0.35">
      <c r="A459" s="4" t="s">
        <v>1205</v>
      </c>
      <c r="B459" s="8" t="str">
        <f t="shared" si="36"/>
        <v>2026</v>
      </c>
      <c r="C459" s="2" t="s">
        <v>18</v>
      </c>
      <c r="D459" s="6" t="str">
        <f t="shared" si="37"/>
        <v>Dakar</v>
      </c>
      <c r="E459" s="6">
        <f t="shared" si="38"/>
        <v>419489</v>
      </c>
      <c r="F459" s="6">
        <f t="shared" si="39"/>
        <v>4042240</v>
      </c>
      <c r="G459" s="4" t="s">
        <v>1210</v>
      </c>
      <c r="H459" s="4" t="s">
        <v>1211</v>
      </c>
      <c r="I459" s="4">
        <v>29</v>
      </c>
      <c r="J459" s="4" t="s">
        <v>114</v>
      </c>
      <c r="K459" s="4"/>
      <c r="L459" s="4"/>
      <c r="M459" s="4"/>
      <c r="N459" s="4"/>
      <c r="O459" s="4" t="s">
        <v>238</v>
      </c>
      <c r="P459" s="4" t="s">
        <v>97</v>
      </c>
      <c r="Q459" s="4" t="s">
        <v>97</v>
      </c>
      <c r="R459" s="14" t="s">
        <v>100</v>
      </c>
      <c r="S459" s="14" t="s">
        <v>100</v>
      </c>
      <c r="T459" s="14" t="s">
        <v>100</v>
      </c>
      <c r="U459" s="14"/>
      <c r="V459" s="14"/>
      <c r="W459" s="14"/>
      <c r="X459" s="14"/>
      <c r="Y459" s="5">
        <v>46018</v>
      </c>
      <c r="Z459" s="5">
        <v>46022</v>
      </c>
      <c r="AA459" s="4" t="s">
        <v>97</v>
      </c>
      <c r="AB459" s="4"/>
      <c r="AC459" s="4" t="s">
        <v>97</v>
      </c>
      <c r="AD459" s="4" t="s">
        <v>97</v>
      </c>
      <c r="AE459" s="4" t="s">
        <v>103</v>
      </c>
      <c r="AF459" s="4" t="s">
        <v>103</v>
      </c>
      <c r="AG459" s="4" t="s">
        <v>103</v>
      </c>
      <c r="AH459" s="4" t="s">
        <v>103</v>
      </c>
      <c r="AI459" s="5">
        <v>46018</v>
      </c>
      <c r="AJ459" s="4" t="s">
        <v>97</v>
      </c>
      <c r="AK459" s="4" t="s">
        <v>97</v>
      </c>
      <c r="AL459" s="4" t="s">
        <v>97</v>
      </c>
      <c r="AM459" s="4" t="s">
        <v>97</v>
      </c>
      <c r="AN459" s="4" t="s">
        <v>103</v>
      </c>
      <c r="AO459" s="4" t="s">
        <v>97</v>
      </c>
      <c r="AP459" s="4" t="s">
        <v>97</v>
      </c>
      <c r="AQ459" s="4" t="s">
        <v>97</v>
      </c>
      <c r="AR459" s="4" t="s">
        <v>97</v>
      </c>
      <c r="AS459" s="4" t="s">
        <v>97</v>
      </c>
      <c r="AT459" s="4"/>
      <c r="AU459" s="4"/>
      <c r="AV459" s="4" t="s">
        <v>103</v>
      </c>
      <c r="AW459" s="4" t="s">
        <v>97</v>
      </c>
      <c r="AX459" s="4" t="s">
        <v>97</v>
      </c>
      <c r="AY459" s="4" t="s">
        <v>97</v>
      </c>
      <c r="AZ459" s="4" t="s">
        <v>103</v>
      </c>
      <c r="BA459" s="4" t="s">
        <v>97</v>
      </c>
      <c r="BB459" s="5">
        <v>46021</v>
      </c>
      <c r="BC459" s="5">
        <v>46021</v>
      </c>
      <c r="BD459" s="5">
        <v>46021</v>
      </c>
      <c r="BE459" s="5">
        <v>46021</v>
      </c>
      <c r="BF459" s="4" t="s">
        <v>98</v>
      </c>
      <c r="BG459" s="4" t="s">
        <v>97</v>
      </c>
      <c r="BH459" s="4" t="s">
        <v>103</v>
      </c>
      <c r="BI459" s="4" t="s">
        <v>834</v>
      </c>
    </row>
    <row r="460" spans="1:61" x14ac:dyDescent="0.35">
      <c r="A460" s="4" t="s">
        <v>1205</v>
      </c>
      <c r="B460" s="8" t="str">
        <f t="shared" si="36"/>
        <v>2026</v>
      </c>
      <c r="C460" s="2" t="s">
        <v>46</v>
      </c>
      <c r="D460" s="6" t="str">
        <f t="shared" si="37"/>
        <v>Tambacounda</v>
      </c>
      <c r="E460" s="6">
        <f t="shared" si="38"/>
        <v>94499</v>
      </c>
      <c r="F460" s="6">
        <f t="shared" si="39"/>
        <v>937181</v>
      </c>
      <c r="G460" s="4" t="s">
        <v>1213</v>
      </c>
      <c r="H460" s="4" t="s">
        <v>1212</v>
      </c>
      <c r="I460" s="4">
        <v>37</v>
      </c>
      <c r="J460" s="4" t="s">
        <v>114</v>
      </c>
      <c r="K460" s="4"/>
      <c r="L460" s="4"/>
      <c r="M460" s="4"/>
      <c r="N460" s="4"/>
      <c r="O460" s="4" t="s">
        <v>238</v>
      </c>
      <c r="P460" s="4" t="s">
        <v>97</v>
      </c>
      <c r="Q460" s="4" t="s">
        <v>97</v>
      </c>
      <c r="R460" s="14" t="s">
        <v>100</v>
      </c>
      <c r="S460" s="14" t="s">
        <v>100</v>
      </c>
      <c r="T460" s="14" t="s">
        <v>100</v>
      </c>
      <c r="U460" s="14"/>
      <c r="V460" s="14"/>
      <c r="W460" s="14"/>
      <c r="X460" s="14"/>
      <c r="Y460" s="5">
        <v>46020</v>
      </c>
      <c r="Z460" s="5">
        <v>46024</v>
      </c>
      <c r="AA460" s="4" t="s">
        <v>97</v>
      </c>
      <c r="AB460" s="4"/>
      <c r="AC460" s="4" t="s">
        <v>97</v>
      </c>
      <c r="AD460" s="4" t="s">
        <v>103</v>
      </c>
      <c r="AE460" s="4" t="s">
        <v>97</v>
      </c>
      <c r="AF460" s="4" t="s">
        <v>103</v>
      </c>
      <c r="AG460" s="4" t="s">
        <v>103</v>
      </c>
      <c r="AH460" s="4" t="s">
        <v>103</v>
      </c>
      <c r="AI460" s="5">
        <v>46020</v>
      </c>
      <c r="AJ460" s="4" t="s">
        <v>103</v>
      </c>
      <c r="AK460" s="4" t="s">
        <v>103</v>
      </c>
      <c r="AL460" s="4" t="s">
        <v>97</v>
      </c>
      <c r="AM460" s="4" t="s">
        <v>97</v>
      </c>
      <c r="AN460" s="4" t="s">
        <v>103</v>
      </c>
      <c r="AO460" s="4" t="s">
        <v>97</v>
      </c>
      <c r="AP460" s="4" t="s">
        <v>97</v>
      </c>
      <c r="AQ460" s="4" t="s">
        <v>103</v>
      </c>
      <c r="AR460" s="4" t="s">
        <v>97</v>
      </c>
      <c r="AS460" s="4" t="s">
        <v>103</v>
      </c>
      <c r="AT460" s="4"/>
      <c r="AU460" s="4"/>
      <c r="AV460" s="4" t="s">
        <v>97</v>
      </c>
      <c r="AW460" s="4" t="s">
        <v>97</v>
      </c>
      <c r="AX460" s="4" t="s">
        <v>97</v>
      </c>
      <c r="AY460" s="4" t="s">
        <v>97</v>
      </c>
      <c r="AZ460" s="4" t="s">
        <v>103</v>
      </c>
      <c r="BA460" s="4" t="s">
        <v>97</v>
      </c>
      <c r="BB460" s="24">
        <v>46024</v>
      </c>
      <c r="BC460" s="24">
        <v>46024</v>
      </c>
      <c r="BD460" s="24">
        <v>46027</v>
      </c>
      <c r="BE460" s="24">
        <v>46027</v>
      </c>
      <c r="BF460" s="4" t="s">
        <v>98</v>
      </c>
      <c r="BG460" s="4" t="s">
        <v>97</v>
      </c>
      <c r="BH460" s="4" t="s">
        <v>103</v>
      </c>
      <c r="BI460" s="4" t="s">
        <v>834</v>
      </c>
    </row>
    <row r="461" spans="1:61" x14ac:dyDescent="0.35">
      <c r="A461" s="4" t="s">
        <v>1205</v>
      </c>
      <c r="B461" s="8" t="str">
        <f t="shared" si="36"/>
        <v>2026</v>
      </c>
      <c r="C461" s="2" t="s">
        <v>23</v>
      </c>
      <c r="D461" s="6" t="str">
        <f t="shared" si="37"/>
        <v>Dakar</v>
      </c>
      <c r="E461" s="6">
        <f t="shared" si="38"/>
        <v>167577</v>
      </c>
      <c r="F461" s="6">
        <f t="shared" si="39"/>
        <v>4042240</v>
      </c>
      <c r="G461" s="4" t="s">
        <v>1214</v>
      </c>
      <c r="H461" s="4" t="s">
        <v>1215</v>
      </c>
      <c r="I461" s="4">
        <v>15</v>
      </c>
      <c r="J461" s="4" t="s">
        <v>114</v>
      </c>
      <c r="K461" s="4"/>
      <c r="L461" s="4"/>
      <c r="M461" s="4"/>
      <c r="N461" s="4"/>
      <c r="O461" s="4" t="s">
        <v>238</v>
      </c>
      <c r="P461" s="4" t="s">
        <v>97</v>
      </c>
      <c r="Q461" s="4" t="s">
        <v>97</v>
      </c>
      <c r="R461" s="14" t="s">
        <v>100</v>
      </c>
      <c r="S461" s="14" t="s">
        <v>100</v>
      </c>
      <c r="T461" s="14" t="s">
        <v>100</v>
      </c>
      <c r="U461" s="14"/>
      <c r="V461" s="14"/>
      <c r="W461" s="14"/>
      <c r="X461" s="14"/>
      <c r="Y461" s="5">
        <v>46019</v>
      </c>
      <c r="Z461" s="5">
        <v>46024</v>
      </c>
      <c r="AA461" s="4" t="s">
        <v>103</v>
      </c>
      <c r="AB461" s="4" t="s">
        <v>488</v>
      </c>
      <c r="AC461" s="4" t="s">
        <v>97</v>
      </c>
      <c r="AD461" s="4" t="s">
        <v>97</v>
      </c>
      <c r="AE461" s="4" t="s">
        <v>103</v>
      </c>
      <c r="AF461" s="4" t="s">
        <v>103</v>
      </c>
      <c r="AG461" s="4" t="s">
        <v>97</v>
      </c>
      <c r="AH461" s="4" t="s">
        <v>103</v>
      </c>
      <c r="AI461" s="5">
        <v>46019</v>
      </c>
      <c r="AJ461" s="4" t="s">
        <v>97</v>
      </c>
      <c r="AK461" s="4" t="s">
        <v>97</v>
      </c>
      <c r="AL461" s="4" t="s">
        <v>103</v>
      </c>
      <c r="AM461" s="4" t="s">
        <v>97</v>
      </c>
      <c r="AN461" s="4" t="s">
        <v>103</v>
      </c>
      <c r="AO461" s="4" t="s">
        <v>97</v>
      </c>
      <c r="AP461" s="4" t="s">
        <v>97</v>
      </c>
      <c r="AQ461" s="4" t="s">
        <v>103</v>
      </c>
      <c r="AR461" s="4" t="s">
        <v>97</v>
      </c>
      <c r="AS461" s="4" t="s">
        <v>103</v>
      </c>
      <c r="AT461" s="4"/>
      <c r="AU461" s="4"/>
      <c r="AV461" s="4" t="s">
        <v>103</v>
      </c>
      <c r="AW461" s="4" t="s">
        <v>97</v>
      </c>
      <c r="AX461" s="4" t="s">
        <v>97</v>
      </c>
      <c r="AY461" s="4" t="s">
        <v>97</v>
      </c>
      <c r="AZ461" s="4" t="s">
        <v>97</v>
      </c>
      <c r="BA461" s="4" t="s">
        <v>97</v>
      </c>
      <c r="BB461" s="24">
        <v>46025</v>
      </c>
      <c r="BC461" s="24">
        <v>46025</v>
      </c>
      <c r="BD461" s="24">
        <v>46027</v>
      </c>
      <c r="BE461" s="24">
        <v>46027</v>
      </c>
      <c r="BF461" s="4" t="s">
        <v>98</v>
      </c>
      <c r="BG461" s="4" t="s">
        <v>97</v>
      </c>
      <c r="BH461" s="4" t="s">
        <v>103</v>
      </c>
      <c r="BI461" s="4" t="s">
        <v>834</v>
      </c>
    </row>
    <row r="462" spans="1:61" x14ac:dyDescent="0.35">
      <c r="A462" s="4" t="s">
        <v>1216</v>
      </c>
      <c r="B462" s="8" t="str">
        <f t="shared" si="36"/>
        <v>2026</v>
      </c>
      <c r="C462" s="2" t="s">
        <v>2</v>
      </c>
      <c r="D462" s="6" t="str">
        <f t="shared" si="37"/>
        <v>Fatick</v>
      </c>
      <c r="E462" s="6">
        <f t="shared" si="38"/>
        <v>151740</v>
      </c>
      <c r="F462" s="6">
        <f t="shared" si="39"/>
        <v>965914</v>
      </c>
      <c r="G462" s="4" t="s">
        <v>1217</v>
      </c>
      <c r="H462" s="4" t="s">
        <v>1218</v>
      </c>
      <c r="I462" s="4">
        <v>2</v>
      </c>
      <c r="J462" s="4" t="s">
        <v>114</v>
      </c>
      <c r="K462" s="4"/>
      <c r="L462" s="4"/>
      <c r="M462" s="4"/>
      <c r="N462" s="4"/>
      <c r="O462" s="4" t="s">
        <v>238</v>
      </c>
      <c r="P462" s="4" t="s">
        <v>97</v>
      </c>
      <c r="Q462" s="4" t="s">
        <v>97</v>
      </c>
      <c r="R462" s="14" t="s">
        <v>100</v>
      </c>
      <c r="S462" s="14" t="s">
        <v>100</v>
      </c>
      <c r="T462" s="14" t="s">
        <v>100</v>
      </c>
      <c r="U462" s="14"/>
      <c r="V462" s="14"/>
      <c r="W462" s="14"/>
      <c r="X462" s="14"/>
      <c r="Y462" s="5">
        <v>46027</v>
      </c>
      <c r="Z462" s="5">
        <v>46029</v>
      </c>
      <c r="AA462" s="4" t="s">
        <v>97</v>
      </c>
      <c r="AB462" s="4"/>
      <c r="AC462" s="4" t="s">
        <v>97</v>
      </c>
      <c r="AD462" s="4" t="s">
        <v>97</v>
      </c>
      <c r="AE462" s="4" t="s">
        <v>97</v>
      </c>
      <c r="AF462" s="4" t="s">
        <v>97</v>
      </c>
      <c r="AG462" s="4" t="s">
        <v>97</v>
      </c>
      <c r="AH462" s="4" t="s">
        <v>103</v>
      </c>
      <c r="AI462" s="5">
        <v>46027</v>
      </c>
      <c r="AJ462" s="4" t="s">
        <v>97</v>
      </c>
      <c r="AK462" s="4" t="s">
        <v>97</v>
      </c>
      <c r="AL462" s="4" t="s">
        <v>103</v>
      </c>
      <c r="AM462" s="4" t="s">
        <v>97</v>
      </c>
      <c r="AN462" s="4" t="s">
        <v>97</v>
      </c>
      <c r="AO462" s="4" t="s">
        <v>103</v>
      </c>
      <c r="AP462" s="4" t="s">
        <v>103</v>
      </c>
      <c r="AQ462" s="4" t="s">
        <v>103</v>
      </c>
      <c r="AR462" s="4" t="s">
        <v>103</v>
      </c>
      <c r="AS462" s="4" t="s">
        <v>97</v>
      </c>
      <c r="AT462" s="4"/>
      <c r="AU462" s="4"/>
      <c r="AV462" s="4" t="s">
        <v>97</v>
      </c>
      <c r="AW462" s="4" t="s">
        <v>97</v>
      </c>
      <c r="AX462" s="4" t="s">
        <v>103</v>
      </c>
      <c r="AY462" s="4" t="s">
        <v>97</v>
      </c>
      <c r="AZ462" s="4" t="s">
        <v>103</v>
      </c>
      <c r="BA462" s="4" t="s">
        <v>97</v>
      </c>
      <c r="BB462" s="5">
        <v>46029</v>
      </c>
      <c r="BC462" s="5">
        <v>46034</v>
      </c>
      <c r="BD462" s="5">
        <v>46034</v>
      </c>
      <c r="BE462" s="5">
        <v>46034</v>
      </c>
      <c r="BF462" s="4" t="s">
        <v>98</v>
      </c>
      <c r="BG462" s="4" t="s">
        <v>97</v>
      </c>
      <c r="BH462" s="4" t="s">
        <v>103</v>
      </c>
      <c r="BI462" s="4" t="s">
        <v>834</v>
      </c>
    </row>
    <row r="463" spans="1:61" x14ac:dyDescent="0.35">
      <c r="A463" s="4" t="s">
        <v>1216</v>
      </c>
      <c r="B463" s="8" t="str">
        <f t="shared" si="36"/>
        <v>2026</v>
      </c>
      <c r="C463" s="2" t="s">
        <v>78</v>
      </c>
      <c r="D463" s="6" t="str">
        <f t="shared" si="37"/>
        <v>Ziguinchor</v>
      </c>
      <c r="E463" s="6">
        <f t="shared" si="38"/>
        <v>330001</v>
      </c>
      <c r="F463" s="6">
        <f t="shared" si="39"/>
        <v>729952</v>
      </c>
      <c r="G463" s="4" t="s">
        <v>1219</v>
      </c>
      <c r="H463" s="4" t="s">
        <v>1220</v>
      </c>
      <c r="I463" s="4">
        <v>1</v>
      </c>
      <c r="J463" s="4" t="s">
        <v>114</v>
      </c>
      <c r="K463" s="4"/>
      <c r="L463" s="4"/>
      <c r="M463" s="4"/>
      <c r="N463" s="4"/>
      <c r="O463" s="4" t="s">
        <v>238</v>
      </c>
      <c r="P463" s="4" t="s">
        <v>97</v>
      </c>
      <c r="Q463" s="4" t="s">
        <v>97</v>
      </c>
      <c r="R463" s="14" t="s">
        <v>100</v>
      </c>
      <c r="S463" s="14" t="s">
        <v>100</v>
      </c>
      <c r="T463" s="14" t="s">
        <v>100</v>
      </c>
      <c r="U463" s="14"/>
      <c r="V463" s="14"/>
      <c r="W463" s="14"/>
      <c r="X463" s="14"/>
      <c r="Y463" s="5">
        <v>46026</v>
      </c>
      <c r="Z463" s="5">
        <v>46029</v>
      </c>
      <c r="AA463" s="4" t="s">
        <v>97</v>
      </c>
      <c r="AB463" s="4"/>
      <c r="AC463" s="4" t="s">
        <v>97</v>
      </c>
      <c r="AD463" s="4" t="s">
        <v>97</v>
      </c>
      <c r="AE463" s="4" t="s">
        <v>97</v>
      </c>
      <c r="AF463" s="4" t="s">
        <v>97</v>
      </c>
      <c r="AG463" s="4" t="s">
        <v>97</v>
      </c>
      <c r="AH463" s="4" t="s">
        <v>103</v>
      </c>
      <c r="AI463" s="5">
        <v>46026</v>
      </c>
      <c r="AJ463" s="4" t="s">
        <v>97</v>
      </c>
      <c r="AK463" s="4" t="s">
        <v>97</v>
      </c>
      <c r="AL463" s="4" t="s">
        <v>103</v>
      </c>
      <c r="AM463" s="4" t="s">
        <v>97</v>
      </c>
      <c r="AN463" s="4" t="s">
        <v>97</v>
      </c>
      <c r="AO463" s="4" t="s">
        <v>97</v>
      </c>
      <c r="AP463" s="4" t="s">
        <v>97</v>
      </c>
      <c r="AQ463" s="4" t="s">
        <v>103</v>
      </c>
      <c r="AR463" s="4" t="s">
        <v>97</v>
      </c>
      <c r="AS463" s="4" t="s">
        <v>97</v>
      </c>
      <c r="AT463" s="4"/>
      <c r="AU463" s="4"/>
      <c r="AV463" s="4" t="s">
        <v>103</v>
      </c>
      <c r="AW463" s="4" t="s">
        <v>97</v>
      </c>
      <c r="AX463" s="4" t="s">
        <v>97</v>
      </c>
      <c r="AY463" s="4" t="s">
        <v>97</v>
      </c>
      <c r="AZ463" s="4" t="s">
        <v>103</v>
      </c>
      <c r="BA463" s="4" t="s">
        <v>97</v>
      </c>
      <c r="BB463" s="5">
        <v>46029</v>
      </c>
      <c r="BC463" s="5">
        <v>46029</v>
      </c>
      <c r="BD463" s="5">
        <v>46030</v>
      </c>
      <c r="BE463" s="5">
        <v>46030</v>
      </c>
      <c r="BF463" s="4" t="s">
        <v>98</v>
      </c>
      <c r="BG463" s="4" t="s">
        <v>97</v>
      </c>
      <c r="BH463" s="4" t="s">
        <v>103</v>
      </c>
      <c r="BI463" s="4" t="s">
        <v>834</v>
      </c>
    </row>
    <row r="464" spans="1:61" x14ac:dyDescent="0.35">
      <c r="A464" s="4" t="s">
        <v>1216</v>
      </c>
      <c r="B464" s="8" t="str">
        <f>RIGHT(A465,4)</f>
        <v>2026</v>
      </c>
      <c r="C464" s="2" t="s">
        <v>70</v>
      </c>
      <c r="D464" s="6" t="str">
        <f t="shared" si="37"/>
        <v>Fatick</v>
      </c>
      <c r="E464" s="6">
        <f t="shared" si="38"/>
        <v>198755</v>
      </c>
      <c r="F464" s="6">
        <f t="shared" si="39"/>
        <v>965914</v>
      </c>
      <c r="G464" s="4" t="s">
        <v>1221</v>
      </c>
      <c r="H464" s="4" t="s">
        <v>1222</v>
      </c>
      <c r="I464" s="4">
        <v>26</v>
      </c>
      <c r="J464" s="4" t="s">
        <v>114</v>
      </c>
      <c r="K464" s="4"/>
      <c r="L464" s="4"/>
      <c r="M464" s="4"/>
      <c r="N464" s="4"/>
      <c r="O464" s="4" t="s">
        <v>238</v>
      </c>
      <c r="P464" s="4" t="s">
        <v>97</v>
      </c>
      <c r="Q464" s="4" t="s">
        <v>97</v>
      </c>
      <c r="R464" s="14" t="s">
        <v>100</v>
      </c>
      <c r="S464" s="14" t="s">
        <v>100</v>
      </c>
      <c r="T464" s="14" t="s">
        <v>100</v>
      </c>
      <c r="U464" s="14"/>
      <c r="V464" s="14"/>
      <c r="W464" s="14"/>
      <c r="X464" s="14"/>
      <c r="Y464" s="5">
        <v>46036</v>
      </c>
      <c r="Z464" s="5">
        <v>46036</v>
      </c>
      <c r="AA464" s="4" t="s">
        <v>103</v>
      </c>
      <c r="AB464" s="25">
        <v>38</v>
      </c>
      <c r="AC464" s="4" t="s">
        <v>103</v>
      </c>
      <c r="AD464" s="4" t="s">
        <v>97</v>
      </c>
      <c r="AE464" s="4" t="s">
        <v>97</v>
      </c>
      <c r="AF464" s="4" t="s">
        <v>103</v>
      </c>
      <c r="AG464" s="4" t="s">
        <v>103</v>
      </c>
      <c r="AH464" s="4" t="s">
        <v>103</v>
      </c>
      <c r="AI464" s="5">
        <v>46030</v>
      </c>
      <c r="AJ464" s="4" t="s">
        <v>103</v>
      </c>
      <c r="AK464" s="4" t="s">
        <v>97</v>
      </c>
      <c r="AL464" s="4" t="s">
        <v>103</v>
      </c>
      <c r="AM464" s="4" t="s">
        <v>103</v>
      </c>
      <c r="AN464" s="4" t="s">
        <v>103</v>
      </c>
      <c r="AO464" s="4" t="s">
        <v>97</v>
      </c>
      <c r="AP464" s="4" t="s">
        <v>97</v>
      </c>
      <c r="AQ464" s="4" t="s">
        <v>97</v>
      </c>
      <c r="AR464" s="4" t="s">
        <v>97</v>
      </c>
      <c r="AS464" s="4" t="s">
        <v>103</v>
      </c>
      <c r="AT464" s="4"/>
      <c r="AU464" s="4"/>
      <c r="AV464" s="4" t="s">
        <v>97</v>
      </c>
      <c r="AW464" s="4" t="s">
        <v>103</v>
      </c>
      <c r="AX464" s="4" t="s">
        <v>103</v>
      </c>
      <c r="AY464" s="4" t="s">
        <v>97</v>
      </c>
      <c r="AZ464" s="4" t="s">
        <v>103</v>
      </c>
      <c r="BA464" s="4" t="s">
        <v>97</v>
      </c>
      <c r="BB464" s="5">
        <v>46036</v>
      </c>
      <c r="BC464" s="5">
        <v>46370</v>
      </c>
      <c r="BD464" s="5">
        <v>46371</v>
      </c>
      <c r="BE464" s="5">
        <v>46371</v>
      </c>
      <c r="BF464" s="4" t="s">
        <v>98</v>
      </c>
      <c r="BG464" s="4" t="s">
        <v>97</v>
      </c>
      <c r="BH464" s="4" t="s">
        <v>103</v>
      </c>
      <c r="BI464" s="4" t="s">
        <v>834</v>
      </c>
    </row>
    <row r="465" spans="1:61" x14ac:dyDescent="0.35">
      <c r="A465" s="4" t="s">
        <v>1216</v>
      </c>
      <c r="B465" s="8" t="str">
        <f>RIGHT(A466,4)</f>
        <v>2026</v>
      </c>
      <c r="C465" s="2" t="s">
        <v>48</v>
      </c>
      <c r="D465" s="6" t="str">
        <f t="shared" si="37"/>
        <v>Diourbel</v>
      </c>
      <c r="E465" s="6">
        <f t="shared" si="38"/>
        <v>233408</v>
      </c>
      <c r="F465" s="6">
        <f t="shared" si="39"/>
        <v>1980827</v>
      </c>
      <c r="G465" s="4" t="s">
        <v>1223</v>
      </c>
      <c r="H465" s="4" t="s">
        <v>1224</v>
      </c>
      <c r="I465" s="4">
        <v>11</v>
      </c>
      <c r="J465" s="4" t="s">
        <v>96</v>
      </c>
      <c r="K465" s="4"/>
      <c r="L465" s="4"/>
      <c r="M465" s="4"/>
      <c r="N465" s="4"/>
      <c r="O465" s="4" t="s">
        <v>238</v>
      </c>
      <c r="P465" s="4" t="s">
        <v>97</v>
      </c>
      <c r="Q465" s="4" t="s">
        <v>97</v>
      </c>
      <c r="R465" s="14" t="s">
        <v>100</v>
      </c>
      <c r="S465" s="14" t="s">
        <v>100</v>
      </c>
      <c r="T465" s="14" t="s">
        <v>100</v>
      </c>
      <c r="U465" s="14"/>
      <c r="V465" s="14"/>
      <c r="W465" s="14"/>
      <c r="X465" s="14"/>
      <c r="Y465" s="5">
        <v>46023</v>
      </c>
      <c r="Z465" s="5">
        <v>46026</v>
      </c>
      <c r="AA465" s="4" t="s">
        <v>103</v>
      </c>
      <c r="AB465" s="4" t="s">
        <v>488</v>
      </c>
      <c r="AC465" s="4" t="s">
        <v>97</v>
      </c>
      <c r="AD465" s="4" t="s">
        <v>97</v>
      </c>
      <c r="AE465" s="4" t="s">
        <v>97</v>
      </c>
      <c r="AF465" s="4" t="s">
        <v>97</v>
      </c>
      <c r="AG465" s="4" t="s">
        <v>97</v>
      </c>
      <c r="AH465" s="4" t="s">
        <v>103</v>
      </c>
      <c r="AI465" s="5">
        <v>46023</v>
      </c>
      <c r="AJ465" s="4" t="s">
        <v>97</v>
      </c>
      <c r="AK465" s="4" t="s">
        <v>97</v>
      </c>
      <c r="AL465" s="4" t="s">
        <v>97</v>
      </c>
      <c r="AM465" s="4" t="s">
        <v>103</v>
      </c>
      <c r="AN465" s="4" t="s">
        <v>97</v>
      </c>
      <c r="AO465" s="4" t="s">
        <v>97</v>
      </c>
      <c r="AP465" s="4" t="s">
        <v>103</v>
      </c>
      <c r="AQ465" s="4" t="s">
        <v>97</v>
      </c>
      <c r="AR465" s="4" t="s">
        <v>97</v>
      </c>
      <c r="AS465" s="4" t="s">
        <v>97</v>
      </c>
      <c r="AT465" s="4"/>
      <c r="AU465" s="4"/>
      <c r="AV465" s="4" t="s">
        <v>103</v>
      </c>
      <c r="AW465" s="4" t="s">
        <v>103</v>
      </c>
      <c r="AX465" s="4" t="s">
        <v>97</v>
      </c>
      <c r="AY465" s="4" t="s">
        <v>97</v>
      </c>
      <c r="AZ465" s="4" t="s">
        <v>97</v>
      </c>
      <c r="BA465" s="4" t="s">
        <v>97</v>
      </c>
      <c r="BB465" s="5">
        <v>46027</v>
      </c>
      <c r="BC465" s="5">
        <v>46028</v>
      </c>
      <c r="BD465" s="5">
        <v>46030</v>
      </c>
      <c r="BE465" s="5">
        <v>46030</v>
      </c>
      <c r="BF465" s="4" t="s">
        <v>98</v>
      </c>
      <c r="BG465" s="4" t="s">
        <v>103</v>
      </c>
      <c r="BH465" s="4" t="s">
        <v>103</v>
      </c>
      <c r="BI465" s="4" t="s">
        <v>834</v>
      </c>
    </row>
    <row r="466" spans="1:61" x14ac:dyDescent="0.35">
      <c r="A466" s="4" t="s">
        <v>1216</v>
      </c>
      <c r="B466" s="8" t="str">
        <f t="shared" si="36"/>
        <v>2026</v>
      </c>
      <c r="C466" s="2" t="s">
        <v>75</v>
      </c>
      <c r="D466" s="6" t="str">
        <f t="shared" si="37"/>
        <v>Diourbel</v>
      </c>
      <c r="E466" s="6">
        <f t="shared" si="38"/>
        <v>996481</v>
      </c>
      <c r="F466" s="6">
        <f t="shared" si="39"/>
        <v>1980827</v>
      </c>
      <c r="G466" s="4" t="s">
        <v>1225</v>
      </c>
      <c r="H466" s="4" t="s">
        <v>1226</v>
      </c>
      <c r="I466" s="4">
        <v>18</v>
      </c>
      <c r="J466" s="4" t="s">
        <v>96</v>
      </c>
      <c r="K466" s="4"/>
      <c r="L466" s="4"/>
      <c r="M466" s="4"/>
      <c r="N466" s="4"/>
      <c r="O466" s="4" t="s">
        <v>238</v>
      </c>
      <c r="P466" s="4" t="s">
        <v>97</v>
      </c>
      <c r="Q466" s="4" t="s">
        <v>97</v>
      </c>
      <c r="R466" s="14" t="s">
        <v>100</v>
      </c>
      <c r="S466" s="14" t="s">
        <v>100</v>
      </c>
      <c r="T466" s="14" t="s">
        <v>100</v>
      </c>
      <c r="U466" s="14"/>
      <c r="V466" s="14"/>
      <c r="W466" s="14"/>
      <c r="X466" s="14"/>
      <c r="Y466" s="5">
        <v>46028</v>
      </c>
      <c r="Z466" s="5">
        <v>46029</v>
      </c>
      <c r="AA466" s="4" t="s">
        <v>103</v>
      </c>
      <c r="AB466" s="4" t="s">
        <v>488</v>
      </c>
      <c r="AC466" s="4" t="s">
        <v>103</v>
      </c>
      <c r="AD466" s="4" t="s">
        <v>97</v>
      </c>
      <c r="AE466" s="4" t="s">
        <v>97</v>
      </c>
      <c r="AF466" s="4" t="s">
        <v>97</v>
      </c>
      <c r="AG466" s="4" t="s">
        <v>97</v>
      </c>
      <c r="AH466" s="4" t="s">
        <v>103</v>
      </c>
      <c r="AI466" s="5">
        <v>46028</v>
      </c>
      <c r="AJ466" s="4" t="s">
        <v>97</v>
      </c>
      <c r="AK466" s="4" t="s">
        <v>97</v>
      </c>
      <c r="AL466" s="4" t="s">
        <v>97</v>
      </c>
      <c r="AM466" s="4" t="s">
        <v>97</v>
      </c>
      <c r="AN466" s="4" t="s">
        <v>97</v>
      </c>
      <c r="AO466" s="4" t="s">
        <v>97</v>
      </c>
      <c r="AP466" s="4" t="s">
        <v>97</v>
      </c>
      <c r="AQ466" s="4" t="s">
        <v>97</v>
      </c>
      <c r="AR466" s="4" t="s">
        <v>97</v>
      </c>
      <c r="AS466" s="4" t="s">
        <v>97</v>
      </c>
      <c r="AT466" s="4"/>
      <c r="AU466" s="4"/>
      <c r="AV466" s="4" t="s">
        <v>97</v>
      </c>
      <c r="AW466" s="4" t="s">
        <v>97</v>
      </c>
      <c r="AX466" s="4" t="s">
        <v>97</v>
      </c>
      <c r="AY466" s="4" t="s">
        <v>97</v>
      </c>
      <c r="AZ466" s="4" t="s">
        <v>103</v>
      </c>
      <c r="BA466" s="4" t="s">
        <v>97</v>
      </c>
      <c r="BB466" s="5">
        <v>46029</v>
      </c>
      <c r="BC466" s="5">
        <v>46029</v>
      </c>
      <c r="BD466" s="5">
        <v>46030</v>
      </c>
      <c r="BE466" s="5">
        <v>46030</v>
      </c>
      <c r="BF466" s="4" t="s">
        <v>98</v>
      </c>
      <c r="BG466" s="4" t="s">
        <v>97</v>
      </c>
      <c r="BH466" s="4" t="s">
        <v>97</v>
      </c>
      <c r="BI466" s="4" t="s">
        <v>834</v>
      </c>
    </row>
    <row r="467" spans="1:61" x14ac:dyDescent="0.35">
      <c r="A467" s="4" t="s">
        <v>1216</v>
      </c>
      <c r="B467" s="8" t="str">
        <f t="shared" si="36"/>
        <v>2026</v>
      </c>
      <c r="C467" s="2" t="s">
        <v>75</v>
      </c>
      <c r="D467" s="6" t="str">
        <f t="shared" si="37"/>
        <v>Diourbel</v>
      </c>
      <c r="E467" s="6">
        <f t="shared" si="38"/>
        <v>996481</v>
      </c>
      <c r="F467" s="6">
        <f t="shared" si="39"/>
        <v>1980827</v>
      </c>
      <c r="G467" s="4" t="s">
        <v>1227</v>
      </c>
      <c r="H467" s="4" t="s">
        <v>1228</v>
      </c>
      <c r="I467" s="4">
        <v>12</v>
      </c>
      <c r="J467" s="4" t="s">
        <v>96</v>
      </c>
      <c r="K467" s="4"/>
      <c r="L467" s="4"/>
      <c r="M467" s="4"/>
      <c r="N467" s="4"/>
      <c r="O467" s="4" t="s">
        <v>238</v>
      </c>
      <c r="P467" s="4" t="s">
        <v>97</v>
      </c>
      <c r="Q467" s="4" t="s">
        <v>97</v>
      </c>
      <c r="R467" s="14" t="s">
        <v>100</v>
      </c>
      <c r="S467" s="14" t="s">
        <v>100</v>
      </c>
      <c r="T467" s="14" t="s">
        <v>100</v>
      </c>
      <c r="U467" s="14"/>
      <c r="V467" s="14"/>
      <c r="W467" s="14"/>
      <c r="X467" s="14"/>
      <c r="Y467" s="5">
        <v>46026</v>
      </c>
      <c r="Z467" s="5">
        <v>46029</v>
      </c>
      <c r="AA467" s="4" t="s">
        <v>103</v>
      </c>
      <c r="AB467" s="4" t="s">
        <v>488</v>
      </c>
      <c r="AC467" s="4" t="s">
        <v>97</v>
      </c>
      <c r="AD467" s="4" t="s">
        <v>97</v>
      </c>
      <c r="AE467" s="4" t="s">
        <v>97</v>
      </c>
      <c r="AF467" s="4" t="s">
        <v>97</v>
      </c>
      <c r="AG467" s="4" t="s">
        <v>97</v>
      </c>
      <c r="AH467" s="4" t="s">
        <v>103</v>
      </c>
      <c r="AI467" s="5">
        <v>46026</v>
      </c>
      <c r="AJ467" s="4" t="s">
        <v>97</v>
      </c>
      <c r="AK467" s="4" t="s">
        <v>97</v>
      </c>
      <c r="AL467" s="4" t="s">
        <v>97</v>
      </c>
      <c r="AM467" s="4" t="s">
        <v>97</v>
      </c>
      <c r="AN467" s="4" t="s">
        <v>97</v>
      </c>
      <c r="AO467" s="4" t="s">
        <v>97</v>
      </c>
      <c r="AP467" s="4" t="s">
        <v>103</v>
      </c>
      <c r="AQ467" s="4" t="s">
        <v>103</v>
      </c>
      <c r="AR467" s="4" t="s">
        <v>97</v>
      </c>
      <c r="AS467" s="4" t="s">
        <v>97</v>
      </c>
      <c r="AT467" s="4"/>
      <c r="AU467" s="4"/>
      <c r="AV467" s="4" t="s">
        <v>103</v>
      </c>
      <c r="AW467" s="4" t="s">
        <v>97</v>
      </c>
      <c r="AX467" s="4" t="s">
        <v>97</v>
      </c>
      <c r="AY467" s="4" t="s">
        <v>97</v>
      </c>
      <c r="AZ467" s="4" t="s">
        <v>103</v>
      </c>
      <c r="BA467" s="4" t="s">
        <v>97</v>
      </c>
      <c r="BB467" s="5">
        <v>46029</v>
      </c>
      <c r="BC467" s="5">
        <v>46029</v>
      </c>
      <c r="BD467" s="5">
        <v>46030</v>
      </c>
      <c r="BE467" s="5">
        <v>46030</v>
      </c>
      <c r="BF467" s="4" t="s">
        <v>98</v>
      </c>
      <c r="BG467" s="4" t="s">
        <v>97</v>
      </c>
      <c r="BH467" s="4" t="s">
        <v>97</v>
      </c>
      <c r="BI467" s="4" t="s">
        <v>834</v>
      </c>
    </row>
    <row r="468" spans="1:61" x14ac:dyDescent="0.35">
      <c r="A468" s="4" t="s">
        <v>1216</v>
      </c>
      <c r="B468" s="8" t="str">
        <f t="shared" si="36"/>
        <v>2026</v>
      </c>
      <c r="C468" s="2" t="s">
        <v>33</v>
      </c>
      <c r="D468" s="6" t="str">
        <f t="shared" si="37"/>
        <v>Thies</v>
      </c>
      <c r="E468" s="6">
        <f t="shared" si="38"/>
        <v>102475</v>
      </c>
      <c r="F468" s="6">
        <f t="shared" si="39"/>
        <v>2280463</v>
      </c>
      <c r="G468" s="4" t="s">
        <v>1229</v>
      </c>
      <c r="H468" s="4" t="s">
        <v>1230</v>
      </c>
      <c r="I468" s="4">
        <v>14</v>
      </c>
      <c r="J468" s="4" t="s">
        <v>114</v>
      </c>
      <c r="K468" s="4"/>
      <c r="L468" s="4"/>
      <c r="M468" s="4"/>
      <c r="N468" s="4"/>
      <c r="O468" s="4" t="s">
        <v>238</v>
      </c>
      <c r="P468" s="4" t="s">
        <v>97</v>
      </c>
      <c r="Q468" s="4" t="s">
        <v>97</v>
      </c>
      <c r="R468" s="14" t="s">
        <v>100</v>
      </c>
      <c r="S468" s="14" t="s">
        <v>100</v>
      </c>
      <c r="T468" s="14" t="s">
        <v>100</v>
      </c>
      <c r="U468" s="14"/>
      <c r="V468" s="14"/>
      <c r="W468" s="14"/>
      <c r="X468" s="14"/>
      <c r="Y468" s="5">
        <v>46011</v>
      </c>
      <c r="Z468" s="5">
        <v>46035</v>
      </c>
      <c r="AA468" s="4" t="s">
        <v>97</v>
      </c>
      <c r="AB468" s="4"/>
      <c r="AC468" s="4" t="s">
        <v>97</v>
      </c>
      <c r="AD468" s="4" t="s">
        <v>97</v>
      </c>
      <c r="AE468" s="4" t="s">
        <v>97</v>
      </c>
      <c r="AF468" s="4" t="s">
        <v>97</v>
      </c>
      <c r="AG468" s="4" t="s">
        <v>97</v>
      </c>
      <c r="AH468" s="4" t="s">
        <v>103</v>
      </c>
      <c r="AI468" s="5">
        <v>46035</v>
      </c>
      <c r="AJ468" s="4" t="s">
        <v>103</v>
      </c>
      <c r="AK468" s="4" t="s">
        <v>103</v>
      </c>
      <c r="AL468" s="4" t="s">
        <v>97</v>
      </c>
      <c r="AM468" s="4" t="s">
        <v>97</v>
      </c>
      <c r="AN468" s="4" t="s">
        <v>97</v>
      </c>
      <c r="AO468" s="4" t="s">
        <v>97</v>
      </c>
      <c r="AP468" s="4" t="s">
        <v>103</v>
      </c>
      <c r="AQ468" s="4" t="s">
        <v>97</v>
      </c>
      <c r="AR468" s="4" t="s">
        <v>97</v>
      </c>
      <c r="AS468" s="4" t="s">
        <v>97</v>
      </c>
      <c r="AT468" s="4"/>
      <c r="AU468" s="4"/>
      <c r="AV468" s="4" t="s">
        <v>103</v>
      </c>
      <c r="AW468" s="4" t="s">
        <v>103</v>
      </c>
      <c r="AX468" s="4" t="s">
        <v>97</v>
      </c>
      <c r="AY468" s="4" t="s">
        <v>97</v>
      </c>
      <c r="AZ468" s="4" t="s">
        <v>103</v>
      </c>
      <c r="BA468" s="4" t="s">
        <v>97</v>
      </c>
      <c r="BB468" s="5">
        <v>46035</v>
      </c>
      <c r="BC468" s="5">
        <v>46036</v>
      </c>
      <c r="BD468" s="5">
        <v>46036</v>
      </c>
      <c r="BE468" s="5">
        <v>46036</v>
      </c>
      <c r="BF468" s="4" t="s">
        <v>98</v>
      </c>
      <c r="BG468" s="4" t="s">
        <v>97</v>
      </c>
      <c r="BH468" s="4" t="s">
        <v>97</v>
      </c>
      <c r="BI468" s="4" t="s">
        <v>834</v>
      </c>
    </row>
    <row r="469" spans="1:61" x14ac:dyDescent="0.35">
      <c r="A469" s="4" t="s">
        <v>1216</v>
      </c>
      <c r="B469" s="8" t="str">
        <f t="shared" si="36"/>
        <v>2026</v>
      </c>
      <c r="C469" s="2" t="s">
        <v>33</v>
      </c>
      <c r="D469" s="6" t="str">
        <f t="shared" si="37"/>
        <v>Thies</v>
      </c>
      <c r="E469" s="6">
        <f t="shared" si="38"/>
        <v>102475</v>
      </c>
      <c r="F469" s="6">
        <f t="shared" si="39"/>
        <v>2280463</v>
      </c>
      <c r="G469" s="4" t="s">
        <v>1231</v>
      </c>
      <c r="H469" s="4" t="s">
        <v>1232</v>
      </c>
      <c r="I469" s="4">
        <v>15</v>
      </c>
      <c r="J469" s="4" t="s">
        <v>114</v>
      </c>
      <c r="K469" s="4"/>
      <c r="L469" s="4"/>
      <c r="M469" s="4"/>
      <c r="N469" s="4"/>
      <c r="O469" s="4" t="s">
        <v>238</v>
      </c>
      <c r="P469" s="4" t="s">
        <v>97</v>
      </c>
      <c r="Q469" s="4" t="s">
        <v>97</v>
      </c>
      <c r="R469" s="14" t="s">
        <v>100</v>
      </c>
      <c r="S469" s="14" t="s">
        <v>100</v>
      </c>
      <c r="T469" s="14" t="s">
        <v>100</v>
      </c>
      <c r="U469" s="14"/>
      <c r="V469" s="14"/>
      <c r="W469" s="14"/>
      <c r="X469" s="14"/>
      <c r="Y469" s="5">
        <v>46035</v>
      </c>
      <c r="Z469" s="5">
        <v>46035</v>
      </c>
      <c r="AA469" s="4" t="s">
        <v>97</v>
      </c>
      <c r="AB469" s="4"/>
      <c r="AC469" s="4" t="s">
        <v>97</v>
      </c>
      <c r="AD469" s="4" t="s">
        <v>97</v>
      </c>
      <c r="AE469" s="4" t="s">
        <v>97</v>
      </c>
      <c r="AF469" s="4" t="s">
        <v>97</v>
      </c>
      <c r="AG469" s="4" t="s">
        <v>97</v>
      </c>
      <c r="AH469" s="4" t="s">
        <v>103</v>
      </c>
      <c r="AI469" s="5">
        <v>46003</v>
      </c>
      <c r="AJ469" s="4" t="s">
        <v>103</v>
      </c>
      <c r="AK469" s="4" t="s">
        <v>103</v>
      </c>
      <c r="AL469" s="4" t="s">
        <v>97</v>
      </c>
      <c r="AM469" s="4" t="s">
        <v>97</v>
      </c>
      <c r="AN469" s="4" t="s">
        <v>103</v>
      </c>
      <c r="AO469" s="4" t="s">
        <v>97</v>
      </c>
      <c r="AP469" s="4" t="s">
        <v>97</v>
      </c>
      <c r="AQ469" s="4" t="s">
        <v>97</v>
      </c>
      <c r="AR469" s="4" t="s">
        <v>97</v>
      </c>
      <c r="AS469" s="4" t="s">
        <v>97</v>
      </c>
      <c r="AT469" s="4"/>
      <c r="AU469" s="4"/>
      <c r="AV469" s="4" t="s">
        <v>103</v>
      </c>
      <c r="AW469" s="4" t="s">
        <v>97</v>
      </c>
      <c r="AX469" s="4" t="s">
        <v>97</v>
      </c>
      <c r="AY469" s="4" t="s">
        <v>97</v>
      </c>
      <c r="AZ469" s="4" t="s">
        <v>103</v>
      </c>
      <c r="BA469" s="4" t="s">
        <v>97</v>
      </c>
      <c r="BB469" s="5">
        <v>46035</v>
      </c>
      <c r="BC469" s="5">
        <v>46036</v>
      </c>
      <c r="BD469" s="5">
        <v>46036</v>
      </c>
      <c r="BE469" s="5">
        <v>46036</v>
      </c>
      <c r="BF469" s="4" t="s">
        <v>98</v>
      </c>
      <c r="BG469" s="4" t="s">
        <v>97</v>
      </c>
      <c r="BH469" s="4" t="s">
        <v>97</v>
      </c>
      <c r="BI469" s="4" t="s">
        <v>834</v>
      </c>
    </row>
    <row r="470" spans="1:61" x14ac:dyDescent="0.35">
      <c r="A470" s="4" t="s">
        <v>1233</v>
      </c>
      <c r="B470" s="8" t="str">
        <f t="shared" si="36"/>
        <v>2026</v>
      </c>
      <c r="C470" s="2" t="s">
        <v>76</v>
      </c>
      <c r="D470" s="6" t="str">
        <f t="shared" si="37"/>
        <v>Kolda</v>
      </c>
      <c r="E470" s="6">
        <f t="shared" si="38"/>
        <v>367976</v>
      </c>
      <c r="F470" s="6">
        <f t="shared" si="39"/>
        <v>875661</v>
      </c>
      <c r="G470" s="4" t="s">
        <v>1234</v>
      </c>
      <c r="H470" s="4" t="s">
        <v>1235</v>
      </c>
      <c r="I470" s="4">
        <v>15</v>
      </c>
      <c r="J470" s="4" t="s">
        <v>114</v>
      </c>
      <c r="K470" s="4"/>
      <c r="L470" s="4"/>
      <c r="M470" s="4"/>
      <c r="N470" s="4"/>
      <c r="O470" s="4" t="s">
        <v>238</v>
      </c>
      <c r="P470" s="4" t="s">
        <v>97</v>
      </c>
      <c r="Q470" s="4" t="s">
        <v>97</v>
      </c>
      <c r="R470" s="14" t="s">
        <v>100</v>
      </c>
      <c r="S470" s="14" t="s">
        <v>100</v>
      </c>
      <c r="T470" s="14" t="s">
        <v>100</v>
      </c>
      <c r="U470" s="14"/>
      <c r="V470" s="14"/>
      <c r="W470" s="14"/>
      <c r="X470" s="14"/>
      <c r="Y470" s="5">
        <v>46040</v>
      </c>
      <c r="Z470" s="5">
        <v>46042</v>
      </c>
      <c r="AA470" s="4" t="s">
        <v>97</v>
      </c>
      <c r="AB470" s="4"/>
      <c r="AC470" s="4" t="s">
        <v>97</v>
      </c>
      <c r="AD470" s="4" t="s">
        <v>97</v>
      </c>
      <c r="AE470" s="4" t="s">
        <v>97</v>
      </c>
      <c r="AF470" s="4" t="s">
        <v>103</v>
      </c>
      <c r="AG470" s="4" t="s">
        <v>97</v>
      </c>
      <c r="AH470" s="4" t="s">
        <v>103</v>
      </c>
      <c r="AI470" s="5">
        <v>46040</v>
      </c>
      <c r="AJ470" s="4" t="s">
        <v>97</v>
      </c>
      <c r="AK470" s="4" t="s">
        <v>103</v>
      </c>
      <c r="AL470" s="4" t="s">
        <v>97</v>
      </c>
      <c r="AM470" s="4" t="s">
        <v>103</v>
      </c>
      <c r="AN470" s="4" t="s">
        <v>103</v>
      </c>
      <c r="AO470" s="4" t="s">
        <v>103</v>
      </c>
      <c r="AP470" s="4" t="s">
        <v>103</v>
      </c>
      <c r="AQ470" s="4" t="s">
        <v>97</v>
      </c>
      <c r="AR470" s="4" t="s">
        <v>97</v>
      </c>
      <c r="AS470" s="4" t="s">
        <v>103</v>
      </c>
      <c r="AT470" s="4"/>
      <c r="AU470" s="4"/>
      <c r="AV470" s="4" t="s">
        <v>103</v>
      </c>
      <c r="AW470" s="4" t="s">
        <v>103</v>
      </c>
      <c r="AX470" s="4" t="s">
        <v>97</v>
      </c>
      <c r="AY470" s="4" t="s">
        <v>97</v>
      </c>
      <c r="AZ470" s="4" t="s">
        <v>103</v>
      </c>
      <c r="BA470" s="4" t="s">
        <v>97</v>
      </c>
      <c r="BB470" s="5">
        <v>46041</v>
      </c>
      <c r="BC470" s="5">
        <v>46041</v>
      </c>
      <c r="BD470" s="5">
        <v>46044</v>
      </c>
      <c r="BE470" s="5">
        <v>46044</v>
      </c>
      <c r="BF470" s="4" t="s">
        <v>98</v>
      </c>
      <c r="BG470" s="4" t="s">
        <v>97</v>
      </c>
      <c r="BH470" s="4" t="s">
        <v>103</v>
      </c>
      <c r="BI470" s="4" t="s">
        <v>834</v>
      </c>
    </row>
    <row r="471" spans="1:61" x14ac:dyDescent="0.35">
      <c r="A471" s="4" t="s">
        <v>1233</v>
      </c>
      <c r="B471" s="8" t="str">
        <f t="shared" si="36"/>
        <v>2026</v>
      </c>
      <c r="C471" s="2" t="s">
        <v>64</v>
      </c>
      <c r="D471" s="6" t="str">
        <f t="shared" si="37"/>
        <v>Dakar</v>
      </c>
      <c r="E471" s="6">
        <f t="shared" si="38"/>
        <v>284840</v>
      </c>
      <c r="F471" s="6">
        <f t="shared" si="39"/>
        <v>4042240</v>
      </c>
      <c r="G471" s="4" t="s">
        <v>1236</v>
      </c>
      <c r="H471" s="4" t="s">
        <v>1237</v>
      </c>
      <c r="I471" s="4">
        <v>34</v>
      </c>
      <c r="J471" s="4" t="s">
        <v>114</v>
      </c>
      <c r="K471" s="4"/>
      <c r="L471" s="4"/>
      <c r="M471" s="4"/>
      <c r="N471" s="4"/>
      <c r="O471" s="4" t="s">
        <v>238</v>
      </c>
      <c r="P471" s="4" t="s">
        <v>97</v>
      </c>
      <c r="Q471" s="4" t="s">
        <v>97</v>
      </c>
      <c r="R471" s="14" t="s">
        <v>100</v>
      </c>
      <c r="S471" s="14" t="s">
        <v>100</v>
      </c>
      <c r="T471" s="14" t="s">
        <v>100</v>
      </c>
      <c r="U471" s="14"/>
      <c r="V471" s="14"/>
      <c r="W471" s="14"/>
      <c r="X471" s="14"/>
      <c r="Y471" s="5">
        <v>46038</v>
      </c>
      <c r="Z471" s="5">
        <v>46041</v>
      </c>
      <c r="AA471" s="4" t="s">
        <v>103</v>
      </c>
      <c r="AB471" s="4" t="s">
        <v>488</v>
      </c>
      <c r="AC471" s="4" t="s">
        <v>97</v>
      </c>
      <c r="AD471" s="4" t="s">
        <v>103</v>
      </c>
      <c r="AE471" s="4" t="s">
        <v>97</v>
      </c>
      <c r="AF471" s="4" t="s">
        <v>97</v>
      </c>
      <c r="AG471" s="4" t="s">
        <v>97</v>
      </c>
      <c r="AH471" s="4" t="s">
        <v>103</v>
      </c>
      <c r="AI471" s="5">
        <v>46038</v>
      </c>
      <c r="AJ471" s="4" t="s">
        <v>97</v>
      </c>
      <c r="AK471" s="4" t="s">
        <v>97</v>
      </c>
      <c r="AL471" s="4" t="s">
        <v>97</v>
      </c>
      <c r="AM471" s="4" t="s">
        <v>103</v>
      </c>
      <c r="AN471" s="4" t="s">
        <v>103</v>
      </c>
      <c r="AO471" s="4" t="s">
        <v>97</v>
      </c>
      <c r="AP471" s="4" t="s">
        <v>97</v>
      </c>
      <c r="AQ471" s="4" t="s">
        <v>97</v>
      </c>
      <c r="AR471" s="4" t="s">
        <v>97</v>
      </c>
      <c r="AS471" s="4" t="s">
        <v>97</v>
      </c>
      <c r="AT471" s="4"/>
      <c r="AU471" s="4"/>
      <c r="AV471" s="4" t="s">
        <v>97</v>
      </c>
      <c r="AW471" s="4" t="s">
        <v>97</v>
      </c>
      <c r="AX471" s="4" t="s">
        <v>97</v>
      </c>
      <c r="AY471" s="4" t="s">
        <v>97</v>
      </c>
      <c r="AZ471" s="4" t="s">
        <v>103</v>
      </c>
      <c r="BA471" s="4" t="s">
        <v>103</v>
      </c>
      <c r="BB471" s="5">
        <v>46041</v>
      </c>
      <c r="BC471" s="5">
        <v>46041</v>
      </c>
      <c r="BD471" s="5">
        <v>46044</v>
      </c>
      <c r="BE471" s="5">
        <v>46044</v>
      </c>
      <c r="BF471" s="4" t="s">
        <v>98</v>
      </c>
      <c r="BG471" s="4" t="s">
        <v>97</v>
      </c>
      <c r="BH471" s="4" t="s">
        <v>103</v>
      </c>
      <c r="BI471" s="4" t="s">
        <v>834</v>
      </c>
    </row>
    <row r="472" spans="1:61" x14ac:dyDescent="0.35">
      <c r="A472" s="4" t="s">
        <v>1233</v>
      </c>
      <c r="B472" s="8" t="str">
        <f t="shared" si="36"/>
        <v>2026</v>
      </c>
      <c r="C472" s="2" t="s">
        <v>36</v>
      </c>
      <c r="D472" s="6" t="str">
        <f t="shared" si="37"/>
        <v>Kedougou</v>
      </c>
      <c r="E472" s="6">
        <f t="shared" si="38"/>
        <v>105689</v>
      </c>
      <c r="F472" s="6">
        <f t="shared" si="39"/>
        <v>203720</v>
      </c>
      <c r="G472" s="4" t="s">
        <v>1238</v>
      </c>
      <c r="H472" s="4" t="s">
        <v>1239</v>
      </c>
      <c r="I472" s="4">
        <v>19</v>
      </c>
      <c r="J472" s="4" t="s">
        <v>114</v>
      </c>
      <c r="K472" s="4"/>
      <c r="L472" s="4"/>
      <c r="M472" s="4"/>
      <c r="N472" s="4"/>
      <c r="O472" s="4" t="s">
        <v>238</v>
      </c>
      <c r="P472" s="4" t="s">
        <v>97</v>
      </c>
      <c r="Q472" s="4" t="s">
        <v>97</v>
      </c>
      <c r="R472" s="14" t="s">
        <v>100</v>
      </c>
      <c r="S472" s="14" t="s">
        <v>100</v>
      </c>
      <c r="T472" s="14" t="s">
        <v>100</v>
      </c>
      <c r="U472" s="14"/>
      <c r="V472" s="14"/>
      <c r="W472" s="14"/>
      <c r="X472" s="14"/>
      <c r="Y472" s="5">
        <v>46032</v>
      </c>
      <c r="Z472" s="5">
        <v>46035</v>
      </c>
      <c r="AA472" s="4" t="s">
        <v>103</v>
      </c>
      <c r="AB472" s="25">
        <v>38</v>
      </c>
      <c r="AC472" s="4" t="s">
        <v>103</v>
      </c>
      <c r="AD472" s="4" t="s">
        <v>97</v>
      </c>
      <c r="AE472" s="4" t="s">
        <v>97</v>
      </c>
      <c r="AF472" s="4" t="s">
        <v>97</v>
      </c>
      <c r="AG472" s="4" t="s">
        <v>97</v>
      </c>
      <c r="AH472" s="4" t="s">
        <v>103</v>
      </c>
      <c r="AI472" s="5">
        <v>46035</v>
      </c>
      <c r="AJ472" s="4" t="s">
        <v>97</v>
      </c>
      <c r="AK472" s="4" t="s">
        <v>97</v>
      </c>
      <c r="AL472" s="4" t="s">
        <v>97</v>
      </c>
      <c r="AM472" s="4" t="s">
        <v>97</v>
      </c>
      <c r="AN472" s="4" t="s">
        <v>97</v>
      </c>
      <c r="AO472" s="4" t="s">
        <v>97</v>
      </c>
      <c r="AP472" s="4" t="s">
        <v>97</v>
      </c>
      <c r="AQ472" s="4" t="s">
        <v>97</v>
      </c>
      <c r="AR472" s="4" t="s">
        <v>97</v>
      </c>
      <c r="AS472" s="4" t="s">
        <v>97</v>
      </c>
      <c r="AT472" s="4"/>
      <c r="AU472" s="4"/>
      <c r="AV472" s="4" t="s">
        <v>103</v>
      </c>
      <c r="AW472" s="4" t="s">
        <v>97</v>
      </c>
      <c r="AX472" s="4" t="s">
        <v>97</v>
      </c>
      <c r="AY472" s="4" t="s">
        <v>97</v>
      </c>
      <c r="AZ472" s="4" t="s">
        <v>103</v>
      </c>
      <c r="BA472" s="4" t="s">
        <v>97</v>
      </c>
      <c r="BB472" s="5">
        <v>46035</v>
      </c>
      <c r="BC472" s="5">
        <v>46041</v>
      </c>
      <c r="BD472" s="5">
        <v>46044</v>
      </c>
      <c r="BE472" s="5">
        <v>46044</v>
      </c>
      <c r="BF472" s="4" t="s">
        <v>98</v>
      </c>
      <c r="BG472" s="4" t="s">
        <v>97</v>
      </c>
      <c r="BH472" s="4" t="s">
        <v>103</v>
      </c>
      <c r="BI472" s="4" t="s">
        <v>834</v>
      </c>
    </row>
    <row r="473" spans="1:61" x14ac:dyDescent="0.35">
      <c r="A473" s="4" t="s">
        <v>1233</v>
      </c>
      <c r="B473" s="8" t="str">
        <f t="shared" si="36"/>
        <v>2026</v>
      </c>
      <c r="C473" s="2" t="s">
        <v>75</v>
      </c>
      <c r="D473" s="6" t="str">
        <f t="shared" si="37"/>
        <v>Diourbel</v>
      </c>
      <c r="E473" s="6">
        <f t="shared" si="38"/>
        <v>996481</v>
      </c>
      <c r="F473" s="6">
        <f t="shared" si="39"/>
        <v>1980827</v>
      </c>
      <c r="G473" s="4" t="s">
        <v>1240</v>
      </c>
      <c r="H473" s="4" t="s">
        <v>1241</v>
      </c>
      <c r="I473" s="4">
        <v>23</v>
      </c>
      <c r="J473" s="4" t="s">
        <v>114</v>
      </c>
      <c r="K473" s="4"/>
      <c r="L473" s="4"/>
      <c r="M473" s="4"/>
      <c r="N473" s="4"/>
      <c r="O473" s="4" t="s">
        <v>238</v>
      </c>
      <c r="P473" s="4" t="s">
        <v>97</v>
      </c>
      <c r="Q473" s="4" t="s">
        <v>97</v>
      </c>
      <c r="R473" s="14" t="s">
        <v>100</v>
      </c>
      <c r="S473" s="14" t="s">
        <v>100</v>
      </c>
      <c r="T473" s="14" t="s">
        <v>100</v>
      </c>
      <c r="U473" s="14"/>
      <c r="V473" s="14"/>
      <c r="W473" s="14"/>
      <c r="X473" s="14"/>
      <c r="Y473" s="5">
        <v>46042</v>
      </c>
      <c r="Z473" s="5">
        <v>46043</v>
      </c>
      <c r="AA473" s="4" t="s">
        <v>103</v>
      </c>
      <c r="AB473" s="4" t="s">
        <v>550</v>
      </c>
      <c r="AC473" s="4" t="s">
        <v>103</v>
      </c>
      <c r="AD473" s="4" t="s">
        <v>97</v>
      </c>
      <c r="AE473" s="4" t="s">
        <v>97</v>
      </c>
      <c r="AF473" s="4" t="s">
        <v>97</v>
      </c>
      <c r="AG473" s="4" t="s">
        <v>97</v>
      </c>
      <c r="AH473" s="4" t="s">
        <v>103</v>
      </c>
      <c r="AI473" s="5">
        <v>46042</v>
      </c>
      <c r="AJ473" s="4" t="s">
        <v>97</v>
      </c>
      <c r="AK473" s="4" t="s">
        <v>97</v>
      </c>
      <c r="AL473" s="4" t="s">
        <v>97</v>
      </c>
      <c r="AM473" s="4" t="s">
        <v>103</v>
      </c>
      <c r="AN473" s="4" t="s">
        <v>103</v>
      </c>
      <c r="AO473" s="4" t="s">
        <v>103</v>
      </c>
      <c r="AP473" s="4" t="s">
        <v>103</v>
      </c>
      <c r="AQ473" s="4" t="s">
        <v>103</v>
      </c>
      <c r="AR473" s="4" t="s">
        <v>103</v>
      </c>
      <c r="AS473" s="4" t="s">
        <v>103</v>
      </c>
      <c r="AT473" s="4"/>
      <c r="AU473" s="4"/>
      <c r="AV473" s="4" t="s">
        <v>103</v>
      </c>
      <c r="AW473" s="4" t="s">
        <v>97</v>
      </c>
      <c r="AX473" s="4" t="s">
        <v>97</v>
      </c>
      <c r="AY473" s="4" t="s">
        <v>97</v>
      </c>
      <c r="AZ473" s="4" t="s">
        <v>103</v>
      </c>
      <c r="BA473" s="4" t="s">
        <v>97</v>
      </c>
      <c r="BB473" s="5">
        <v>46043</v>
      </c>
      <c r="BC473" s="5">
        <v>46044</v>
      </c>
      <c r="BD473" s="5">
        <v>46045</v>
      </c>
      <c r="BE473" s="5">
        <v>46045</v>
      </c>
      <c r="BF473" s="4" t="s">
        <v>98</v>
      </c>
      <c r="BG473" s="4" t="s">
        <v>97</v>
      </c>
      <c r="BH473" s="4" t="s">
        <v>97</v>
      </c>
      <c r="BI473" s="4" t="s">
        <v>834</v>
      </c>
    </row>
    <row r="474" spans="1:61" x14ac:dyDescent="0.35">
      <c r="A474" s="4" t="s">
        <v>1233</v>
      </c>
      <c r="B474" s="8" t="str">
        <f t="shared" si="36"/>
        <v>2026</v>
      </c>
      <c r="C474" s="2" t="s">
        <v>75</v>
      </c>
      <c r="D474" s="6" t="str">
        <f t="shared" si="37"/>
        <v>Diourbel</v>
      </c>
      <c r="E474" s="6">
        <f t="shared" si="38"/>
        <v>996481</v>
      </c>
      <c r="F474" s="6">
        <f t="shared" si="39"/>
        <v>1980827</v>
      </c>
      <c r="G474" s="4" t="s">
        <v>1242</v>
      </c>
      <c r="H474" s="4" t="s">
        <v>1243</v>
      </c>
      <c r="I474" s="4">
        <v>16</v>
      </c>
      <c r="J474" s="4" t="s">
        <v>96</v>
      </c>
      <c r="K474" s="4" t="s">
        <v>1244</v>
      </c>
      <c r="L474" s="5">
        <v>46035</v>
      </c>
      <c r="M474" s="4"/>
      <c r="N474" s="4"/>
      <c r="O474" s="4" t="s">
        <v>238</v>
      </c>
      <c r="P474" s="4" t="s">
        <v>97</v>
      </c>
      <c r="Q474" s="4" t="s">
        <v>97</v>
      </c>
      <c r="R474" s="14" t="s">
        <v>100</v>
      </c>
      <c r="S474" s="14" t="s">
        <v>100</v>
      </c>
      <c r="T474" s="14" t="s">
        <v>100</v>
      </c>
      <c r="U474" s="14"/>
      <c r="V474" s="14"/>
      <c r="W474" s="14"/>
      <c r="X474" s="14"/>
      <c r="Y474" s="5">
        <v>46035</v>
      </c>
      <c r="Z474" s="5">
        <v>46041</v>
      </c>
      <c r="AA474" s="4" t="s">
        <v>97</v>
      </c>
      <c r="AB474" s="4"/>
      <c r="AC474" s="4" t="s">
        <v>103</v>
      </c>
      <c r="AD474" s="4" t="s">
        <v>97</v>
      </c>
      <c r="AE474" s="4" t="s">
        <v>97</v>
      </c>
      <c r="AF474" s="4" t="s">
        <v>103</v>
      </c>
      <c r="AG474" s="4" t="s">
        <v>103</v>
      </c>
      <c r="AH474" s="4" t="s">
        <v>103</v>
      </c>
      <c r="AI474" s="5">
        <v>46035</v>
      </c>
      <c r="AJ474" s="4" t="s">
        <v>97</v>
      </c>
      <c r="AK474" s="4" t="s">
        <v>103</v>
      </c>
      <c r="AL474" s="4" t="s">
        <v>97</v>
      </c>
      <c r="AM474" s="4" t="s">
        <v>103</v>
      </c>
      <c r="AN474" s="4" t="s">
        <v>103</v>
      </c>
      <c r="AO474" s="4" t="s">
        <v>97</v>
      </c>
      <c r="AP474" s="4" t="s">
        <v>103</v>
      </c>
      <c r="AQ474" s="4" t="s">
        <v>103</v>
      </c>
      <c r="AR474" s="4" t="s">
        <v>97</v>
      </c>
      <c r="AS474" s="4" t="s">
        <v>97</v>
      </c>
      <c r="AT474" s="4"/>
      <c r="AU474" s="4"/>
      <c r="AV474" s="4" t="s">
        <v>103</v>
      </c>
      <c r="AW474" s="4" t="s">
        <v>97</v>
      </c>
      <c r="AX474" s="4" t="s">
        <v>97</v>
      </c>
      <c r="AY474" s="4" t="s">
        <v>97</v>
      </c>
      <c r="AZ474" s="4" t="s">
        <v>103</v>
      </c>
      <c r="BA474" s="4" t="s">
        <v>97</v>
      </c>
      <c r="BB474" s="5">
        <v>46043</v>
      </c>
      <c r="BC474" s="5">
        <v>46044</v>
      </c>
      <c r="BD474" s="5">
        <v>46045</v>
      </c>
      <c r="BE474" s="5">
        <v>46045</v>
      </c>
      <c r="BF474" s="4" t="s">
        <v>98</v>
      </c>
      <c r="BG474" s="4" t="s">
        <v>103</v>
      </c>
      <c r="BH474" s="4" t="s">
        <v>103</v>
      </c>
      <c r="BI474" s="4" t="s">
        <v>834</v>
      </c>
    </row>
    <row r="475" spans="1:61" x14ac:dyDescent="0.35">
      <c r="A475" s="4" t="s">
        <v>1245</v>
      </c>
      <c r="B475" s="8" t="str">
        <f t="shared" si="36"/>
        <v>2026</v>
      </c>
      <c r="C475" s="2" t="s">
        <v>2</v>
      </c>
      <c r="D475" s="6" t="str">
        <f t="shared" si="37"/>
        <v>Fatick</v>
      </c>
      <c r="E475" s="6">
        <f t="shared" si="38"/>
        <v>151740</v>
      </c>
      <c r="F475" s="6">
        <f t="shared" si="39"/>
        <v>965914</v>
      </c>
      <c r="G475" s="4" t="s">
        <v>1246</v>
      </c>
      <c r="H475" s="4" t="s">
        <v>1247</v>
      </c>
      <c r="I475" s="4">
        <v>9</v>
      </c>
      <c r="J475" s="4" t="s">
        <v>114</v>
      </c>
      <c r="K475" s="4"/>
      <c r="L475" s="4"/>
      <c r="M475" s="4"/>
      <c r="N475" s="4"/>
      <c r="O475" s="4" t="s">
        <v>238</v>
      </c>
      <c r="P475" s="4" t="s">
        <v>97</v>
      </c>
      <c r="Q475" s="4" t="s">
        <v>97</v>
      </c>
      <c r="R475" s="14" t="s">
        <v>100</v>
      </c>
      <c r="S475" s="14" t="s">
        <v>100</v>
      </c>
      <c r="T475" s="14" t="s">
        <v>100</v>
      </c>
      <c r="U475" s="14"/>
      <c r="V475" s="14"/>
      <c r="W475" s="14"/>
      <c r="X475" s="14"/>
      <c r="Y475" s="5">
        <v>46034</v>
      </c>
      <c r="Z475" s="5">
        <v>46037</v>
      </c>
      <c r="AA475" s="4" t="s">
        <v>97</v>
      </c>
      <c r="AB475" s="4"/>
      <c r="AC475" s="4" t="s">
        <v>103</v>
      </c>
      <c r="AD475" s="4" t="s">
        <v>97</v>
      </c>
      <c r="AE475" s="4" t="s">
        <v>97</v>
      </c>
      <c r="AF475" s="4" t="s">
        <v>97</v>
      </c>
      <c r="AG475" s="4" t="s">
        <v>97</v>
      </c>
      <c r="AH475" s="4" t="s">
        <v>103</v>
      </c>
      <c r="AI475" s="5">
        <v>46035</v>
      </c>
      <c r="AJ475" s="4" t="s">
        <v>103</v>
      </c>
      <c r="AK475" s="4" t="s">
        <v>103</v>
      </c>
      <c r="AL475" s="4" t="s">
        <v>97</v>
      </c>
      <c r="AM475" s="4" t="s">
        <v>103</v>
      </c>
      <c r="AN475" s="4" t="s">
        <v>103</v>
      </c>
      <c r="AO475" s="4" t="s">
        <v>97</v>
      </c>
      <c r="AP475" s="4" t="s">
        <v>97</v>
      </c>
      <c r="AQ475" s="4" t="s">
        <v>97</v>
      </c>
      <c r="AR475" s="4" t="s">
        <v>97</v>
      </c>
      <c r="AS475" s="4" t="s">
        <v>97</v>
      </c>
      <c r="AT475" s="4"/>
      <c r="AU475" s="4"/>
      <c r="AV475" s="4" t="s">
        <v>103</v>
      </c>
      <c r="AW475" s="4" t="s">
        <v>97</v>
      </c>
      <c r="AX475" s="4" t="s">
        <v>97</v>
      </c>
      <c r="AY475" s="4" t="s">
        <v>97</v>
      </c>
      <c r="AZ475" s="4" t="s">
        <v>103</v>
      </c>
      <c r="BA475" s="4" t="s">
        <v>97</v>
      </c>
      <c r="BB475" s="5">
        <v>46037</v>
      </c>
      <c r="BC475" s="5">
        <v>46047</v>
      </c>
      <c r="BD475" s="5">
        <v>46048</v>
      </c>
      <c r="BE475" s="5">
        <v>46048</v>
      </c>
      <c r="BF475" s="4" t="s">
        <v>98</v>
      </c>
      <c r="BG475" s="4" t="s">
        <v>97</v>
      </c>
      <c r="BH475" s="4" t="s">
        <v>97</v>
      </c>
      <c r="BI475" s="4" t="s">
        <v>834</v>
      </c>
    </row>
  </sheetData>
  <autoFilter ref="A1:BI475" xr:uid="{216DFE70-8260-4953-9AD8-A618F6D92E9A}"/>
  <dataValidations count="2">
    <dataValidation type="list" allowBlank="1" showInputMessage="1" showErrorMessage="1" sqref="C2:C475" xr:uid="{B0AA682A-A996-4146-8B3F-1BAE8862E1A6}">
      <formula1>Liste_district</formula1>
    </dataValidation>
    <dataValidation type="list" allowBlank="1" showInputMessage="1" showErrorMessage="1" sqref="AV2:BA20 BG2:BH20 AJ2:AS20 AC2:AH20 AA2:AA20 AA27:AA299 BG27:BH299 Q303:Q321 P2:Q302 AJ27:AS299 AC27:AG299 AV27:BA302 AH27:AH320 AZ303:AZ321" xr:uid="{187D77FD-84BA-4627-B07D-F41F0EE2A3F5}">
      <formula1>"NON,OUI"</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8CAB-2503-4F5D-B09A-ED2CBE69E92A}">
  <dimension ref="A1:D80"/>
  <sheetViews>
    <sheetView topLeftCell="A53" workbookViewId="0">
      <selection activeCell="A65" sqref="A65"/>
    </sheetView>
  </sheetViews>
  <sheetFormatPr baseColWidth="10" defaultRowHeight="14.5" x14ac:dyDescent="0.35"/>
  <cols>
    <col min="1" max="1" width="21.1796875" customWidth="1"/>
    <col min="2" max="2" width="16.7265625" customWidth="1"/>
    <col min="3" max="3" width="18.1796875" customWidth="1"/>
    <col min="4" max="4" width="16.1796875" bestFit="1" customWidth="1"/>
  </cols>
  <sheetData>
    <row r="1" spans="1:4" x14ac:dyDescent="0.35">
      <c r="A1" s="1" t="s">
        <v>80</v>
      </c>
      <c r="B1" s="1" t="s">
        <v>81</v>
      </c>
      <c r="C1" s="1" t="s">
        <v>85</v>
      </c>
      <c r="D1" s="1" t="s">
        <v>82</v>
      </c>
    </row>
    <row r="2" spans="1:4" x14ac:dyDescent="0.35">
      <c r="A2" t="s">
        <v>18</v>
      </c>
      <c r="B2" t="s">
        <v>79</v>
      </c>
      <c r="C2">
        <v>419489</v>
      </c>
      <c r="D2">
        <v>4042240</v>
      </c>
    </row>
    <row r="3" spans="1:4" x14ac:dyDescent="0.35">
      <c r="A3" t="s">
        <v>19</v>
      </c>
      <c r="B3" t="s">
        <v>79</v>
      </c>
      <c r="C3">
        <v>565040</v>
      </c>
      <c r="D3">
        <v>4042240</v>
      </c>
    </row>
    <row r="4" spans="1:4" x14ac:dyDescent="0.35">
      <c r="A4" t="s">
        <v>20</v>
      </c>
      <c r="B4" t="s">
        <v>79</v>
      </c>
      <c r="C4">
        <v>272276</v>
      </c>
      <c r="D4">
        <v>4042240</v>
      </c>
    </row>
    <row r="5" spans="1:4" x14ac:dyDescent="0.35">
      <c r="A5" t="s">
        <v>21</v>
      </c>
      <c r="B5" t="s">
        <v>79</v>
      </c>
      <c r="C5">
        <v>219872</v>
      </c>
      <c r="D5">
        <v>4042240</v>
      </c>
    </row>
    <row r="6" spans="1:4" x14ac:dyDescent="0.35">
      <c r="A6" t="s">
        <v>23</v>
      </c>
      <c r="B6" t="s">
        <v>79</v>
      </c>
      <c r="C6">
        <v>167577</v>
      </c>
      <c r="D6">
        <v>4042240</v>
      </c>
    </row>
    <row r="7" spans="1:4" x14ac:dyDescent="0.35">
      <c r="A7" t="s">
        <v>31</v>
      </c>
      <c r="B7" t="s">
        <v>79</v>
      </c>
      <c r="C7">
        <v>424760</v>
      </c>
      <c r="D7">
        <v>4042240</v>
      </c>
    </row>
    <row r="8" spans="1:4" x14ac:dyDescent="0.35">
      <c r="A8" t="s">
        <v>37</v>
      </c>
      <c r="B8" t="s">
        <v>79</v>
      </c>
      <c r="C8">
        <v>301226</v>
      </c>
      <c r="D8">
        <v>4042240</v>
      </c>
    </row>
    <row r="9" spans="1:4" x14ac:dyDescent="0.35">
      <c r="A9" t="s">
        <v>49</v>
      </c>
      <c r="B9" t="s">
        <v>79</v>
      </c>
      <c r="C9">
        <v>441950</v>
      </c>
      <c r="D9">
        <v>4042240</v>
      </c>
    </row>
    <row r="10" spans="1:4" x14ac:dyDescent="0.35">
      <c r="A10" t="s">
        <v>58</v>
      </c>
      <c r="B10" t="s">
        <v>79</v>
      </c>
      <c r="C10">
        <v>423495</v>
      </c>
      <c r="D10">
        <v>4042240</v>
      </c>
    </row>
    <row r="11" spans="1:4" x14ac:dyDescent="0.35">
      <c r="A11" t="s">
        <v>64</v>
      </c>
      <c r="B11" t="s">
        <v>79</v>
      </c>
      <c r="C11">
        <v>284840</v>
      </c>
      <c r="D11">
        <v>4042240</v>
      </c>
    </row>
    <row r="12" spans="1:4" x14ac:dyDescent="0.35">
      <c r="A12" t="s">
        <v>91</v>
      </c>
      <c r="B12" t="s">
        <v>79</v>
      </c>
      <c r="C12">
        <v>179835</v>
      </c>
      <c r="D12">
        <v>4042240</v>
      </c>
    </row>
    <row r="13" spans="1:4" x14ac:dyDescent="0.35">
      <c r="A13" t="s">
        <v>77</v>
      </c>
      <c r="B13" t="s">
        <v>79</v>
      </c>
      <c r="C13">
        <v>341880</v>
      </c>
      <c r="D13">
        <v>4042240</v>
      </c>
    </row>
    <row r="14" spans="1:4" x14ac:dyDescent="0.35">
      <c r="A14" t="s">
        <v>11</v>
      </c>
      <c r="B14" t="s">
        <v>26</v>
      </c>
      <c r="C14">
        <v>396146</v>
      </c>
      <c r="D14">
        <v>1980827</v>
      </c>
    </row>
    <row r="15" spans="1:4" x14ac:dyDescent="0.35">
      <c r="A15" t="s">
        <v>26</v>
      </c>
      <c r="B15" t="s">
        <v>26</v>
      </c>
      <c r="C15">
        <v>354792</v>
      </c>
      <c r="D15">
        <v>1980827</v>
      </c>
    </row>
    <row r="16" spans="1:4" x14ac:dyDescent="0.35">
      <c r="A16" t="s">
        <v>48</v>
      </c>
      <c r="B16" t="s">
        <v>26</v>
      </c>
      <c r="C16">
        <v>233408</v>
      </c>
      <c r="D16">
        <v>1980827</v>
      </c>
    </row>
    <row r="17" spans="1:4" x14ac:dyDescent="0.35">
      <c r="A17" t="s">
        <v>75</v>
      </c>
      <c r="B17" t="s">
        <v>26</v>
      </c>
      <c r="C17">
        <v>996481</v>
      </c>
      <c r="D17">
        <v>1980827</v>
      </c>
    </row>
    <row r="18" spans="1:4" x14ac:dyDescent="0.35">
      <c r="A18" t="s">
        <v>7</v>
      </c>
      <c r="B18" t="s">
        <v>2</v>
      </c>
      <c r="C18">
        <v>99139</v>
      </c>
      <c r="D18">
        <v>965914</v>
      </c>
    </row>
    <row r="19" spans="1:4" x14ac:dyDescent="0.35">
      <c r="A19" t="s">
        <v>8</v>
      </c>
      <c r="B19" t="s">
        <v>2</v>
      </c>
      <c r="C19">
        <v>102630</v>
      </c>
      <c r="D19">
        <v>965914</v>
      </c>
    </row>
    <row r="20" spans="1:4" x14ac:dyDescent="0.35">
      <c r="A20" t="s">
        <v>2</v>
      </c>
      <c r="B20" t="s">
        <v>2</v>
      </c>
      <c r="C20">
        <v>151740</v>
      </c>
      <c r="D20">
        <v>965914</v>
      </c>
    </row>
    <row r="21" spans="1:4" x14ac:dyDescent="0.35">
      <c r="A21" t="s">
        <v>27</v>
      </c>
      <c r="B21" t="s">
        <v>2</v>
      </c>
      <c r="C21">
        <v>68546</v>
      </c>
      <c r="D21">
        <v>965914</v>
      </c>
    </row>
    <row r="22" spans="1:4" x14ac:dyDescent="0.35">
      <c r="A22" t="s">
        <v>28</v>
      </c>
      <c r="B22" t="s">
        <v>2</v>
      </c>
      <c r="C22">
        <v>129415</v>
      </c>
      <c r="D22">
        <v>965914</v>
      </c>
    </row>
    <row r="23" spans="1:4" x14ac:dyDescent="0.35">
      <c r="A23" t="s">
        <v>53</v>
      </c>
      <c r="B23" t="s">
        <v>2</v>
      </c>
      <c r="C23">
        <v>105168</v>
      </c>
      <c r="D23">
        <v>965914</v>
      </c>
    </row>
    <row r="24" spans="1:4" x14ac:dyDescent="0.35">
      <c r="A24" t="s">
        <v>56</v>
      </c>
      <c r="B24" t="s">
        <v>2</v>
      </c>
      <c r="C24">
        <v>110521</v>
      </c>
      <c r="D24">
        <v>965914</v>
      </c>
    </row>
    <row r="25" spans="1:4" x14ac:dyDescent="0.35">
      <c r="A25" t="s">
        <v>70</v>
      </c>
      <c r="B25" t="s">
        <v>2</v>
      </c>
      <c r="C25">
        <v>198755</v>
      </c>
      <c r="D25">
        <v>965914</v>
      </c>
    </row>
    <row r="26" spans="1:4" x14ac:dyDescent="0.35">
      <c r="A26" t="s">
        <v>13</v>
      </c>
      <c r="B26" t="s">
        <v>6</v>
      </c>
      <c r="C26">
        <v>139646</v>
      </c>
      <c r="D26">
        <v>782275</v>
      </c>
    </row>
    <row r="27" spans="1:4" x14ac:dyDescent="0.35">
      <c r="A27" t="s">
        <v>6</v>
      </c>
      <c r="B27" t="s">
        <v>6</v>
      </c>
      <c r="C27">
        <v>286531</v>
      </c>
      <c r="D27">
        <v>782275</v>
      </c>
    </row>
    <row r="28" spans="1:4" x14ac:dyDescent="0.35">
      <c r="A28" t="s">
        <v>42</v>
      </c>
      <c r="B28" t="s">
        <v>6</v>
      </c>
      <c r="C28">
        <v>176666</v>
      </c>
      <c r="D28">
        <v>782275</v>
      </c>
    </row>
    <row r="29" spans="1:4" x14ac:dyDescent="0.35">
      <c r="A29" t="s">
        <v>47</v>
      </c>
      <c r="B29" t="s">
        <v>6</v>
      </c>
      <c r="C29">
        <v>130606</v>
      </c>
      <c r="D29">
        <v>782275</v>
      </c>
    </row>
    <row r="30" spans="1:4" x14ac:dyDescent="0.35">
      <c r="A30" t="s">
        <v>32</v>
      </c>
      <c r="B30" t="s">
        <v>3</v>
      </c>
      <c r="C30">
        <v>151881</v>
      </c>
      <c r="D30">
        <v>1267013</v>
      </c>
    </row>
    <row r="31" spans="1:4" x14ac:dyDescent="0.35">
      <c r="A31" t="s">
        <v>3</v>
      </c>
      <c r="B31" t="s">
        <v>3</v>
      </c>
      <c r="C31">
        <v>412872</v>
      </c>
      <c r="D31">
        <v>1267013</v>
      </c>
    </row>
    <row r="32" spans="1:4" x14ac:dyDescent="0.35">
      <c r="A32" t="s">
        <v>52</v>
      </c>
      <c r="B32" t="s">
        <v>3</v>
      </c>
      <c r="C32">
        <v>231613</v>
      </c>
      <c r="D32">
        <v>1267013</v>
      </c>
    </row>
    <row r="33" spans="1:4" x14ac:dyDescent="0.35">
      <c r="A33" t="s">
        <v>54</v>
      </c>
      <c r="B33" t="s">
        <v>3</v>
      </c>
      <c r="C33">
        <v>470647</v>
      </c>
      <c r="D33">
        <v>1267013</v>
      </c>
    </row>
    <row r="34" spans="1:4" x14ac:dyDescent="0.35">
      <c r="A34" t="s">
        <v>36</v>
      </c>
      <c r="B34" t="s">
        <v>36</v>
      </c>
      <c r="C34">
        <v>105689</v>
      </c>
      <c r="D34">
        <v>203720</v>
      </c>
    </row>
    <row r="35" spans="1:4" x14ac:dyDescent="0.35">
      <c r="A35" t="s">
        <v>67</v>
      </c>
      <c r="B35" t="s">
        <v>36</v>
      </c>
      <c r="C35">
        <v>29759</v>
      </c>
      <c r="D35">
        <v>203720</v>
      </c>
    </row>
    <row r="36" spans="1:4" x14ac:dyDescent="0.35">
      <c r="A36" t="s">
        <v>68</v>
      </c>
      <c r="B36" t="s">
        <v>36</v>
      </c>
      <c r="C36">
        <v>68272</v>
      </c>
      <c r="D36">
        <v>203720</v>
      </c>
    </row>
    <row r="37" spans="1:4" x14ac:dyDescent="0.35">
      <c r="A37" t="s">
        <v>41</v>
      </c>
      <c r="B37" t="s">
        <v>41</v>
      </c>
      <c r="C37">
        <v>325160</v>
      </c>
      <c r="D37">
        <v>875661</v>
      </c>
    </row>
    <row r="38" spans="1:4" x14ac:dyDescent="0.35">
      <c r="A38" t="s">
        <v>50</v>
      </c>
      <c r="B38" t="s">
        <v>41</v>
      </c>
      <c r="C38">
        <v>182525</v>
      </c>
      <c r="D38">
        <v>875661</v>
      </c>
    </row>
    <row r="39" spans="1:4" x14ac:dyDescent="0.35">
      <c r="A39" t="s">
        <v>76</v>
      </c>
      <c r="B39" t="s">
        <v>41</v>
      </c>
      <c r="C39">
        <v>367976</v>
      </c>
      <c r="D39">
        <v>875661</v>
      </c>
    </row>
    <row r="40" spans="1:4" x14ac:dyDescent="0.35">
      <c r="A40" t="s">
        <v>15</v>
      </c>
      <c r="B40" t="s">
        <v>45</v>
      </c>
      <c r="C40">
        <v>81402</v>
      </c>
      <c r="D40">
        <v>1121619</v>
      </c>
    </row>
    <row r="41" spans="1:4" x14ac:dyDescent="0.35">
      <c r="A41" t="s">
        <v>17</v>
      </c>
      <c r="B41" t="s">
        <v>45</v>
      </c>
      <c r="C41">
        <v>169119</v>
      </c>
      <c r="D41">
        <v>1121619</v>
      </c>
    </row>
    <row r="42" spans="1:4" x14ac:dyDescent="0.35">
      <c r="A42" t="s">
        <v>22</v>
      </c>
      <c r="B42" t="s">
        <v>45</v>
      </c>
      <c r="C42">
        <v>106333</v>
      </c>
      <c r="D42">
        <v>1121619</v>
      </c>
    </row>
    <row r="43" spans="1:4" x14ac:dyDescent="0.35">
      <c r="A43" t="s">
        <v>35</v>
      </c>
      <c r="B43" t="s">
        <v>45</v>
      </c>
      <c r="C43">
        <v>226083</v>
      </c>
      <c r="D43">
        <v>1121619</v>
      </c>
    </row>
    <row r="44" spans="1:4" x14ac:dyDescent="0.35">
      <c r="A44" t="s">
        <v>38</v>
      </c>
      <c r="B44" t="s">
        <v>45</v>
      </c>
      <c r="C44">
        <v>97064</v>
      </c>
      <c r="D44">
        <v>1121619</v>
      </c>
    </row>
    <row r="45" spans="1:4" x14ac:dyDescent="0.35">
      <c r="A45" t="s">
        <v>44</v>
      </c>
      <c r="B45" t="s">
        <v>45</v>
      </c>
      <c r="C45">
        <v>141243</v>
      </c>
      <c r="D45">
        <v>1121619</v>
      </c>
    </row>
    <row r="46" spans="1:4" x14ac:dyDescent="0.35">
      <c r="A46" t="s">
        <v>45</v>
      </c>
      <c r="B46" t="s">
        <v>45</v>
      </c>
      <c r="C46">
        <v>208383</v>
      </c>
      <c r="D46">
        <v>1121619</v>
      </c>
    </row>
    <row r="47" spans="1:4" x14ac:dyDescent="0.35">
      <c r="A47" t="s">
        <v>66</v>
      </c>
      <c r="B47" t="s">
        <v>45</v>
      </c>
      <c r="C47">
        <v>91992</v>
      </c>
      <c r="D47">
        <v>1121619</v>
      </c>
    </row>
    <row r="48" spans="1:4" x14ac:dyDescent="0.35">
      <c r="A48" t="s">
        <v>34</v>
      </c>
      <c r="B48" t="s">
        <v>0</v>
      </c>
      <c r="C48">
        <v>334751</v>
      </c>
      <c r="D48">
        <v>789215</v>
      </c>
    </row>
    <row r="49" spans="1:4" x14ac:dyDescent="0.35">
      <c r="A49" t="s">
        <v>0</v>
      </c>
      <c r="B49" t="s">
        <v>0</v>
      </c>
      <c r="C49">
        <v>271560</v>
      </c>
      <c r="D49">
        <v>789215</v>
      </c>
    </row>
    <row r="50" spans="1:4" x14ac:dyDescent="0.35">
      <c r="A50" t="s">
        <v>62</v>
      </c>
      <c r="B50" t="s">
        <v>0</v>
      </c>
      <c r="C50">
        <v>71989</v>
      </c>
      <c r="D50">
        <v>789215</v>
      </c>
    </row>
    <row r="51" spans="1:4" x14ac:dyDescent="0.35">
      <c r="A51" t="s">
        <v>1</v>
      </c>
      <c r="B51" t="s">
        <v>0</v>
      </c>
      <c r="C51">
        <v>110915</v>
      </c>
      <c r="D51">
        <v>789215</v>
      </c>
    </row>
    <row r="52" spans="1:4" x14ac:dyDescent="0.35">
      <c r="A52" t="s">
        <v>16</v>
      </c>
      <c r="B52" t="s">
        <v>65</v>
      </c>
      <c r="C52">
        <v>99833</v>
      </c>
      <c r="D52">
        <v>1150065</v>
      </c>
    </row>
    <row r="53" spans="1:4" x14ac:dyDescent="0.35">
      <c r="A53" t="s">
        <v>57</v>
      </c>
      <c r="B53" t="s">
        <v>65</v>
      </c>
      <c r="C53">
        <v>207969</v>
      </c>
      <c r="D53">
        <v>1150065</v>
      </c>
    </row>
    <row r="54" spans="1:4" x14ac:dyDescent="0.35">
      <c r="A54" t="s">
        <v>59</v>
      </c>
      <c r="B54" t="s">
        <v>65</v>
      </c>
      <c r="C54">
        <v>261136</v>
      </c>
      <c r="D54">
        <v>1150065</v>
      </c>
    </row>
    <row r="55" spans="1:4" x14ac:dyDescent="0.35">
      <c r="A55" t="s">
        <v>63</v>
      </c>
      <c r="B55" t="s">
        <v>65</v>
      </c>
      <c r="C55">
        <v>205977</v>
      </c>
      <c r="D55">
        <v>1150065</v>
      </c>
    </row>
    <row r="56" spans="1:4" x14ac:dyDescent="0.35">
      <c r="A56" t="s">
        <v>65</v>
      </c>
      <c r="B56" t="s">
        <v>65</v>
      </c>
      <c r="C56">
        <v>375150</v>
      </c>
      <c r="D56">
        <v>1150065</v>
      </c>
    </row>
    <row r="57" spans="1:4" x14ac:dyDescent="0.35">
      <c r="A57" t="s">
        <v>14</v>
      </c>
      <c r="B57" t="s">
        <v>69</v>
      </c>
      <c r="C57">
        <v>196874</v>
      </c>
      <c r="D57">
        <v>612650</v>
      </c>
    </row>
    <row r="58" spans="1:4" x14ac:dyDescent="0.35">
      <c r="A58" t="s">
        <v>30</v>
      </c>
      <c r="B58" t="s">
        <v>69</v>
      </c>
      <c r="C58">
        <v>211113</v>
      </c>
      <c r="D58">
        <v>612650</v>
      </c>
    </row>
    <row r="59" spans="1:4" x14ac:dyDescent="0.35">
      <c r="A59" t="s">
        <v>69</v>
      </c>
      <c r="B59" t="s">
        <v>69</v>
      </c>
      <c r="C59">
        <v>204663</v>
      </c>
      <c r="D59">
        <v>612650</v>
      </c>
    </row>
    <row r="60" spans="1:4" x14ac:dyDescent="0.35">
      <c r="A60" t="s">
        <v>5</v>
      </c>
      <c r="B60" t="s">
        <v>9</v>
      </c>
      <c r="C60">
        <v>116654</v>
      </c>
      <c r="D60">
        <v>937181</v>
      </c>
    </row>
    <row r="61" spans="1:4" x14ac:dyDescent="0.35">
      <c r="A61" t="s">
        <v>24</v>
      </c>
      <c r="B61" t="s">
        <v>9</v>
      </c>
      <c r="C61">
        <v>57207</v>
      </c>
      <c r="D61">
        <v>937181</v>
      </c>
    </row>
    <row r="62" spans="1:4" x14ac:dyDescent="0.35">
      <c r="A62" t="s">
        <v>29</v>
      </c>
      <c r="B62" t="s">
        <v>9</v>
      </c>
      <c r="C62">
        <v>100772</v>
      </c>
      <c r="D62">
        <v>937181</v>
      </c>
    </row>
    <row r="63" spans="1:4" x14ac:dyDescent="0.35">
      <c r="A63" t="s">
        <v>40</v>
      </c>
      <c r="B63" t="s">
        <v>9</v>
      </c>
      <c r="C63">
        <v>74367</v>
      </c>
      <c r="D63">
        <v>937181</v>
      </c>
    </row>
    <row r="64" spans="1:4" x14ac:dyDescent="0.35">
      <c r="A64" t="s">
        <v>43</v>
      </c>
      <c r="B64" t="s">
        <v>9</v>
      </c>
      <c r="C64">
        <v>225492</v>
      </c>
      <c r="D64">
        <v>937181</v>
      </c>
    </row>
    <row r="65" spans="1:4" x14ac:dyDescent="0.35">
      <c r="A65" t="s">
        <v>46</v>
      </c>
      <c r="B65" t="s">
        <v>9</v>
      </c>
      <c r="C65">
        <v>94499</v>
      </c>
      <c r="D65">
        <v>937181</v>
      </c>
    </row>
    <row r="66" spans="1:4" x14ac:dyDescent="0.35">
      <c r="A66" t="s">
        <v>9</v>
      </c>
      <c r="B66" t="s">
        <v>9</v>
      </c>
      <c r="C66">
        <v>317016</v>
      </c>
      <c r="D66">
        <v>937181</v>
      </c>
    </row>
    <row r="67" spans="1:4" x14ac:dyDescent="0.35">
      <c r="A67" t="s">
        <v>33</v>
      </c>
      <c r="B67" t="s">
        <v>72</v>
      </c>
      <c r="C67">
        <v>102475</v>
      </c>
      <c r="D67">
        <v>2280463</v>
      </c>
    </row>
    <row r="68" spans="1:4" x14ac:dyDescent="0.35">
      <c r="A68" t="s">
        <v>39</v>
      </c>
      <c r="B68" t="s">
        <v>72</v>
      </c>
      <c r="C68">
        <v>177609</v>
      </c>
      <c r="D68">
        <v>2280463</v>
      </c>
    </row>
    <row r="69" spans="1:4" x14ac:dyDescent="0.35">
      <c r="A69" t="s">
        <v>4</v>
      </c>
      <c r="B69" t="s">
        <v>72</v>
      </c>
      <c r="C69">
        <v>462449</v>
      </c>
      <c r="D69">
        <v>2280463</v>
      </c>
    </row>
    <row r="70" spans="1:4" x14ac:dyDescent="0.35">
      <c r="A70" t="s">
        <v>51</v>
      </c>
      <c r="B70" t="s">
        <v>72</v>
      </c>
      <c r="C70">
        <v>201606</v>
      </c>
      <c r="D70">
        <v>2280463</v>
      </c>
    </row>
    <row r="71" spans="1:4" x14ac:dyDescent="0.35">
      <c r="A71" t="s">
        <v>60</v>
      </c>
      <c r="B71" t="s">
        <v>72</v>
      </c>
      <c r="C71">
        <v>92691</v>
      </c>
      <c r="D71">
        <v>2280463</v>
      </c>
    </row>
    <row r="72" spans="1:4" x14ac:dyDescent="0.35">
      <c r="A72" t="s">
        <v>61</v>
      </c>
      <c r="B72" t="s">
        <v>72</v>
      </c>
      <c r="C72">
        <v>153582</v>
      </c>
      <c r="D72">
        <v>2280463</v>
      </c>
    </row>
    <row r="73" spans="1:4" x14ac:dyDescent="0.35">
      <c r="A73" t="s">
        <v>71</v>
      </c>
      <c r="B73" t="s">
        <v>72</v>
      </c>
      <c r="C73">
        <v>195082</v>
      </c>
      <c r="D73">
        <v>2280463</v>
      </c>
    </row>
    <row r="74" spans="1:4" x14ac:dyDescent="0.35">
      <c r="A74" t="s">
        <v>72</v>
      </c>
      <c r="B74" t="s">
        <v>72</v>
      </c>
      <c r="C74">
        <v>520145</v>
      </c>
      <c r="D74">
        <v>2280463</v>
      </c>
    </row>
    <row r="75" spans="1:4" x14ac:dyDescent="0.35">
      <c r="A75" t="s">
        <v>74</v>
      </c>
      <c r="B75" t="s">
        <v>72</v>
      </c>
      <c r="C75">
        <v>374824</v>
      </c>
      <c r="D75">
        <v>2280463</v>
      </c>
    </row>
    <row r="76" spans="1:4" x14ac:dyDescent="0.35">
      <c r="A76" t="s">
        <v>12</v>
      </c>
      <c r="B76" t="s">
        <v>78</v>
      </c>
      <c r="C76">
        <v>174689</v>
      </c>
      <c r="D76">
        <v>729952</v>
      </c>
    </row>
    <row r="77" spans="1:4" x14ac:dyDescent="0.35">
      <c r="A77" t="s">
        <v>25</v>
      </c>
      <c r="B77" t="s">
        <v>78</v>
      </c>
      <c r="C77">
        <v>106686</v>
      </c>
      <c r="D77">
        <v>729952</v>
      </c>
    </row>
    <row r="78" spans="1:4" x14ac:dyDescent="0.35">
      <c r="A78" t="s">
        <v>55</v>
      </c>
      <c r="B78" t="s">
        <v>78</v>
      </c>
      <c r="C78">
        <v>64244</v>
      </c>
      <c r="D78">
        <v>729952</v>
      </c>
    </row>
    <row r="79" spans="1:4" x14ac:dyDescent="0.35">
      <c r="A79" t="s">
        <v>73</v>
      </c>
      <c r="B79" t="s">
        <v>78</v>
      </c>
      <c r="C79">
        <v>54332</v>
      </c>
      <c r="D79">
        <v>729952</v>
      </c>
    </row>
    <row r="80" spans="1:4" x14ac:dyDescent="0.35">
      <c r="A80" t="s">
        <v>78</v>
      </c>
      <c r="B80" t="s">
        <v>78</v>
      </c>
      <c r="C80">
        <v>330001</v>
      </c>
      <c r="D80">
        <v>729952</v>
      </c>
    </row>
  </sheetData>
  <sheetProtection algorithmName="SHA-512" hashValue="A/WMxaPibgJQGBsL9MB0jfNkZjdBzlcDXTt6QL4HIe0IPQcEacAR0OV4jl/hIIfuQnxd2badEIw/h9ZADKWUtA==" saltValue="fHC1hNTkg2LG3DgE79EpBQ==" spinCount="100000" sheet="1" objects="1" scenarios="1"/>
  <autoFilter ref="A1:D80" xr:uid="{31ED8CAB-2503-4F5D-B09A-ED2CBE69E92A}"/>
  <sortState xmlns:xlrd2="http://schemas.microsoft.com/office/spreadsheetml/2017/richdata2" ref="A2:D80">
    <sortCondition ref="B2:B80"/>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base</vt:lpstr>
      <vt:lpstr>mpox</vt:lpstr>
      <vt:lpstr>liste</vt:lpstr>
      <vt:lpstr>district_region</vt:lpstr>
      <vt:lpstr>Liste_district</vt:lpstr>
      <vt:lpstr>liste_pop</vt:lpstr>
    </vt:vector>
  </TitlesOfParts>
  <Company>World Health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 Ibrahim Oumar</dc:creator>
  <cp:lastModifiedBy>Mame NDAO</cp:lastModifiedBy>
  <dcterms:created xsi:type="dcterms:W3CDTF">2022-09-10T06:35:00Z</dcterms:created>
  <dcterms:modified xsi:type="dcterms:W3CDTF">2026-02-16T17:51:01Z</dcterms:modified>
</cp:coreProperties>
</file>